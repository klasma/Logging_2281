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45758</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45758</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45758</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45758</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45758</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45758</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45758</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45758</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45758</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45758</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45758</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45758</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45758</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45758</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45758</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45758</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45758</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45758</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45758</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45758</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45758</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45758</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45758</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45758</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45758</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45758</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45758</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45758</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45758</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45758</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45758</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45758</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45758</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45758</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45758</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45758</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45758</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45758</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45758</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45758</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45758</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45758</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45758</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45758</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45758</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45758</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45758</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45758</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45758</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45758</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45758</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45758</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45758</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45758</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45758</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45758</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45758</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45758</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45758</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45758</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45758</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45758</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45758</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45758</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45758</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45758</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45758</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45758</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45758</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45758</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45758</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45758</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45758</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45758</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45758</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45758</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45758</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45758</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45758</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45758</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45758</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45758</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45758</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45758</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45758</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45758</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45758</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45758</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45758</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45758</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45758</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45758</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45758</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45758</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45758</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45758</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45758</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45758</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45758</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45758</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45758</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45758</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45758</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45758</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45758</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45758</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45758</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45758</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45758</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45758</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45758</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45758</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45758</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45758</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45758</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45758</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45758</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45758</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45758</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45758</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45758</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45758</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45758</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45758</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45758</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45758</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45758</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45758</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45758</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45758</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45758</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45758</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45758</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45758</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45758</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45758</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45758</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45758</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45758</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45758</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45758</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45758</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45758</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45758</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45758</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45758</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45758</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45758</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45758</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45758</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45758</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45758</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45758</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45758</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45758</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45758</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45758</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45758</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45758</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45758</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45758</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45758</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45758</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45758</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45758</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45758</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45758</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45758</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45758</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45758</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45758</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45758</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45758</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45758</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45758</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45758</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45758</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45758</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45758</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45758</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45758</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45758</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45758</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45758</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45758</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45758</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45758</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45758</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45758</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45758</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45758</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45758</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45758</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45758</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45758</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45758</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45758</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45758</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45758</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45758</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45758</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45758</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45758</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45758</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45758</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45758</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45758</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45758</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45758</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45758</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45758</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45758</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45758</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45758</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45758</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45758</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45758</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45758</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45758</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45758</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45758</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45758</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45758</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45758</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45758</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45758</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45758</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45758</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45758</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45758</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13154-2025</t>
        </is>
      </c>
      <c r="B242" s="1" t="n">
        <v>45735</v>
      </c>
      <c r="C242" s="1" t="n">
        <v>45758</v>
      </c>
      <c r="D242" t="inlineStr">
        <is>
          <t>VÄSTERNORRLANDS LÄN</t>
        </is>
      </c>
      <c r="E242" t="inlineStr">
        <is>
          <t>SUNDSVALL</t>
        </is>
      </c>
      <c r="G242" t="n">
        <v>2.6</v>
      </c>
      <c r="H242" t="n">
        <v>0</v>
      </c>
      <c r="I242" t="n">
        <v>0</v>
      </c>
      <c r="J242" t="n">
        <v>1</v>
      </c>
      <c r="K242" t="n">
        <v>0</v>
      </c>
      <c r="L242" t="n">
        <v>0</v>
      </c>
      <c r="M242" t="n">
        <v>0</v>
      </c>
      <c r="N242" t="n">
        <v>0</v>
      </c>
      <c r="O242" t="n">
        <v>1</v>
      </c>
      <c r="P242" t="n">
        <v>0</v>
      </c>
      <c r="Q242" t="n">
        <v>1</v>
      </c>
      <c r="R242" s="2" t="inlineStr">
        <is>
          <t>Tallticka</t>
        </is>
      </c>
      <c r="S242">
        <f>HYPERLINK("https://klasma.github.io/Logging_222281/artfynd/A 13154-2025 artfynd.xlsx", "A 13154-2025")</f>
        <v/>
      </c>
      <c r="T242">
        <f>HYPERLINK("https://klasma.github.io/Logging_222281/kartor/A 13154-2025 karta.png", "A 13154-2025")</f>
        <v/>
      </c>
      <c r="V242">
        <f>HYPERLINK("https://klasma.github.io/Logging_222281/klagomål/A 13154-2025 FSC-klagomål.docx", "A 13154-2025")</f>
        <v/>
      </c>
      <c r="W242">
        <f>HYPERLINK("https://klasma.github.io/Logging_222281/klagomålsmail/A 13154-2025 FSC-klagomål mail.docx", "A 13154-2025")</f>
        <v/>
      </c>
      <c r="X242">
        <f>HYPERLINK("https://klasma.github.io/Logging_222281/tillsyn/A 13154-2025 tillsynsbegäran.docx", "A 13154-2025")</f>
        <v/>
      </c>
      <c r="Y242">
        <f>HYPERLINK("https://klasma.github.io/Logging_222281/tillsynsmail/A 13154-2025 tillsynsbegäran mail.docx", "A 13154-2025")</f>
        <v/>
      </c>
    </row>
    <row r="243" ht="15" customHeight="1">
      <c r="A243" t="inlineStr">
        <is>
          <t>A 13301-2025</t>
        </is>
      </c>
      <c r="B243" s="1" t="n">
        <v>45735</v>
      </c>
      <c r="C243" s="1" t="n">
        <v>45758</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HYPERLINK("https://klasma.github.io/Logging_222281/artfynd/A 13301-2025 artfynd.xlsx", "A 13301-2025")</f>
        <v/>
      </c>
      <c r="T243">
        <f>HYPERLINK("https://klasma.github.io/Logging_222281/kartor/A 13301-2025 karta.png", "A 13301-2025")</f>
        <v/>
      </c>
      <c r="V243">
        <f>HYPERLINK("https://klasma.github.io/Logging_222281/klagomål/A 13301-2025 FSC-klagomål.docx", "A 13301-2025")</f>
        <v/>
      </c>
      <c r="W243">
        <f>HYPERLINK("https://klasma.github.io/Logging_222281/klagomålsmail/A 13301-2025 FSC-klagomål mail.docx", "A 13301-2025")</f>
        <v/>
      </c>
      <c r="X243">
        <f>HYPERLINK("https://klasma.github.io/Logging_222281/tillsyn/A 13301-2025 tillsynsbegäran.docx", "A 13301-2025")</f>
        <v/>
      </c>
      <c r="Y243">
        <f>HYPERLINK("https://klasma.github.io/Logging_222281/tillsynsmail/A 13301-2025 tillsynsbegäran mail.docx", "A 13301-2025")</f>
        <v/>
      </c>
    </row>
    <row r="244" ht="15" customHeight="1">
      <c r="A244" t="inlineStr">
        <is>
          <t>A 14545-2025</t>
        </is>
      </c>
      <c r="B244" s="1" t="n">
        <v>45741</v>
      </c>
      <c r="C244" s="1" t="n">
        <v>45758</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45758</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45758</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45758</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45758</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45758</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45758</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45758</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45758</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45758</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45758</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45758</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45758</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45758</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45758</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45758</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45758</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45758</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45758</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45758</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45758</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45758</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45758</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45758</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45758</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45758</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45758</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45758</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45758</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45758</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45758</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45758</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45758</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45758</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45758</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45758</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45758</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45758</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45758</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45758</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45758</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45758</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45758</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45758</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45758</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45758</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45758</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45758</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45758</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45758</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45758</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45758</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45758</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45758</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45758</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45758</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45758</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45758</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45758</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45758</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45758</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45758</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45758</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45758</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45758</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45758</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45758</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45758</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45758</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45758</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45758</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45758</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45758</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45758</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45758</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45758</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45758</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45758</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45758</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45758</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45758</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45758</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45758</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45758</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45758</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45758</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45758</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45758</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45758</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45758</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45758</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45758</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45758</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45758</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45758</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45758</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45758</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45758</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45758</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45758</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45758</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45758</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45758</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45758</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45758</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45758</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45758</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45758</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45758</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45758</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45758</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45758</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45758</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45758</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45758</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45758</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45758</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45758</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45758</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45758</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45758</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45758</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45758</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45758</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45758</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45758</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45758</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45758</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45758</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45758</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45758</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45758</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45758</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45758</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45758</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45758</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45758</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45758</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45758</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45758</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45758</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45758</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45758</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45758</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45758</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45758</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45758</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45758</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45758</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45758</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45758</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45758</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45758</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45758</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45758</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45758</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45758</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45758</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45758</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45758</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45758</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45758</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45758</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45758</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45758</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45758</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45758</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45758</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45758</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45758</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45758</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45758</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45758</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45758</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45758</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45758</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45758</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45758</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45758</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45758</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45758</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45758</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45758</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45758</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45758</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45758</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45758</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45758</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45758</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45758</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45758</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45758</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45758</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45758</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45758</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45758</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45758</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45758</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45758</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45758</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45758</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45758</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45758</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45758</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45758</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45758</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45758</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45758</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45758</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45758</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45758</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45758</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45758</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45758</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45758</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45758</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45758</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45758</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45758</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45758</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45758</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45758</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45758</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45758</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45758</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45758</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45758</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45758</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45758</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45758</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45758</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45758</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45758</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45758</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45758</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45758</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45758</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45758</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45758</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45758</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45758</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45758</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45758</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45758</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45758</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45758</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45758</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45758</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45758</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45758</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45758</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45758</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45758</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45758</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45758</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45758</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45758</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45758</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45758</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45758</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45758</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45758</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45758</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45758</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45758</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45758</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45758</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45758</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45758</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45758</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45758</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45758</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45758</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45758</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45758</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45758</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45758</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45758</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45758</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45758</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45758</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45758</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45758</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45758</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45758</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45758</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45758</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45758</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45758</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45758</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45758</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45758</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45758</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45758</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45758</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45758</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45758</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45758</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45758</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45758</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45758</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45758</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45758</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45758</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45758</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45758</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45758</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45758</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45758</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45758</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45758</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45758</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45758</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45758</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45758</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45758</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45758</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45758</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45758</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45758</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45758</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45758</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45758</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45758</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45758</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45758</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45758</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45758</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45758</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45758</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45758</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45758</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45758</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45758</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45758</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45758</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45758</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45758</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45758</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45758</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45758</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45758</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45758</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45758</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45758</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45758</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45758</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45758</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45758</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45758</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45758</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45758</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45758</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45758</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45758</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45758</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45758</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45758</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45758</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45758</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45758</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45758</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45758</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45758</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45758</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45758</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45758</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45758</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45758</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45758</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45758</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45758</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45758</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45758</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45758</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45758</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45758</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45758</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45758</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45758</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45758</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45758</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45758</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45758</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45758</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45758</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45758</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45758</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45758</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45758</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45758</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45758</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45758</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45758</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45758</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45758</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45758</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45758</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45758</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45758</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45758</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45758</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45758</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45758</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45758</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45758</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45758</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45758</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45758</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45758</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45758</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45758</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45758</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45758</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45758</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45758</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45758</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45758</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45758</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45758</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45758</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45758</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45758</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45758</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45758</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45758</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45758</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45758</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45758</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45758</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45758</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45758</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45758</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45758</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45758</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45758</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45758</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45758</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45758</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45758</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45758</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45758</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45758</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45758</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45758</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45758</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45758</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45758</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45758</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45758</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45758</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45758</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45758</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45758</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45758</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45758</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45758</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45758</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45758</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45758</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45758</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45758</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45758</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45758</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45758</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45758</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45758</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45758</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45758</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45758</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45758</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45758</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45758</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45758</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45758</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45758</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45758</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45758</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45758</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45758</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45758</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45758</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45758</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45758</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45758</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45758</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45758</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45758</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45758</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45758</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45758</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45758</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45758</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45758</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45758</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45758</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45758</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45758</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45758</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45758</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45758</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45758</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45758</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45758</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45758</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45758</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45758</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45758</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45758</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45758</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45758</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45758</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45758</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45758</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45758</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45758</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45758</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45758</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45758</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45758</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45758</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45758</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45758</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45758</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45758</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45758</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45758</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45758</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45758</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45758</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45758</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45758</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45758</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45758</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45758</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45758</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45758</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45758</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45758</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45758</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45758</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45758</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45758</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45758</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45758</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45758</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45758</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45758</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45758</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45758</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45758</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45758</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45758</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45758</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45758</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45758</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45758</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45758</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45758</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45758</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45758</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45758</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45758</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45758</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45758</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45758</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45758</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45758</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45758</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45758</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45758</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45758</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45758</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45758</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45758</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45758</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45758</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45758</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45758</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45758</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45758</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45758</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45758</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45758</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45758</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45758</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45758</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45758</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45758</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45758</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45758</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45758</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45758</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45758</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45758</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45758</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45758</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45758</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45758</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45758</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45758</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45758</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45758</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45758</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45758</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45758</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45758</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45758</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45758</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45758</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45758</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45758</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45758</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45758</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45758</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45758</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45758</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45758</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45758</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45758</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45758</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45758</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45758</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45758</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45758</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45758</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45758</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45758</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45758</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45758</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45758</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45758</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45758</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45758</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45758</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45758</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45758</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45758</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45758</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45758</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45758</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45758</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45758</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45758</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45758</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45758</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45758</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45758</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45758</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45758</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45758</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45758</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45758</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45758</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45758</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45758</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45758</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45758</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45758</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45758</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45758</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45758</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45758</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45758</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45758</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45758</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45758</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45758</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45758</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45758</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45758</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45758</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45758</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45758</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45758</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45758</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45758</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45758</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45758</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45758</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45758</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45758</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45758</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45758</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45758</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45758</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45758</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45758</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45758</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45758</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45758</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45758</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45758</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45758</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45758</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45758</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45758</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45758</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45758</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45758</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45758</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45758</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45758</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45758</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45758</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45758</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45758</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45758</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45758</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45758</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45758</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45758</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45758</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45758</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45758</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45758</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45758</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45758</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45758</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45758</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45758</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45758</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45758</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45758</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45758</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45758</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45758</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45758</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45758</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45758</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45758</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45758</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45758</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45758</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45758</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45758</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45758</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45758</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45758</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45758</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45758</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45758</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45758</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45758</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45758</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45758</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45758</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45758</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45758</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45758</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45758</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45758</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45758</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45758</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45758</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45758</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45758</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45758</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45758</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45758</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45758</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45758</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45758</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45758</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45758</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45758</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45758</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45758</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45758</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45758</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45758</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45758</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45758</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45758</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45758</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45758</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45758</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45758</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45758</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45758</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45758</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45758</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45758</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45758</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45758</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45758</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45758</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45758</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45758</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45758</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45758</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45758</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45758</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45758</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45758</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45758</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45758</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45758</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45758</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45758</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45758</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45758</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45758</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45758</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45758</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45758</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45758</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45758</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45758</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45758</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45758</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45758</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45758</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45758</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45758</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45758</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45758</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45758</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45758</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45758</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45758</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45758</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45758</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45758</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45758</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45758</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45758</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45758</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45758</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45758</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45758</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45758</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45758</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45758</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45758</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45758</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45758</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45758</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45758</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45758</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45758</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45758</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45758</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45758</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45758</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45758</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45758</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45758</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45758</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45758</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45758</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45758</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45758</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45758</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45758</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45758</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45758</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45758</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45758</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45758</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45758</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45758</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45758</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45758</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45758</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45758</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45758</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45758</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45758</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45758</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45758</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45758</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45758</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45758</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45758</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45758</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45758</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45758</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45758</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45758</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45758</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45758</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45758</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45758</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45758</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45758</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45758</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45758</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45758</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45758</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45758</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45758</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45758</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45758</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45758</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45758</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45758</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45758</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45758</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45758</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45758</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45758</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45758</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45758</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45758</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45758</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45758</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45758</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45758</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45758</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45758</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45758</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45758</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45758</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45758</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45758</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45758</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45758</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45758</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45758</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45758</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45758</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45758</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45758</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45758</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45758</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45758</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45758</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45758</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45758</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45758</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45758</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45758</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45758</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45758</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45758</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45758</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45758</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45758</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45758</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45758</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45758</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45758</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45758</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45758</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45758</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45758</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45758</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45758</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45758</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45758</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45758</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45758</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45758</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45758</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45758</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45758</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45758</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45758</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45758</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45758</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45758</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45758</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45758</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45758</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45758</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45758</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45758</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45758</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45758</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45758</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45758</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45758</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45758</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45758</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45758</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45758</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45758</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45758</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45758</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45758</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45758</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45758</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45758</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45758</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45758</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45758</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45758</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45758</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45758</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45758</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45758</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45758</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45758</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45758</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45758</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45758</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45758</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45758</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45758</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45758</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45758</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45758</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45758</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45758</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45758</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45758</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45758</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45758</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45758</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45758</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45758</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45758</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45758</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45758</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45758</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45758</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45758</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45758</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45758</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45758</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45758</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45758</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45758</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45758</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45758</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45758</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45758</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45758</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45758</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45758</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45758</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45758</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45758</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45758</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45758</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45758</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45758</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45758</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45758</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45758</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45758</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45758</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45758</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45758</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45758</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45758</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45758</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45758</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45758</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45758</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45758</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45758</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45758</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45758</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45758</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45758</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45758</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45758</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45758</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45758</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45758</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45758</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45758</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45758</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45758</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45758</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45758</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45758</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45758</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45758</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45758</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45758</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45758</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45758</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45758</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45758</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45758</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45758</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45758</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45758</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45758</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45758</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45758</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45758</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45758</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45758</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45758</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45758</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45758</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45758</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45758</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45758</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45758</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45758</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45758</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45758</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45758</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45758</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45758</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45758</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45758</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45758</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45758</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45758</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45758</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45758</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45758</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45758</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45758</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45758</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45758</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45758</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45758</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45758</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45758</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45758</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45758</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45758</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45758</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45758</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45758</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45758</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45758</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45758</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45758</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45758</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45758</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45758</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45758</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45758</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45758</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45758</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45758</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45758</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45758</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45758</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45758</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45758</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45758</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45758</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45758</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45758</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45758</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45758</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45758</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45758</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45758</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45758</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45758</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45758</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45758</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45758</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45758</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45758</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45758</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45758</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45758</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45758</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45758</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45758</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45758</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45758</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45758</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45758</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45758</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45758</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45758</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45758</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45758</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45758</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45758</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45758</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45758</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45758</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45758</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45758</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45758</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45758</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45758</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45758</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45758</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45758</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45758</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45758</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45758</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45758</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45758</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45758</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45758</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45758</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45758</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45758</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45758</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45758</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45758</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45758</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45758</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45758</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45758</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45758</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45758</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45758</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45758</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45758</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45758</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45758</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45758</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45758</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45758</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45758</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45758</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45758</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45758</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45758</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45758</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45758</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45758</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45758</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45758</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45758</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45758</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45758</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45758</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45758</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45758</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45758</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45758</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45758</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45758</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45758</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45758</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45758</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45758</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45758</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45758</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45758</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45758</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45758</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45758</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45758</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45758</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45758</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45758</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45758</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45758</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45758</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45758</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45758</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45758</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45758</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45758</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45758</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45758</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45758</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45758</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45758</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45758</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45758</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45758</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45758</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45758</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45758</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45758</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45758</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45758</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45758</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45758</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45758</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45758</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45758</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45758</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45758</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45758</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45758</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45758</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45758</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45758</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45758</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45758</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45758</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45758</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45758</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45758</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45758</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45758</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45758</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45758</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45758</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45758</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45758</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45758</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45758</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45758</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45758</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45758</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45758</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45758</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45758</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45758</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45758</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45758</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45758</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45758</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45758</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45758</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45758</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45758</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45758</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45758</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45758</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45758</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45758</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45758</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45758</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45758</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45758</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45758</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45758</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45758</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45758</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45758</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45758</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45758</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45758</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45758</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45758</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45758</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45758</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45758</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45758</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45758</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45758</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45758</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45758</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45758</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45758</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45758</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45758</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45758</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45758</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45758</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45758</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45758</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45758</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45758</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45758</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45758</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45758</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45758</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45758</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45758</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45758</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45758</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45758</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45758</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45758</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45758</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45758</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45758</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45758</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45758</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45758</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45758</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45758</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45758</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45758</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45758</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45758</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45758</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45758</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45758</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45758</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45758</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45758</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45758</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45758</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45758</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45758</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45758</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45758</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45758</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45758</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45758</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45758</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45758</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45758</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45758</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45758</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45758</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45758</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45758</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45758</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45758</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45758</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45758</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45758</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45758</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45758</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45758</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45758</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45758</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45758</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45758</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45758</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45758</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45758</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45758</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45758</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45758</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45758</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45758</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45758</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45758</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45758</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45758</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45758</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45758</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45758</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45758</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45758</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45758</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45758</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45758</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45758</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45758</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45758</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45758</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45758</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45758</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45758</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45758</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45758</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45758</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45758</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45758</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45758</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45758</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45758</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45758</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45758</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45758</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45758</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45758</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45758</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45758</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45758</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45758</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45758</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45758</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45758</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45758</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45758</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45758</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45758</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45758</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45758</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45758</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45758</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45758</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45758</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45758</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45758</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45758</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45758</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45758</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45758</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45758</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45758</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45758</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45758</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45758</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45758</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45758</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45758</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45758</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45758</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45758</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45758</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45758</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45758</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45758</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45758</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45758</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45758</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45758</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45758</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45758</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45758</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45758</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45758</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45758</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45758</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45758</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45758</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45758</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45758</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45758</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45758</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45758</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45758</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45758</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45758</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45758</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45758</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45758</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45758</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45758</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45758</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45758</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45758</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45758</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45758</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45758</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45758</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45758</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45758</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45758</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45758</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45758</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45758</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45758</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45758</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45758</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45758</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45758</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45758</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45758</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45758</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45758</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45758</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45758</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45758</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45758</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45758</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45758</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45758</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45758</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45758</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45758</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45758</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45758</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45758</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45758</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45758</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45758</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45758</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45758</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45758</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45758</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45758</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45758</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45758</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45758</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45758</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45758</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45758</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45758</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45758</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45758</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45758</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45758</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45758</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45758</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45758</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45758</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45758</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45758</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45758</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45758</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45758</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45758</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45758</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45758</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45758</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45758</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45758</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45758</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45758</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45758</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45758</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45758</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45758</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45758</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45758</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45758</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45758</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45758</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45758</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45758</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45758</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45758</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45758</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45758</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45758</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45758</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45758</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45758</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45758</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45758</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45758</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45758</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45758</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45758</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45758</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45758</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45758</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45758</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45758</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45758</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45758</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45758</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45758</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45758</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45758</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45758</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45758</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45758</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45758</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45758</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45758</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45758</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45758</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45758</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45758</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45758</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45758</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45758</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45758</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45758</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45758</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45758</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45758</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45758</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45758</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45758</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45758</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45758</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45758</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45758</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45758</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45758</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45758</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45758</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45758</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45758</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45758</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45758</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45758</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45758</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45758</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45758</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45758</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45758</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45758</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45758</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45758</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45758</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45758</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45758</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45758</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45758</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45758</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45758</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45758</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45758</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45758</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45758</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45758</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45758</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45758</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45758</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45758</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45758</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45758</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45758</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45758</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45758</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45758</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45758</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45758</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45758</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45758</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45758</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45758</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45758</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45758</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45758</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45758</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45758</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45758</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45758</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45758</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45758</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45758</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45758</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45758</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45758</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45758</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45758</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45758</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45758</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45758</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45758</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45758</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45758</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45758</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45758</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45758</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45758</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45758</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45758</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45758</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45758</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45758</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45758</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45758</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45758</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45758</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45758</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45758</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45758</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45758</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45758</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45758</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45758</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45758</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45758</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45758</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45758</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45758</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45758</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45758</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45758</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45758</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45758</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45758</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45758</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45758</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45758</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45758</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45758</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45758</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45758</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45758</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45758</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45758</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45758</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45758</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45758</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45758</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45758</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45758</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45758</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45758</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45758</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45758</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45758</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45758</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45758</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45758</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45758</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45758</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45758</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45758</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45758</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45758</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45758</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45758</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45758</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45758</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45758</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45758</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45758</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45758</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45758</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45758</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45758</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45758</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45758</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45758</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45758</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45758</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45758</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45758</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45758</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45758</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45758</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45758</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45758</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45758</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45758</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45758</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45758</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45758</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45758</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45758</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45758</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45758</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45758</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45758</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45758</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45758</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45758</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45758</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45758</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45758</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45758</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45758</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45758</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45758</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45758</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45758</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45758</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45758</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45758</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45758</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45758</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45758</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45758</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45758</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45758</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45758</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45758</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45758</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45758</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45758</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45758</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45758</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45758</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45758</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45758</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45758</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45758</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45758</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45758</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45758</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45758</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45758</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45758</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45758</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45758</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45758</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45758</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45758</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45758</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45758</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45758</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45758</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45758</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45758</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45758</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45758</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45758</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45758</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45758</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45758</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45758</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45758</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45758</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45758</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45758</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45758</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45758</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45758</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45758</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45758</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45758</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45758</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45758</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45758</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45758</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45758</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45758</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45758</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45758</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45758</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45758</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45758</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45758</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45758</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45758</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45758</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45758</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45758</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45758</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45758</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45758</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45758</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45758</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45758</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45758</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45758</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45758</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45758</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45758</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45758</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45758</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45758</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45758</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45758</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45758</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45758</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45758</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45758</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45758</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45758</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45758</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45758</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45758</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45758</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45758</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45758</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45758</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45758</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45758</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45758</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45758</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45758</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45758</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45758</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45758</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45758</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45758</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45758</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45758</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45758</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45758</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45758</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45758</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45758</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45758</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45758</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45758</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45758</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45758</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45758</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45758</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45758</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45758</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45758</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45758</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45758</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45758</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45758</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45758</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45758</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45758</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45758</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45758</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45758</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45758</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45758</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45758</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45758</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45758</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45758</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45758</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45758</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45758</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45758</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45758</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45758</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45758</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45758</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45758</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45758</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45758</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45758</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45758</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45758</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45758</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45758</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45758</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45758</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45758</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45758</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45758</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45758</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45758</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45758</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45758</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45758</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45758</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45758</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45758</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45758</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45758</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45758</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45758</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45758</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45758</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45758</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45758</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45758</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45758</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45758</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45758</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45758</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45758</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45758</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45758</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45758</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45758</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45758</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45758</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45758</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45758</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45758</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45758</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45758</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45758</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45758</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45758</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45758</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45758</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45758</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45758</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45758</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45758</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45758</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45758</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45758</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45758</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45758</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45758</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45758</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45758</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45758</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45758</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45758</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45758</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45758</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45758</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45758</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45758</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45758</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45758</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45758</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45758</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45758</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45758</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45758</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45758</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45758</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45758</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45758</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45758</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45758</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45758</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45758</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45758</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45758</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45758</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45758</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45758</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45758</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45758</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45758</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45758</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45758</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45758</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45758</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45758</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45758</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45758</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45758</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45758</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45758</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45758</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45758</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45758</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45758</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45758</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45758</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45758</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45758</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45758</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45758</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45758</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45758</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45758</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45758</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45758</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45758</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45758</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45758</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45758</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45758</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45758</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45758</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45758</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45758</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45758</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45758</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45758</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45758</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45758</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45758</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45758</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45758</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45758</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45758</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45758</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45758</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45758</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45758</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45758</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45758</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45758</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45758</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45758</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45758</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45758</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45758</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45758</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45758</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45758</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45758</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45758</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45758</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45758</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45758</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45758</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45758</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45758</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45758</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45758</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45758</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45758</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45758</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45758</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45758</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45758</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45758</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45758</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45758</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45758</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45758</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45758</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45758</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45758</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45758</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45758</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45758</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45758</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45758</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45758</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45758</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45758</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45758</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45758</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45758</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45758</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45758</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45758</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45758</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45758</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45758</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45758</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45758</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45758</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45758</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45758</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45758</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45758</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45758</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45758</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45758</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45758</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45758</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45758</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45758</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45758</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45758</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45758</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45758</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45758</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45758</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45758</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45758</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45758</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45758</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45758</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45758</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45758</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45758</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45758</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45758</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45758</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45758</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45758</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45758</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45758</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45758</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45758</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45758</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45758</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45758</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45758</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45758</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45758</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45758</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45758</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45758</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45758</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45758</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45758</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45758</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45758</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45758</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45758</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45758</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45758</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45758</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45758</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45758</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45758</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45758</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45758</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45758</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45758</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45758</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45758</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45758</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45758</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45758</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45758</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45758</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45758</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45758</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45758</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45758</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45758</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45758</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45758</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45758</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45758</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45758</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45758</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45758</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45758</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45758</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45758</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45758</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45758</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45758</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45758</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45758</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45758</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45758</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45758</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45758</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45758</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45758</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45758</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45758</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45758</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45758</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45758</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45758</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45758</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45758</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45758</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45758</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45758</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45758</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45758</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45758</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45758</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45758</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45758</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45758</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45758</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45758</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45758</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45758</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45758</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45758</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45758</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45758</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45758</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45758</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45758</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45758</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45758</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45758</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45758</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45758</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45758</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45758</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45758</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45758</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45758</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45758</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45758</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45758</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45758</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45758</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45758</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45758</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45758</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45758</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45758</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45758</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45758</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45758</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45758</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45758</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45758</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45758</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45758</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45758</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45758</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45758</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45758</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45758</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45758</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45758</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45758</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45758</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45758</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45758</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45758</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45758</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45758</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45758</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45758</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45758</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45758</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45758</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45758</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45758</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45758</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45758</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45758</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45758</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45758</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45758</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45758</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45758</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45758</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45758</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45758</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45758</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45758</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45758</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45758</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45758</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45758</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45758</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45758</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45758</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45758</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45758</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45758</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45758</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45758</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45758</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45758</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45758</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45758</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45758</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45758</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45758</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45758</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45758</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45758</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45758</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45758</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45758</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45758</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45758</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45758</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45758</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45758</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45758</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45758</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45758</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45758</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45758</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45758</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45758</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45758</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45758</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45758</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45758</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45758</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45758</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45758</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45758</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45758</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45758</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45758</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45758</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45758</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45758</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45758</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45758</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45758</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45758</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45758</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45758</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45758</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45758</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45758</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45758</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45758</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45758</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45758</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45758</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45758</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45758</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45758</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45758</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45758</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45758</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45758</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45758</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45758</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45758</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45758</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45758</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45758</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45758</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45758</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45758</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45758</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45758</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45758</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45758</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45758</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45758</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45758</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45758</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45758</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45758</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45758</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45758</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45758</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45758</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45758</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45758</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45758</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45758</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45758</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45758</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45758</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45758</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45758</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45758</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45758</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45758</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45758</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45758</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45758</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45758</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45758</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45758</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45758</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45758</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45758</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45758</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45758</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45758</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45758</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45758</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45758</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45758</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45758</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45758</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45758</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45758</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45758</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45758</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45758</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45758</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45758</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45758</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45758</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45758</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45758</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45758</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45758</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45758</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45758</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45758</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45758</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45758</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45758</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45758</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45758</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45758</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45758</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45758</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45758</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45758</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45758</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45758</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45758</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45758</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45758</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45758</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45758</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45758</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45758</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45758</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45758</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45758</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45758</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45758</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45758</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45758</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45758</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45758</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45758</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45758</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45758</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45758</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45758</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45758</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45758</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45758</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45758</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45758</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45758</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45758</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45758</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45758</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45758</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45758</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45758</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45758</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45758</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45758</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45758</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45758</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45758</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45758</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45758</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45758</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45758</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45758</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45758</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45758</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45758</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45758</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45758</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45758</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45758</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45758</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45758</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45758</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45758</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45758</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45758</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45758</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45758</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45758</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45758</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45758</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45758</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45758</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45758</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45758</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45758</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45758</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45758</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45758</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45758</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45758</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45758</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45758</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45758</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45758</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45758</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45758</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45758</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45758</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45758</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45758</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45758</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45758</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45758</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45758</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45758</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45758</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45758</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45758</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45758</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45758</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45758</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45758</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45758</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45758</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45758</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45758</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45758</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45758</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45758</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45758</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45758</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45758</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45758</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45758</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45758</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45758</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45758</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45758</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45758</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45758</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45758</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45758</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45758</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45758</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45758</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45758</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45758</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45758</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45758</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45758</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45758</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45758</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45758</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45758</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45758</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45758</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45758</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45758</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45758</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45758</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45758</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45758</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45758</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45758</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45758</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45758</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45758</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45758</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45758</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45758</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45758</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45758</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45758</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45758</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45758</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45758</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45758</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45758</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45758</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45758</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45758</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45758</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45758</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45758</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45758</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45758</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45758</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45758</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45758</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45758</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45758</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45758</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45758</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45758</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45758</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45758</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45758</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45758</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45758</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45758</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45758</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45758</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45758</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45758</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45758</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45758</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45758</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45758</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45758</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45758</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45758</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45758</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45758</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45758</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45758</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45758</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45758</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45758</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45758</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45758</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45758</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45758</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45758</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45758</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45758</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45758</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45758</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45758</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45758</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45758</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45758</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45758</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45758</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45758</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45758</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45758</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45758</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45758</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45758</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45758</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45758</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45758</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45758</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45758</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45758</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45758</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45758</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45758</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45758</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45758</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45758</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45758</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45758</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45758</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45758</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45758</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45758</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45758</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45758</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45758</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45758</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45758</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45758</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45758</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45758</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45758</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45758</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45758</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45758</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45758</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45758</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45758</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45758</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45758</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45758</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45758</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45758</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45758</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45758</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45758</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45758</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45758</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45758</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45758</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45758</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45758</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45758</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45758</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45758</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45758</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45758</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45758</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45758</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45758</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45758</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45758</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45758</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45758</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45758</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45758</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45758</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45758</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45758</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45758</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45758</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45758</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45758</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45758</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45758</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45758</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45758</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45758</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45758</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45758</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45758</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45758</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45758</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45758</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45758</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45758</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45758</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45758</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45758</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45758</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45758</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45758</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45758</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45758</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45758</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45758</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45758</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45758</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45758</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45758</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45758</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45758</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45758</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45758</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45758</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45758</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45758</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45758</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45758</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45758</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45758</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45758</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45758</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45758</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45758</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45758</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45758</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45758</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45758</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45758</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45758</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45758</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45758</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45758</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45758</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45758</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45758</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45758</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45758</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45758</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45758</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45758</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45758</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45758</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45758</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45758</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45758</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45758</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45758</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45758</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45758</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45758</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45758</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45758</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45758</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45758</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45758</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45758</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45758</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45758</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45758</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45758</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45758</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45758</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45758</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45758</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45758</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45758</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45758</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45758</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45758</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45758</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45758</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45758</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45758</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45758</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45758</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45758</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45758</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45758</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45758</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45758</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45758</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45758</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45758</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45758</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45758</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45758</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45758</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45758</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45758</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45758</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45758</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45758</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45758</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45758</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45758</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45758</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45758</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45758</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45758</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45758</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45758</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45758</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45758</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45758</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45758</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45758</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45758</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45758</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45758</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45758</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45758</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45758</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45758</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45758</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45758</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45758</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45758</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45758</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45758</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45758</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45758</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45758</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45758</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45758</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45758</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45758</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45758</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45758</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45758</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45758</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45758</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45758</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45758</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45758</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45758</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13033-2025</t>
        </is>
      </c>
      <c r="B3176" s="1" t="n">
        <v>45734</v>
      </c>
      <c r="C3176" s="1" t="n">
        <v>45758</v>
      </c>
      <c r="D3176" t="inlineStr">
        <is>
          <t>VÄSTERNORRLANDS LÄN</t>
        </is>
      </c>
      <c r="E3176" t="inlineStr">
        <is>
          <t>SUNDSVALL</t>
        </is>
      </c>
      <c r="F3176" t="inlineStr">
        <is>
          <t>SCA</t>
        </is>
      </c>
      <c r="G3176" t="n">
        <v>2.4</v>
      </c>
      <c r="H3176" t="n">
        <v>0</v>
      </c>
      <c r="I3176" t="n">
        <v>0</v>
      </c>
      <c r="J3176" t="n">
        <v>0</v>
      </c>
      <c r="K3176" t="n">
        <v>0</v>
      </c>
      <c r="L3176" t="n">
        <v>0</v>
      </c>
      <c r="M3176" t="n">
        <v>0</v>
      </c>
      <c r="N3176" t="n">
        <v>0</v>
      </c>
      <c r="O3176" t="n">
        <v>0</v>
      </c>
      <c r="P3176" t="n">
        <v>0</v>
      </c>
      <c r="Q3176" t="n">
        <v>0</v>
      </c>
      <c r="R3176" s="2" t="inlineStr"/>
      <c r="U3176">
        <f>HYPERLINK("https://klasma.github.io/Logging_222281/knärot/A 13033-2025 karta knärot.png", "A 13033-2025")</f>
        <v/>
      </c>
      <c r="V3176">
        <f>HYPERLINK("https://klasma.github.io/Logging_222281/klagomål/A 13033-2025 FSC-klagomål.docx", "A 13033-2025")</f>
        <v/>
      </c>
      <c r="W3176">
        <f>HYPERLINK("https://klasma.github.io/Logging_222281/klagomålsmail/A 13033-2025 FSC-klagomål mail.docx", "A 13033-2025")</f>
        <v/>
      </c>
      <c r="X3176">
        <f>HYPERLINK("https://klasma.github.io/Logging_222281/tillsyn/A 13033-2025 tillsynsbegäran.docx", "A 13033-2025")</f>
        <v/>
      </c>
      <c r="Y3176">
        <f>HYPERLINK("https://klasma.github.io/Logging_222281/tillsynsmail/A 13033-2025 tillsynsbegäran mail.docx", "A 13033-2025")</f>
        <v/>
      </c>
    </row>
    <row r="3177" ht="15" customHeight="1">
      <c r="A3177" t="inlineStr">
        <is>
          <t>A 13071-2025</t>
        </is>
      </c>
      <c r="B3177" s="1" t="n">
        <v>45734</v>
      </c>
      <c r="C3177" s="1" t="n">
        <v>45758</v>
      </c>
      <c r="D3177" t="inlineStr">
        <is>
          <t>VÄSTERNORRLANDS LÄN</t>
        </is>
      </c>
      <c r="E3177" t="inlineStr">
        <is>
          <t>SUNDSVALL</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12986-2025</t>
        </is>
      </c>
      <c r="B3178" s="1" t="n">
        <v>45734</v>
      </c>
      <c r="C3178" s="1" t="n">
        <v>45758</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45758</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45758</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45758</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45758</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13371-2025</t>
        </is>
      </c>
      <c r="B3183" s="1" t="n">
        <v>45735</v>
      </c>
      <c r="C3183" s="1" t="n">
        <v>45758</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45758</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45758</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45758</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45758</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45758</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13441-2025</t>
        </is>
      </c>
      <c r="B3189" s="1" t="n">
        <v>45736</v>
      </c>
      <c r="C3189" s="1" t="n">
        <v>45758</v>
      </c>
      <c r="D3189" t="inlineStr">
        <is>
          <t>VÄSTERNORRLANDS LÄN</t>
        </is>
      </c>
      <c r="E3189" t="inlineStr">
        <is>
          <t>SUNDSVALL</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45758</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45758</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13440-2025</t>
        </is>
      </c>
      <c r="B3192" s="1" t="n">
        <v>45736</v>
      </c>
      <c r="C3192" s="1" t="n">
        <v>45758</v>
      </c>
      <c r="D3192" t="inlineStr">
        <is>
          <t>VÄSTERNORRLANDS LÄN</t>
        </is>
      </c>
      <c r="E3192" t="inlineStr">
        <is>
          <t>SUNDSVALL</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13443-2025</t>
        </is>
      </c>
      <c r="B3193" s="1" t="n">
        <v>45736</v>
      </c>
      <c r="C3193" s="1" t="n">
        <v>45758</v>
      </c>
      <c r="D3193" t="inlineStr">
        <is>
          <t>VÄSTERNORRLANDS LÄN</t>
        </is>
      </c>
      <c r="E3193" t="inlineStr">
        <is>
          <t>SUNDSVALL</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13488-2025</t>
        </is>
      </c>
      <c r="B3194" s="1" t="n">
        <v>45736</v>
      </c>
      <c r="C3194" s="1" t="n">
        <v>45758</v>
      </c>
      <c r="D3194" t="inlineStr">
        <is>
          <t>VÄSTERNORRLANDS LÄN</t>
        </is>
      </c>
      <c r="E3194" t="inlineStr">
        <is>
          <t>SUNDSVALL</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45758</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45758</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45758</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45758</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45758</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45758</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45758</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45758</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45758</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45758</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45758</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15475-2025</t>
        </is>
      </c>
      <c r="B3206" s="1" t="n">
        <v>45747</v>
      </c>
      <c r="C3206" s="1" t="n">
        <v>45758</v>
      </c>
      <c r="D3206" t="inlineStr">
        <is>
          <t>VÄSTERNORRLANDS LÄN</t>
        </is>
      </c>
      <c r="E3206" t="inlineStr">
        <is>
          <t>SUNDSVALL</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15551-2025</t>
        </is>
      </c>
      <c r="B3207" s="1" t="n">
        <v>45747</v>
      </c>
      <c r="C3207" s="1" t="n">
        <v>45758</v>
      </c>
      <c r="D3207" t="inlineStr">
        <is>
          <t>VÄSTERNORRLANDS LÄN</t>
        </is>
      </c>
      <c r="E3207" t="inlineStr">
        <is>
          <t>SUNDSVALL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v>
      </c>
      <c r="C3208" s="1" t="n">
        <v>45758</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45758</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15667-2025</t>
        </is>
      </c>
      <c r="B3210" s="1" t="n">
        <v>45748</v>
      </c>
      <c r="C3210" s="1" t="n">
        <v>45758</v>
      </c>
      <c r="D3210" t="inlineStr">
        <is>
          <t>VÄSTERNORRLANDS LÄN</t>
        </is>
      </c>
      <c r="E3210" t="inlineStr">
        <is>
          <t>SUNDSVALL</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15734-2025</t>
        </is>
      </c>
      <c r="B3211" s="1" t="n">
        <v>45748</v>
      </c>
      <c r="C3211" s="1" t="n">
        <v>45758</v>
      </c>
      <c r="D3211" t="inlineStr">
        <is>
          <t>VÄSTERNORRLANDS LÄN</t>
        </is>
      </c>
      <c r="E3211" t="inlineStr">
        <is>
          <t>SUNDSVALL</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45758</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15617-2025</t>
        </is>
      </c>
      <c r="B3213" s="1" t="n">
        <v>45748</v>
      </c>
      <c r="C3213" s="1" t="n">
        <v>45758</v>
      </c>
      <c r="D3213" t="inlineStr">
        <is>
          <t>VÄSTERNORRLANDS LÄN</t>
        </is>
      </c>
      <c r="E3213" t="inlineStr">
        <is>
          <t>SUNDSVALL</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15633-2025</t>
        </is>
      </c>
      <c r="B3214" s="1" t="n">
        <v>45748</v>
      </c>
      <c r="C3214" s="1" t="n">
        <v>45758</v>
      </c>
      <c r="D3214" t="inlineStr">
        <is>
          <t>VÄSTERNORRLANDS LÄN</t>
        </is>
      </c>
      <c r="E3214" t="inlineStr">
        <is>
          <t>SUNDSVALL</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15735-2025</t>
        </is>
      </c>
      <c r="B3215" s="1" t="n">
        <v>45748</v>
      </c>
      <c r="C3215" s="1" t="n">
        <v>45758</v>
      </c>
      <c r="D3215" t="inlineStr">
        <is>
          <t>VÄSTERNORRLANDS LÄN</t>
        </is>
      </c>
      <c r="E3215" t="inlineStr">
        <is>
          <t>SUNDSVALL</t>
        </is>
      </c>
      <c r="F3215" t="inlineStr">
        <is>
          <t>SCA</t>
        </is>
      </c>
      <c r="G3215" t="n">
        <v>14.1</v>
      </c>
      <c r="H3215" t="n">
        <v>0</v>
      </c>
      <c r="I3215" t="n">
        <v>0</v>
      </c>
      <c r="J3215" t="n">
        <v>0</v>
      </c>
      <c r="K3215" t="n">
        <v>0</v>
      </c>
      <c r="L3215" t="n">
        <v>0</v>
      </c>
      <c r="M3215" t="n">
        <v>0</v>
      </c>
      <c r="N3215" t="n">
        <v>0</v>
      </c>
      <c r="O3215" t="n">
        <v>0</v>
      </c>
      <c r="P3215" t="n">
        <v>0</v>
      </c>
      <c r="Q3215" t="n">
        <v>0</v>
      </c>
      <c r="R3215" s="2" t="inlineStr"/>
    </row>
    <row r="3216" ht="15" customHeight="1">
      <c r="A3216" t="inlineStr">
        <is>
          <t>A 15609-2025</t>
        </is>
      </c>
      <c r="B3216" s="1" t="n">
        <v>45748</v>
      </c>
      <c r="C3216" s="1" t="n">
        <v>45758</v>
      </c>
      <c r="D3216" t="inlineStr">
        <is>
          <t>VÄSTERNORRLANDS LÄN</t>
        </is>
      </c>
      <c r="E3216" t="inlineStr">
        <is>
          <t>SUNDSVALL</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45758</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15871-2025</t>
        </is>
      </c>
      <c r="B3218" s="1" t="n">
        <v>45749</v>
      </c>
      <c r="C3218" s="1" t="n">
        <v>45758</v>
      </c>
      <c r="D3218" t="inlineStr">
        <is>
          <t>VÄSTERNORRLANDS LÄN</t>
        </is>
      </c>
      <c r="E3218" t="inlineStr">
        <is>
          <t>SUNDSVALL</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15958-2025</t>
        </is>
      </c>
      <c r="B3219" s="1" t="n">
        <v>45749</v>
      </c>
      <c r="C3219" s="1" t="n">
        <v>45758</v>
      </c>
      <c r="D3219" t="inlineStr">
        <is>
          <t>VÄSTERNORRLANDS LÄN</t>
        </is>
      </c>
      <c r="E3219" t="inlineStr">
        <is>
          <t>SUNDSVALL</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15967-2025</t>
        </is>
      </c>
      <c r="B3220" s="1" t="n">
        <v>45749</v>
      </c>
      <c r="C3220" s="1" t="n">
        <v>45758</v>
      </c>
      <c r="D3220" t="inlineStr">
        <is>
          <t>VÄSTERNORRLANDS LÄN</t>
        </is>
      </c>
      <c r="E3220" t="inlineStr">
        <is>
          <t>SUNDSVALL</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45758</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45758</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16313-2025</t>
        </is>
      </c>
      <c r="B3223" s="1" t="n">
        <v>45751</v>
      </c>
      <c r="C3223" s="1" t="n">
        <v>45758</v>
      </c>
      <c r="D3223" t="inlineStr">
        <is>
          <t>VÄSTERNORRLANDS LÄN</t>
        </is>
      </c>
      <c r="E3223" t="inlineStr">
        <is>
          <t>SUNDSVALL</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16404-2025</t>
        </is>
      </c>
      <c r="B3224" s="1" t="n">
        <v>45751</v>
      </c>
      <c r="C3224" s="1" t="n">
        <v>45758</v>
      </c>
      <c r="D3224" t="inlineStr">
        <is>
          <t>VÄSTERNORRLANDS LÄN</t>
        </is>
      </c>
      <c r="E3224" t="inlineStr">
        <is>
          <t>SUNDSVALL</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16479-2025</t>
        </is>
      </c>
      <c r="B3225" s="1" t="n">
        <v>45751</v>
      </c>
      <c r="C3225" s="1" t="n">
        <v>45758</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16319-2025</t>
        </is>
      </c>
      <c r="B3226" s="1" t="n">
        <v>45751</v>
      </c>
      <c r="C3226" s="1" t="n">
        <v>45758</v>
      </c>
      <c r="D3226" t="inlineStr">
        <is>
          <t>VÄSTERNORRLANDS LÄN</t>
        </is>
      </c>
      <c r="E3226" t="inlineStr">
        <is>
          <t>SUNDSVALL</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17035-2025</t>
        </is>
      </c>
      <c r="B3227" s="1" t="n">
        <v>45755</v>
      </c>
      <c r="C3227" s="1" t="n">
        <v>45758</v>
      </c>
      <c r="D3227" t="inlineStr">
        <is>
          <t>VÄSTERNORRLANDS LÄN</t>
        </is>
      </c>
      <c r="E3227" t="inlineStr">
        <is>
          <t>SUNDSVALL</t>
        </is>
      </c>
      <c r="F3227" t="inlineStr">
        <is>
          <t>SCA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16941-2025</t>
        </is>
      </c>
      <c r="B3228" s="1" t="n">
        <v>45755</v>
      </c>
      <c r="C3228" s="1" t="n">
        <v>45758</v>
      </c>
      <c r="D3228" t="inlineStr">
        <is>
          <t>VÄSTERNORRLANDS LÄN</t>
        </is>
      </c>
      <c r="E3228" t="inlineStr">
        <is>
          <t>SUNDSVALL</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45758</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45758</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17490-2025</t>
        </is>
      </c>
      <c r="B3231" s="1" t="n">
        <v>45757</v>
      </c>
      <c r="C3231" s="1" t="n">
        <v>45758</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c r="A3232" t="inlineStr">
        <is>
          <t>A 17395-2025</t>
        </is>
      </c>
      <c r="B3232" s="1" t="n">
        <v>45757</v>
      </c>
      <c r="C3232" s="1" t="n">
        <v>45758</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2025-04-11T16:44:20Z</dcterms:created>
  <dcterms:modified xmlns:dcterms="http://purl.org/dc/terms/" xmlns:xsi="http://www.w3.org/2001/XMLSchema-instance" xsi:type="dcterms:W3CDTF">2025-04-11T16:44:23Z</dcterms:modified>
</cp:coreProperties>
</file>