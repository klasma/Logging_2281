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45700</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45700</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45700</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45700</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45700</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45700</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45700</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45700</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45700</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45700</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45700</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45700</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45700</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45700</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45700</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45700</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45700</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45700</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45700</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45700</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45700</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45700</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45700</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45700</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45700</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45700</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45700</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45700</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45700</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45700</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45700</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45700</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45700</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45700</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45700</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45700</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45700</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45700</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45700</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45700</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45700</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45700</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45700</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45700</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45700</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45700</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45700</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45700</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45700</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45700</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45700</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45700</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45700</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45700</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45700</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45700</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45700</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45700</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45700</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45700</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45700</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45700</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45700</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45700</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45700</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45700</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45700</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45700</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45700</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45700</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45700</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45700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45700</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45700</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45700</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26178-2024</t>
        </is>
      </c>
      <c r="B112" s="1" t="n">
        <v>45468</v>
      </c>
      <c r="C112" s="1" t="n">
        <v>45700</v>
      </c>
      <c r="D112" t="inlineStr">
        <is>
          <t>VÄSTERNORRLANDS LÄN</t>
        </is>
      </c>
      <c r="E112" t="inlineStr">
        <is>
          <t>SUNDSVALL</t>
        </is>
      </c>
      <c r="G112" t="n">
        <v>11.7</v>
      </c>
      <c r="H112" t="n">
        <v>2</v>
      </c>
      <c r="I112" t="n">
        <v>0</v>
      </c>
      <c r="J112" t="n">
        <v>1</v>
      </c>
      <c r="K112" t="n">
        <v>0</v>
      </c>
      <c r="L112" t="n">
        <v>0</v>
      </c>
      <c r="M112" t="n">
        <v>0</v>
      </c>
      <c r="N112" t="n">
        <v>0</v>
      </c>
      <c r="O112" t="n">
        <v>1</v>
      </c>
      <c r="P112" t="n">
        <v>0</v>
      </c>
      <c r="Q112" t="n">
        <v>2</v>
      </c>
      <c r="R112" s="2" t="inlineStr">
        <is>
          <t>Pilgrimsfalk
Sparvuggla</t>
        </is>
      </c>
      <c r="S112">
        <f>HYPERLINK("https://klasma.github.io/Logging_2281/artfynd/A 26178-2024 artfynd.xlsx", "A 26178-2024")</f>
        <v/>
      </c>
      <c r="T112">
        <f>HYPERLINK("https://klasma.github.io/Logging_2281/kartor/A 26178-2024 karta.png", "A 26178-2024")</f>
        <v/>
      </c>
      <c r="V112">
        <f>HYPERLINK("https://klasma.github.io/Logging_2281/klagomål/A 26178-2024 FSC-klagomål.docx", "A 26178-2024")</f>
        <v/>
      </c>
      <c r="W112">
        <f>HYPERLINK("https://klasma.github.io/Logging_2281/klagomålsmail/A 26178-2024 FSC-klagomål mail.docx", "A 26178-2024")</f>
        <v/>
      </c>
      <c r="X112">
        <f>HYPERLINK("https://klasma.github.io/Logging_2281/tillsyn/A 26178-2024 tillsynsbegäran.docx", "A 26178-2024")</f>
        <v/>
      </c>
      <c r="Y112">
        <f>HYPERLINK("https://klasma.github.io/Logging_2281/tillsynsmail/A 26178-2024 tillsynsbegäran mail.docx", "A 26178-2024")</f>
        <v/>
      </c>
      <c r="Z112">
        <f>HYPERLINK("https://klasma.github.io/Logging_2281/fåglar/A 26178-2024 prioriterade fågelarter.docx", "A 26178-2024")</f>
        <v/>
      </c>
    </row>
    <row r="113" ht="15" customHeight="1">
      <c r="A113" t="inlineStr">
        <is>
          <t>A 34766-2024</t>
        </is>
      </c>
      <c r="B113" s="1" t="n">
        <v>45526</v>
      </c>
      <c r="C113" s="1" t="n">
        <v>45700</v>
      </c>
      <c r="D113" t="inlineStr">
        <is>
          <t>VÄSTERNORRLANDS LÄN</t>
        </is>
      </c>
      <c r="E113" t="inlineStr">
        <is>
          <t>SUNDSVALL</t>
        </is>
      </c>
      <c r="F113" t="inlineStr">
        <is>
          <t>SCA</t>
        </is>
      </c>
      <c r="G113" t="n">
        <v>10</v>
      </c>
      <c r="H113" t="n">
        <v>1</v>
      </c>
      <c r="I113" t="n">
        <v>1</v>
      </c>
      <c r="J113" t="n">
        <v>0</v>
      </c>
      <c r="K113" t="n">
        <v>0</v>
      </c>
      <c r="L113" t="n">
        <v>0</v>
      </c>
      <c r="M113" t="n">
        <v>0</v>
      </c>
      <c r="N113" t="n">
        <v>0</v>
      </c>
      <c r="O113" t="n">
        <v>0</v>
      </c>
      <c r="P113" t="n">
        <v>0</v>
      </c>
      <c r="Q113" t="n">
        <v>2</v>
      </c>
      <c r="R113" s="2" t="inlineStr">
        <is>
          <t>Vårärt
Revlummer</t>
        </is>
      </c>
      <c r="S113">
        <f>HYPERLINK("https://klasma.github.io/Logging_2281/artfynd/A 34766-2024 artfynd.xlsx", "A 34766-2024")</f>
        <v/>
      </c>
      <c r="T113">
        <f>HYPERLINK("https://klasma.github.io/Logging_2281/kartor/A 34766-2024 karta.png", "A 34766-2024")</f>
        <v/>
      </c>
      <c r="V113">
        <f>HYPERLINK("https://klasma.github.io/Logging_2281/klagomål/A 34766-2024 FSC-klagomål.docx", "A 34766-2024")</f>
        <v/>
      </c>
      <c r="W113">
        <f>HYPERLINK("https://klasma.github.io/Logging_2281/klagomålsmail/A 34766-2024 FSC-klagomål mail.docx", "A 34766-2024")</f>
        <v/>
      </c>
      <c r="X113">
        <f>HYPERLINK("https://klasma.github.io/Logging_2281/tillsyn/A 34766-2024 tillsynsbegäran.docx", "A 34766-2024")</f>
        <v/>
      </c>
      <c r="Y113">
        <f>HYPERLINK("https://klasma.github.io/Logging_2281/tillsynsmail/A 34766-2024 tillsynsbegäran mail.docx", "A 34766-2024")</f>
        <v/>
      </c>
    </row>
    <row r="114" ht="15" customHeight="1">
      <c r="A114" t="inlineStr">
        <is>
          <t>A 41090-2024</t>
        </is>
      </c>
      <c r="B114" s="1" t="n">
        <v>45559</v>
      </c>
      <c r="C114" s="1" t="n">
        <v>45700</v>
      </c>
      <c r="D114" t="inlineStr">
        <is>
          <t>VÄSTERNORRLANDS LÄN</t>
        </is>
      </c>
      <c r="E114" t="inlineStr">
        <is>
          <t>SUNDSVALL</t>
        </is>
      </c>
      <c r="F114" t="inlineStr">
        <is>
          <t>SCA</t>
        </is>
      </c>
      <c r="G114" t="n">
        <v>1.7</v>
      </c>
      <c r="H114" t="n">
        <v>0</v>
      </c>
      <c r="I114" t="n">
        <v>1</v>
      </c>
      <c r="J114" t="n">
        <v>1</v>
      </c>
      <c r="K114" t="n">
        <v>0</v>
      </c>
      <c r="L114" t="n">
        <v>0</v>
      </c>
      <c r="M114" t="n">
        <v>0</v>
      </c>
      <c r="N114" t="n">
        <v>0</v>
      </c>
      <c r="O114" t="n">
        <v>1</v>
      </c>
      <c r="P114" t="n">
        <v>0</v>
      </c>
      <c r="Q114" t="n">
        <v>2</v>
      </c>
      <c r="R114" s="2" t="inlineStr">
        <is>
          <t>Lunglav
Stuplav</t>
        </is>
      </c>
      <c r="S114">
        <f>HYPERLINK("https://klasma.github.io/Logging_2281/artfynd/A 41090-2024 artfynd.xlsx", "A 41090-2024")</f>
        <v/>
      </c>
      <c r="T114">
        <f>HYPERLINK("https://klasma.github.io/Logging_2281/kartor/A 41090-2024 karta.png", "A 41090-2024")</f>
        <v/>
      </c>
      <c r="V114">
        <f>HYPERLINK("https://klasma.github.io/Logging_2281/klagomål/A 41090-2024 FSC-klagomål.docx", "A 41090-2024")</f>
        <v/>
      </c>
      <c r="W114">
        <f>HYPERLINK("https://klasma.github.io/Logging_2281/klagomålsmail/A 41090-2024 FSC-klagomål mail.docx", "A 41090-2024")</f>
        <v/>
      </c>
      <c r="X114">
        <f>HYPERLINK("https://klasma.github.io/Logging_2281/tillsyn/A 41090-2024 tillsynsbegäran.docx", "A 41090-2024")</f>
        <v/>
      </c>
      <c r="Y114">
        <f>HYPERLINK("https://klasma.github.io/Logging_2281/tillsynsmail/A 41090-2024 tillsynsbegäran mail.docx", "A 41090-2024")</f>
        <v/>
      </c>
    </row>
    <row r="115" ht="15" customHeight="1">
      <c r="A115" t="inlineStr">
        <is>
          <t>A 46087-2024</t>
        </is>
      </c>
      <c r="B115" s="1" t="n">
        <v>45581</v>
      </c>
      <c r="C115" s="1" t="n">
        <v>45700</v>
      </c>
      <c r="D115" t="inlineStr">
        <is>
          <t>VÄSTERNORRLANDS LÄN</t>
        </is>
      </c>
      <c r="E115" t="inlineStr">
        <is>
          <t>SUNDSVALL</t>
        </is>
      </c>
      <c r="F115" t="inlineStr">
        <is>
          <t>SCA</t>
        </is>
      </c>
      <c r="G115" t="n">
        <v>2.6</v>
      </c>
      <c r="H115" t="n">
        <v>1</v>
      </c>
      <c r="I115" t="n">
        <v>0</v>
      </c>
      <c r="J115" t="n">
        <v>2</v>
      </c>
      <c r="K115" t="n">
        <v>0</v>
      </c>
      <c r="L115" t="n">
        <v>0</v>
      </c>
      <c r="M115" t="n">
        <v>0</v>
      </c>
      <c r="N115" t="n">
        <v>0</v>
      </c>
      <c r="O115" t="n">
        <v>2</v>
      </c>
      <c r="P115" t="n">
        <v>0</v>
      </c>
      <c r="Q115" t="n">
        <v>2</v>
      </c>
      <c r="R115" s="2" t="inlineStr">
        <is>
          <t>Talltita
Violettgrå tagellav</t>
        </is>
      </c>
      <c r="S115">
        <f>HYPERLINK("https://klasma.github.io/Logging_2281/artfynd/A 46087-2024 artfynd.xlsx", "A 46087-2024")</f>
        <v/>
      </c>
      <c r="T115">
        <f>HYPERLINK("https://klasma.github.io/Logging_2281/kartor/A 46087-2024 karta.png", "A 46087-2024")</f>
        <v/>
      </c>
      <c r="V115">
        <f>HYPERLINK("https://klasma.github.io/Logging_2281/klagomål/A 46087-2024 FSC-klagomål.docx", "A 46087-2024")</f>
        <v/>
      </c>
      <c r="W115">
        <f>HYPERLINK("https://klasma.github.io/Logging_2281/klagomålsmail/A 46087-2024 FSC-klagomål mail.docx", "A 46087-2024")</f>
        <v/>
      </c>
      <c r="X115">
        <f>HYPERLINK("https://klasma.github.io/Logging_2281/tillsyn/A 46087-2024 tillsynsbegäran.docx", "A 46087-2024")</f>
        <v/>
      </c>
      <c r="Y115">
        <f>HYPERLINK("https://klasma.github.io/Logging_2281/tillsynsmail/A 46087-2024 tillsynsbegäran mail.docx", "A 46087-2024")</f>
        <v/>
      </c>
      <c r="Z115">
        <f>HYPERLINK("https://klasma.github.io/Logging_2281/fåglar/A 46087-2024 prioriterade fågelarter.docx", "A 46087-2024")</f>
        <v/>
      </c>
    </row>
    <row r="116" ht="15" customHeight="1">
      <c r="A116" t="inlineStr">
        <is>
          <t>A 59994-2024</t>
        </is>
      </c>
      <c r="B116" s="1" t="n">
        <v>45642</v>
      </c>
      <c r="C116" s="1" t="n">
        <v>45700</v>
      </c>
      <c r="D116" t="inlineStr">
        <is>
          <t>VÄSTERNORRLANDS LÄN</t>
        </is>
      </c>
      <c r="E116" t="inlineStr">
        <is>
          <t>SUNDSVALL</t>
        </is>
      </c>
      <c r="G116" t="n">
        <v>2.1</v>
      </c>
      <c r="H116" t="n">
        <v>0</v>
      </c>
      <c r="I116" t="n">
        <v>0</v>
      </c>
      <c r="J116" t="n">
        <v>2</v>
      </c>
      <c r="K116" t="n">
        <v>0</v>
      </c>
      <c r="L116" t="n">
        <v>0</v>
      </c>
      <c r="M116" t="n">
        <v>0</v>
      </c>
      <c r="N116" t="n">
        <v>0</v>
      </c>
      <c r="O116" t="n">
        <v>2</v>
      </c>
      <c r="P116" t="n">
        <v>0</v>
      </c>
      <c r="Q116" t="n">
        <v>2</v>
      </c>
      <c r="R116" s="2" t="inlineStr">
        <is>
          <t>Rosenticka
Ullticka</t>
        </is>
      </c>
      <c r="S116">
        <f>HYPERLINK("https://klasma.github.io/Logging_2281/artfynd/A 59994-2024 artfynd.xlsx", "A 59994-2024")</f>
        <v/>
      </c>
      <c r="T116">
        <f>HYPERLINK("https://klasma.github.io/Logging_2281/kartor/A 59994-2024 karta.png", "A 59994-2024")</f>
        <v/>
      </c>
      <c r="U116">
        <f>HYPERLINK("https://klasma.github.io/Logging_2281/knärot/A 59994-2024 karta knärot.png", "A 59994-2024")</f>
        <v/>
      </c>
      <c r="V116">
        <f>HYPERLINK("https://klasma.github.io/Logging_2281/klagomål/A 59994-2024 FSC-klagomål.docx", "A 59994-2024")</f>
        <v/>
      </c>
      <c r="W116">
        <f>HYPERLINK("https://klasma.github.io/Logging_2281/klagomålsmail/A 59994-2024 FSC-klagomål mail.docx", "A 59994-2024")</f>
        <v/>
      </c>
      <c r="X116">
        <f>HYPERLINK("https://klasma.github.io/Logging_2281/tillsyn/A 59994-2024 tillsynsbegäran.docx", "A 59994-2024")</f>
        <v/>
      </c>
      <c r="Y116">
        <f>HYPERLINK("https://klasma.github.io/Logging_2281/tillsynsmail/A 59994-2024 tillsynsbegäran mail.docx", "A 59994-2024")</f>
        <v/>
      </c>
    </row>
    <row r="117" ht="15" customHeight="1">
      <c r="A117" t="inlineStr">
        <is>
          <t>A 166-2025</t>
        </is>
      </c>
      <c r="B117" s="1" t="n">
        <v>45649</v>
      </c>
      <c r="C117" s="1" t="n">
        <v>45700</v>
      </c>
      <c r="D117" t="inlineStr">
        <is>
          <t>VÄSTERNORRLANDS LÄN</t>
        </is>
      </c>
      <c r="E117" t="inlineStr">
        <is>
          <t>SUNDSVALL</t>
        </is>
      </c>
      <c r="G117" t="n">
        <v>17.1</v>
      </c>
      <c r="H117" t="n">
        <v>1</v>
      </c>
      <c r="I117" t="n">
        <v>1</v>
      </c>
      <c r="J117" t="n">
        <v>0</v>
      </c>
      <c r="K117" t="n">
        <v>0</v>
      </c>
      <c r="L117" t="n">
        <v>0</v>
      </c>
      <c r="M117" t="n">
        <v>0</v>
      </c>
      <c r="N117" t="n">
        <v>0</v>
      </c>
      <c r="O117" t="n">
        <v>0</v>
      </c>
      <c r="P117" t="n">
        <v>0</v>
      </c>
      <c r="Q117" t="n">
        <v>2</v>
      </c>
      <c r="R117" s="2" t="inlineStr">
        <is>
          <t>Bårdlav
Revlummer</t>
        </is>
      </c>
      <c r="S117">
        <f>HYPERLINK("https://klasma.github.io/Logging_2281/artfynd/A 166-2025 artfynd.xlsx", "A 166-2025")</f>
        <v/>
      </c>
      <c r="T117">
        <f>HYPERLINK("https://klasma.github.io/Logging_2281/kartor/A 166-2025 karta.png", "A 166-2025")</f>
        <v/>
      </c>
      <c r="V117">
        <f>HYPERLINK("https://klasma.github.io/Logging_2281/klagomål/A 166-2025 FSC-klagomål.docx", "A 166-2025")</f>
        <v/>
      </c>
      <c r="W117">
        <f>HYPERLINK("https://klasma.github.io/Logging_2281/klagomålsmail/A 166-2025 FSC-klagomål mail.docx", "A 166-2025")</f>
        <v/>
      </c>
      <c r="X117">
        <f>HYPERLINK("https://klasma.github.io/Logging_2281/tillsyn/A 166-2025 tillsynsbegäran.docx", "A 166-2025")</f>
        <v/>
      </c>
      <c r="Y117">
        <f>HYPERLINK("https://klasma.github.io/Logging_2281/tillsynsmail/A 166-2025 tillsynsbegäran mail.docx", "A 166-2025")</f>
        <v/>
      </c>
    </row>
    <row r="118" ht="15" customHeight="1">
      <c r="A118" t="inlineStr">
        <is>
          <t>A 27216-2019</t>
        </is>
      </c>
      <c r="B118" s="1" t="n">
        <v>43614</v>
      </c>
      <c r="C118" s="1" t="n">
        <v>45700</v>
      </c>
      <c r="D118" t="inlineStr">
        <is>
          <t>VÄSTERNORRLANDS LÄN</t>
        </is>
      </c>
      <c r="E118" t="inlineStr">
        <is>
          <t>SUNDSVALL</t>
        </is>
      </c>
      <c r="G118" t="n">
        <v>3.7</v>
      </c>
      <c r="H118" t="n">
        <v>1</v>
      </c>
      <c r="I118" t="n">
        <v>0</v>
      </c>
      <c r="J118" t="n">
        <v>0</v>
      </c>
      <c r="K118" t="n">
        <v>0</v>
      </c>
      <c r="L118" t="n">
        <v>0</v>
      </c>
      <c r="M118" t="n">
        <v>0</v>
      </c>
      <c r="N118" t="n">
        <v>0</v>
      </c>
      <c r="O118" t="n">
        <v>0</v>
      </c>
      <c r="P118" t="n">
        <v>0</v>
      </c>
      <c r="Q118" t="n">
        <v>1</v>
      </c>
      <c r="R118" s="2" t="inlineStr">
        <is>
          <t>Blåsippa</t>
        </is>
      </c>
      <c r="S118">
        <f>HYPERLINK("https://klasma.github.io/Logging_2281/artfynd/A 27216-2019 artfynd.xlsx", "A 27216-2019")</f>
        <v/>
      </c>
      <c r="T118">
        <f>HYPERLINK("https://klasma.github.io/Logging_2281/kartor/A 27216-2019 karta.png", "A 27216-2019")</f>
        <v/>
      </c>
      <c r="V118">
        <f>HYPERLINK("https://klasma.github.io/Logging_2281/klagomål/A 27216-2019 FSC-klagomål.docx", "A 27216-2019")</f>
        <v/>
      </c>
      <c r="W118">
        <f>HYPERLINK("https://klasma.github.io/Logging_2281/klagomålsmail/A 27216-2019 FSC-klagomål mail.docx", "A 27216-2019")</f>
        <v/>
      </c>
      <c r="X118">
        <f>HYPERLINK("https://klasma.github.io/Logging_2281/tillsyn/A 27216-2019 tillsynsbegäran.docx", "A 27216-2019")</f>
        <v/>
      </c>
      <c r="Y118">
        <f>HYPERLINK("https://klasma.github.io/Logging_2281/tillsynsmail/A 27216-2019 tillsynsbegäran mail.docx", "A 27216-2019")</f>
        <v/>
      </c>
    </row>
    <row r="119" ht="15" customHeight="1">
      <c r="A119" t="inlineStr">
        <is>
          <t>A 44607-2019</t>
        </is>
      </c>
      <c r="B119" s="1" t="n">
        <v>43711</v>
      </c>
      <c r="C119" s="1" t="n">
        <v>45700</v>
      </c>
      <c r="D119" t="inlineStr">
        <is>
          <t>VÄSTERNORRLANDS LÄN</t>
        </is>
      </c>
      <c r="E119" t="inlineStr">
        <is>
          <t>SUNDSVALL</t>
        </is>
      </c>
      <c r="G119" t="n">
        <v>1.6</v>
      </c>
      <c r="H119" t="n">
        <v>1</v>
      </c>
      <c r="I119" t="n">
        <v>0</v>
      </c>
      <c r="J119" t="n">
        <v>1</v>
      </c>
      <c r="K119" t="n">
        <v>0</v>
      </c>
      <c r="L119" t="n">
        <v>0</v>
      </c>
      <c r="M119" t="n">
        <v>0</v>
      </c>
      <c r="N119" t="n">
        <v>0</v>
      </c>
      <c r="O119" t="n">
        <v>1</v>
      </c>
      <c r="P119" t="n">
        <v>0</v>
      </c>
      <c r="Q119" t="n">
        <v>1</v>
      </c>
      <c r="R119" s="2" t="inlineStr">
        <is>
          <t>Järpe</t>
        </is>
      </c>
      <c r="S119">
        <f>HYPERLINK("https://klasma.github.io/Logging_2281/artfynd/A 44607-2019 artfynd.xlsx", "A 44607-2019")</f>
        <v/>
      </c>
      <c r="T119">
        <f>HYPERLINK("https://klasma.github.io/Logging_2281/kartor/A 44607-2019 karta.png", "A 44607-2019")</f>
        <v/>
      </c>
      <c r="V119">
        <f>HYPERLINK("https://klasma.github.io/Logging_2281/klagomål/A 44607-2019 FSC-klagomål.docx", "A 44607-2019")</f>
        <v/>
      </c>
      <c r="W119">
        <f>HYPERLINK("https://klasma.github.io/Logging_2281/klagomålsmail/A 44607-2019 FSC-klagomål mail.docx", "A 44607-2019")</f>
        <v/>
      </c>
      <c r="X119">
        <f>HYPERLINK("https://klasma.github.io/Logging_2281/tillsyn/A 44607-2019 tillsynsbegäran.docx", "A 44607-2019")</f>
        <v/>
      </c>
      <c r="Y119">
        <f>HYPERLINK("https://klasma.github.io/Logging_2281/tillsynsmail/A 44607-2019 tillsynsbegäran mail.docx", "A 44607-2019")</f>
        <v/>
      </c>
      <c r="Z119">
        <f>HYPERLINK("https://klasma.github.io/Logging_2281/fåglar/A 44607-2019 prioriterade fågelarter.docx", "A 44607-2019")</f>
        <v/>
      </c>
    </row>
    <row r="120" ht="15" customHeight="1">
      <c r="A120" t="inlineStr">
        <is>
          <t>A 44609-2019</t>
        </is>
      </c>
      <c r="B120" s="1" t="n">
        <v>43711</v>
      </c>
      <c r="C120" s="1" t="n">
        <v>45700</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45700</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45700</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45700</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45700</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45700</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45700</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45700</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45700</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45700</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45700</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45700</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45700</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45700</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45700</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45700</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45700</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45700</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45700</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45700</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45700</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45700</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45700</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45700</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45700</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45700</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45700</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45700</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45700</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45700</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45700</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45700</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45700</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45700</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45700</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45700</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45700</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45700</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45700</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45700</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45700</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45700</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45700</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45700</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45700</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45700</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45700</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45700</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45700</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45700</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45700</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45700</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45700</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45700</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59870-2023</t>
        </is>
      </c>
      <c r="B174" s="1" t="n">
        <v>45254</v>
      </c>
      <c r="C174" s="1" t="n">
        <v>45700</v>
      </c>
      <c r="D174" t="inlineStr">
        <is>
          <t>VÄSTERNORRLANDS LÄN</t>
        </is>
      </c>
      <c r="E174" t="inlineStr">
        <is>
          <t>SUNDSVALL</t>
        </is>
      </c>
      <c r="G174" t="n">
        <v>3.2</v>
      </c>
      <c r="H174" t="n">
        <v>0</v>
      </c>
      <c r="I174" t="n">
        <v>0</v>
      </c>
      <c r="J174" t="n">
        <v>1</v>
      </c>
      <c r="K174" t="n">
        <v>0</v>
      </c>
      <c r="L174" t="n">
        <v>0</v>
      </c>
      <c r="M174" t="n">
        <v>0</v>
      </c>
      <c r="N174" t="n">
        <v>0</v>
      </c>
      <c r="O174" t="n">
        <v>1</v>
      </c>
      <c r="P174" t="n">
        <v>0</v>
      </c>
      <c r="Q174" t="n">
        <v>1</v>
      </c>
      <c r="R174" s="2" t="inlineStr">
        <is>
          <t>Lunglav</t>
        </is>
      </c>
      <c r="S174">
        <f>HYPERLINK("https://klasma.github.io/Logging_2281/artfynd/A 59870-2023 artfynd.xlsx", "A 59870-2023")</f>
        <v/>
      </c>
      <c r="T174">
        <f>HYPERLINK("https://klasma.github.io/Logging_2281/kartor/A 59870-2023 karta.png", "A 59870-2023")</f>
        <v/>
      </c>
      <c r="V174">
        <f>HYPERLINK("https://klasma.github.io/Logging_2281/klagomål/A 59870-2023 FSC-klagomål.docx", "A 59870-2023")</f>
        <v/>
      </c>
      <c r="W174">
        <f>HYPERLINK("https://klasma.github.io/Logging_2281/klagomålsmail/A 59870-2023 FSC-klagomål mail.docx", "A 59870-2023")</f>
        <v/>
      </c>
      <c r="X174">
        <f>HYPERLINK("https://klasma.github.io/Logging_2281/tillsyn/A 59870-2023 tillsynsbegäran.docx", "A 59870-2023")</f>
        <v/>
      </c>
      <c r="Y174">
        <f>HYPERLINK("https://klasma.github.io/Logging_2281/tillsynsmail/A 59870-2023 tillsynsbegäran mail.docx", "A 59870-2023")</f>
        <v/>
      </c>
    </row>
    <row r="175" ht="15" customHeight="1">
      <c r="A175" t="inlineStr">
        <is>
          <t>A 233-2024</t>
        </is>
      </c>
      <c r="B175" s="1" t="n">
        <v>45294</v>
      </c>
      <c r="C175" s="1" t="n">
        <v>45700</v>
      </c>
      <c r="D175" t="inlineStr">
        <is>
          <t>VÄSTERNORRLANDS LÄN</t>
        </is>
      </c>
      <c r="E175" t="inlineStr">
        <is>
          <t>SUNDSVALL</t>
        </is>
      </c>
      <c r="G175" t="n">
        <v>2.4</v>
      </c>
      <c r="H175" t="n">
        <v>1</v>
      </c>
      <c r="I175" t="n">
        <v>0</v>
      </c>
      <c r="J175" t="n">
        <v>1</v>
      </c>
      <c r="K175" t="n">
        <v>0</v>
      </c>
      <c r="L175" t="n">
        <v>0</v>
      </c>
      <c r="M175" t="n">
        <v>0</v>
      </c>
      <c r="N175" t="n">
        <v>0</v>
      </c>
      <c r="O175" t="n">
        <v>1</v>
      </c>
      <c r="P175" t="n">
        <v>0</v>
      </c>
      <c r="Q175" t="n">
        <v>1</v>
      </c>
      <c r="R175" s="2" t="inlineStr">
        <is>
          <t>Duvhök</t>
        </is>
      </c>
      <c r="S175">
        <f>HYPERLINK("https://klasma.github.io/Logging_2281/artfynd/A 233-2024 artfynd.xlsx", "A 233-2024")</f>
        <v/>
      </c>
      <c r="T175">
        <f>HYPERLINK("https://klasma.github.io/Logging_2281/kartor/A 233-2024 karta.png", "A 233-2024")</f>
        <v/>
      </c>
      <c r="V175">
        <f>HYPERLINK("https://klasma.github.io/Logging_2281/klagomål/A 233-2024 FSC-klagomål.docx", "A 233-2024")</f>
        <v/>
      </c>
      <c r="W175">
        <f>HYPERLINK("https://klasma.github.io/Logging_2281/klagomålsmail/A 233-2024 FSC-klagomål mail.docx", "A 233-2024")</f>
        <v/>
      </c>
      <c r="X175">
        <f>HYPERLINK("https://klasma.github.io/Logging_2281/tillsyn/A 233-2024 tillsynsbegäran.docx", "A 233-2024")</f>
        <v/>
      </c>
      <c r="Y175">
        <f>HYPERLINK("https://klasma.github.io/Logging_2281/tillsynsmail/A 233-2024 tillsynsbegäran mail.docx", "A 233-2024")</f>
        <v/>
      </c>
      <c r="Z175">
        <f>HYPERLINK("https://klasma.github.io/Logging_2281/fåglar/A 233-2024 prioriterade fågelarter.docx", "A 233-2024")</f>
        <v/>
      </c>
    </row>
    <row r="176" ht="15" customHeight="1">
      <c r="A176" t="inlineStr">
        <is>
          <t>A 1058-2024</t>
        </is>
      </c>
      <c r="B176" s="1" t="n">
        <v>45301</v>
      </c>
      <c r="C176" s="1" t="n">
        <v>45700</v>
      </c>
      <c r="D176" t="inlineStr">
        <is>
          <t>VÄSTERNORRLANDS LÄN</t>
        </is>
      </c>
      <c r="E176" t="inlineStr">
        <is>
          <t>SUNDSVALL</t>
        </is>
      </c>
      <c r="F176" t="inlineStr">
        <is>
          <t>SCA</t>
        </is>
      </c>
      <c r="G176" t="n">
        <v>8</v>
      </c>
      <c r="H176" t="n">
        <v>0</v>
      </c>
      <c r="I176" t="n">
        <v>0</v>
      </c>
      <c r="J176" t="n">
        <v>1</v>
      </c>
      <c r="K176" t="n">
        <v>0</v>
      </c>
      <c r="L176" t="n">
        <v>0</v>
      </c>
      <c r="M176" t="n">
        <v>0</v>
      </c>
      <c r="N176" t="n">
        <v>0</v>
      </c>
      <c r="O176" t="n">
        <v>1</v>
      </c>
      <c r="P176" t="n">
        <v>0</v>
      </c>
      <c r="Q176" t="n">
        <v>1</v>
      </c>
      <c r="R176" s="2" t="inlineStr">
        <is>
          <t>Garnlav</t>
        </is>
      </c>
      <c r="S176">
        <f>HYPERLINK("https://klasma.github.io/Logging_2281/artfynd/A 1058-2024 artfynd.xlsx", "A 1058-2024")</f>
        <v/>
      </c>
      <c r="T176">
        <f>HYPERLINK("https://klasma.github.io/Logging_2281/kartor/A 1058-2024 karta.png", "A 1058-2024")</f>
        <v/>
      </c>
      <c r="V176">
        <f>HYPERLINK("https://klasma.github.io/Logging_2281/klagomål/A 1058-2024 FSC-klagomål.docx", "A 1058-2024")</f>
        <v/>
      </c>
      <c r="W176">
        <f>HYPERLINK("https://klasma.github.io/Logging_2281/klagomålsmail/A 1058-2024 FSC-klagomål mail.docx", "A 1058-2024")</f>
        <v/>
      </c>
      <c r="X176">
        <f>HYPERLINK("https://klasma.github.io/Logging_2281/tillsyn/A 1058-2024 tillsynsbegäran.docx", "A 1058-2024")</f>
        <v/>
      </c>
      <c r="Y176">
        <f>HYPERLINK("https://klasma.github.io/Logging_2281/tillsynsmail/A 1058-2024 tillsynsbegäran mail.docx", "A 1058-2024")</f>
        <v/>
      </c>
    </row>
    <row r="177" ht="15" customHeight="1">
      <c r="A177" t="inlineStr">
        <is>
          <t>A 3819-2024</t>
        </is>
      </c>
      <c r="B177" s="1" t="n">
        <v>45321</v>
      </c>
      <c r="C177" s="1" t="n">
        <v>45700</v>
      </c>
      <c r="D177" t="inlineStr">
        <is>
          <t>VÄSTERNORRLANDS LÄN</t>
        </is>
      </c>
      <c r="E177" t="inlineStr">
        <is>
          <t>SUNDSVALL</t>
        </is>
      </c>
      <c r="G177" t="n">
        <v>13.5</v>
      </c>
      <c r="H177" t="n">
        <v>1</v>
      </c>
      <c r="I177" t="n">
        <v>0</v>
      </c>
      <c r="J177" t="n">
        <v>0</v>
      </c>
      <c r="K177" t="n">
        <v>1</v>
      </c>
      <c r="L177" t="n">
        <v>0</v>
      </c>
      <c r="M177" t="n">
        <v>0</v>
      </c>
      <c r="N177" t="n">
        <v>0</v>
      </c>
      <c r="O177" t="n">
        <v>1</v>
      </c>
      <c r="P177" t="n">
        <v>1</v>
      </c>
      <c r="Q177" t="n">
        <v>1</v>
      </c>
      <c r="R177" s="2" t="inlineStr">
        <is>
          <t>Bombmurkla</t>
        </is>
      </c>
      <c r="S177">
        <f>HYPERLINK("https://klasma.github.io/Logging_2281/artfynd/A 3819-2024 artfynd.xlsx", "A 3819-2024")</f>
        <v/>
      </c>
      <c r="T177">
        <f>HYPERLINK("https://klasma.github.io/Logging_2281/kartor/A 3819-2024 karta.png", "A 3819-2024")</f>
        <v/>
      </c>
      <c r="V177">
        <f>HYPERLINK("https://klasma.github.io/Logging_2281/klagomål/A 3819-2024 FSC-klagomål.docx", "A 3819-2024")</f>
        <v/>
      </c>
      <c r="W177">
        <f>HYPERLINK("https://klasma.github.io/Logging_2281/klagomålsmail/A 3819-2024 FSC-klagomål mail.docx", "A 3819-2024")</f>
        <v/>
      </c>
      <c r="X177">
        <f>HYPERLINK("https://klasma.github.io/Logging_2281/tillsyn/A 3819-2024 tillsynsbegäran.docx", "A 3819-2024")</f>
        <v/>
      </c>
      <c r="Y177">
        <f>HYPERLINK("https://klasma.github.io/Logging_2281/tillsynsmail/A 3819-2024 tillsynsbegäran mail.docx", "A 3819-2024")</f>
        <v/>
      </c>
    </row>
    <row r="178" ht="15" customHeight="1">
      <c r="A178" t="inlineStr">
        <is>
          <t>A 6629-2024</t>
        </is>
      </c>
      <c r="B178" s="1" t="n">
        <v>45341</v>
      </c>
      <c r="C178" s="1" t="n">
        <v>45700</v>
      </c>
      <c r="D178" t="inlineStr">
        <is>
          <t>VÄSTERNORRLANDS LÄN</t>
        </is>
      </c>
      <c r="E178" t="inlineStr">
        <is>
          <t>SUNDSVALL</t>
        </is>
      </c>
      <c r="G178" t="n">
        <v>0.7</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6629-2024 artfynd.xlsx", "A 6629-2024")</f>
        <v/>
      </c>
      <c r="T178">
        <f>HYPERLINK("https://klasma.github.io/Logging_2281/kartor/A 6629-2024 karta.png", "A 6629-2024")</f>
        <v/>
      </c>
      <c r="V178">
        <f>HYPERLINK("https://klasma.github.io/Logging_2281/klagomål/A 6629-2024 FSC-klagomål.docx", "A 6629-2024")</f>
        <v/>
      </c>
      <c r="W178">
        <f>HYPERLINK("https://klasma.github.io/Logging_2281/klagomålsmail/A 6629-2024 FSC-klagomål mail.docx", "A 6629-2024")</f>
        <v/>
      </c>
      <c r="X178">
        <f>HYPERLINK("https://klasma.github.io/Logging_2281/tillsyn/A 6629-2024 tillsynsbegäran.docx", "A 6629-2024")</f>
        <v/>
      </c>
      <c r="Y178">
        <f>HYPERLINK("https://klasma.github.io/Logging_2281/tillsynsmail/A 6629-2024 tillsynsbegäran mail.docx", "A 6629-2024")</f>
        <v/>
      </c>
      <c r="Z178">
        <f>HYPERLINK("https://klasma.github.io/Logging_2281/fåglar/A 6629-2024 prioriterade fågelarter.docx", "A 6629-2024")</f>
        <v/>
      </c>
    </row>
    <row r="179" ht="15" customHeight="1">
      <c r="A179" t="inlineStr">
        <is>
          <t>A 6897-2024</t>
        </is>
      </c>
      <c r="B179" s="1" t="n">
        <v>45342</v>
      </c>
      <c r="C179" s="1" t="n">
        <v>45700</v>
      </c>
      <c r="D179" t="inlineStr">
        <is>
          <t>VÄSTERNORRLANDS LÄN</t>
        </is>
      </c>
      <c r="E179" t="inlineStr">
        <is>
          <t>SUNDSVALL</t>
        </is>
      </c>
      <c r="G179" t="n">
        <v>22.7</v>
      </c>
      <c r="H179" t="n">
        <v>1</v>
      </c>
      <c r="I179" t="n">
        <v>0</v>
      </c>
      <c r="J179" t="n">
        <v>1</v>
      </c>
      <c r="K179" t="n">
        <v>0</v>
      </c>
      <c r="L179" t="n">
        <v>0</v>
      </c>
      <c r="M179" t="n">
        <v>0</v>
      </c>
      <c r="N179" t="n">
        <v>0</v>
      </c>
      <c r="O179" t="n">
        <v>1</v>
      </c>
      <c r="P179" t="n">
        <v>0</v>
      </c>
      <c r="Q179" t="n">
        <v>1</v>
      </c>
      <c r="R179" s="2" t="inlineStr">
        <is>
          <t>Utter</t>
        </is>
      </c>
      <c r="S179">
        <f>HYPERLINK("https://klasma.github.io/Logging_2281/artfynd/A 6897-2024 artfynd.xlsx", "A 6897-2024")</f>
        <v/>
      </c>
      <c r="T179">
        <f>HYPERLINK("https://klasma.github.io/Logging_2281/kartor/A 6897-2024 karta.png", "A 6897-2024")</f>
        <v/>
      </c>
      <c r="V179">
        <f>HYPERLINK("https://klasma.github.io/Logging_2281/klagomål/A 6897-2024 FSC-klagomål.docx", "A 6897-2024")</f>
        <v/>
      </c>
      <c r="W179">
        <f>HYPERLINK("https://klasma.github.io/Logging_2281/klagomålsmail/A 6897-2024 FSC-klagomål mail.docx", "A 6897-2024")</f>
        <v/>
      </c>
      <c r="X179">
        <f>HYPERLINK("https://klasma.github.io/Logging_2281/tillsyn/A 6897-2024 tillsynsbegäran.docx", "A 6897-2024")</f>
        <v/>
      </c>
      <c r="Y179">
        <f>HYPERLINK("https://klasma.github.io/Logging_2281/tillsynsmail/A 6897-2024 tillsynsbegäran mail.docx", "A 6897-2024")</f>
        <v/>
      </c>
    </row>
    <row r="180" ht="15" customHeight="1">
      <c r="A180" t="inlineStr">
        <is>
          <t>A 11681-2024</t>
        </is>
      </c>
      <c r="B180" s="1" t="n">
        <v>45373</v>
      </c>
      <c r="C180" s="1" t="n">
        <v>45700</v>
      </c>
      <c r="D180" t="inlineStr">
        <is>
          <t>VÄSTERNORRLANDS LÄN</t>
        </is>
      </c>
      <c r="E180" t="inlineStr">
        <is>
          <t>SUNDSVALL</t>
        </is>
      </c>
      <c r="F180" t="inlineStr">
        <is>
          <t>Holmen skog AB</t>
        </is>
      </c>
      <c r="G180" t="n">
        <v>9</v>
      </c>
      <c r="H180" t="n">
        <v>1</v>
      </c>
      <c r="I180" t="n">
        <v>0</v>
      </c>
      <c r="J180" t="n">
        <v>0</v>
      </c>
      <c r="K180" t="n">
        <v>0</v>
      </c>
      <c r="L180" t="n">
        <v>0</v>
      </c>
      <c r="M180" t="n">
        <v>0</v>
      </c>
      <c r="N180" t="n">
        <v>0</v>
      </c>
      <c r="O180" t="n">
        <v>0</v>
      </c>
      <c r="P180" t="n">
        <v>0</v>
      </c>
      <c r="Q180" t="n">
        <v>1</v>
      </c>
      <c r="R180" s="2" t="inlineStr">
        <is>
          <t>Tjäder</t>
        </is>
      </c>
      <c r="S180">
        <f>HYPERLINK("https://klasma.github.io/Logging_2281/artfynd/A 11681-2024 artfynd.xlsx", "A 11681-2024")</f>
        <v/>
      </c>
      <c r="T180">
        <f>HYPERLINK("https://klasma.github.io/Logging_2281/kartor/A 11681-2024 karta.png", "A 11681-2024")</f>
        <v/>
      </c>
      <c r="V180">
        <f>HYPERLINK("https://klasma.github.io/Logging_2281/klagomål/A 11681-2024 FSC-klagomål.docx", "A 11681-2024")</f>
        <v/>
      </c>
      <c r="W180">
        <f>HYPERLINK("https://klasma.github.io/Logging_2281/klagomålsmail/A 11681-2024 FSC-klagomål mail.docx", "A 11681-2024")</f>
        <v/>
      </c>
      <c r="X180">
        <f>HYPERLINK("https://klasma.github.io/Logging_2281/tillsyn/A 11681-2024 tillsynsbegäran.docx", "A 11681-2024")</f>
        <v/>
      </c>
      <c r="Y180">
        <f>HYPERLINK("https://klasma.github.io/Logging_2281/tillsynsmail/A 11681-2024 tillsynsbegäran mail.docx", "A 11681-2024")</f>
        <v/>
      </c>
      <c r="Z180">
        <f>HYPERLINK("https://klasma.github.io/Logging_2281/fåglar/A 11681-2024 prioriterade fågelarter.docx", "A 11681-2024")</f>
        <v/>
      </c>
    </row>
    <row r="181" ht="15" customHeight="1">
      <c r="A181" t="inlineStr">
        <is>
          <t>A 15151-2024</t>
        </is>
      </c>
      <c r="B181" s="1" t="n">
        <v>45400</v>
      </c>
      <c r="C181" s="1" t="n">
        <v>45700</v>
      </c>
      <c r="D181" t="inlineStr">
        <is>
          <t>VÄSTERNORRLANDS LÄN</t>
        </is>
      </c>
      <c r="E181" t="inlineStr">
        <is>
          <t>SUNDSVALL</t>
        </is>
      </c>
      <c r="F181" t="inlineStr">
        <is>
          <t>Naturvårdsverket</t>
        </is>
      </c>
      <c r="G181" t="n">
        <v>17.2</v>
      </c>
      <c r="H181" t="n">
        <v>1</v>
      </c>
      <c r="I181" t="n">
        <v>0</v>
      </c>
      <c r="J181" t="n">
        <v>0</v>
      </c>
      <c r="K181" t="n">
        <v>1</v>
      </c>
      <c r="L181" t="n">
        <v>0</v>
      </c>
      <c r="M181" t="n">
        <v>0</v>
      </c>
      <c r="N181" t="n">
        <v>0</v>
      </c>
      <c r="O181" t="n">
        <v>1</v>
      </c>
      <c r="P181" t="n">
        <v>1</v>
      </c>
      <c r="Q181" t="n">
        <v>1</v>
      </c>
      <c r="R181" s="2" t="inlineStr">
        <is>
          <t>Knärot</t>
        </is>
      </c>
      <c r="S181">
        <f>HYPERLINK("https://klasma.github.io/Logging_2281/artfynd/A 15151-2024 artfynd.xlsx", "A 15151-2024")</f>
        <v/>
      </c>
      <c r="T181">
        <f>HYPERLINK("https://klasma.github.io/Logging_2281/kartor/A 15151-2024 karta.png", "A 15151-2024")</f>
        <v/>
      </c>
      <c r="U181">
        <f>HYPERLINK("https://klasma.github.io/Logging_2281/knärot/A 15151-2024 karta knärot.png", "A 15151-2024")</f>
        <v/>
      </c>
      <c r="V181">
        <f>HYPERLINK("https://klasma.github.io/Logging_2281/klagomål/A 15151-2024 FSC-klagomål.docx", "A 15151-2024")</f>
        <v/>
      </c>
      <c r="W181">
        <f>HYPERLINK("https://klasma.github.io/Logging_2281/klagomålsmail/A 15151-2024 FSC-klagomål mail.docx", "A 15151-2024")</f>
        <v/>
      </c>
      <c r="X181">
        <f>HYPERLINK("https://klasma.github.io/Logging_2281/tillsyn/A 15151-2024 tillsynsbegäran.docx", "A 15151-2024")</f>
        <v/>
      </c>
      <c r="Y181">
        <f>HYPERLINK("https://klasma.github.io/Logging_2281/tillsynsmail/A 15151-2024 tillsynsbegäran mail.docx", "A 15151-2024")</f>
        <v/>
      </c>
    </row>
    <row r="182" ht="15" customHeight="1">
      <c r="A182" t="inlineStr">
        <is>
          <t>A 15376-2024</t>
        </is>
      </c>
      <c r="B182" s="1" t="n">
        <v>45400</v>
      </c>
      <c r="C182" s="1" t="n">
        <v>45700</v>
      </c>
      <c r="D182" t="inlineStr">
        <is>
          <t>VÄSTERNORRLANDS LÄN</t>
        </is>
      </c>
      <c r="E182" t="inlineStr">
        <is>
          <t>SUNDSVALL</t>
        </is>
      </c>
      <c r="F182" t="inlineStr">
        <is>
          <t>Naturvårdsverket</t>
        </is>
      </c>
      <c r="G182" t="n">
        <v>1.2</v>
      </c>
      <c r="H182" t="n">
        <v>0</v>
      </c>
      <c r="I182" t="n">
        <v>0</v>
      </c>
      <c r="J182" t="n">
        <v>1</v>
      </c>
      <c r="K182" t="n">
        <v>0</v>
      </c>
      <c r="L182" t="n">
        <v>0</v>
      </c>
      <c r="M182" t="n">
        <v>0</v>
      </c>
      <c r="N182" t="n">
        <v>0</v>
      </c>
      <c r="O182" t="n">
        <v>1</v>
      </c>
      <c r="P182" t="n">
        <v>0</v>
      </c>
      <c r="Q182" t="n">
        <v>1</v>
      </c>
      <c r="R182" s="2" t="inlineStr">
        <is>
          <t>Granticka</t>
        </is>
      </c>
      <c r="S182">
        <f>HYPERLINK("https://klasma.github.io/Logging_2281/artfynd/A 15376-2024 artfynd.xlsx", "A 15376-2024")</f>
        <v/>
      </c>
      <c r="T182">
        <f>HYPERLINK("https://klasma.github.io/Logging_2281/kartor/A 15376-2024 karta.png", "A 15376-2024")</f>
        <v/>
      </c>
      <c r="V182">
        <f>HYPERLINK("https://klasma.github.io/Logging_2281/klagomål/A 15376-2024 FSC-klagomål.docx", "A 15376-2024")</f>
        <v/>
      </c>
      <c r="W182">
        <f>HYPERLINK("https://klasma.github.io/Logging_2281/klagomålsmail/A 15376-2024 FSC-klagomål mail.docx", "A 15376-2024")</f>
        <v/>
      </c>
      <c r="X182">
        <f>HYPERLINK("https://klasma.github.io/Logging_2281/tillsyn/A 15376-2024 tillsynsbegäran.docx", "A 15376-2024")</f>
        <v/>
      </c>
      <c r="Y182">
        <f>HYPERLINK("https://klasma.github.io/Logging_2281/tillsynsmail/A 15376-2024 tillsynsbegäran mail.docx", "A 15376-2024")</f>
        <v/>
      </c>
    </row>
    <row r="183" ht="15" customHeight="1">
      <c r="A183" t="inlineStr">
        <is>
          <t>A 20517-2024</t>
        </is>
      </c>
      <c r="B183" s="1" t="n">
        <v>45435</v>
      </c>
      <c r="C183" s="1" t="n">
        <v>45700</v>
      </c>
      <c r="D183" t="inlineStr">
        <is>
          <t>VÄSTERNORRLANDS LÄN</t>
        </is>
      </c>
      <c r="E183" t="inlineStr">
        <is>
          <t>SUNDSVALL</t>
        </is>
      </c>
      <c r="G183" t="n">
        <v>4.6</v>
      </c>
      <c r="H183" t="n">
        <v>0</v>
      </c>
      <c r="I183" t="n">
        <v>0</v>
      </c>
      <c r="J183" t="n">
        <v>1</v>
      </c>
      <c r="K183" t="n">
        <v>0</v>
      </c>
      <c r="L183" t="n">
        <v>0</v>
      </c>
      <c r="M183" t="n">
        <v>0</v>
      </c>
      <c r="N183" t="n">
        <v>0</v>
      </c>
      <c r="O183" t="n">
        <v>1</v>
      </c>
      <c r="P183" t="n">
        <v>0</v>
      </c>
      <c r="Q183" t="n">
        <v>1</v>
      </c>
      <c r="R183" s="2" t="inlineStr">
        <is>
          <t>Lunglav</t>
        </is>
      </c>
      <c r="S183">
        <f>HYPERLINK("https://klasma.github.io/Logging_2281/artfynd/A 20517-2024 artfynd.xlsx", "A 20517-2024")</f>
        <v/>
      </c>
      <c r="T183">
        <f>HYPERLINK("https://klasma.github.io/Logging_2281/kartor/A 20517-2024 karta.png", "A 20517-2024")</f>
        <v/>
      </c>
      <c r="V183">
        <f>HYPERLINK("https://klasma.github.io/Logging_2281/klagomål/A 20517-2024 FSC-klagomål.docx", "A 20517-2024")</f>
        <v/>
      </c>
      <c r="W183">
        <f>HYPERLINK("https://klasma.github.io/Logging_2281/klagomålsmail/A 20517-2024 FSC-klagomål mail.docx", "A 20517-2024")</f>
        <v/>
      </c>
      <c r="X183">
        <f>HYPERLINK("https://klasma.github.io/Logging_2281/tillsyn/A 20517-2024 tillsynsbegäran.docx", "A 20517-2024")</f>
        <v/>
      </c>
      <c r="Y183">
        <f>HYPERLINK("https://klasma.github.io/Logging_2281/tillsynsmail/A 20517-2024 tillsynsbegäran mail.docx", "A 20517-2024")</f>
        <v/>
      </c>
    </row>
    <row r="184" ht="15" customHeight="1">
      <c r="A184" t="inlineStr">
        <is>
          <t>A 25380-2024</t>
        </is>
      </c>
      <c r="B184" s="1" t="n">
        <v>45463</v>
      </c>
      <c r="C184" s="1" t="n">
        <v>45700</v>
      </c>
      <c r="D184" t="inlineStr">
        <is>
          <t>VÄSTERNORRLANDS LÄN</t>
        </is>
      </c>
      <c r="E184" t="inlineStr">
        <is>
          <t>SUNDSVALL</t>
        </is>
      </c>
      <c r="F184" t="inlineStr">
        <is>
          <t>SCA</t>
        </is>
      </c>
      <c r="G184" t="n">
        <v>3.3</v>
      </c>
      <c r="H184" t="n">
        <v>1</v>
      </c>
      <c r="I184" t="n">
        <v>0</v>
      </c>
      <c r="J184" t="n">
        <v>1</v>
      </c>
      <c r="K184" t="n">
        <v>0</v>
      </c>
      <c r="L184" t="n">
        <v>0</v>
      </c>
      <c r="M184" t="n">
        <v>0</v>
      </c>
      <c r="N184" t="n">
        <v>0</v>
      </c>
      <c r="O184" t="n">
        <v>1</v>
      </c>
      <c r="P184" t="n">
        <v>0</v>
      </c>
      <c r="Q184" t="n">
        <v>1</v>
      </c>
      <c r="R184" s="2" t="inlineStr">
        <is>
          <t>Nordfladdermus</t>
        </is>
      </c>
      <c r="S184">
        <f>HYPERLINK("https://klasma.github.io/Logging_2281/artfynd/A 25380-2024 artfynd.xlsx", "A 25380-2024")</f>
        <v/>
      </c>
      <c r="T184">
        <f>HYPERLINK("https://klasma.github.io/Logging_2281/kartor/A 25380-2024 karta.png", "A 25380-2024")</f>
        <v/>
      </c>
      <c r="V184">
        <f>HYPERLINK("https://klasma.github.io/Logging_2281/klagomål/A 25380-2024 FSC-klagomål.docx", "A 25380-2024")</f>
        <v/>
      </c>
      <c r="W184">
        <f>HYPERLINK("https://klasma.github.io/Logging_2281/klagomålsmail/A 25380-2024 FSC-klagomål mail.docx", "A 25380-2024")</f>
        <v/>
      </c>
      <c r="X184">
        <f>HYPERLINK("https://klasma.github.io/Logging_2281/tillsyn/A 25380-2024 tillsynsbegäran.docx", "A 25380-2024")</f>
        <v/>
      </c>
      <c r="Y184">
        <f>HYPERLINK("https://klasma.github.io/Logging_2281/tillsynsmail/A 25380-2024 tillsynsbegäran mail.docx", "A 25380-2024")</f>
        <v/>
      </c>
    </row>
    <row r="185" ht="15" customHeight="1">
      <c r="A185" t="inlineStr">
        <is>
          <t>A 26080-2024</t>
        </is>
      </c>
      <c r="B185" s="1" t="n">
        <v>45468</v>
      </c>
      <c r="C185" s="1" t="n">
        <v>45700</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45700</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45700</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45700</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45700</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45700</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45700</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45700</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45700</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45700</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45700</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4896-2025</t>
        </is>
      </c>
      <c r="B196" s="1" t="n">
        <v>45688</v>
      </c>
      <c r="C196" s="1" t="n">
        <v>45700</v>
      </c>
      <c r="D196" t="inlineStr">
        <is>
          <t>VÄSTERNORRLANDS LÄN</t>
        </is>
      </c>
      <c r="E196" t="inlineStr">
        <is>
          <t>SUNDSVALL</t>
        </is>
      </c>
      <c r="F196" t="inlineStr">
        <is>
          <t>SCA</t>
        </is>
      </c>
      <c r="G196" t="n">
        <v>6.9</v>
      </c>
      <c r="H196" t="n">
        <v>0</v>
      </c>
      <c r="I196" t="n">
        <v>1</v>
      </c>
      <c r="J196" t="n">
        <v>0</v>
      </c>
      <c r="K196" t="n">
        <v>0</v>
      </c>
      <c r="L196" t="n">
        <v>0</v>
      </c>
      <c r="M196" t="n">
        <v>0</v>
      </c>
      <c r="N196" t="n">
        <v>0</v>
      </c>
      <c r="O196" t="n">
        <v>0</v>
      </c>
      <c r="P196" t="n">
        <v>0</v>
      </c>
      <c r="Q196" t="n">
        <v>1</v>
      </c>
      <c r="R196" s="2" t="inlineStr">
        <is>
          <t>Tibast</t>
        </is>
      </c>
      <c r="S196">
        <f>HYPERLINK("https://klasma.github.io/Logging_2281/artfynd/A 4896-2025 artfynd.xlsx", "A 4896-2025")</f>
        <v/>
      </c>
      <c r="T196">
        <f>HYPERLINK("https://klasma.github.io/Logging_2281/kartor/A 4896-2025 karta.png", "A 4896-2025")</f>
        <v/>
      </c>
      <c r="U196">
        <f>HYPERLINK("https://klasma.github.io/Logging_2281/knärot/A 4896-2025 karta knärot.png", "A 4896-2025")</f>
        <v/>
      </c>
      <c r="V196">
        <f>HYPERLINK("https://klasma.github.io/Logging_2281/klagomål/A 4896-2025 FSC-klagomål.docx", "A 4896-2025")</f>
        <v/>
      </c>
      <c r="W196">
        <f>HYPERLINK("https://klasma.github.io/Logging_2281/klagomålsmail/A 4896-2025 FSC-klagomål mail.docx", "A 4896-2025")</f>
        <v/>
      </c>
      <c r="X196">
        <f>HYPERLINK("https://klasma.github.io/Logging_2281/tillsyn/A 4896-2025 tillsynsbegäran.docx", "A 4896-2025")</f>
        <v/>
      </c>
      <c r="Y196">
        <f>HYPERLINK("https://klasma.github.io/Logging_2281/tillsynsmail/A 4896-2025 tillsynsbegäran mail.docx", "A 4896-2025")</f>
        <v/>
      </c>
    </row>
    <row r="197" ht="15" customHeight="1">
      <c r="A197" t="inlineStr">
        <is>
          <t>A 4856-2025</t>
        </is>
      </c>
      <c r="B197" s="1" t="n">
        <v>45688</v>
      </c>
      <c r="C197" s="1" t="n">
        <v>45700</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4878-2025</t>
        </is>
      </c>
      <c r="B198" s="1" t="n">
        <v>45688</v>
      </c>
      <c r="C198" s="1" t="n">
        <v>45700</v>
      </c>
      <c r="D198" t="inlineStr">
        <is>
          <t>VÄSTERNORRLANDS LÄN</t>
        </is>
      </c>
      <c r="E198" t="inlineStr">
        <is>
          <t>SUNDSVALL</t>
        </is>
      </c>
      <c r="F198" t="inlineStr">
        <is>
          <t>SCA</t>
        </is>
      </c>
      <c r="G198" t="n">
        <v>4.2</v>
      </c>
      <c r="H198" t="n">
        <v>1</v>
      </c>
      <c r="I198" t="n">
        <v>0</v>
      </c>
      <c r="J198" t="n">
        <v>0</v>
      </c>
      <c r="K198" t="n">
        <v>1</v>
      </c>
      <c r="L198" t="n">
        <v>0</v>
      </c>
      <c r="M198" t="n">
        <v>0</v>
      </c>
      <c r="N198" t="n">
        <v>0</v>
      </c>
      <c r="O198" t="n">
        <v>1</v>
      </c>
      <c r="P198" t="n">
        <v>1</v>
      </c>
      <c r="Q198" t="n">
        <v>1</v>
      </c>
      <c r="R198" s="2" t="inlineStr">
        <is>
          <t>Knärot</t>
        </is>
      </c>
      <c r="S198">
        <f>HYPERLINK("https://klasma.github.io/Logging_2281/artfynd/A 4878-2025 artfynd.xlsx", "A 4878-2025")</f>
        <v/>
      </c>
      <c r="T198">
        <f>HYPERLINK("https://klasma.github.io/Logging_2281/kartor/A 4878-2025 karta.png", "A 4878-2025")</f>
        <v/>
      </c>
      <c r="U198">
        <f>HYPERLINK("https://klasma.github.io/Logging_2281/knärot/A 4878-2025 karta knärot.png", "A 4878-2025")</f>
        <v/>
      </c>
      <c r="V198">
        <f>HYPERLINK("https://klasma.github.io/Logging_2281/klagomål/A 4878-2025 FSC-klagomål.docx", "A 4878-2025")</f>
        <v/>
      </c>
      <c r="W198">
        <f>HYPERLINK("https://klasma.github.io/Logging_2281/klagomålsmail/A 4878-2025 FSC-klagomål mail.docx", "A 4878-2025")</f>
        <v/>
      </c>
      <c r="X198">
        <f>HYPERLINK("https://klasma.github.io/Logging_2281/tillsyn/A 4878-2025 tillsynsbegäran.docx", "A 4878-2025")</f>
        <v/>
      </c>
      <c r="Y198">
        <f>HYPERLINK("https://klasma.github.io/Logging_2281/tillsynsmail/A 4878-2025 tillsynsbegäran mail.docx", "A 4878-2025")</f>
        <v/>
      </c>
    </row>
    <row r="199" ht="15" customHeight="1">
      <c r="A199" t="inlineStr">
        <is>
          <t>A 18070-2019</t>
        </is>
      </c>
      <c r="B199" s="1" t="n">
        <v>43557</v>
      </c>
      <c r="C199" s="1" t="n">
        <v>45700</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45700</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45700</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45700</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45700</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45700</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45700</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45700</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45700</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45700</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45700</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45700</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45700</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45700</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45700</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45700</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45700</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45700</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45700</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45700</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45700</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45700</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45700</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45700</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45700</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45700</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45700</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45700</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45700</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45700</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45700</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45700</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45700</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45700</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45700</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45700</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45700</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45700</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45700</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45700</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45700</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45700</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45700</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45700</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45700</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45700</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45700</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45700</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45700</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45700</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45700</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45700</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45700</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45700</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45700</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45700</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45700</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45700</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45700</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45700</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45700</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45700</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45700</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45700</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45700</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45700</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45700</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45700</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45700</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45700</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45700</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45700</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45700</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45700</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45700</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45700</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45700</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45700</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45700</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45700</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45700</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45700</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45700</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45700</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45700</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45700</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45700</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45700</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45700</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45700</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45700</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45700</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45700</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45700</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45700</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45700</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45700</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45700</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45700</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45700</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45700</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45700</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45700</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45700</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45700</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45700</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45700</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45700</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45700</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45700</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45700</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45700</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45700</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45700</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45700</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45700</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45700</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45700</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45700</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45700</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45700</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45700</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45700</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45700</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45700</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45700</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45700</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45700</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45700</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45700</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45700</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45700</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45700</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45700</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45700</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45700</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45700</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45700</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45700</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45700</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45700</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45700</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45700</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45700</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45700</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45700</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45700</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45700</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45700</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45700</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45700</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45700</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45700</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45700</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45700</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45700</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45700</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45700</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45700</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45700</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45700</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45700</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45700</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45700</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45700</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45700</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45700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45700</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45700</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45700</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45700</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45700</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45700</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45700</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45700</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45700</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45700</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45700</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45700</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45700</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45700</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45700</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45700</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45700</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45700</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45700</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45700</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45700</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45700</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45700</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45700</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45700</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45700</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45700</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45700</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45700</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45700</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45700</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45700</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45700</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45700</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45700</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45700</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45700</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45700</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45700</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45700</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45700</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45700</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45700</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45700</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45700</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45700</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45700</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45700</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45700</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45700</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45700</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45700</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45700</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45700</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45700</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45700</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45700</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45700</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45700</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45700</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45700</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45700</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45700</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45700</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45700</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45700</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45700</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45700</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45700</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45700</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45700</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45700</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45700</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45700</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45700</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45700</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45700</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45700</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45700</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45700</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45700</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45700</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45700</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45700</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45700</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45700</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45700</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45700</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45700</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45700</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45700</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45700</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45700</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45700</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45700</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45700</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45700</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45700</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45700</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45700</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45700</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45700</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45700</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45700</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45700</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45700</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45700</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45700</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45700</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45700</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45700</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45700</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45700</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45700</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45700</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45700</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45700</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45700</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45700</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45700</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45700</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45700</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45700</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45700</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45700</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45700</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45700</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45700</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45700</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45700</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45700</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45700</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45700</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45700</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45700</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45700</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45700</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45700</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45700</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45700</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45700</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45700</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45700</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45700</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45700</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45700</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45700</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45700</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45700</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45700</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45700</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45700</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45700</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45700</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45700</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45700</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45700</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45700</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45700</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45700</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45700</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45700</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45700</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45700</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45700</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45700</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45700</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45700</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45700</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45700</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45700</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45700</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45700</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45700</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45700</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45700</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45700</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45700</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45700</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45700</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45700</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45700</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45700</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45700</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45700</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45700</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45700</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45700</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45700</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45700</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45700</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45700</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45700</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45700</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45700</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45700</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45700</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45700</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45700</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45700</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45700</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45700</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45700</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45700</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45700</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45700</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45700</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45700</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45700</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45700</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45700</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45700</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45700</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45700</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45700</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45700</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45700</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45700</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45700</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45700</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45700</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45700</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45700</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45700</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45700</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45700</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45700</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45700</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45700</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45700</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45700</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45700</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45700</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45700</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45700</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45700</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45700</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45700</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45700</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45700</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45700</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45700</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45700</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45700</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45700</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45700</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45700</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45700</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45700</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45700</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45700</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45700</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45700</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45700</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45700</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45700</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45700</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45700</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45700</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45700</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45700</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45700</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45700</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45700</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45700</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45700</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45700</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45700</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45700</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45700</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45700</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45700</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45700</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45700</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45700</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45700</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45700</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45700</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45700</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45700</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45700</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45700</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45700</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45700</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45700</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45700</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45700</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45700</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45700</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45700</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45700</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45700</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45700</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45700</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45700</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45700</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45700</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45700</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45700</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45700</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45700</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45700</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45700</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45700</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45700</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45700</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45700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45700</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45700</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45700</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45700</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45700</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45700</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45700</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45700</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45700</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45700</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45700</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45700</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45700</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45700</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45700</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45700</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45700</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45700</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45700</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45700</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45700</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45700</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45700</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45700</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45700</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45700</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45700</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45700</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45700</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45700</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45700</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45700</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45700</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45700</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45700</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45700</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45700</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45700</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45700</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45700</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45700</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45700</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45700</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45700</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45700</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45700</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45700</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45700</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45700</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45700</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45700</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45700</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45700</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45700</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45700</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45700</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45700</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45700</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45700</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45700</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45700</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45700</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45700</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45700</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45700</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45700</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45700</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45700</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45700</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45700</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45700</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45700</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45700</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45700</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45700</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45700</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45700</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45700</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45700</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45700</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45700</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45700</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45700</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45700</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45700</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45700</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45700</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45700</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45700</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45700</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45700</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45700</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45700</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45700</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45700</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45700</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45700</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45700</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45700</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45700</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45700</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45700</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45700</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45700</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45700</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45700</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45700</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45700</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45700</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45700</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45700</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45700</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45700</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45700</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45700</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45700</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45700</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45700</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45700</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45700</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45700</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45700</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45700</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45700</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45700</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45700</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45700</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45700</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45700</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45700</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45700</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45700</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45700</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45700</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45700</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45700</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45700</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45700</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45700</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45700</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45700</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45700</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45700</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45700</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45700</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45700</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45700</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45700</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45700</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45700</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45700</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45700</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45700</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45700</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45700</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45700</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45700</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45700</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45700</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45700</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45700</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45700</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45700</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45700</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45700</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45700</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45700</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45700</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45700</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45700</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45700</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45700</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45700</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45700</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45700</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45700</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45700</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45700</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45700</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45700</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45700</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45700</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45700</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45700</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45700</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45700</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45700</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45700</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45700</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45700</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45700</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45700</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45700</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45700</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45700</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45700</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45700</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45700</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45700</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45700</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45700</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45700</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45700</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45700</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45700</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45700</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45700</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45700</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45700</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45700</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45700</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45700</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45700</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45700</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45700</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45700</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45700</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45700</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45700</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45700</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45700</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45700</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45700</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45700</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45700</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45700</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45700</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45700</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45700</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45700</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45700</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45700</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45700</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45700</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45700</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45700</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45700</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45700</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45700</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45700</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45700</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45700</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45700</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45700</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45700</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45700</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45700</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45700</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45700</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45700</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45700</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45700</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45700</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45700</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45700</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45700</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45700</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45700</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45700</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45700</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45700</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45700</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45700</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45700</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45700</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45700</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45700</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45700</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45700</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45700</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45700</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45700</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45700</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45700</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45700</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45700</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45700</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45700</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45700</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45700</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45700</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45700</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45700</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45700</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45700</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45700</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45700</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45700</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45700</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45700</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45700</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45700</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45700</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45700</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45700</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45700</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45700</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45700</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45700</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45700</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45700</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45700</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45700</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45700</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45700</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45700</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45700</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45700</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45700</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45700</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45700</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45700</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45700</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45700</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45700</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45700</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45700</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45700</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45700</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45700</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45700</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45700</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45700</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45700</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45700</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45700</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45700</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45700</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45700</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45700</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45700</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45700</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45700</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45700</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45700</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45700</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45700</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45700</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45700</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45700</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45700</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45700</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45700</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45700</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45700</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45700</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45700</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45700</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45700</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45700</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45700</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45700</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45700</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45700</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45700</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45700</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45700</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45700</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45700</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45700</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45700</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45700</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45700</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45700</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45700</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45700</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45700</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45700</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45700</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45700</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45700</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45700</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45700</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45700</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45700</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45700</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45700</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45700</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45700</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45700</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45700</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45700</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45700</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45700</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45700</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45700</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45700</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45700</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45700</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45700</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45700</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45700</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45700</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45700</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45700</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45700</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45700</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45700</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45700</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45700</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45700</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45700</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45700</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45700</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45700</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45700</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45700</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45700</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45700</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45700</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45700</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45700</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45700</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45700</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45700</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45700</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45700</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45700</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45700</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45700</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45700</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45700</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45700</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45700</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45700</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45700</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45700</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45700</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45700</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45700</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45700</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45700</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45700</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45700</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45700</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45700</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45700</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45700</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45700</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45700</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45700</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45700</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45700</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45700</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45700</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45700</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45700</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45700</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45700</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45700</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45700</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45700</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45700</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45700</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45700</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45700</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45700</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45700</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45700</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45700</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45700</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45700</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45700</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45700</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45700</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45700</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45700</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45700</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45700</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45700</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45700</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45700</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45700</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45700</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45700</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45700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45700</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45700</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45700</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45700</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45700</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45700</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45700</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45700</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45700</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45700</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45700</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45700</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45700</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45700</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45700</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45700</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45700</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45700</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45700</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45700</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45700</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45700</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45700</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45700</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45700</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45700</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45700</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45700</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45700</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45700</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45700</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45700</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45700</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45700</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45700</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45700</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45700</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45700</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45700</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45700</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45700</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45700</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45700</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45700</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45700</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45700</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45700</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45700</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45700</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45700</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45700</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45700</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45700</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45700</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45700</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45700</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45700</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45700</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45700</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45700</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45700</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45700</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45700</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45700</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45700</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45700</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45700</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45700</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45700</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45700</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45700</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45700</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45700</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45700</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45700</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45700</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45700</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45700</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45700</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45700</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45700</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45700</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45700</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45700</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45700</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45700</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45700</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45700</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45700</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45700</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45700</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45700</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45700</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45700</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45700</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45700</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45700</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45700</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45700</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45700</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45700</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45700</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45700</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45700</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45700</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45700</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45700</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45700</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45700</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45700</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45700</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45700</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45700</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45700</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45700</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45700</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45700</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45700</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45700</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45700</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45700</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45700</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45700</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45700</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45700</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45700</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45700</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45700</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45700</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45700</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45700</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45700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45700</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45700</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45700</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45700</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45700</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45700</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45700</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45700</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45700</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45700</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45700</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45700</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45700</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45700</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45700</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45700</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45700</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45700</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45700</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45700</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45700</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45700</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45700</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45700</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45700</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45700</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45700</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45700</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45700</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45700</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45700</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45700</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45700</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45700</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45700</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45700</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45700</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45700</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45700</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45700</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45700</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45700</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45700</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45700</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45700</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45700</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45700</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45700</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45700</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45700</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45700</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45700</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45700</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45700</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45700</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45700</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45700</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45700</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45700</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45700</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45700</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45700</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45700</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45700</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45700</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45700</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45700</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45700</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45700</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45700</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45700</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45700</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45700</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45700</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45700</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45700</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45700</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45700</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45700</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45700</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45700</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45700</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45700</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45700</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45700</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45700</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45700</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45700</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45700</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45700</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45700</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45700</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45700</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45700</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45700</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45700</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45700</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45700</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45700</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45700</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45700</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45700</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45700</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45700</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45700</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45700</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45700</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45700</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45700</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45700</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45700</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45700</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45700</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45700</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45700</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45700</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45700</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45700</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45700</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45700</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45700</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45700</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45700</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45700</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45700</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45700</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45700</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45700</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45700</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45700</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45700</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45700</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45700</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45700</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45700</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45700</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45700</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45700</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45700</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45700</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45700</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45700</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45700</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45700</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45700</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45700</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45700</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45700</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45700</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45700</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45700</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45700</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45700</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45700</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45700</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45700</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45700</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45700</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45700</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45700</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45700</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45700</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45700</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45700</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45700</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45700</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45700</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45700</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45700</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45700</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45700</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45700</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45700</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45700</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45700</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45700</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45700</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45700</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45700</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45700</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45700</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45700</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45700</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45700</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45700</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45700</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45700</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45700</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45700</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45700</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45700</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45700</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45700</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45700</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45700</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45700</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45700</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45700</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45700</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45700</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45700</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45700</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45700</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45700</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45700</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45700</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45700</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45700</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45700</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45700</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45700</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45700</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45700</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45700</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45700</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45700</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45700</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45700</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45700</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45700</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45700</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45700</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45700</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45700</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45700</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45700</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45700</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45700</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45700</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45700</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45700</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45700</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45700</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45700</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45700</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45700</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45700</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45700</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45700</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45700</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45700</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45700</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45700</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45700</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45700</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45700</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45700</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45700</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45700</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45700</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45700</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45700</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45700</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45700</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45700</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45700</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45700</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45700</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45700</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45700</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45700</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45700</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45700</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45700</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45700</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45700</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45700</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45700</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45700</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45700</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45700</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45700</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45700</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45700</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45700</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45700</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45700</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45700</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45700</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45700</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45700</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45700</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45700</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45700</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45700</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45700</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45700</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45700</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45700</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45700</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45700</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45700</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45700</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45700</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45700</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45700</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45700</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45700</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45700</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45700</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45700</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45700</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45700</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45700</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45700</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45700</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45700</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45700</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45700</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45700</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45700</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45700</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45700</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45700</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45700</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45700</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45700</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45700</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45700</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45700</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45700</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45700</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45700</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45700</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45700</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45700</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45700</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45700</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45700</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45700</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45700</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45700</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45700</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45700</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45700</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45700</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45700</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45700</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45700</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45700</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45700</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45700</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45700</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45700</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45700</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45700</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45700</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45700</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45700</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45700</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45700</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45700</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45700</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45700</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45700</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45700</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45700</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45700</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45700</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45700</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45700</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45700</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45700</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45700</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45700</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45700</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45700</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45700</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45700</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45700</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45700</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45700</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45700</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45700</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45700</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45700</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45700</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45700</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45700</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45700</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45700</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45700</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45700</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45700</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45700</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45700</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45700</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45700</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45700</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45700</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45700</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45700</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45700</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45700</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45700</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45700</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45700</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45700</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45700</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45700</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45700</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45700</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45700</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45700</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45700</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45700</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45700</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45700</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45700</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45700</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45700</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45700</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45700</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45700</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45700</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45700</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45700</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45700</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45700</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45700</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45700</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45700</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45700</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45700</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45700</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45700</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45700</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45700</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45700</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45700</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45700</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45700</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45700</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45700</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45700</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45700</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45700</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45700</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45700</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45700</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45700</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45700</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45700</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45700</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45700</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45700</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45700</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45700</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45700</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45700</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45700</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45700</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45700</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45700</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45700</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45700</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45700</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45700</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45700</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45700</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45700</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45700</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45700</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45700</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45700</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45700</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45700</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45700</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45700</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45700</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45700</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45700</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45700</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45700</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45700</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45700</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45700</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45700</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45700</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45700</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45700</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45700</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45700</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45700</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45700</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45700</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45700</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45700</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45700</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45700</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45700</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45700</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45700</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45700</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45700</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45700</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45700</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45700</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45700</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45700</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45700</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45700</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45700</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45700</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45700</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45700</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45700</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45700</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45700</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45700</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45700</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45700</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45700</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45700</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45700</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45700</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45700</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45700</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45700</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45700</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45700</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45700</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45700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45700</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45700</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45700</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45700</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45700</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45700</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45700</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45700</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45700</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45700</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45700</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45700</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45700</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45700</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45700</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45700</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45700</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45700</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45700</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45700</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45700</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45700</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45700</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45700</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45700</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45700</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45700</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45700</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45700</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45700</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45700</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45700</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45700</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45700</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45700</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45700</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45700</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45700</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45700</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45700</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45700</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45700</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45700</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45700</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45700</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45700</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45700</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45700</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45700</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45700</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45700</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45700</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45700</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45700</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45700</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45700</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45700</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45700</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45700</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45700</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45700</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45700</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45700</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45700</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45700</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45700</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45700</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45700</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45700</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45700</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45700</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45700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45700</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45700</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45700</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45700</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45700</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45700</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45700</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45700</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45700</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45700</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45700</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45700</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45700</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45700</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45700</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45700</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45700</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45700</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45700</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45700</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45700</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45700</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45700</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45700</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45700</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45700</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45700</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45700</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45700</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45700</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45700</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45700</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45700</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45700</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45700</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45700</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45700</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45700</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45700</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45700</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45700</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45700</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45700</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45700</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45700</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45700</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45700</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45700</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45700</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45700</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45700</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45700</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45700</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45700</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45700</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45700</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45700</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45700</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45700</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45700</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45700</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45700</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45700</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45700</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45700</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45700</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45700</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45700</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45700</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45700</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45700</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45700</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45700</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45700</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45700</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45700</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45700</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45700</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45700</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45700</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45700</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45700</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45700</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45700</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45700</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45700</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45700</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45700</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45700</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45700</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45700</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45700</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45700</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45700</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45700</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45700</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45700</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45700</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45700</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45700</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45700</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45700</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45700</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45700</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45700</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45700</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45700</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45700</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45700</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45700</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45700</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45700</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45700</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45700</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45700</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45700</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45700</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45700</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45700</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45700</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45700</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45700</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45700</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45700</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45700</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45700</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45700</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45700</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45700</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45700</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45700</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45700</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45700</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45700</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45700</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45700</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45700</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45700</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45700</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45700</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45700</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45700</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45700</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45700</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45700</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45700</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45700</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45700</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45700</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45700</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45700</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45700</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45700</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45700</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45700</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45700</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45700</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45700</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45700</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45700</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45700</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45700</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45700</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45700</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45700</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45700</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45700</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45700</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45700</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45700</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45700</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45700</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45700</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45700</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45700</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45700</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45700</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45700</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45700</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45700</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45700</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45700</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45700</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45700</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45700</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45700</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45700</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45700</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45700</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45700</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45700</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45700</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45700</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45700</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45700</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45700</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45700</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45700</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45700</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45700</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45700</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45700</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45700</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45700</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45700</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45700</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45700</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45700</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45700</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45700</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45700</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45700</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45700</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45700</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45700</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45700</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45700</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45700</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45700</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45700</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45700</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45700</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45700</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45700</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45700</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45700</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45700</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45700</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45700</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45700</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45700</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45700</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45700</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45700</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45700</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45700</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45700</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45700</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45700</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45700</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45700</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45700</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45700</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45700</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45700</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45700</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45700</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45700</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45700</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45700</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45700</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45700</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45700</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45700</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45700</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45700</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45700</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45700</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45700</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45700</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45700</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45700</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45700</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45700</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45700</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45700</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45700</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45700</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45700</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45700</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45700</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45700</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45700</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45700</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45700</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45700</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45700</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45700</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45700</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45700</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45700</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45700</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45700</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45700</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45700</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45700</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45700</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45700</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45700</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45700</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45700</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45700</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45700</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45700</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45700</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45700</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45700</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45700</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45700</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45700</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45700</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45700</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45700</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45700</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45700</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45700</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45700</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45700</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45700</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45700</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45700</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45700</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45700</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45700</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45700</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45700</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45700</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45700</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45700</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45700</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45700</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45700</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45700</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45700</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45700</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45700</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45700</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45700</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45700</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45700</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45700</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45700</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45700</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45700</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45700</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45700</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45700</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45700</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45700</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45700</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45700</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45700</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45700</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45700</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45700</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45700</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45700</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45700</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45700</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45700</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45700</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45700</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45700</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45700</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45700</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45700</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45700</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45700</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45700</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45700</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45700</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45700</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45700</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45700</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45700</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45700</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45700</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45700</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45700</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45700</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45700</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45700</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45700</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45700</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45700</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45700</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45700</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45700</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45700</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45700</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45700</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45700</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45700</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45700</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45700</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45700</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45700</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45700</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45700</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45700</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45700</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45700</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45700</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45700</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45700</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45700</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45700</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45700</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45700</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45700</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45700</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45700</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45700</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45700</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45700</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45700</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45700</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45700</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45700</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45700</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45700</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45700</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45700</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45700</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45700</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45700</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45700</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45700</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45700</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45700</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45700</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45700</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45700</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45700</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45700</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45700</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45700</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45700</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45700</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45700</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45700</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45700</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45700</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45700</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45700</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45700</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45700</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45700</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45700</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45700</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45700</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45700</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45700</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45700</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45700</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45700</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45700</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45700</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45700</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45700</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45700</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45700</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45700</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45700</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45700</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45700</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45700</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45700</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45700</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45700</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45700</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45700</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45700</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45700</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45700</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45700</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45700</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45700</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45700</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45700</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45700</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45700</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45700</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45700</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45700</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45700</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45700</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45700</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45700</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45700</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45700</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45700</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45700</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45700</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45700</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45700</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45700</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45700</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45700</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45700</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45700</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45700</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45700</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45700</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45700</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45700</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45700</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45700</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45700</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45700</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45700</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45700</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45700</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45700</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45700</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45700</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45700</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45700</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45700</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45700</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45700</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45700</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45700</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45700</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45700</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45700</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45700</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45700</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45700</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45700</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45700</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45700</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45700</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45700</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45700</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45700</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45700</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45700</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45700</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45700</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45700</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45700</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45700</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45700</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45700</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45700</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45700</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45700</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45700</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45700</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45700</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45700</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45700</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45700</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45700</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45700</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45700</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45700</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45700</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45700</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45700</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45700</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45700</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45700</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45700</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45700</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45700</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45700</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45700</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45700</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45700</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45700</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45700</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45700</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45700</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45700</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45700</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45700</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45700</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45700</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45700</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45700</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45700</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45700</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45700</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45700</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45700</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45700</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45700</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45700</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45700</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45700</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45700</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45700</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45700</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45700</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45700</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45700</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45700</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45700</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45700</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45700</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45700</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45700</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45700</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45700</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45700</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45700</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45700</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45700</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45700</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45700</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45700</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45700</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45700</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45700</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45700</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45700</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45700</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45700</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45700</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45700</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45700</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45700</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45700</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45700</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45700</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45700</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45700</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45700</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45700</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45700</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45700</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45700</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45700</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45700</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45700</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45700</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45700</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45700</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45700</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45700</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45700</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45700</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45700</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45700</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45700</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45700</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45700</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45700</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45700</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45700</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45700</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45700</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45700</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45700</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45700</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45700</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45700</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45700</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45700</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45700</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45700</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45700</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45700</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45700</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45700</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45700</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45700</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45700</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45700</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45700</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45700</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45700</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45700</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45700</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45700</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45700</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45700</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45700</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45700</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45700</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45700</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45700</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45700</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45700</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45700</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45700</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45700</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45700</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45700</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45700</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45700</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45700</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45700</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45700</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45700</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45700</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45700</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45700</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45700</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45700</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45700</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45700</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45700</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45700</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45700</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45700</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45700</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45700</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45700</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45700</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45700</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45700</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45700</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45700</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45700</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45700</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45700</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45700</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45700</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45700</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45700</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45700</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45700</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45700</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45700</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45700</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45700</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45700</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45700</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45700</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45700</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45700</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45700</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45700</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45700</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45700</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45700</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45700</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45700</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45700</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45700</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45700</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45700</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45700</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45700</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45700</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45700</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45700</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45700</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45700</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45700</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45700</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45700</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45700</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45700</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45700</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45700</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45700</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45700</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45700</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45700</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45700</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45700</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45700</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45700</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45700</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45700</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45700</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45700</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45700</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45700</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45700</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45700</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45700</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45700</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45700</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45700</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45700</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45700</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45700</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45700</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45700</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45700</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45700</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45700</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45700</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45700</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45700</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45700</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45700</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45700</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45700</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45700</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45700</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45700</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45700</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45700</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45700</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45700</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45700</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45700</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45700</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45700</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45700</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45700</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45700</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45700</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45700</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45700</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45700</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45700</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45700</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45700</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45700</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45700</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45700</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45700</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45700</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45700</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45700</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45700</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45700</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45700</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45700</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45700</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45700</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45700</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45700</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45700</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45700</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45700</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45700</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45700</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45700</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45700</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45700</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45700</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45700</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45700</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45700</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45700</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45700</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45700</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45700</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45700</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45700</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45700</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45700</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45700</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45700</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45700</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45700</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45700</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45700</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45700</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45700</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45700</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45700</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45700</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45700</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45700</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45700</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45700</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45700</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45700</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45700</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45700</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45700</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45700</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45700</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45700</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45700</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45700</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45700</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45700</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45700</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45700</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45700</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45700</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45700</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45700</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45700</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45700</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45700</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45700</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45700</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45700</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45700</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45700</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45700</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45700</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45700</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45700</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45700</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45700</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45700</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45700</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45700</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45700</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45700</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45700</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45700</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45700</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45700</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45700</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45700</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45700</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45700</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45700</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45700</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45700</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45700</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45700</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45700</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45700</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45700</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45700</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45700</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45700</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45700</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45700</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45700</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45700</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45700</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45700</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45700</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45700</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45700</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45700</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45700</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45700</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45700</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45700</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45700</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45700</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45700</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45700</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45700</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45700</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45700</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45700</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45700</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45700</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45700</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45700</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45700</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45700</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45700</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45700</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45700</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45700</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45700</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45700</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45700</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45700</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45700</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45700</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45700</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45700</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45700</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45700</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45700</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45700</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45700</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45700</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45700</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45700</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45700</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45700</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45700</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45700</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45700</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45700</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45700</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45700</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45700</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45700</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45700</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45700</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45700</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45700</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45700</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45700</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45700</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45700</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45700</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45700</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45700</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45700</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45700</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45700</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45700</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45700</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45700</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45700</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45700</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45700</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45700</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45700</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45700</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45700</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45700</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45700</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45700</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45700</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45700</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45700</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45700</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45700</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45700</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45700</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45700</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45700</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45700</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45700</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45700</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45700</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45700</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45700</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45700</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45700</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45700</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45700</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45700</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45700</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45700</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45700</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45700</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45700</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45700</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45700</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45700</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45700</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45700</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45700</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45700</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45700</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45700</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45700</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45700</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45700</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45700</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45700</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45700</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45700</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45700</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45700</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45700</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45700</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45700</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45700</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45700</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45700</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45700</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45700</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45700</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45700</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45700</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45700</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45700</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45700</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45700</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45700</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45700</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45700</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45700</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45700</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45700</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45700</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45700</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45700</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45700</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45700</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45700</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45700</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45700</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45700</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45700</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45700</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45700</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45700</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45700</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45700</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45700</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45700</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45700</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45700</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45700</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45700</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45700</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45700</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45700</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45700</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45700</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45700</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45700</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45700</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45700</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45700</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45700</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45700</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1792-2025</t>
        </is>
      </c>
      <c r="B2994" s="1" t="n">
        <v>45671</v>
      </c>
      <c r="C2994" s="1" t="n">
        <v>45700</v>
      </c>
      <c r="D2994" t="inlineStr">
        <is>
          <t>VÄSTERNORRLANDS LÄN</t>
        </is>
      </c>
      <c r="E2994" t="inlineStr">
        <is>
          <t>SUNDSVALL</t>
        </is>
      </c>
      <c r="F2994" t="inlineStr">
        <is>
          <t>Kyrkan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1797-2025</t>
        </is>
      </c>
      <c r="B2995" s="1" t="n">
        <v>45671</v>
      </c>
      <c r="C2995" s="1" t="n">
        <v>45700</v>
      </c>
      <c r="D2995" t="inlineStr">
        <is>
          <t>VÄSTERNORRLANDS LÄN</t>
        </is>
      </c>
      <c r="E2995" t="inlineStr">
        <is>
          <t>SUNDSVALL</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1813-2025</t>
        </is>
      </c>
      <c r="B2996" s="1" t="n">
        <v>45671</v>
      </c>
      <c r="C2996" s="1" t="n">
        <v>45700</v>
      </c>
      <c r="D2996" t="inlineStr">
        <is>
          <t>VÄSTERNORRLANDS LÄN</t>
        </is>
      </c>
      <c r="E2996" t="inlineStr">
        <is>
          <t>SUNDSVALL</t>
        </is>
      </c>
      <c r="F2996" t="inlineStr">
        <is>
          <t>Kyrkan</t>
        </is>
      </c>
      <c r="G2996" t="n">
        <v>14.5</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45700</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2104-2025</t>
        </is>
      </c>
      <c r="B2998" s="1" t="n">
        <v>45672</v>
      </c>
      <c r="C2998" s="1" t="n">
        <v>45700</v>
      </c>
      <c r="D2998" t="inlineStr">
        <is>
          <t>VÄSTERNORRLANDS LÄN</t>
        </is>
      </c>
      <c r="E2998" t="inlineStr">
        <is>
          <t>SUNDSVALL</t>
        </is>
      </c>
      <c r="F2998" t="inlineStr">
        <is>
          <t>SCA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45700</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45700</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2494-2025</t>
        </is>
      </c>
      <c r="B3001" s="1" t="n">
        <v>45674</v>
      </c>
      <c r="C3001" s="1" t="n">
        <v>45700</v>
      </c>
      <c r="D3001" t="inlineStr">
        <is>
          <t>VÄSTERNORRLANDS LÄN</t>
        </is>
      </c>
      <c r="E3001" t="inlineStr">
        <is>
          <t>SUNDSVALL</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2493-2025</t>
        </is>
      </c>
      <c r="B3002" s="1" t="n">
        <v>45674</v>
      </c>
      <c r="C3002" s="1" t="n">
        <v>45700</v>
      </c>
      <c r="D3002" t="inlineStr">
        <is>
          <t>VÄSTERNORRLANDS LÄN</t>
        </is>
      </c>
      <c r="E3002" t="inlineStr">
        <is>
          <t>SUNDSVALL</t>
        </is>
      </c>
      <c r="F3002" t="inlineStr">
        <is>
          <t>SCA</t>
        </is>
      </c>
      <c r="G3002" t="n">
        <v>39.6</v>
      </c>
      <c r="H3002" t="n">
        <v>0</v>
      </c>
      <c r="I3002" t="n">
        <v>0</v>
      </c>
      <c r="J3002" t="n">
        <v>0</v>
      </c>
      <c r="K3002" t="n">
        <v>0</v>
      </c>
      <c r="L3002" t="n">
        <v>0</v>
      </c>
      <c r="M3002" t="n">
        <v>0</v>
      </c>
      <c r="N3002" t="n">
        <v>0</v>
      </c>
      <c r="O3002" t="n">
        <v>0</v>
      </c>
      <c r="P3002" t="n">
        <v>0</v>
      </c>
      <c r="Q3002" t="n">
        <v>0</v>
      </c>
      <c r="R3002" s="2" t="inlineStr"/>
    </row>
    <row r="3003" ht="15" customHeight="1">
      <c r="A3003" t="inlineStr">
        <is>
          <t>A 2577-2025</t>
        </is>
      </c>
      <c r="B3003" s="1" t="n">
        <v>45674</v>
      </c>
      <c r="C3003" s="1" t="n">
        <v>45700</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2585-2025</t>
        </is>
      </c>
      <c r="B3004" s="1" t="n">
        <v>45674</v>
      </c>
      <c r="C3004" s="1" t="n">
        <v>45700</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45700</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45700</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45700</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45700</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45700</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2711-2025</t>
        </is>
      </c>
      <c r="B3010" s="1" t="n">
        <v>45677</v>
      </c>
      <c r="C3010" s="1" t="n">
        <v>45700</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2779-2025</t>
        </is>
      </c>
      <c r="B3011" s="1" t="n">
        <v>45677</v>
      </c>
      <c r="C3011" s="1" t="n">
        <v>45700</v>
      </c>
      <c r="D3011" t="inlineStr">
        <is>
          <t>VÄSTERNORRLANDS LÄN</t>
        </is>
      </c>
      <c r="E3011" t="inlineStr">
        <is>
          <t>SUNDSVALL</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2785-2025</t>
        </is>
      </c>
      <c r="B3012" s="1" t="n">
        <v>45677</v>
      </c>
      <c r="C3012" s="1" t="n">
        <v>45700</v>
      </c>
      <c r="D3012" t="inlineStr">
        <is>
          <t>VÄSTERNORRLANDS LÄN</t>
        </is>
      </c>
      <c r="E3012" t="inlineStr">
        <is>
          <t>SUNDSVALL</t>
        </is>
      </c>
      <c r="F3012" t="inlineStr">
        <is>
          <t>SCA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2834-2025</t>
        </is>
      </c>
      <c r="B3013" s="1" t="n">
        <v>45677</v>
      </c>
      <c r="C3013" s="1" t="n">
        <v>45700</v>
      </c>
      <c r="D3013" t="inlineStr">
        <is>
          <t>VÄSTERNORRLANDS LÄN</t>
        </is>
      </c>
      <c r="E3013" t="inlineStr">
        <is>
          <t>SUNDSVALL</t>
        </is>
      </c>
      <c r="F3013" t="inlineStr">
        <is>
          <t>SCA</t>
        </is>
      </c>
      <c r="G3013" t="n">
        <v>28.4</v>
      </c>
      <c r="H3013" t="n">
        <v>0</v>
      </c>
      <c r="I3013" t="n">
        <v>0</v>
      </c>
      <c r="J3013" t="n">
        <v>0</v>
      </c>
      <c r="K3013" t="n">
        <v>0</v>
      </c>
      <c r="L3013" t="n">
        <v>0</v>
      </c>
      <c r="M3013" t="n">
        <v>0</v>
      </c>
      <c r="N3013" t="n">
        <v>0</v>
      </c>
      <c r="O3013" t="n">
        <v>0</v>
      </c>
      <c r="P3013" t="n">
        <v>0</v>
      </c>
      <c r="Q3013" t="n">
        <v>0</v>
      </c>
      <c r="R3013" s="2" t="inlineStr"/>
    </row>
    <row r="3014" ht="15" customHeight="1">
      <c r="A3014" t="inlineStr">
        <is>
          <t>A 2881-2025</t>
        </is>
      </c>
      <c r="B3014" s="1" t="n">
        <v>45677</v>
      </c>
      <c r="C3014" s="1" t="n">
        <v>45700</v>
      </c>
      <c r="D3014" t="inlineStr">
        <is>
          <t>VÄSTERNORRLANDS LÄN</t>
        </is>
      </c>
      <c r="E3014" t="inlineStr">
        <is>
          <t>SUNDSVALL</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45700</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45700</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45700</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45700</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3217-2025</t>
        </is>
      </c>
      <c r="B3019" s="1" t="n">
        <v>45679</v>
      </c>
      <c r="C3019" s="1" t="n">
        <v>45700</v>
      </c>
      <c r="D3019" t="inlineStr">
        <is>
          <t>VÄSTERNORRLANDS LÄN</t>
        </is>
      </c>
      <c r="E3019" t="inlineStr">
        <is>
          <t>SUNDSVALL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45700</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3232-2025</t>
        </is>
      </c>
      <c r="B3021" s="1" t="n">
        <v>45679</v>
      </c>
      <c r="C3021" s="1" t="n">
        <v>45700</v>
      </c>
      <c r="D3021" t="inlineStr">
        <is>
          <t>VÄSTERNORRLANDS LÄN</t>
        </is>
      </c>
      <c r="E3021" t="inlineStr">
        <is>
          <t>SUNDSVALL</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3214-2025</t>
        </is>
      </c>
      <c r="B3022" s="1" t="n">
        <v>45679</v>
      </c>
      <c r="C3022" s="1" t="n">
        <v>45700</v>
      </c>
      <c r="D3022" t="inlineStr">
        <is>
          <t>VÄSTERNORRLANDS LÄN</t>
        </is>
      </c>
      <c r="E3022" t="inlineStr">
        <is>
          <t>SUNDSVALL</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3293-2025</t>
        </is>
      </c>
      <c r="B3023" s="1" t="n">
        <v>45679</v>
      </c>
      <c r="C3023" s="1" t="n">
        <v>45700</v>
      </c>
      <c r="D3023" t="inlineStr">
        <is>
          <t>VÄSTERNORRLANDS LÄN</t>
        </is>
      </c>
      <c r="E3023" t="inlineStr">
        <is>
          <t>SUNDSVALL</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45700</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45700</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45700</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45700</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45700</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45700</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45700</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45700</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45700</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45700</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45700</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45700</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45700</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45700</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3948-2025</t>
        </is>
      </c>
      <c r="B3038" s="1" t="n">
        <v>45684</v>
      </c>
      <c r="C3038" s="1" t="n">
        <v>45700</v>
      </c>
      <c r="D3038" t="inlineStr">
        <is>
          <t>VÄSTERNORRLANDS LÄN</t>
        </is>
      </c>
      <c r="E3038" t="inlineStr">
        <is>
          <t>SUNDSVALL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45700</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45700</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45700</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45700</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45700</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4871-2025</t>
        </is>
      </c>
      <c r="B3044" s="1" t="n">
        <v>45688</v>
      </c>
      <c r="C3044" s="1" t="n">
        <v>45700</v>
      </c>
      <c r="D3044" t="inlineStr">
        <is>
          <t>VÄSTERNORRLANDS LÄN</t>
        </is>
      </c>
      <c r="E3044" t="inlineStr">
        <is>
          <t>SUNDSVALL</t>
        </is>
      </c>
      <c r="F3044" t="inlineStr">
        <is>
          <t>SCA</t>
        </is>
      </c>
      <c r="G3044" t="n">
        <v>11.5</v>
      </c>
      <c r="H3044" t="n">
        <v>0</v>
      </c>
      <c r="I3044" t="n">
        <v>0</v>
      </c>
      <c r="J3044" t="n">
        <v>0</v>
      </c>
      <c r="K3044" t="n">
        <v>0</v>
      </c>
      <c r="L3044" t="n">
        <v>0</v>
      </c>
      <c r="M3044" t="n">
        <v>0</v>
      </c>
      <c r="N3044" t="n">
        <v>0</v>
      </c>
      <c r="O3044" t="n">
        <v>0</v>
      </c>
      <c r="P3044" t="n">
        <v>0</v>
      </c>
      <c r="Q3044" t="n">
        <v>0</v>
      </c>
      <c r="R3044" s="2" t="inlineStr"/>
    </row>
    <row r="3045" ht="15" customHeight="1">
      <c r="A3045" t="inlineStr">
        <is>
          <t>A 4888-2025</t>
        </is>
      </c>
      <c r="B3045" s="1" t="n">
        <v>45688</v>
      </c>
      <c r="C3045" s="1" t="n">
        <v>45700</v>
      </c>
      <c r="D3045" t="inlineStr">
        <is>
          <t>VÄSTERNORRLANDS LÄN</t>
        </is>
      </c>
      <c r="E3045" t="inlineStr">
        <is>
          <t>SUNDSVALL</t>
        </is>
      </c>
      <c r="F3045" t="inlineStr">
        <is>
          <t>SCA</t>
        </is>
      </c>
      <c r="G3045" t="n">
        <v>8.6</v>
      </c>
      <c r="H3045" t="n">
        <v>0</v>
      </c>
      <c r="I3045" t="n">
        <v>0</v>
      </c>
      <c r="J3045" t="n">
        <v>0</v>
      </c>
      <c r="K3045" t="n">
        <v>0</v>
      </c>
      <c r="L3045" t="n">
        <v>0</v>
      </c>
      <c r="M3045" t="n">
        <v>0</v>
      </c>
      <c r="N3045" t="n">
        <v>0</v>
      </c>
      <c r="O3045" t="n">
        <v>0</v>
      </c>
      <c r="P3045" t="n">
        <v>0</v>
      </c>
      <c r="Q3045" t="n">
        <v>0</v>
      </c>
      <c r="R3045" s="2" t="inlineStr"/>
    </row>
    <row r="3046" ht="15" customHeight="1">
      <c r="A3046" t="inlineStr">
        <is>
          <t>A 4900-2025</t>
        </is>
      </c>
      <c r="B3046" s="1" t="n">
        <v>45688</v>
      </c>
      <c r="C3046" s="1" t="n">
        <v>45700</v>
      </c>
      <c r="D3046" t="inlineStr">
        <is>
          <t>VÄSTERNORRLANDS LÄN</t>
        </is>
      </c>
      <c r="E3046" t="inlineStr">
        <is>
          <t>SUNDSVALL</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4932-2025</t>
        </is>
      </c>
      <c r="B3047" s="1" t="n">
        <v>45688</v>
      </c>
      <c r="C3047" s="1" t="n">
        <v>45700</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45700</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45700</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4784-2025</t>
        </is>
      </c>
      <c r="B3050" s="1" t="n">
        <v>45688</v>
      </c>
      <c r="C3050" s="1" t="n">
        <v>45700</v>
      </c>
      <c r="D3050" t="inlineStr">
        <is>
          <t>VÄSTERNORRLANDS LÄN</t>
        </is>
      </c>
      <c r="E3050" t="inlineStr">
        <is>
          <t>SUNDSVALL</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4853-2025</t>
        </is>
      </c>
      <c r="B3051" s="1" t="n">
        <v>45688</v>
      </c>
      <c r="C3051" s="1" t="n">
        <v>45700</v>
      </c>
      <c r="D3051" t="inlineStr">
        <is>
          <t>VÄSTERNORRLANDS LÄN</t>
        </is>
      </c>
      <c r="E3051" t="inlineStr">
        <is>
          <t>SUNDSVALL</t>
        </is>
      </c>
      <c r="F3051" t="inlineStr">
        <is>
          <t>SCA</t>
        </is>
      </c>
      <c r="G3051" t="n">
        <v>18.3</v>
      </c>
      <c r="H3051" t="n">
        <v>0</v>
      </c>
      <c r="I3051" t="n">
        <v>0</v>
      </c>
      <c r="J3051" t="n">
        <v>0</v>
      </c>
      <c r="K3051" t="n">
        <v>0</v>
      </c>
      <c r="L3051" t="n">
        <v>0</v>
      </c>
      <c r="M3051" t="n">
        <v>0</v>
      </c>
      <c r="N3051" t="n">
        <v>0</v>
      </c>
      <c r="O3051" t="n">
        <v>0</v>
      </c>
      <c r="P3051" t="n">
        <v>0</v>
      </c>
      <c r="Q3051" t="n">
        <v>0</v>
      </c>
      <c r="R3051" s="2" t="inlineStr"/>
    </row>
    <row r="3052" ht="15" customHeight="1">
      <c r="A3052" t="inlineStr">
        <is>
          <t>A 4865-2025</t>
        </is>
      </c>
      <c r="B3052" s="1" t="n">
        <v>45688</v>
      </c>
      <c r="C3052" s="1" t="n">
        <v>45700</v>
      </c>
      <c r="D3052" t="inlineStr">
        <is>
          <t>VÄSTERNORRLANDS LÄN</t>
        </is>
      </c>
      <c r="E3052" t="inlineStr">
        <is>
          <t>SUNDSVALL</t>
        </is>
      </c>
      <c r="F3052" t="inlineStr">
        <is>
          <t>SCA</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4890-2025</t>
        </is>
      </c>
      <c r="B3053" s="1" t="n">
        <v>45688</v>
      </c>
      <c r="C3053" s="1" t="n">
        <v>45700</v>
      </c>
      <c r="D3053" t="inlineStr">
        <is>
          <t>VÄSTERNORRLANDS LÄN</t>
        </is>
      </c>
      <c r="E3053" t="inlineStr">
        <is>
          <t>SUNDSVALL</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4906-2025</t>
        </is>
      </c>
      <c r="B3054" s="1" t="n">
        <v>45688</v>
      </c>
      <c r="C3054" s="1" t="n">
        <v>45700</v>
      </c>
      <c r="D3054" t="inlineStr">
        <is>
          <t>VÄSTERNORRLANDS LÄN</t>
        </is>
      </c>
      <c r="E3054" t="inlineStr">
        <is>
          <t>SUNDSVALL</t>
        </is>
      </c>
      <c r="F3054" t="inlineStr">
        <is>
          <t>SCA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45700</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45700</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45700</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45700</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45700</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45700</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5361-2025</t>
        </is>
      </c>
      <c r="B3061" s="1" t="n">
        <v>45692</v>
      </c>
      <c r="C3061" s="1" t="n">
        <v>45700</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45700</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45700</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45700</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5569-2025</t>
        </is>
      </c>
      <c r="B3065" s="1" t="n">
        <v>45693</v>
      </c>
      <c r="C3065" s="1" t="n">
        <v>45700</v>
      </c>
      <c r="D3065" t="inlineStr">
        <is>
          <t>VÄSTERNORRLANDS LÄN</t>
        </is>
      </c>
      <c r="E3065" t="inlineStr">
        <is>
          <t>SUNDSVALL</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45700</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45700</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45700</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c r="A3069" t="inlineStr">
        <is>
          <t>A 5857-2025</t>
        </is>
      </c>
      <c r="B3069" s="1" t="n">
        <v>45695</v>
      </c>
      <c r="C3069" s="1" t="n">
        <v>45700</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2025-02-12T15:42:14Z</dcterms:created>
  <dcterms:modified xmlns:dcterms="http://purl.org/dc/terms/" xmlns:xsi="http://www.w3.org/2001/XMLSchema-instance" xsi:type="dcterms:W3CDTF">2025-02-12T15:42:17Z</dcterms:modified>
</cp:coreProperties>
</file>