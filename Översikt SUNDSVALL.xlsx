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45718</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45718</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45718</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45718</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45718</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45718</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45718</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45718</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45718</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45718</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45718</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45718</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45718</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45718</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45718</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45718</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45718</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45718</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45718</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45718</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45718</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45718</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45718</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45718</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45718</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45718</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45718</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45718</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45718</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45718</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45718</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45718</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45718</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45718</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45718</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45718</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45718</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45718</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45718</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45718</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45718</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45718</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45718</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45718</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45718</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45718</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45718</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45718</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45718</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45718</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45718</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45718</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45718</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45718</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45718</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45718</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45718</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45718</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45718</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45718</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45718</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45718</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45718</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45718</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45718</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45718</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45718</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45718</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45718</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45718</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45718</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45718</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45718</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45718</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45718</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45718</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45718</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45718</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45718</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45718</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45718</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45718</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45718</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45718</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45718</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45718</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45718</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45718</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45718</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45718</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45718</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45718</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45718</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45718</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45718</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45718</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45718</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45718</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45718</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45718</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45718</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45718</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45718</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45718</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45718</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45718</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45718</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45718</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45718</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45718</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45718</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45718</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45718</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45718</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45718</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45718</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45718</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45718</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45718</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45718</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45718</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45718</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45718</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45718</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45718</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45718</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45718</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45718</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45718</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45718</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45718</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45718</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45718</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45718</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45718</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45718</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45718</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45718</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45718</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45718</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45718</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45718</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45718</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45718</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45718</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45718</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45718</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45718</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45718</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45718</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45718</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45718</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45718</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45718</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45718</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45718</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45718</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45718</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45718</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45718</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45718</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45718</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45718</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45718</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45718</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4856-2025</t>
        </is>
      </c>
      <c r="B197" s="1" t="n">
        <v>45688</v>
      </c>
      <c r="C197" s="1" t="n">
        <v>45718</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4896-2025</t>
        </is>
      </c>
      <c r="B198" s="1" t="n">
        <v>45688</v>
      </c>
      <c r="C198" s="1" t="n">
        <v>45718</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4878-2025</t>
        </is>
      </c>
      <c r="B199" s="1" t="n">
        <v>45688</v>
      </c>
      <c r="C199" s="1" t="n">
        <v>45718</v>
      </c>
      <c r="D199" t="inlineStr">
        <is>
          <t>VÄSTERNORRLANDS LÄN</t>
        </is>
      </c>
      <c r="E199" t="inlineStr">
        <is>
          <t>SUNDSVALL</t>
        </is>
      </c>
      <c r="F199" t="inlineStr">
        <is>
          <t>SCA</t>
        </is>
      </c>
      <c r="G199" t="n">
        <v>4.2</v>
      </c>
      <c r="H199" t="n">
        <v>1</v>
      </c>
      <c r="I199" t="n">
        <v>0</v>
      </c>
      <c r="J199" t="n">
        <v>0</v>
      </c>
      <c r="K199" t="n">
        <v>1</v>
      </c>
      <c r="L199" t="n">
        <v>0</v>
      </c>
      <c r="M199" t="n">
        <v>0</v>
      </c>
      <c r="N199" t="n">
        <v>0</v>
      </c>
      <c r="O199" t="n">
        <v>1</v>
      </c>
      <c r="P199" t="n">
        <v>1</v>
      </c>
      <c r="Q199" t="n">
        <v>1</v>
      </c>
      <c r="R199" s="2" t="inlineStr">
        <is>
          <t>Knärot</t>
        </is>
      </c>
      <c r="S199">
        <f>HYPERLINK("https://klasma.github.io/Logging_2281/artfynd/A 4878-2025 artfynd.xlsx", "A 4878-2025")</f>
        <v/>
      </c>
      <c r="T199">
        <f>HYPERLINK("https://klasma.github.io/Logging_2281/kartor/A 4878-2025 karta.png", "A 4878-2025")</f>
        <v/>
      </c>
      <c r="U199">
        <f>HYPERLINK("https://klasma.github.io/Logging_2281/knärot/A 4878-2025 karta knärot.png", "A 4878-2025")</f>
        <v/>
      </c>
      <c r="V199">
        <f>HYPERLINK("https://klasma.github.io/Logging_2281/klagomål/A 4878-2025 FSC-klagomål.docx", "A 4878-2025")</f>
        <v/>
      </c>
      <c r="W199">
        <f>HYPERLINK("https://klasma.github.io/Logging_2281/klagomålsmail/A 4878-2025 FSC-klagomål mail.docx", "A 4878-2025")</f>
        <v/>
      </c>
      <c r="X199">
        <f>HYPERLINK("https://klasma.github.io/Logging_2281/tillsyn/A 4878-2025 tillsynsbegäran.docx", "A 4878-2025")</f>
        <v/>
      </c>
      <c r="Y199">
        <f>HYPERLINK("https://klasma.github.io/Logging_2281/tillsynsmail/A 4878-2025 tillsynsbegäran mail.docx", "A 4878-2025")</f>
        <v/>
      </c>
    </row>
    <row r="200" ht="15" customHeight="1">
      <c r="A200" t="inlineStr">
        <is>
          <t>A 18070-2019</t>
        </is>
      </c>
      <c r="B200" s="1" t="n">
        <v>43557</v>
      </c>
      <c r="C200" s="1" t="n">
        <v>45718</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45718</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45718</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45718</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45718</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45718</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45718</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45718</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45718</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45718</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45718</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45718</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45718</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45718</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45718</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45718</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45718</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45718</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45718</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45718</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45718</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45718</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45718</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45718</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45718</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45718</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45718</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45718</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45718</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45718</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45718</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45718</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45718</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45718</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45718</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45718</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45718</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45718</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45718</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45718</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45718</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45718</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45718</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45718</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45718</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45718</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45718</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45718</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45718</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45718</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45718</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45718</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45718</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45718</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45718</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45718</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45718</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45718</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45718</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45718</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45718</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45718</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45718</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45718</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45718</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45718</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45718</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45718</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45718</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45718</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45718</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45718</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45718</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45718</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45718</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45718</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45718</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45718</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45718</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45718</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45718</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45718</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45718</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45718</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45718</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45718</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45718</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45718</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45718</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45718</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45718</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45718</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45718</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45718</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45718</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45718</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45718</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45718</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45718</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45718</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45718</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45718</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45718</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45718</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45718</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45718</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45718</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45718</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45718</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45718</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45718</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45718</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45718</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45718</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45718</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45718</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45718</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45718</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45718</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45718</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45718</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45718</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45718</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45718</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45718</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45718</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45718</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45718</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45718</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45718</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45718</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45718</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45718</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45718</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45718</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45718</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45718</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45718</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45718</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45718</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45718</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45718</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45718</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45718</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45718</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45718</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45718</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45718</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45718</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45718</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45718</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45718</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45718</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45718</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45718</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45718</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45718</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45718</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45718</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45718</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45718</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45718</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45718</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45718</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45718</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45718</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45718</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45718</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45718</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45718</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45718</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45718</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45718</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45718</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45718</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45718</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45718</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45718</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45718</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45718</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45718</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45718</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45718</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45718</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45718</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45718</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45718</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45718</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45718</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45718</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45718</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45718</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45718</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45718</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45718</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45718</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45718</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45718</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45718</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45718</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45718</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45718</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45718</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45718</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45718</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45718</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45718</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45718</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45718</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45718</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45718</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45718</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45718</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45718</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45718</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45718</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45718</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45718</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45718</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45718</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45718</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45718</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45718</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45718</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45718</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45718</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45718</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45718</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45718</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45718</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45718</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45718</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45718</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45718</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45718</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45718</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45718</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45718</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45718</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45718</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45718</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45718</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45718</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45718</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45718</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45718</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45718</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45718</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45718</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45718</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45718</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45718</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45718</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45718</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45718</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45718</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45718</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45718</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45718</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45718</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45718</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45718</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45718</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45718</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45718</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45718</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45718</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45718</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45718</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45718</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45718</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45718</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45718</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45718</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45718</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45718</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45718</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45718</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45718</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45718</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45718</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45718</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45718</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45718</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45718</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45718</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45718</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45718</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45718</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45718</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45718</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45718</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45718</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45718</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45718</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45718</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45718</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45718</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45718</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45718</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45718</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45718</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45718</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45718</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45718</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45718</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45718</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45718</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45718</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45718</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45718</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45718</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45718</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45718</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45718</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45718</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45718</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45718</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45718</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45718</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45718</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45718</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45718</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45718</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45718</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45718</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45718</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45718</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45718</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45718</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45718</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45718</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45718</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45718</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45718</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45718</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45718</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45718</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45718</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45718</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45718</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45718</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45718</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45718</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45718</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45718</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45718</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45718</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45718</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45718</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45718</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45718</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45718</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45718</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45718</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45718</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45718</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45718</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45718</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45718</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45718</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45718</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45718</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45718</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45718</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45718</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45718</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45718</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45718</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45718</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45718</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45718</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45718</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45718</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45718</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45718</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45718</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45718</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45718</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45718</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45718</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45718</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45718</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45718</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45718</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45718</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45718</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45718</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45718</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45718</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45718</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45718</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45718</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45718</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45718</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45718</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45718</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45718</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45718</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45718</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45718</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45718</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45718</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45718</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45718</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45718</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45718</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45718</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45718</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45718</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45718</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45718</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45718</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45718</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45718</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45718</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45718</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45718</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45718</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45718</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45718</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45718</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45718</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45718</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45718</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45718</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45718</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45718</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45718</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45718</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45718</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45718</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45718</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45718</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45718</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45718</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45718</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45718</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45718</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45718</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45718</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45718</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45718</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45718</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45718</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45718</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45718</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45718</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45718</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45718</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45718</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45718</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45718</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45718</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45718</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45718</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45718</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45718</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45718</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45718</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45718</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45718</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45718</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45718</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45718</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45718</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45718</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45718</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45718</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45718</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45718</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45718</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45718</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45718</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45718</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45718</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45718</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45718</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45718</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45718</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45718</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45718</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45718</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45718</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45718</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45718</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45718</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45718</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45718</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45718</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45718</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45718</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45718</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45718</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45718</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45718</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45718</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45718</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45718</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45718</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45718</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45718</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45718</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45718</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45718</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45718</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45718</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45718</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45718</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45718</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45718</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45718</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45718</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45718</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45718</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45718</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45718</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45718</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45718</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45718</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45718</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45718</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45718</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45718</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45718</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45718</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45718</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45718</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45718</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45718</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45718</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45718</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45718</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45718</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45718</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45718</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45718</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45718</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45718</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45718</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45718</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45718</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45718</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45718</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45718</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45718</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45718</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45718</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45718</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45718</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45718</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45718</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45718</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45718</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45718</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45718</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45718</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45718</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45718</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45718</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45718</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45718</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45718</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45718</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45718</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45718</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45718</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45718</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45718</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45718</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45718</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45718</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45718</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45718</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45718</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45718</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45718</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45718</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45718</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45718</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45718</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45718</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45718</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45718</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45718</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45718</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45718</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45718</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45718</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45718</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45718</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45718</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45718</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45718</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45718</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45718</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45718</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45718</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45718</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45718</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45718</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45718</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45718</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45718</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45718</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45718</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45718</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45718</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45718</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45718</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45718</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45718</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45718</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45718</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45718</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45718</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45718</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45718</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45718</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45718</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45718</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45718</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45718</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45718</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45718</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45718</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45718</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45718</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45718</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45718</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45718</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45718</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45718</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45718</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45718</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45718</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45718</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45718</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45718</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45718</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45718</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45718</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45718</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45718</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45718</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45718</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45718</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45718</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45718</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45718</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45718</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45718</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45718</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45718</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45718</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45718</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45718</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45718</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45718</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45718</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45718</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45718</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45718</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45718</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45718</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45718</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45718</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45718</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45718</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45718</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45718</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45718</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45718</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45718</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45718</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45718</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45718</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45718</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45718</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45718</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45718</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45718</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45718</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45718</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45718</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45718</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45718</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45718</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45718</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45718</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45718</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45718</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45718</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45718</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45718</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45718</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45718</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45718</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45718</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45718</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45718</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45718</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45718</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45718</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45718</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45718</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45718</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45718</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45718</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45718</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45718</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45718</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45718</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45718</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45718</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45718</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45718</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45718</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45718</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45718</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45718</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45718</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45718</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45718</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45718</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45718</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45718</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45718</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45718</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45718</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45718</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45718</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45718</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45718</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45718</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45718</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45718</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45718</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45718</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45718</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45718</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45718</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45718</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45718</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45718</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45718</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45718</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45718</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45718</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45718</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45718</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45718</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45718</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45718</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45718</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45718</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45718</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45718</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45718</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45718</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45718</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45718</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45718</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45718</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45718</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45718</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45718</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45718</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45718</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45718</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45718</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45718</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45718</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45718</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45718</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45718</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45718</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45718</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45718</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45718</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45718</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45718</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45718</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45718</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45718</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45718</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45718</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45718</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45718</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45718</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45718</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45718</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45718</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45718</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45718</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45718</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45718</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45718</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45718</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45718</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45718</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45718</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45718</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45718</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45718</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45718</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45718</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45718</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45718</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45718</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45718</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45718</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45718</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45718</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45718</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45718</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45718</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45718</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45718</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45718</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45718</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45718</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45718</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45718</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45718</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45718</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45718</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45718</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45718</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45718</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45718</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45718</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45718</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45718</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45718</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45718</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45718</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45718</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45718</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45718</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45718</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45718</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45718</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45718</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45718</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45718</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45718</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45718</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45718</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45718</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45718</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45718</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45718</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45718</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45718</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45718</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45718</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45718</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45718</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45718</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45718</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45718</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45718</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45718</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45718</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45718</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45718</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45718</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45718</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45718</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45718</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45718</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45718</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45718</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45718</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45718</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45718</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45718</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45718</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45718</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45718</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45718</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45718</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45718</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45718</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45718</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45718</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45718</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45718</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45718</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45718</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45718</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45718</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45718</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45718</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45718</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45718</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45718</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45718</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45718</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45718</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45718</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45718</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45718</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45718</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45718</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45718</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45718</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45718</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45718</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45718</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45718</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45718</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45718</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45718</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45718</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45718</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45718</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45718</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45718</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45718</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45718</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45718</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45718</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45718</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45718</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45718</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45718</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45718</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45718</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45718</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45718</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45718</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45718</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45718</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45718</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45718</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45718</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45718</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45718</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45718</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45718</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45718</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45718</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45718</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45718</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45718</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45718</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45718</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45718</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45718</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45718</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45718</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45718</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45718</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45718</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45718</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45718</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45718</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45718</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45718</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45718</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45718</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45718</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45718</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45718</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45718</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45718</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45718</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45718</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45718</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45718</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45718</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45718</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45718</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45718</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45718</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45718</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45718</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45718</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45718</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45718</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45718</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45718</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45718</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45718</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45718</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45718</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45718</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45718</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45718</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45718</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45718</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45718</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45718</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45718</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45718</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45718</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45718</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45718</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45718</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45718</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45718</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45718</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45718</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45718</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45718</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45718</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45718</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45718</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45718</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45718</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45718</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45718</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45718</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45718</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45718</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45718</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45718</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45718</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45718</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45718</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45718</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45718</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45718</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45718</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45718</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45718</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45718</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45718</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45718</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45718</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45718</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45718</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45718</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45718</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45718</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45718</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45718</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45718</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45718</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45718</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45718</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45718</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45718</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45718</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45718</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45718</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45718</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45718</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45718</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45718</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45718</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45718</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45718</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45718</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45718</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45718</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45718</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45718</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45718</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45718</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45718</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45718</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45718</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45718</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45718</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45718</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45718</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45718</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45718</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45718</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45718</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45718</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45718</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45718</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45718</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45718</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45718</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45718</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45718</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45718</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45718</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45718</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45718</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45718</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45718</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45718</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45718</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45718</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45718</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45718</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45718</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45718</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45718</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45718</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45718</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45718</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45718</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45718</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45718</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45718</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45718</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45718</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45718</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45718</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45718</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45718</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45718</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45718</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45718</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45718</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45718</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45718</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45718</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45718</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45718</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45718</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45718</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45718</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45718</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45718</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45718</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45718</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45718</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45718</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45718</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45718</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45718</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45718</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45718</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45718</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45718</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45718</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45718</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45718</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45718</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45718</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45718</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45718</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45718</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45718</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45718</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45718</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45718</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45718</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45718</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45718</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45718</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45718</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45718</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45718</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45718</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45718</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45718</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45718</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45718</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45718</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45718</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45718</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45718</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45718</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45718</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45718</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45718</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45718</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45718</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45718</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45718</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45718</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45718</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45718</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45718</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45718</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45718</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45718</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45718</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45718</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45718</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45718</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45718</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45718</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45718</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45718</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45718</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45718</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45718</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45718</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45718</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45718</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45718</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45718</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45718</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45718</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45718</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45718</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45718</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45718</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45718</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45718</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45718</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45718</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45718</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45718</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45718</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45718</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45718</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45718</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45718</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45718</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45718</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45718</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45718</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45718</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45718</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45718</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45718</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45718</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45718</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45718</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45718</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45718</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45718</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45718</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45718</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45718</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45718</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45718</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45718</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45718</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45718</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45718</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45718</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45718</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45718</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45718</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45718</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45718</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45718</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45718</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45718</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45718</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45718</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45718</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45718</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45718</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45718</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45718</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45718</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45718</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45718</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45718</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45718</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45718</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45718</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45718</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45718</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45718</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45718</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45718</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45718</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45718</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45718</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45718</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45718</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45718</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45718</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45718</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45718</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45718</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45718</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45718</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45718</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45718</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45718</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45718</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45718</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45718</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45718</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45718</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45718</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45718</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45718</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45718</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45718</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45718</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45718</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45718</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45718</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45718</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45718</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45718</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45718</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45718</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45718</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45718</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45718</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45718</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45718</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45718</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45718</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45718</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45718</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45718</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45718</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45718</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45718</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45718</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45718</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45718</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45718</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45718</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45718</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45718</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45718</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45718</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45718</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45718</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45718</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45718</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45718</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45718</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45718</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45718</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45718</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45718</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45718</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45718</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45718</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45718</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45718</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45718</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45718</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45718</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45718</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45718</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45718</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45718</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45718</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45718</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45718</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45718</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45718</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45718</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45718</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45718</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45718</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45718</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45718</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45718</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45718</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45718</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45718</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45718</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45718</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45718</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45718</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45718</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45718</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45718</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45718</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45718</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45718</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45718</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45718</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45718</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45718</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45718</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45718</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45718</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45718</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45718</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45718</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45718</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45718</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45718</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45718</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45718</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45718</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45718</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45718</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45718</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45718</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45718</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45718</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45718</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45718</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45718</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45718</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45718</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45718</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45718</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45718</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45718</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45718</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45718</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45718</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45718</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45718</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45718</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45718</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45718</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45718</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45718</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45718</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45718</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45718</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45718</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45718</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45718</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45718</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45718</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45718</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45718</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45718</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45718</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45718</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45718</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45718</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45718</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45718</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45718</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45718</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45718</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45718</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45718</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45718</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45718</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45718</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45718</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45718</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45718</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45718</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45718</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45718</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45718</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45718</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45718</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45718</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45718</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45718</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45718</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45718</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45718</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45718</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45718</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45718</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45718</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45718</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45718</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45718</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45718</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45718</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45718</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45718</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45718</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45718</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45718</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45718</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45718</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45718</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45718</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45718</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45718</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45718</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45718</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45718</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45718</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45718</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45718</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45718</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45718</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45718</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45718</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45718</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45718</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45718</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45718</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45718</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45718</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45718</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45718</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45718</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45718</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45718</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45718</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45718</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45718</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45718</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45718</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45718</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45718</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45718</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45718</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45718</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45718</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45718</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45718</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45718</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45718</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45718</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45718</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45718</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45718</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45718</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45718</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45718</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45718</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45718</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45718</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45718</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45718</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45718</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45718</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45718</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45718</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45718</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45718</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45718</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45718</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45718</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45718</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45718</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45718</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45718</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45718</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45718</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45718</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45718</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45718</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45718</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45718</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45718</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45718</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45718</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45718</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45718</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45718</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45718</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45718</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45718</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45718</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45718</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45718</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45718</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45718</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45718</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45718</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45718</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45718</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45718</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45718</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45718</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45718</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45718</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45718</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45718</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45718</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45718</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45718</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45718</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45718</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45718</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45718</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45718</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45718</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45718</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45718</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45718</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45718</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45718</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45718</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45718</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45718</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45718</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45718</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45718</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45718</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45718</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45718</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45718</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45718</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45718</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45718</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45718</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45718</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45718</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45718</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45718</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45718</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45718</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45718</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45718</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45718</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45718</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45718</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45718</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45718</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45718</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45718</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45718</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45718</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45718</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45718</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45718</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45718</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45718</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45718</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45718</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45718</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45718</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45718</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45718</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45718</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45718</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45718</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45718</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45718</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45718</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45718</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45718</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45718</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45718</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45718</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45718</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45718</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45718</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45718</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45718</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45718</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45718</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45718</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45718</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45718</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45718</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45718</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45718</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45718</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45718</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45718</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45718</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45718</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45718</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45718</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45718</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45718</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45718</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45718</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45718</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45718</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45718</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45718</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45718</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45718</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45718</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45718</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45718</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45718</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45718</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45718</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45718</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45718</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45718</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45718</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45718</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45718</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45718</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45718</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45718</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45718</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45718</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45718</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45718</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45718</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45718</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45718</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45718</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45718</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45718</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45718</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45718</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45718</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45718</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45718</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45718</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45718</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45718</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45718</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45718</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45718</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45718</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45718</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45718</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45718</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45718</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45718</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45718</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45718</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45718</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45718</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45718</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45718</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45718</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45718</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45718</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45718</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45718</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45718</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45718</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45718</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45718</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45718</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45718</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45718</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45718</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45718</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45718</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45718</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45718</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45718</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45718</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45718</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45718</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45718</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45718</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45718</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45718</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45718</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45718</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45718</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45718</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45718</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45718</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45718</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45718</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45718</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45718</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45718</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45718</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45718</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45718</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45718</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45718</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45718</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45718</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45718</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45718</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45718</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45718</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45718</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45718</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45718</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45718</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45718</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45718</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45718</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45718</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45718</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45718</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45718</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45718</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45718</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45718</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45718</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45718</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45718</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45718</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45718</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45718</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45718</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45718</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45718</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45718</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45718</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45718</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45718</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45718</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45718</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45718</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45718</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45718</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45718</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45718</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45718</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45718</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45718</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45718</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45718</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45718</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45718</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45718</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45718</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45718</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45718</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45718</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45718</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45718</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45718</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45718</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45718</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45718</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45718</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45718</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45718</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45718</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45718</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45718</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45718</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45718</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45718</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45718</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45718</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45718</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45718</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45718</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45718</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45718</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45718</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45718</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45718</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45718</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45718</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45718</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45718</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45718</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45718</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45718</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45718</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45718</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45718</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45718</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45718</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45718</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45718</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45718</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45718</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45718</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45718</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45718</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45718</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45718</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45718</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45718</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45718</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45718</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45718</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45718</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45718</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45718</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45718</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45718</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45718</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45718</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45718</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45718</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45718</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45718</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45718</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45718</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45718</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45718</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45718</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45718</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45718</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45718</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45718</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45718</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45718</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45718</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45718</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45718</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45718</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45718</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45718</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45718</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45718</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45718</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45718</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45718</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45718</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45718</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45718</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45718</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45718</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45718</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45718</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45718</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45718</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45718</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45718</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45718</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45718</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45718</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45718</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45718</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45718</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45718</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45718</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45718</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45718</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45718</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45718</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45718</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45718</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45718</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45718</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45718</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45718</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45718</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45718</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45718</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45718</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45718</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45718</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45718</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45718</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45718</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45718</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45718</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45718</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45718</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45718</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45718</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45718</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45718</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45718</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45718</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45718</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45718</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45718</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45718</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45718</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45718</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45718</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45718</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45718</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45718</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45718</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45718</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45718</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45718</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45718</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45718</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45718</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45718</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45718</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45718</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45718</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45718</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45718</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45718</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45718</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45718</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45718</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45718</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45718</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45718</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45718</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45718</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45718</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45718</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45718</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45718</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45718</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45718</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45718</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45718</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45718</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45718</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45718</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45718</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45718</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45718</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45718</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45718</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45718</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45718</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45718</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45718</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45718</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45718</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45718</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45718</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45718</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45718</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45718</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45718</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45718</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45718</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45718</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45718</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45718</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45718</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45718</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45718</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45718</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45718</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45718</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45718</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45718</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45718</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45718</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45718</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45718</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45718</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45718</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45718</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45718</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45718</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45718</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45718</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45718</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45718</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45718</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45718</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45718</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45718</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45718</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45718</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45718</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45718</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45718</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45718</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45718</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45718</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45718</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45718</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45718</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45718</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45718</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45718</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45718</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45718</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45718</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45718</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45718</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45718</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45718</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45718</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45718</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45718</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45718</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45718</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45718</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45718</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45718</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45718</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45718</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45718</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45718</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45718</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45718</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45718</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45718</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45718</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45718</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45718</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45718</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45718</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45718</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45718</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45718</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45718</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45718</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45718</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45718</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45718</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45718</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45718</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45718</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45718</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45718</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45718</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45718</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45718</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45718</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45718</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45718</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45718</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45718</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45718</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45718</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45718</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45718</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45718</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45718</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45718</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45718</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45718</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45718</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45718</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45718</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45718</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45718</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45718</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45718</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45718</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45718</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45718</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45718</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45718</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45718</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45718</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45718</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45718</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45718</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45718</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45718</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45718</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45718</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45718</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45718</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45718</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45718</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45718</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45718</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45718</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45718</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45718</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45718</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45718</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45718</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45718</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45718</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45718</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45718</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45718</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45718</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45718</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45718</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45718</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45718</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45718</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45718</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45718</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45718</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45718</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45718</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45718</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45718</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45718</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45718</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45718</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45718</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45718</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45718</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45718</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45718</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45718</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45718</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45718</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45718</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45718</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45718</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45718</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45718</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45718</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45718</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45718</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45718</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45718</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45718</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45718</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45718</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45718</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45718</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45718</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45718</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45718</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45718</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45718</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45718</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45718</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45718</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45718</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45718</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45718</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45718</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45718</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45718</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45718</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45718</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45718</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45718</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45718</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45718</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45718</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45718</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45718</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45718</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45718</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45718</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45718</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45718</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45718</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45718</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45718</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45718</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45718</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45718</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45718</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45718</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45718</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45718</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45718</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45718</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45718</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45718</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45718</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45718</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45718</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45718</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45718</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45718</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45718</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45718</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45718</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45718</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45718</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45718</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45718</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45718</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45718</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45718</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45718</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45718</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45718</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45718</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45718</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45718</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45718</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45718</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45718</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45718</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45718</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45718</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45718</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45718</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45718</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45718</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45718</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45718</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45718</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45718</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45718</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45718</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45718</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45718</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45718</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45718</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45718</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45718</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45718</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45718</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45718</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45718</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45718</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45718</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45718</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45718</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45718</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45718</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45718</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45718</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45718</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45718</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45718</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45718</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45718</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45718</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45718</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45718</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45718</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45718</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45718</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45718</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45718</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45718</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45718</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45718</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45718</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45718</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45718</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45718</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45718</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45718</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45718</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45718</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45718</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45718</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45718</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45718</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45718</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45718</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45718</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45718</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45718</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45718</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45718</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45718</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45718</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45718</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45718</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45718</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45718</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45718</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45718</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45718</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45718</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45718</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45718</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45718</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45718</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45718</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45718</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45718</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45718</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45718</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45718</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45718</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45718</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45718</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45718</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45718</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45718</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45718</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45718</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45718</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45718</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45718</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45718</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45718</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45718</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45718</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45718</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45718</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45718</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45718</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45718</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45718</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45718</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45718</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45718</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45718</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45718</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45718</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45718</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45718</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45718</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45718</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45718</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45718</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45718</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45718</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45718</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45718</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45718</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45718</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45718</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45718</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45718</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45718</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45718</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45718</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45718</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45718</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45718</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45718</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45718</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45718</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45718</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45718</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45718</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45718</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45718</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45718</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45718</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45718</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45718</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45718</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45718</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45718</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45718</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45718</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45718</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45718</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45718</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45718</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45718</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45718</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45718</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45718</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45718</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45718</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45718</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45718</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45718</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45718</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45718</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45718</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45718</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45718</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45718</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45718</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45718</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45718</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45718</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45718</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45718</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45718</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45718</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45718</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45718</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45718</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45718</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45718</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45718</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45718</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45718</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45718</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45718</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45718</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45718</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45718</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45718</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45718</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45718</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45718</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45718</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45718</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45718</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45718</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45718</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45718</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45718</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45718</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45718</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45718</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45718</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45718</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45718</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45718</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45718</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45718</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45718</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45718</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45718</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45718</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45718</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45718</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45718</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45718</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45718</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45718</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45718</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45718</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45718</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45718</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45718</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45718</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45718</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45718</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45718</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45718</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45718</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45718</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45718</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45718</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45718</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45718</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45718</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45718</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45718</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45718</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45718</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45718</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45718</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45718</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45718</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45718</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45718</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45718</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45718</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45718</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45718</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45718</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45718</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45718</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45718</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45718</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45718</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45718</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45718</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45718</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45718</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45718</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45718</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45718</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45718</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45718</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45718</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45718</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45718</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45718</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45718</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45718</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45718</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45718</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45718</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45718</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45718</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45718</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45718</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45718</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45718</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45718</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45718</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45718</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45718</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45718</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45718</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45718</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45718</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45718</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45718</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45718</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45718</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45718</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45718</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45718</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45718</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45718</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45718</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45718</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45718</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45718</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45718</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45718</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45718</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45718</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45718</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45718</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45718</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45718</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45718</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45718</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45718</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45718</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45718</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45718</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45718</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45718</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45718</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45718</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45718</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45718</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45718</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45718</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45718</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45718</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45718</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45718</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45718</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45718</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45718</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45718</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45718</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45718</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45718</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45718</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45718</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45718</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45718</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45718</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45718</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45718</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45718</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45718</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45718</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45718</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45718</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45718</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45718</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45718</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45718</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45718</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45718</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45718</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45718</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45718</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45718</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45718</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45718</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45718</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45718</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45718</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45718</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45718</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45718</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45718</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45718</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45718</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45718</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45718</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45718</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45718</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45718</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45718</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45718</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45718</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45718</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45718</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45718</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45718</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45718</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45718</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45718</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45718</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45718</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45718</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45718</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45718</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45718</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45718</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45718</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45718</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45718</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45718</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45718</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45718</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45718</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45718</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45718</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45718</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45718</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45718</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45718</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45718</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45718</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45718</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45718</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45718</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45718</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45718</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45718</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45718</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45718</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45718</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45718</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45718</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45718</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45718</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45718</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45718</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45718</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45718</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45718</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45718</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45718</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45718</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45718</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45718</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45718</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45718</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45718</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45718</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45718</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45718</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45718</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45718</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45718</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45718</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45718</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45718</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45718</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45718</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45718</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45718</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45718</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45718</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45718</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45718</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45718</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45718</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45718</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45718</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45718</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45718</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45718</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45718</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45718</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45718</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45718</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45718</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45718</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45718</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45718</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45718</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45718</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45718</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45718</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45718</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45718</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45718</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45718</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45718</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45718</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45718</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45718</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45718</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45718</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45718</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45718</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45718</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45718</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45718</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45718</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45718</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45718</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45718</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45718</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45718</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45718</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45718</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45718</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45718</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45718</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45718</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45718</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45718</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45718</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45718</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45718</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45718</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45718</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45718</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45718</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45718</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45718</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45718</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45718</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45718</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45718</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45718</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45718</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45718</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45718</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45718</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45718</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45718</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45718</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45718</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45718</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45718</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45718</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45718</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45718</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45718</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45718</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45718</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45718</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45718</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45718</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45718</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45718</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45718</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45718</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45718</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45718</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45718</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45718</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45718</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45718</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45718</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45718</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45718</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45718</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45718</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45718</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45718</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45718</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45718</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45718</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45718</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45718</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45718</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45718</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45718</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45718</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45718</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45718</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45718</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45718</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45718</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45718</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45718</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45718</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45718</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45718</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45718</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45718</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45718</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45718</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45718</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45718</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45718</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45718</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45718</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45718</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45718</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45718</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45718</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45718</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45718</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45718</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45718</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45718</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45718</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45718</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45718</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45718</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45718</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45718</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45718</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45718</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45718</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45718</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45718</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45718</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45718</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45718</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45718</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45718</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45718</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45718</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45718</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45718</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45718</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45718</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45718</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3948-2025</t>
        </is>
      </c>
      <c r="B3040" s="1" t="n">
        <v>45684</v>
      </c>
      <c r="C3040" s="1" t="n">
        <v>45718</v>
      </c>
      <c r="D3040" t="inlineStr">
        <is>
          <t>VÄSTERNORRLANDS LÄN</t>
        </is>
      </c>
      <c r="E3040" t="inlineStr">
        <is>
          <t>SUNDSVALL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45718</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4813-2025</t>
        </is>
      </c>
      <c r="B3042" s="1" t="n">
        <v>45688</v>
      </c>
      <c r="C3042" s="1" t="n">
        <v>45718</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4810-2025</t>
        </is>
      </c>
      <c r="B3043" s="1" t="n">
        <v>45688</v>
      </c>
      <c r="C3043" s="1" t="n">
        <v>45718</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4890-2025</t>
        </is>
      </c>
      <c r="B3044" s="1" t="n">
        <v>45688</v>
      </c>
      <c r="C3044" s="1" t="n">
        <v>45718</v>
      </c>
      <c r="D3044" t="inlineStr">
        <is>
          <t>VÄSTERNORRLANDS LÄN</t>
        </is>
      </c>
      <c r="E3044" t="inlineStr">
        <is>
          <t>SUNDSVALL</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4906-2025</t>
        </is>
      </c>
      <c r="B3045" s="1" t="n">
        <v>45688</v>
      </c>
      <c r="C3045" s="1" t="n">
        <v>45718</v>
      </c>
      <c r="D3045" t="inlineStr">
        <is>
          <t>VÄSTERNORRLANDS LÄN</t>
        </is>
      </c>
      <c r="E3045" t="inlineStr">
        <is>
          <t>SUNDSVALL</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4853-2025</t>
        </is>
      </c>
      <c r="B3046" s="1" t="n">
        <v>45688</v>
      </c>
      <c r="C3046" s="1" t="n">
        <v>45718</v>
      </c>
      <c r="D3046" t="inlineStr">
        <is>
          <t>VÄSTERNORRLANDS LÄN</t>
        </is>
      </c>
      <c r="E3046" t="inlineStr">
        <is>
          <t>SUNDSVALL</t>
        </is>
      </c>
      <c r="F3046" t="inlineStr">
        <is>
          <t>SCA</t>
        </is>
      </c>
      <c r="G3046" t="n">
        <v>18.3</v>
      </c>
      <c r="H3046" t="n">
        <v>0</v>
      </c>
      <c r="I3046" t="n">
        <v>0</v>
      </c>
      <c r="J3046" t="n">
        <v>0</v>
      </c>
      <c r="K3046" t="n">
        <v>0</v>
      </c>
      <c r="L3046" t="n">
        <v>0</v>
      </c>
      <c r="M3046" t="n">
        <v>0</v>
      </c>
      <c r="N3046" t="n">
        <v>0</v>
      </c>
      <c r="O3046" t="n">
        <v>0</v>
      </c>
      <c r="P3046" t="n">
        <v>0</v>
      </c>
      <c r="Q3046" t="n">
        <v>0</v>
      </c>
      <c r="R3046" s="2" t="inlineStr"/>
    </row>
    <row r="3047" ht="15" customHeight="1">
      <c r="A3047" t="inlineStr">
        <is>
          <t>A 4865-2025</t>
        </is>
      </c>
      <c r="B3047" s="1" t="n">
        <v>45688</v>
      </c>
      <c r="C3047" s="1" t="n">
        <v>45718</v>
      </c>
      <c r="D3047" t="inlineStr">
        <is>
          <t>VÄSTERNORRLANDS LÄN</t>
        </is>
      </c>
      <c r="E3047" t="inlineStr">
        <is>
          <t>SUNDSVALL</t>
        </is>
      </c>
      <c r="F3047" t="inlineStr">
        <is>
          <t>SCA</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45718</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4871-2025</t>
        </is>
      </c>
      <c r="B3049" s="1" t="n">
        <v>45688</v>
      </c>
      <c r="C3049" s="1" t="n">
        <v>45718</v>
      </c>
      <c r="D3049" t="inlineStr">
        <is>
          <t>VÄSTERNORRLANDS LÄN</t>
        </is>
      </c>
      <c r="E3049" t="inlineStr">
        <is>
          <t>SUNDSVALL</t>
        </is>
      </c>
      <c r="F3049" t="inlineStr">
        <is>
          <t>SCA</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4933-2025</t>
        </is>
      </c>
      <c r="B3050" s="1" t="n">
        <v>45688</v>
      </c>
      <c r="C3050" s="1" t="n">
        <v>45718</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4932-2025</t>
        </is>
      </c>
      <c r="B3051" s="1" t="n">
        <v>45688</v>
      </c>
      <c r="C3051" s="1" t="n">
        <v>45718</v>
      </c>
      <c r="D3051" t="inlineStr">
        <is>
          <t>VÄSTERNORRLANDS LÄN</t>
        </is>
      </c>
      <c r="E3051" t="inlineStr">
        <is>
          <t>SUNDSVALL</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4900-2025</t>
        </is>
      </c>
      <c r="B3052" s="1" t="n">
        <v>45688</v>
      </c>
      <c r="C3052" s="1" t="n">
        <v>45718</v>
      </c>
      <c r="D3052" t="inlineStr">
        <is>
          <t>VÄSTERNORRLANDS LÄN</t>
        </is>
      </c>
      <c r="E3052" t="inlineStr">
        <is>
          <t>SUNDSVALL</t>
        </is>
      </c>
      <c r="F3052" t="inlineStr">
        <is>
          <t>SCA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4888-2025</t>
        </is>
      </c>
      <c r="B3053" s="1" t="n">
        <v>45688</v>
      </c>
      <c r="C3053" s="1" t="n">
        <v>45718</v>
      </c>
      <c r="D3053" t="inlineStr">
        <is>
          <t>VÄSTERNORRLANDS LÄN</t>
        </is>
      </c>
      <c r="E3053" t="inlineStr">
        <is>
          <t>SUNDSVALL</t>
        </is>
      </c>
      <c r="F3053" t="inlineStr">
        <is>
          <t>SCA</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4784-2025</t>
        </is>
      </c>
      <c r="B3054" s="1" t="n">
        <v>45688</v>
      </c>
      <c r="C3054" s="1" t="n">
        <v>45718</v>
      </c>
      <c r="D3054" t="inlineStr">
        <is>
          <t>VÄSTERNORRLANDS LÄN</t>
        </is>
      </c>
      <c r="E3054" t="inlineStr">
        <is>
          <t>SUNDSVALL</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45718</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45718</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5049-2025</t>
        </is>
      </c>
      <c r="B3057" s="1" t="n">
        <v>45691</v>
      </c>
      <c r="C3057" s="1" t="n">
        <v>45718</v>
      </c>
      <c r="D3057" t="inlineStr">
        <is>
          <t>VÄSTERNORRLANDS LÄN</t>
        </is>
      </c>
      <c r="E3057" t="inlineStr">
        <is>
          <t>SUNDSVALL</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45718</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45718</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5362-2025</t>
        </is>
      </c>
      <c r="B3060" s="1" t="n">
        <v>45692</v>
      </c>
      <c r="C3060" s="1" t="n">
        <v>45718</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5267-2025</t>
        </is>
      </c>
      <c r="B3061" s="1" t="n">
        <v>45692</v>
      </c>
      <c r="C3061" s="1" t="n">
        <v>45718</v>
      </c>
      <c r="D3061" t="inlineStr">
        <is>
          <t>VÄSTERNORRLANDS LÄN</t>
        </is>
      </c>
      <c r="E3061" t="inlineStr">
        <is>
          <t>SUNDSVALL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45718</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45718</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45718</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45718</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5569-2025</t>
        </is>
      </c>
      <c r="B3066" s="1" t="n">
        <v>45693</v>
      </c>
      <c r="C3066" s="1" t="n">
        <v>45718</v>
      </c>
      <c r="D3066" t="inlineStr">
        <is>
          <t>VÄSTERNORRLANDS LÄN</t>
        </is>
      </c>
      <c r="E3066" t="inlineStr">
        <is>
          <t>SUNDSVALL</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45718</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45718</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45718</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6670-2025</t>
        </is>
      </c>
      <c r="B3070" s="1" t="n">
        <v>45700</v>
      </c>
      <c r="C3070" s="1" t="n">
        <v>45718</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6656-2025</t>
        </is>
      </c>
      <c r="B3071" s="1" t="n">
        <v>45700</v>
      </c>
      <c r="C3071" s="1" t="n">
        <v>45718</v>
      </c>
      <c r="D3071" t="inlineStr">
        <is>
          <t>VÄSTERNORRLANDS LÄN</t>
        </is>
      </c>
      <c r="E3071" t="inlineStr">
        <is>
          <t>SUNDSVALL</t>
        </is>
      </c>
      <c r="F3071" t="inlineStr">
        <is>
          <t>SCA</t>
        </is>
      </c>
      <c r="G3071" t="n">
        <v>13.5</v>
      </c>
      <c r="H3071" t="n">
        <v>0</v>
      </c>
      <c r="I3071" t="n">
        <v>0</v>
      </c>
      <c r="J3071" t="n">
        <v>0</v>
      </c>
      <c r="K3071" t="n">
        <v>0</v>
      </c>
      <c r="L3071" t="n">
        <v>0</v>
      </c>
      <c r="M3071" t="n">
        <v>0</v>
      </c>
      <c r="N3071" t="n">
        <v>0</v>
      </c>
      <c r="O3071" t="n">
        <v>0</v>
      </c>
      <c r="P3071" t="n">
        <v>0</v>
      </c>
      <c r="Q3071" t="n">
        <v>0</v>
      </c>
      <c r="R3071" s="2" t="inlineStr"/>
    </row>
    <row r="3072" ht="15" customHeight="1">
      <c r="A3072" t="inlineStr">
        <is>
          <t>A 6673-2025</t>
        </is>
      </c>
      <c r="B3072" s="1" t="n">
        <v>45700</v>
      </c>
      <c r="C3072" s="1" t="n">
        <v>45718</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6672-2025</t>
        </is>
      </c>
      <c r="B3073" s="1" t="n">
        <v>45700</v>
      </c>
      <c r="C3073" s="1" t="n">
        <v>45718</v>
      </c>
      <c r="D3073" t="inlineStr">
        <is>
          <t>VÄSTERNORRLANDS LÄN</t>
        </is>
      </c>
      <c r="E3073" t="inlineStr">
        <is>
          <t>SUNDSVALL</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6702-2025</t>
        </is>
      </c>
      <c r="B3074" s="1" t="n">
        <v>45700</v>
      </c>
      <c r="C3074" s="1" t="n">
        <v>45718</v>
      </c>
      <c r="D3074" t="inlineStr">
        <is>
          <t>VÄSTERNORRLANDS LÄN</t>
        </is>
      </c>
      <c r="E3074" t="inlineStr">
        <is>
          <t>SUNDSVALL</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6709-2025</t>
        </is>
      </c>
      <c r="B3075" s="1" t="n">
        <v>45700</v>
      </c>
      <c r="C3075" s="1" t="n">
        <v>45718</v>
      </c>
      <c r="D3075" t="inlineStr">
        <is>
          <t>VÄSTERNORRLANDS LÄN</t>
        </is>
      </c>
      <c r="E3075" t="inlineStr">
        <is>
          <t>SUNDSVALL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6777-2025</t>
        </is>
      </c>
      <c r="B3076" s="1" t="n">
        <v>45700</v>
      </c>
      <c r="C3076" s="1" t="n">
        <v>45718</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6654-2025</t>
        </is>
      </c>
      <c r="B3077" s="1" t="n">
        <v>45700</v>
      </c>
      <c r="C3077" s="1" t="n">
        <v>45718</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6704-2025</t>
        </is>
      </c>
      <c r="B3078" s="1" t="n">
        <v>45700</v>
      </c>
      <c r="C3078" s="1" t="n">
        <v>45718</v>
      </c>
      <c r="D3078" t="inlineStr">
        <is>
          <t>VÄSTERNORRLANDS LÄN</t>
        </is>
      </c>
      <c r="E3078" t="inlineStr">
        <is>
          <t>SUNDSVALL</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6708-2025</t>
        </is>
      </c>
      <c r="B3079" s="1" t="n">
        <v>45700</v>
      </c>
      <c r="C3079" s="1" t="n">
        <v>45718</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6880-2025</t>
        </is>
      </c>
      <c r="B3080" s="1" t="n">
        <v>45701</v>
      </c>
      <c r="C3080" s="1" t="n">
        <v>45718</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6969-2025</t>
        </is>
      </c>
      <c r="B3081" s="1" t="n">
        <v>45701</v>
      </c>
      <c r="C3081" s="1" t="n">
        <v>45718</v>
      </c>
      <c r="D3081" t="inlineStr">
        <is>
          <t>VÄSTERNORRLANDS LÄN</t>
        </is>
      </c>
      <c r="E3081" t="inlineStr">
        <is>
          <t>SUNDSVALL</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6882-2025</t>
        </is>
      </c>
      <c r="B3082" s="1" t="n">
        <v>45701</v>
      </c>
      <c r="C3082" s="1" t="n">
        <v>45718</v>
      </c>
      <c r="D3082" t="inlineStr">
        <is>
          <t>VÄSTERNORRLANDS LÄN</t>
        </is>
      </c>
      <c r="E3082" t="inlineStr">
        <is>
          <t>SUNDSVALL</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45718</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7089-2025</t>
        </is>
      </c>
      <c r="B3084" s="1" t="n">
        <v>45701</v>
      </c>
      <c r="C3084" s="1" t="n">
        <v>45718</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45718</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7091-2025</t>
        </is>
      </c>
      <c r="B3086" s="1" t="n">
        <v>45701</v>
      </c>
      <c r="C3086" s="1" t="n">
        <v>45718</v>
      </c>
      <c r="D3086" t="inlineStr">
        <is>
          <t>VÄSTERNORRLANDS LÄN</t>
        </is>
      </c>
      <c r="E3086" t="inlineStr">
        <is>
          <t>SUNDSVALL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45718</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7265-2025</t>
        </is>
      </c>
      <c r="B3088" s="1" t="n">
        <v>45702</v>
      </c>
      <c r="C3088" s="1" t="n">
        <v>45718</v>
      </c>
      <c r="D3088" t="inlineStr">
        <is>
          <t>VÄSTERNORRLANDS LÄN</t>
        </is>
      </c>
      <c r="E3088" t="inlineStr">
        <is>
          <t>SUNDSVALL</t>
        </is>
      </c>
      <c r="F3088" t="inlineStr">
        <is>
          <t>SCA</t>
        </is>
      </c>
      <c r="G3088" t="n">
        <v>6.2</v>
      </c>
      <c r="H3088" t="n">
        <v>0</v>
      </c>
      <c r="I3088" t="n">
        <v>0</v>
      </c>
      <c r="J3088" t="n">
        <v>0</v>
      </c>
      <c r="K3088" t="n">
        <v>0</v>
      </c>
      <c r="L3088" t="n">
        <v>0</v>
      </c>
      <c r="M3088" t="n">
        <v>0</v>
      </c>
      <c r="N3088" t="n">
        <v>0</v>
      </c>
      <c r="O3088" t="n">
        <v>0</v>
      </c>
      <c r="P3088" t="n">
        <v>0</v>
      </c>
      <c r="Q3088" t="n">
        <v>0</v>
      </c>
      <c r="R3088" s="2" t="inlineStr"/>
      <c r="U3088">
        <f>HYPERLINK("https://klasma.github.io/Logging_2281/knärot/A 7265-2025 karta knärot.png", "A 7265-2025")</f>
        <v/>
      </c>
      <c r="V3088">
        <f>HYPERLINK("https://klasma.github.io/Logging_2281/klagomål/A 7265-2025 FSC-klagomål.docx", "A 7265-2025")</f>
        <v/>
      </c>
      <c r="W3088">
        <f>HYPERLINK("https://klasma.github.io/Logging_2281/klagomålsmail/A 7265-2025 FSC-klagomål mail.docx", "A 7265-2025")</f>
        <v/>
      </c>
      <c r="X3088">
        <f>HYPERLINK("https://klasma.github.io/Logging_2281/tillsyn/A 7265-2025 tillsynsbegäran.docx", "A 7265-2025")</f>
        <v/>
      </c>
      <c r="Y3088">
        <f>HYPERLINK("https://klasma.github.io/Logging_2281/tillsynsmail/A 7265-2025 tillsynsbegäran mail.docx", "A 7265-2025")</f>
        <v/>
      </c>
    </row>
    <row r="3089" ht="15" customHeight="1">
      <c r="A3089" t="inlineStr">
        <is>
          <t>A 7264-2025</t>
        </is>
      </c>
      <c r="B3089" s="1" t="n">
        <v>45702</v>
      </c>
      <c r="C3089" s="1" t="n">
        <v>45718</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45718</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7292-2025</t>
        </is>
      </c>
      <c r="B3091" s="1" t="n">
        <v>45702</v>
      </c>
      <c r="C3091" s="1" t="n">
        <v>45718</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7416-2025</t>
        </is>
      </c>
      <c r="B3092" s="1" t="n">
        <v>45705</v>
      </c>
      <c r="C3092" s="1" t="n">
        <v>45718</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7419-2025</t>
        </is>
      </c>
      <c r="B3093" s="1" t="n">
        <v>45705</v>
      </c>
      <c r="C3093" s="1" t="n">
        <v>45718</v>
      </c>
      <c r="D3093" t="inlineStr">
        <is>
          <t>VÄSTERNORRLANDS LÄN</t>
        </is>
      </c>
      <c r="E3093" t="inlineStr">
        <is>
          <t>SUNDSVALL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45718</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45718</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7579-2025</t>
        </is>
      </c>
      <c r="B3096" s="1" t="n">
        <v>45705</v>
      </c>
      <c r="C3096" s="1" t="n">
        <v>45718</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7612-2025</t>
        </is>
      </c>
      <c r="B3097" s="1" t="n">
        <v>45705</v>
      </c>
      <c r="C3097" s="1" t="n">
        <v>45718</v>
      </c>
      <c r="D3097" t="inlineStr">
        <is>
          <t>VÄSTERNORRLANDS LÄN</t>
        </is>
      </c>
      <c r="E3097" t="inlineStr">
        <is>
          <t>SUNDSVALL</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7427-2025</t>
        </is>
      </c>
      <c r="B3098" s="1" t="n">
        <v>45705</v>
      </c>
      <c r="C3098" s="1" t="n">
        <v>45718</v>
      </c>
      <c r="D3098" t="inlineStr">
        <is>
          <t>VÄSTERNORRLANDS LÄN</t>
        </is>
      </c>
      <c r="E3098" t="inlineStr">
        <is>
          <t>SUNDSVALL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7839-2025</t>
        </is>
      </c>
      <c r="B3099" s="1" t="n">
        <v>45706</v>
      </c>
      <c r="C3099" s="1" t="n">
        <v>45718</v>
      </c>
      <c r="D3099" t="inlineStr">
        <is>
          <t>VÄSTERNORRLANDS LÄN</t>
        </is>
      </c>
      <c r="E3099" t="inlineStr">
        <is>
          <t>SUNDSVALL</t>
        </is>
      </c>
      <c r="G3099" t="n">
        <v>10.1</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45718</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7961-2025</t>
        </is>
      </c>
      <c r="B3101" s="1" t="n">
        <v>45707</v>
      </c>
      <c r="C3101" s="1" t="n">
        <v>45718</v>
      </c>
      <c r="D3101" t="inlineStr">
        <is>
          <t>VÄSTERNORRLANDS LÄN</t>
        </is>
      </c>
      <c r="E3101" t="inlineStr">
        <is>
          <t>SUNDSVALL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7960-2025</t>
        </is>
      </c>
      <c r="B3102" s="1" t="n">
        <v>45707</v>
      </c>
      <c r="C3102" s="1" t="n">
        <v>45718</v>
      </c>
      <c r="D3102" t="inlineStr">
        <is>
          <t>VÄSTERNORRLANDS LÄN</t>
        </is>
      </c>
      <c r="E3102" t="inlineStr">
        <is>
          <t>SUNDSVALL</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7925-2025</t>
        </is>
      </c>
      <c r="B3103" s="1" t="n">
        <v>45707</v>
      </c>
      <c r="C3103" s="1" t="n">
        <v>45718</v>
      </c>
      <c r="D3103" t="inlineStr">
        <is>
          <t>VÄSTERNORRLANDS LÄN</t>
        </is>
      </c>
      <c r="E3103" t="inlineStr">
        <is>
          <t>SUNDSVALL</t>
        </is>
      </c>
      <c r="F3103" t="inlineStr">
        <is>
          <t>SCA</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7939-2025</t>
        </is>
      </c>
      <c r="B3104" s="1" t="n">
        <v>45707</v>
      </c>
      <c r="C3104" s="1" t="n">
        <v>45718</v>
      </c>
      <c r="D3104" t="inlineStr">
        <is>
          <t>VÄSTERNORRLANDS LÄN</t>
        </is>
      </c>
      <c r="E3104" t="inlineStr">
        <is>
          <t>SUNDSVALL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7959-2025</t>
        </is>
      </c>
      <c r="B3105" s="1" t="n">
        <v>45707</v>
      </c>
      <c r="C3105" s="1" t="n">
        <v>45718</v>
      </c>
      <c r="D3105" t="inlineStr">
        <is>
          <t>VÄSTERNORRLANDS LÄN</t>
        </is>
      </c>
      <c r="E3105" t="inlineStr">
        <is>
          <t>SUNDSVALL</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7967-2025</t>
        </is>
      </c>
      <c r="B3106" s="1" t="n">
        <v>45707</v>
      </c>
      <c r="C3106" s="1" t="n">
        <v>45718</v>
      </c>
      <c r="D3106" t="inlineStr">
        <is>
          <t>VÄSTERNORRLANDS LÄN</t>
        </is>
      </c>
      <c r="E3106" t="inlineStr">
        <is>
          <t>SUNDSVALL</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7924-2025</t>
        </is>
      </c>
      <c r="B3107" s="1" t="n">
        <v>45707</v>
      </c>
      <c r="C3107" s="1" t="n">
        <v>45718</v>
      </c>
      <c r="D3107" t="inlineStr">
        <is>
          <t>VÄSTERNORRLANDS LÄN</t>
        </is>
      </c>
      <c r="E3107" t="inlineStr">
        <is>
          <t>SUNDSVALL</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7962-2025</t>
        </is>
      </c>
      <c r="B3108" s="1" t="n">
        <v>45707</v>
      </c>
      <c r="C3108" s="1" t="n">
        <v>45718</v>
      </c>
      <c r="D3108" t="inlineStr">
        <is>
          <t>VÄSTERNORRLANDS LÄN</t>
        </is>
      </c>
      <c r="E3108" t="inlineStr">
        <is>
          <t>SUNDSVALL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45718</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45718</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v>
      </c>
      <c r="C3111" s="1" t="n">
        <v>45718</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45718</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8531-2025</t>
        </is>
      </c>
      <c r="B3113" s="1" t="n">
        <v>45709</v>
      </c>
      <c r="C3113" s="1" t="n">
        <v>45718</v>
      </c>
      <c r="D3113" t="inlineStr">
        <is>
          <t>VÄSTERNORRLANDS LÄN</t>
        </is>
      </c>
      <c r="E3113" t="inlineStr">
        <is>
          <t>SUNDSVALL</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8463-2025</t>
        </is>
      </c>
      <c r="B3114" s="1" t="n">
        <v>45709</v>
      </c>
      <c r="C3114" s="1" t="n">
        <v>45718</v>
      </c>
      <c r="D3114" t="inlineStr">
        <is>
          <t>VÄSTERNORRLANDS LÄN</t>
        </is>
      </c>
      <c r="E3114" t="inlineStr">
        <is>
          <t>SUNDSVALL</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45718</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45718</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8705-2025</t>
        </is>
      </c>
      <c r="B3117" s="1" t="n">
        <v>45712</v>
      </c>
      <c r="C3117" s="1" t="n">
        <v>45718</v>
      </c>
      <c r="D3117" t="inlineStr">
        <is>
          <t>VÄSTERNORRLANDS LÄN</t>
        </is>
      </c>
      <c r="E3117" t="inlineStr">
        <is>
          <t>SUNDSVALL</t>
        </is>
      </c>
      <c r="F3117" t="inlineStr">
        <is>
          <t>SCA</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8796-2025</t>
        </is>
      </c>
      <c r="B3118" s="1" t="n">
        <v>45712</v>
      </c>
      <c r="C3118" s="1" t="n">
        <v>45718</v>
      </c>
      <c r="D3118" t="inlineStr">
        <is>
          <t>VÄSTERNORRLANDS LÄN</t>
        </is>
      </c>
      <c r="E3118" t="inlineStr">
        <is>
          <t>SUNDSVALL</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8731-2025</t>
        </is>
      </c>
      <c r="B3119" s="1" t="n">
        <v>45712</v>
      </c>
      <c r="C3119" s="1" t="n">
        <v>45718</v>
      </c>
      <c r="D3119" t="inlineStr">
        <is>
          <t>VÄSTERNORRLANDS LÄN</t>
        </is>
      </c>
      <c r="E3119" t="inlineStr">
        <is>
          <t>SUNDSVALL</t>
        </is>
      </c>
      <c r="F3119" t="inlineStr">
        <is>
          <t>SCA</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8813-2025</t>
        </is>
      </c>
      <c r="B3120" s="1" t="n">
        <v>45712</v>
      </c>
      <c r="C3120" s="1" t="n">
        <v>45718</v>
      </c>
      <c r="D3120" t="inlineStr">
        <is>
          <t>VÄSTERNORRLANDS LÄN</t>
        </is>
      </c>
      <c r="E3120" t="inlineStr">
        <is>
          <t>SUNDSVALL</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8708-2025</t>
        </is>
      </c>
      <c r="B3121" s="1" t="n">
        <v>45712</v>
      </c>
      <c r="C3121" s="1" t="n">
        <v>45718</v>
      </c>
      <c r="D3121" t="inlineStr">
        <is>
          <t>VÄSTERNORRLANDS LÄN</t>
        </is>
      </c>
      <c r="E3121" t="inlineStr">
        <is>
          <t>SUNDSVALL</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8732-2025</t>
        </is>
      </c>
      <c r="B3122" s="1" t="n">
        <v>45712</v>
      </c>
      <c r="C3122" s="1" t="n">
        <v>45718</v>
      </c>
      <c r="D3122" t="inlineStr">
        <is>
          <t>VÄSTERNORRLANDS LÄN</t>
        </is>
      </c>
      <c r="E3122" t="inlineStr">
        <is>
          <t>SUNDSVALL</t>
        </is>
      </c>
      <c r="F3122" t="inlineStr">
        <is>
          <t>SCA</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8794-2025</t>
        </is>
      </c>
      <c r="B3123" s="1" t="n">
        <v>45712</v>
      </c>
      <c r="C3123" s="1" t="n">
        <v>45718</v>
      </c>
      <c r="D3123" t="inlineStr">
        <is>
          <t>VÄSTERNORRLANDS LÄN</t>
        </is>
      </c>
      <c r="E3123" t="inlineStr">
        <is>
          <t>SUNDSVALL</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8850-2025</t>
        </is>
      </c>
      <c r="B3124" s="1" t="n">
        <v>45713</v>
      </c>
      <c r="C3124" s="1" t="n">
        <v>45718</v>
      </c>
      <c r="D3124" t="inlineStr">
        <is>
          <t>VÄSTERNORRLANDS LÄN</t>
        </is>
      </c>
      <c r="E3124" t="inlineStr">
        <is>
          <t>SUNDSVALL</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8849-2025</t>
        </is>
      </c>
      <c r="B3125" s="1" t="n">
        <v>45713</v>
      </c>
      <c r="C3125" s="1" t="n">
        <v>45718</v>
      </c>
      <c r="D3125" t="inlineStr">
        <is>
          <t>VÄSTERNORRLANDS LÄN</t>
        </is>
      </c>
      <c r="E3125" t="inlineStr">
        <is>
          <t>SUNDSVALL</t>
        </is>
      </c>
      <c r="F3125" t="inlineStr">
        <is>
          <t>SCA</t>
        </is>
      </c>
      <c r="G3125" t="n">
        <v>23.4</v>
      </c>
      <c r="H3125" t="n">
        <v>0</v>
      </c>
      <c r="I3125" t="n">
        <v>0</v>
      </c>
      <c r="J3125" t="n">
        <v>0</v>
      </c>
      <c r="K3125" t="n">
        <v>0</v>
      </c>
      <c r="L3125" t="n">
        <v>0</v>
      </c>
      <c r="M3125" t="n">
        <v>0</v>
      </c>
      <c r="N3125" t="n">
        <v>0</v>
      </c>
      <c r="O3125" t="n">
        <v>0</v>
      </c>
      <c r="P3125" t="n">
        <v>0</v>
      </c>
      <c r="Q3125" t="n">
        <v>0</v>
      </c>
      <c r="R3125" s="2" t="inlineStr"/>
    </row>
    <row r="3126" ht="15" customHeight="1">
      <c r="A3126" t="inlineStr">
        <is>
          <t>A 9018-2025</t>
        </is>
      </c>
      <c r="B3126" s="1" t="n">
        <v>45713</v>
      </c>
      <c r="C3126" s="1" t="n">
        <v>45718</v>
      </c>
      <c r="D3126" t="inlineStr">
        <is>
          <t>VÄSTERNORRLANDS LÄN</t>
        </is>
      </c>
      <c r="E3126" t="inlineStr">
        <is>
          <t>SUNDSVALL</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9102-2025</t>
        </is>
      </c>
      <c r="B3127" s="1" t="n">
        <v>45713</v>
      </c>
      <c r="C3127" s="1" t="n">
        <v>45718</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45718</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9276-2025</t>
        </is>
      </c>
      <c r="B3129" s="1" t="n">
        <v>45714</v>
      </c>
      <c r="C3129" s="1" t="n">
        <v>45718</v>
      </c>
      <c r="D3129" t="inlineStr">
        <is>
          <t>VÄSTERNORRLANDS LÄN</t>
        </is>
      </c>
      <c r="E3129" t="inlineStr">
        <is>
          <t>SUNDSVALL</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45718</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9507-2025</t>
        </is>
      </c>
      <c r="B3131" s="1" t="n">
        <v>45714</v>
      </c>
      <c r="C3131" s="1" t="n">
        <v>45718</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9470-2025</t>
        </is>
      </c>
      <c r="B3132" s="1" t="n">
        <v>45715</v>
      </c>
      <c r="C3132" s="1" t="n">
        <v>45718</v>
      </c>
      <c r="D3132" t="inlineStr">
        <is>
          <t>VÄSTERNORRLANDS LÄN</t>
        </is>
      </c>
      <c r="E3132" t="inlineStr">
        <is>
          <t>SUNDSVALL</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9514-2025</t>
        </is>
      </c>
      <c r="B3133" s="1" t="n">
        <v>45715</v>
      </c>
      <c r="C3133" s="1" t="n">
        <v>45718</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9616-2025</t>
        </is>
      </c>
      <c r="B3134" s="1" t="n">
        <v>45715</v>
      </c>
      <c r="C3134" s="1" t="n">
        <v>45718</v>
      </c>
      <c r="D3134" t="inlineStr">
        <is>
          <t>VÄSTERNORRLANDS LÄN</t>
        </is>
      </c>
      <c r="E3134" t="inlineStr">
        <is>
          <t>SUNDSVALL</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9469-2025</t>
        </is>
      </c>
      <c r="B3135" s="1" t="n">
        <v>45715</v>
      </c>
      <c r="C3135" s="1" t="n">
        <v>45718</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9509-2025</t>
        </is>
      </c>
      <c r="B3136" s="1" t="n">
        <v>45715</v>
      </c>
      <c r="C3136" s="1" t="n">
        <v>45718</v>
      </c>
      <c r="D3136" t="inlineStr">
        <is>
          <t>VÄSTERNORRLANDS LÄN</t>
        </is>
      </c>
      <c r="E3136" t="inlineStr">
        <is>
          <t>SUNDSVALL</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9609-2025</t>
        </is>
      </c>
      <c r="B3137" s="1" t="n">
        <v>45715</v>
      </c>
      <c r="C3137" s="1" t="n">
        <v>45718</v>
      </c>
      <c r="D3137" t="inlineStr">
        <is>
          <t>VÄSTERNORRLANDS LÄN</t>
        </is>
      </c>
      <c r="E3137" t="inlineStr">
        <is>
          <t>SUNDSVALL</t>
        </is>
      </c>
      <c r="F3137" t="inlineStr">
        <is>
          <t>SCA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9566-2025</t>
        </is>
      </c>
      <c r="B3138" s="1" t="n">
        <v>45715</v>
      </c>
      <c r="C3138" s="1" t="n">
        <v>45718</v>
      </c>
      <c r="D3138" t="inlineStr">
        <is>
          <t>VÄSTERNORRLANDS LÄN</t>
        </is>
      </c>
      <c r="E3138" t="inlineStr">
        <is>
          <t>SUNDSVALL</t>
        </is>
      </c>
      <c r="F3138" t="inlineStr">
        <is>
          <t>SCA</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9579-2025</t>
        </is>
      </c>
      <c r="B3139" s="1" t="n">
        <v>45715</v>
      </c>
      <c r="C3139" s="1" t="n">
        <v>45718</v>
      </c>
      <c r="D3139" t="inlineStr">
        <is>
          <t>VÄSTERNORRLANDS LÄN</t>
        </is>
      </c>
      <c r="E3139" t="inlineStr">
        <is>
          <t>SUNDSVALL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9598-2025</t>
        </is>
      </c>
      <c r="B3140" s="1" t="n">
        <v>45715</v>
      </c>
      <c r="C3140" s="1" t="n">
        <v>45718</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row r="3141">
      <c r="A3141" t="inlineStr">
        <is>
          <t>A 9709-2025</t>
        </is>
      </c>
      <c r="B3141" s="1" t="n">
        <v>45716</v>
      </c>
      <c r="C3141" s="1" t="n">
        <v>45718</v>
      </c>
      <c r="D3141" t="inlineStr">
        <is>
          <t>VÄSTERNORRLANDS LÄN</t>
        </is>
      </c>
      <c r="E3141" t="inlineStr">
        <is>
          <t>SUNDSVALL</t>
        </is>
      </c>
      <c r="F3141" t="inlineStr">
        <is>
          <t>SCA</t>
        </is>
      </c>
      <c r="G3141" t="n">
        <v>3.6</v>
      </c>
      <c r="H3141" t="n">
        <v>0</v>
      </c>
      <c r="I3141" t="n">
        <v>0</v>
      </c>
      <c r="J3141" t="n">
        <v>0</v>
      </c>
      <c r="K3141" t="n">
        <v>0</v>
      </c>
      <c r="L3141" t="n">
        <v>0</v>
      </c>
      <c r="M3141" t="n">
        <v>0</v>
      </c>
      <c r="N3141" t="n">
        <v>0</v>
      </c>
      <c r="O3141" t="n">
        <v>0</v>
      </c>
      <c r="P3141" t="n">
        <v>0</v>
      </c>
      <c r="Q3141" t="n">
        <v>0</v>
      </c>
      <c r="R3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2025-03-02T16:59:33Z</dcterms:created>
  <dcterms:modified xmlns:dcterms="http://purl.org/dc/terms/" xmlns:xsi="http://www.w3.org/2001/XMLSchema-instance" xsi:type="dcterms:W3CDTF">2025-03-02T16:59:36Z</dcterms:modified>
</cp:coreProperties>
</file>