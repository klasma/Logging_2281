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45961</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45961</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45961</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45961</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45961</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45961</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45961</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45961</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45961</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59396-2022</t>
        </is>
      </c>
      <c r="B11" s="1" t="n">
        <v>44906</v>
      </c>
      <c r="C11" s="1" t="n">
        <v>45961</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34866-2024</t>
        </is>
      </c>
      <c r="B12" s="1" t="n">
        <v>45527</v>
      </c>
      <c r="C12" s="1" t="n">
        <v>45961</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26392-2025</t>
        </is>
      </c>
      <c r="B13" s="1" t="n">
        <v>45806.67745370371</v>
      </c>
      <c r="C13" s="1" t="n">
        <v>45961</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45961</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45961</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45961</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45961</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45961</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45961</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45961</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45961</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40603-2022</t>
        </is>
      </c>
      <c r="B22" s="1" t="n">
        <v>44823</v>
      </c>
      <c r="C22" s="1" t="n">
        <v>45961</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45961</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20708-2025</t>
        </is>
      </c>
      <c r="B24" s="1" t="n">
        <v>45776.48438657408</v>
      </c>
      <c r="C24" s="1" t="n">
        <v>45961</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18532-2025</t>
        </is>
      </c>
      <c r="B25" s="1" t="n">
        <v>45763</v>
      </c>
      <c r="C25" s="1" t="n">
        <v>45961</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20024-2025</t>
        </is>
      </c>
      <c r="B26" s="1" t="n">
        <v>45772</v>
      </c>
      <c r="C26" s="1" t="n">
        <v>45961</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19827-2025</t>
        </is>
      </c>
      <c r="B27" s="1" t="n">
        <v>45771.46918981482</v>
      </c>
      <c r="C27" s="1" t="n">
        <v>45961</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16398-2023</t>
        </is>
      </c>
      <c r="B28" s="1" t="n">
        <v>45022</v>
      </c>
      <c r="C28" s="1" t="n">
        <v>45961</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49327-2023</t>
        </is>
      </c>
      <c r="B29" s="1" t="n">
        <v>45210</v>
      </c>
      <c r="C29" s="1" t="n">
        <v>45961</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9201-2022</t>
        </is>
      </c>
      <c r="B30" s="1" t="n">
        <v>44615.92618055556</v>
      </c>
      <c r="C30" s="1" t="n">
        <v>45961</v>
      </c>
      <c r="D30" t="inlineStr">
        <is>
          <t>VÄSTERNORRLANDS LÄN</t>
        </is>
      </c>
      <c r="E30" t="inlineStr">
        <is>
          <t>SUNDSVALL</t>
        </is>
      </c>
      <c r="G30" t="n">
        <v>9.699999999999999</v>
      </c>
      <c r="H30" t="n">
        <v>4</v>
      </c>
      <c r="I30" t="n">
        <v>1</v>
      </c>
      <c r="J30" t="n">
        <v>6</v>
      </c>
      <c r="K30" t="n">
        <v>1</v>
      </c>
      <c r="L30" t="n">
        <v>0</v>
      </c>
      <c r="M30" t="n">
        <v>0</v>
      </c>
      <c r="N30" t="n">
        <v>0</v>
      </c>
      <c r="O30" t="n">
        <v>7</v>
      </c>
      <c r="P30" t="n">
        <v>1</v>
      </c>
      <c r="Q30" t="n">
        <v>10</v>
      </c>
      <c r="R30" s="2" t="inlineStr">
        <is>
          <t>Knärot
Garnlav
Kortskaftad ärgspik
Orange taggsvamp
Spillkråka
Ullticka
Vedskivlav
Bronshjon
Tjäder
Vanlig padda</t>
        </is>
      </c>
      <c r="S30">
        <f>HYPERLINK("https://klasma.github.io/Logging_2281/artfynd/A 9201-2022 artfynd.xlsx", "A 9201-2022")</f>
        <v/>
      </c>
      <c r="T30">
        <f>HYPERLINK("https://klasma.github.io/Logging_2281/kartor/A 9201-2022 karta.png", "A 9201-2022")</f>
        <v/>
      </c>
      <c r="U30">
        <f>HYPERLINK("https://klasma.github.io/Logging_2281/knärot/A 9201-2022 karta knärot.png", "A 9201-2022")</f>
        <v/>
      </c>
      <c r="V30">
        <f>HYPERLINK("https://klasma.github.io/Logging_2281/klagomål/A 9201-2022 FSC-klagomål.docx", "A 9201-2022")</f>
        <v/>
      </c>
      <c r="W30">
        <f>HYPERLINK("https://klasma.github.io/Logging_2281/klagomålsmail/A 9201-2022 FSC-klagomål mail.docx", "A 9201-2022")</f>
        <v/>
      </c>
      <c r="X30">
        <f>HYPERLINK("https://klasma.github.io/Logging_2281/tillsyn/A 9201-2022 tillsynsbegäran.docx", "A 9201-2022")</f>
        <v/>
      </c>
      <c r="Y30">
        <f>HYPERLINK("https://klasma.github.io/Logging_2281/tillsynsmail/A 9201-2022 tillsynsbegäran mail.docx", "A 9201-2022")</f>
        <v/>
      </c>
      <c r="Z30">
        <f>HYPERLINK("https://klasma.github.io/Logging_2281/fåglar/A 9201-2022 prioriterade fågelarter.docx", "A 9201-2022")</f>
        <v/>
      </c>
    </row>
    <row r="31" ht="15" customHeight="1">
      <c r="A31" t="inlineStr">
        <is>
          <t>A 48961-2024</t>
        </is>
      </c>
      <c r="B31" s="1" t="n">
        <v>45594.44825231482</v>
      </c>
      <c r="C31" s="1" t="n">
        <v>45961</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45976-2024</t>
        </is>
      </c>
      <c r="B32" s="1" t="n">
        <v>45580.59456018519</v>
      </c>
      <c r="C32" s="1" t="n">
        <v>45961</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15274-2025</t>
        </is>
      </c>
      <c r="B33" s="1" t="n">
        <v>45744.67758101852</v>
      </c>
      <c r="C33" s="1" t="n">
        <v>45961</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45572-2025</t>
        </is>
      </c>
      <c r="B34" s="1" t="n">
        <v>45922.65746527778</v>
      </c>
      <c r="C34" s="1" t="n">
        <v>45961</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37975-2025</t>
        </is>
      </c>
      <c r="B35" s="1" t="n">
        <v>45881.67758101852</v>
      </c>
      <c r="C35" s="1" t="n">
        <v>45961</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30272-2023</t>
        </is>
      </c>
      <c r="B36" s="1" t="n">
        <v>45099</v>
      </c>
      <c r="C36" s="1" t="n">
        <v>45961</v>
      </c>
      <c r="D36" t="inlineStr">
        <is>
          <t>VÄSTERNORRLANDS LÄN</t>
        </is>
      </c>
      <c r="E36" t="inlineStr">
        <is>
          <t>SUNDSVALL</t>
        </is>
      </c>
      <c r="G36" t="n">
        <v>4.1</v>
      </c>
      <c r="H36" t="n">
        <v>2</v>
      </c>
      <c r="I36" t="n">
        <v>4</v>
      </c>
      <c r="J36" t="n">
        <v>4</v>
      </c>
      <c r="K36" t="n">
        <v>1</v>
      </c>
      <c r="L36" t="n">
        <v>0</v>
      </c>
      <c r="M36" t="n">
        <v>0</v>
      </c>
      <c r="N36" t="n">
        <v>0</v>
      </c>
      <c r="O36" t="n">
        <v>5</v>
      </c>
      <c r="P36" t="n">
        <v>1</v>
      </c>
      <c r="Q36" t="n">
        <v>9</v>
      </c>
      <c r="R36" s="2" t="inlineStr">
        <is>
          <t>Knärot
Järpe
Rosenticka
Ullticka
Äggvaxskivling
Bronshjon
Mörk husmossa
Skarp dropptaggsvamp
Vågbandad barkbock</t>
        </is>
      </c>
      <c r="S36">
        <f>HYPERLINK("https://klasma.github.io/Logging_2281/artfynd/A 30272-2023 artfynd.xlsx", "A 30272-2023")</f>
        <v/>
      </c>
      <c r="T36">
        <f>HYPERLINK("https://klasma.github.io/Logging_2281/kartor/A 30272-2023 karta.png", "A 30272-2023")</f>
        <v/>
      </c>
      <c r="U36">
        <f>HYPERLINK("https://klasma.github.io/Logging_2281/knärot/A 30272-2023 karta knärot.png", "A 30272-2023")</f>
        <v/>
      </c>
      <c r="V36">
        <f>HYPERLINK("https://klasma.github.io/Logging_2281/klagomål/A 30272-2023 FSC-klagomål.docx", "A 30272-2023")</f>
        <v/>
      </c>
      <c r="W36">
        <f>HYPERLINK("https://klasma.github.io/Logging_2281/klagomålsmail/A 30272-2023 FSC-klagomål mail.docx", "A 30272-2023")</f>
        <v/>
      </c>
      <c r="X36">
        <f>HYPERLINK("https://klasma.github.io/Logging_2281/tillsyn/A 30272-2023 tillsynsbegäran.docx", "A 30272-2023")</f>
        <v/>
      </c>
      <c r="Y36">
        <f>HYPERLINK("https://klasma.github.io/Logging_2281/tillsynsmail/A 30272-2023 tillsynsbegäran mail.docx", "A 30272-2023")</f>
        <v/>
      </c>
      <c r="Z36">
        <f>HYPERLINK("https://klasma.github.io/Logging_2281/fåglar/A 30272-2023 prioriterade fågelarter.docx", "A 30272-2023")</f>
        <v/>
      </c>
    </row>
    <row r="37" ht="15" customHeight="1">
      <c r="A37" t="inlineStr">
        <is>
          <t>A 20751-2024</t>
        </is>
      </c>
      <c r="B37" s="1" t="n">
        <v>45436</v>
      </c>
      <c r="C37" s="1" t="n">
        <v>45961</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47177-2024</t>
        </is>
      </c>
      <c r="B38" s="1" t="n">
        <v>45586.61596064815</v>
      </c>
      <c r="C38" s="1" t="n">
        <v>45961</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34699-2024</t>
        </is>
      </c>
      <c r="B39" s="1" t="n">
        <v>45526</v>
      </c>
      <c r="C39" s="1" t="n">
        <v>45961</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45961</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22621-2023</t>
        </is>
      </c>
      <c r="B41" s="1" t="n">
        <v>45071</v>
      </c>
      <c r="C41" s="1" t="n">
        <v>45961</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41884-2025</t>
        </is>
      </c>
      <c r="B42" s="1" t="n">
        <v>45903</v>
      </c>
      <c r="C42" s="1" t="n">
        <v>45961</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62083-2022</t>
        </is>
      </c>
      <c r="B43" s="1" t="n">
        <v>44918</v>
      </c>
      <c r="C43" s="1" t="n">
        <v>45961</v>
      </c>
      <c r="D43" t="inlineStr">
        <is>
          <t>VÄSTERNORRLANDS LÄN</t>
        </is>
      </c>
      <c r="E43" t="inlineStr">
        <is>
          <t>SUNDSVALL</t>
        </is>
      </c>
      <c r="F43" t="inlineStr">
        <is>
          <t>SCA</t>
        </is>
      </c>
      <c r="G43" t="n">
        <v>3.5</v>
      </c>
      <c r="H43" t="n">
        <v>1</v>
      </c>
      <c r="I43" t="n">
        <v>3</v>
      </c>
      <c r="J43" t="n">
        <v>4</v>
      </c>
      <c r="K43" t="n">
        <v>1</v>
      </c>
      <c r="L43" t="n">
        <v>0</v>
      </c>
      <c r="M43" t="n">
        <v>0</v>
      </c>
      <c r="N43" t="n">
        <v>0</v>
      </c>
      <c r="O43" t="n">
        <v>5</v>
      </c>
      <c r="P43" t="n">
        <v>1</v>
      </c>
      <c r="Q43" t="n">
        <v>8</v>
      </c>
      <c r="R43" s="2" t="inlineStr">
        <is>
          <t>Knärot
Garnlav
Lunglav
Ullticka
Vitgrynig nållav
Kattfotslav
Vedticka
Vågbandad barkbock</t>
        </is>
      </c>
      <c r="S43">
        <f>HYPERLINK("https://klasma.github.io/Logging_2281/artfynd/A 62083-2022 artfynd.xlsx", "A 62083-2022")</f>
        <v/>
      </c>
      <c r="T43">
        <f>HYPERLINK("https://klasma.github.io/Logging_2281/kartor/A 62083-2022 karta.png", "A 62083-2022")</f>
        <v/>
      </c>
      <c r="U43">
        <f>HYPERLINK("https://klasma.github.io/Logging_2281/knärot/A 62083-2022 karta knärot.png", "A 62083-2022")</f>
        <v/>
      </c>
      <c r="V43">
        <f>HYPERLINK("https://klasma.github.io/Logging_2281/klagomål/A 62083-2022 FSC-klagomål.docx", "A 62083-2022")</f>
        <v/>
      </c>
      <c r="W43">
        <f>HYPERLINK("https://klasma.github.io/Logging_2281/klagomålsmail/A 62083-2022 FSC-klagomål mail.docx", "A 62083-2022")</f>
        <v/>
      </c>
      <c r="X43">
        <f>HYPERLINK("https://klasma.github.io/Logging_2281/tillsyn/A 62083-2022 tillsynsbegäran.docx", "A 62083-2022")</f>
        <v/>
      </c>
      <c r="Y43">
        <f>HYPERLINK("https://klasma.github.io/Logging_2281/tillsynsmail/A 62083-2022 tillsynsbegäran mail.docx", "A 62083-2022")</f>
        <v/>
      </c>
    </row>
    <row r="44" ht="15" customHeight="1">
      <c r="A44" t="inlineStr">
        <is>
          <t>A 33746-2024</t>
        </is>
      </c>
      <c r="B44" s="1" t="n">
        <v>45520</v>
      </c>
      <c r="C44" s="1" t="n">
        <v>45961</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9566-2025</t>
        </is>
      </c>
      <c r="B45" s="1" t="n">
        <v>45715.61511574074</v>
      </c>
      <c r="C45" s="1" t="n">
        <v>45961</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HYPERLINK("https://klasma.github.io/Logging_2281/artfynd/A 9566-2025 artfynd.xlsx", "A 9566-2025")</f>
        <v/>
      </c>
      <c r="T45">
        <f>HYPERLINK("https://klasma.github.io/Logging_2281/kartor/A 9566-2025 karta.png", "A 9566-2025")</f>
        <v/>
      </c>
      <c r="U45">
        <f>HYPERLINK("https://klasma.github.io/Logging_2281/knärot/A 9566-2025 karta knärot.png", "A 9566-2025")</f>
        <v/>
      </c>
      <c r="V45">
        <f>HYPERLINK("https://klasma.github.io/Logging_2281/klagomål/A 9566-2025 FSC-klagomål.docx", "A 9566-2025")</f>
        <v/>
      </c>
      <c r="W45">
        <f>HYPERLINK("https://klasma.github.io/Logging_2281/klagomålsmail/A 9566-2025 FSC-klagomål mail.docx", "A 9566-2025")</f>
        <v/>
      </c>
      <c r="X45">
        <f>HYPERLINK("https://klasma.github.io/Logging_2281/tillsyn/A 9566-2025 tillsynsbegäran.docx", "A 9566-2025")</f>
        <v/>
      </c>
      <c r="Y45">
        <f>HYPERLINK("https://klasma.github.io/Logging_2281/tillsynsmail/A 9566-2025 tillsynsbegäran mail.docx", "A 9566-2025")</f>
        <v/>
      </c>
      <c r="Z45">
        <f>HYPERLINK("https://klasma.github.io/Logging_2281/fåglar/A 9566-2025 prioriterade fågelarter.docx", "A 9566-2025")</f>
        <v/>
      </c>
    </row>
    <row r="46" ht="15" customHeight="1">
      <c r="A46" t="inlineStr">
        <is>
          <t>A 18981-2025</t>
        </is>
      </c>
      <c r="B46" s="1" t="n">
        <v>45764</v>
      </c>
      <c r="C46" s="1" t="n">
        <v>45961</v>
      </c>
      <c r="D46" t="inlineStr">
        <is>
          <t>VÄSTERNORRLANDS LÄN</t>
        </is>
      </c>
      <c r="E46" t="inlineStr">
        <is>
          <t>SUNDSVALL</t>
        </is>
      </c>
      <c r="F46" t="inlineStr">
        <is>
          <t>SCA</t>
        </is>
      </c>
      <c r="G46" t="n">
        <v>1.8</v>
      </c>
      <c r="H46" t="n">
        <v>5</v>
      </c>
      <c r="I46" t="n">
        <v>1</v>
      </c>
      <c r="J46" t="n">
        <v>4</v>
      </c>
      <c r="K46" t="n">
        <v>0</v>
      </c>
      <c r="L46" t="n">
        <v>0</v>
      </c>
      <c r="M46" t="n">
        <v>0</v>
      </c>
      <c r="N46" t="n">
        <v>0</v>
      </c>
      <c r="O46" t="n">
        <v>4</v>
      </c>
      <c r="P46" t="n">
        <v>0</v>
      </c>
      <c r="Q46" t="n">
        <v>8</v>
      </c>
      <c r="R46" s="2" t="inlineStr">
        <is>
          <t>Garnlav
Rosenticka
Spillkråka
Tretåig hackspett
Vedticka
Tjäder
Nattviol
Revlummer</t>
        </is>
      </c>
      <c r="S46">
        <f>HYPERLINK("https://klasma.github.io/Logging_2281/artfynd/A 18981-2025 artfynd.xlsx", "A 18981-2025")</f>
        <v/>
      </c>
      <c r="T46">
        <f>HYPERLINK("https://klasma.github.io/Logging_2281/kartor/A 18981-2025 karta.png", "A 18981-2025")</f>
        <v/>
      </c>
      <c r="V46">
        <f>HYPERLINK("https://klasma.github.io/Logging_2281/klagomål/A 18981-2025 FSC-klagomål.docx", "A 18981-2025")</f>
        <v/>
      </c>
      <c r="W46">
        <f>HYPERLINK("https://klasma.github.io/Logging_2281/klagomålsmail/A 18981-2025 FSC-klagomål mail.docx", "A 18981-2025")</f>
        <v/>
      </c>
      <c r="X46">
        <f>HYPERLINK("https://klasma.github.io/Logging_2281/tillsyn/A 18981-2025 tillsynsbegäran.docx", "A 18981-2025")</f>
        <v/>
      </c>
      <c r="Y46">
        <f>HYPERLINK("https://klasma.github.io/Logging_2281/tillsynsmail/A 18981-2025 tillsynsbegäran mail.docx", "A 18981-2025")</f>
        <v/>
      </c>
      <c r="Z46">
        <f>HYPERLINK("https://klasma.github.io/Logging_2281/fåglar/A 18981-2025 prioriterade fågelarter.docx", "A 18981-2025")</f>
        <v/>
      </c>
    </row>
    <row r="47" ht="15" customHeight="1">
      <c r="A47" t="inlineStr">
        <is>
          <t>A 54345-2023</t>
        </is>
      </c>
      <c r="B47" s="1" t="n">
        <v>45232</v>
      </c>
      <c r="C47" s="1" t="n">
        <v>45961</v>
      </c>
      <c r="D47" t="inlineStr">
        <is>
          <t>VÄSTERNORRLANDS LÄN</t>
        </is>
      </c>
      <c r="E47" t="inlineStr">
        <is>
          <t>SUNDSVALL</t>
        </is>
      </c>
      <c r="F47" t="inlineStr">
        <is>
          <t>SCA</t>
        </is>
      </c>
      <c r="G47" t="n">
        <v>4.3</v>
      </c>
      <c r="H47" t="n">
        <v>4</v>
      </c>
      <c r="I47" t="n">
        <v>0</v>
      </c>
      <c r="J47" t="n">
        <v>5</v>
      </c>
      <c r="K47" t="n">
        <v>2</v>
      </c>
      <c r="L47" t="n">
        <v>0</v>
      </c>
      <c r="M47" t="n">
        <v>0</v>
      </c>
      <c r="N47" t="n">
        <v>0</v>
      </c>
      <c r="O47" t="n">
        <v>7</v>
      </c>
      <c r="P47" t="n">
        <v>2</v>
      </c>
      <c r="Q47" t="n">
        <v>8</v>
      </c>
      <c r="R47" s="2" t="inlineStr">
        <is>
          <t>Knärot
Rynkskinn
Duvhök
Garnlav
Granticka
Rosenticka
Tretåig hackspett
Revlummer</t>
        </is>
      </c>
      <c r="S47">
        <f>HYPERLINK("https://klasma.github.io/Logging_2281/artfynd/A 54345-2023 artfynd.xlsx", "A 54345-2023")</f>
        <v/>
      </c>
      <c r="T47">
        <f>HYPERLINK("https://klasma.github.io/Logging_2281/kartor/A 54345-2023 karta.png", "A 54345-2023")</f>
        <v/>
      </c>
      <c r="U47">
        <f>HYPERLINK("https://klasma.github.io/Logging_2281/knärot/A 54345-2023 karta knärot.png", "A 54345-2023")</f>
        <v/>
      </c>
      <c r="V47">
        <f>HYPERLINK("https://klasma.github.io/Logging_2281/klagomål/A 54345-2023 FSC-klagomål.docx", "A 54345-2023")</f>
        <v/>
      </c>
      <c r="W47">
        <f>HYPERLINK("https://klasma.github.io/Logging_2281/klagomålsmail/A 54345-2023 FSC-klagomål mail.docx", "A 54345-2023")</f>
        <v/>
      </c>
      <c r="X47">
        <f>HYPERLINK("https://klasma.github.io/Logging_2281/tillsyn/A 54345-2023 tillsynsbegäran.docx", "A 54345-2023")</f>
        <v/>
      </c>
      <c r="Y47">
        <f>HYPERLINK("https://klasma.github.io/Logging_2281/tillsynsmail/A 54345-2023 tillsynsbegäran mail.docx", "A 54345-2023")</f>
        <v/>
      </c>
      <c r="Z47">
        <f>HYPERLINK("https://klasma.github.io/Logging_2281/fåglar/A 54345-2023 prioriterade fågelarter.docx", "A 54345-2023")</f>
        <v/>
      </c>
    </row>
    <row r="48" ht="15" customHeight="1">
      <c r="A48" t="inlineStr">
        <is>
          <t>A 24424-2025</t>
        </is>
      </c>
      <c r="B48" s="1" t="n">
        <v>45797.67826388889</v>
      </c>
      <c r="C48" s="1" t="n">
        <v>45961</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12205-2025</t>
        </is>
      </c>
      <c r="B49" s="1" t="n">
        <v>45729.51091435185</v>
      </c>
      <c r="C49" s="1" t="n">
        <v>45961</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4856-2025</t>
        </is>
      </c>
      <c r="B50" s="1" t="n">
        <v>45688</v>
      </c>
      <c r="C50" s="1" t="n">
        <v>45961</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36953-2025</t>
        </is>
      </c>
      <c r="B51" s="1" t="n">
        <v>45874.60950231482</v>
      </c>
      <c r="C51" s="1" t="n">
        <v>45961</v>
      </c>
      <c r="D51" t="inlineStr">
        <is>
          <t>VÄSTERNORRLANDS LÄN</t>
        </is>
      </c>
      <c r="E51" t="inlineStr">
        <is>
          <t>SUNDSVALL</t>
        </is>
      </c>
      <c r="G51" t="n">
        <v>11.1</v>
      </c>
      <c r="H51" t="n">
        <v>2</v>
      </c>
      <c r="I51" t="n">
        <v>1</v>
      </c>
      <c r="J51" t="n">
        <v>6</v>
      </c>
      <c r="K51" t="n">
        <v>1</v>
      </c>
      <c r="L51" t="n">
        <v>0</v>
      </c>
      <c r="M51" t="n">
        <v>0</v>
      </c>
      <c r="N51" t="n">
        <v>0</v>
      </c>
      <c r="O51" t="n">
        <v>7</v>
      </c>
      <c r="P51" t="n">
        <v>1</v>
      </c>
      <c r="Q51" t="n">
        <v>8</v>
      </c>
      <c r="R51" s="2" t="inlineStr">
        <is>
          <t>Rynkskinn
Garnlav
Orange taggsvamp
Rosenticka
Spillkråka
Tretåig hackspett
Violettgrå tagellav
Vedticka</t>
        </is>
      </c>
      <c r="S51">
        <f>HYPERLINK("https://klasma.github.io/Logging_2281/artfynd/A 36953-2025 artfynd.xlsx", "A 36953-2025")</f>
        <v/>
      </c>
      <c r="T51">
        <f>HYPERLINK("https://klasma.github.io/Logging_2281/kartor/A 36953-2025 karta.png", "A 36953-2025")</f>
        <v/>
      </c>
      <c r="V51">
        <f>HYPERLINK("https://klasma.github.io/Logging_2281/klagomål/A 36953-2025 FSC-klagomål.docx", "A 36953-2025")</f>
        <v/>
      </c>
      <c r="W51">
        <f>HYPERLINK("https://klasma.github.io/Logging_2281/klagomålsmail/A 36953-2025 FSC-klagomål mail.docx", "A 36953-2025")</f>
        <v/>
      </c>
      <c r="X51">
        <f>HYPERLINK("https://klasma.github.io/Logging_2281/tillsyn/A 36953-2025 tillsynsbegäran.docx", "A 36953-2025")</f>
        <v/>
      </c>
      <c r="Y51">
        <f>HYPERLINK("https://klasma.github.io/Logging_2281/tillsynsmail/A 36953-2025 tillsynsbegäran mail.docx", "A 36953-2025")</f>
        <v/>
      </c>
      <c r="Z51">
        <f>HYPERLINK("https://klasma.github.io/Logging_2281/fåglar/A 36953-2025 prioriterade fågelarter.docx", "A 36953-2025")</f>
        <v/>
      </c>
    </row>
    <row r="52" ht="15" customHeight="1">
      <c r="A52" t="inlineStr">
        <is>
          <t>A 15142-2025</t>
        </is>
      </c>
      <c r="B52" s="1" t="n">
        <v>45744</v>
      </c>
      <c r="C52" s="1" t="n">
        <v>45961</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53736-2023</t>
        </is>
      </c>
      <c r="B53" s="1" t="n">
        <v>45230.77347222222</v>
      </c>
      <c r="C53" s="1" t="n">
        <v>45961</v>
      </c>
      <c r="D53" t="inlineStr">
        <is>
          <t>VÄSTERNORRLANDS LÄN</t>
        </is>
      </c>
      <c r="E53" t="inlineStr">
        <is>
          <t>SUNDSVALL</t>
        </is>
      </c>
      <c r="G53" t="n">
        <v>4.4</v>
      </c>
      <c r="H53" t="n">
        <v>5</v>
      </c>
      <c r="I53" t="n">
        <v>1</v>
      </c>
      <c r="J53" t="n">
        <v>4</v>
      </c>
      <c r="K53" t="n">
        <v>1</v>
      </c>
      <c r="L53" t="n">
        <v>1</v>
      </c>
      <c r="M53" t="n">
        <v>0</v>
      </c>
      <c r="N53" t="n">
        <v>0</v>
      </c>
      <c r="O53" t="n">
        <v>6</v>
      </c>
      <c r="P53" t="n">
        <v>2</v>
      </c>
      <c r="Q53" t="n">
        <v>8</v>
      </c>
      <c r="R53" s="2" t="inlineStr">
        <is>
          <t>Tornseglare
Knärot
Garnlav
Mörk kolflarnlav
Talltita
Tretåig hackspett
Dropptaggsvamp
Fläcknycklar</t>
        </is>
      </c>
      <c r="S53">
        <f>HYPERLINK("https://klasma.github.io/Logging_2281/artfynd/A 53736-2023 artfynd.xlsx", "A 53736-2023")</f>
        <v/>
      </c>
      <c r="T53">
        <f>HYPERLINK("https://klasma.github.io/Logging_2281/kartor/A 53736-2023 karta.png", "A 53736-2023")</f>
        <v/>
      </c>
      <c r="U53">
        <f>HYPERLINK("https://klasma.github.io/Logging_2281/knärot/A 53736-2023 karta knärot.png", "A 53736-2023")</f>
        <v/>
      </c>
      <c r="V53">
        <f>HYPERLINK("https://klasma.github.io/Logging_2281/klagomål/A 53736-2023 FSC-klagomål.docx", "A 53736-2023")</f>
        <v/>
      </c>
      <c r="W53">
        <f>HYPERLINK("https://klasma.github.io/Logging_2281/klagomålsmail/A 53736-2023 FSC-klagomål mail.docx", "A 53736-2023")</f>
        <v/>
      </c>
      <c r="X53">
        <f>HYPERLINK("https://klasma.github.io/Logging_2281/tillsyn/A 53736-2023 tillsynsbegäran.docx", "A 53736-2023")</f>
        <v/>
      </c>
      <c r="Y53">
        <f>HYPERLINK("https://klasma.github.io/Logging_2281/tillsynsmail/A 53736-2023 tillsynsbegäran mail.docx", "A 53736-2023")</f>
        <v/>
      </c>
      <c r="Z53">
        <f>HYPERLINK("https://klasma.github.io/Logging_2281/fåglar/A 53736-2023 prioriterade fågelarter.docx", "A 53736-2023")</f>
        <v/>
      </c>
    </row>
    <row r="54" ht="15" customHeight="1">
      <c r="A54" t="inlineStr">
        <is>
          <t>A 25270-2022</t>
        </is>
      </c>
      <c r="B54" s="1" t="n">
        <v>44729</v>
      </c>
      <c r="C54" s="1" t="n">
        <v>45961</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48783-2023</t>
        </is>
      </c>
      <c r="B55" s="1" t="n">
        <v>45208</v>
      </c>
      <c r="C55" s="1" t="n">
        <v>45961</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16933-2025</t>
        </is>
      </c>
      <c r="B56" s="1" t="n">
        <v>45755.4065625</v>
      </c>
      <c r="C56" s="1" t="n">
        <v>45961</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20695-2025</t>
        </is>
      </c>
      <c r="B57" s="1" t="n">
        <v>45776.46954861111</v>
      </c>
      <c r="C57" s="1" t="n">
        <v>45961</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37814-2023</t>
        </is>
      </c>
      <c r="B58" s="1" t="n">
        <v>45159.94206018518</v>
      </c>
      <c r="C58" s="1" t="n">
        <v>45961</v>
      </c>
      <c r="D58" t="inlineStr">
        <is>
          <t>VÄSTERNORRLANDS LÄN</t>
        </is>
      </c>
      <c r="E58" t="inlineStr">
        <is>
          <t>SUNDSVALL</t>
        </is>
      </c>
      <c r="F58" t="inlineStr">
        <is>
          <t>SCA</t>
        </is>
      </c>
      <c r="G58" t="n">
        <v>1.8</v>
      </c>
      <c r="H58" t="n">
        <v>6</v>
      </c>
      <c r="I58" t="n">
        <v>0</v>
      </c>
      <c r="J58" t="n">
        <v>4</v>
      </c>
      <c r="K58" t="n">
        <v>0</v>
      </c>
      <c r="L58" t="n">
        <v>0</v>
      </c>
      <c r="M58" t="n">
        <v>0</v>
      </c>
      <c r="N58" t="n">
        <v>0</v>
      </c>
      <c r="O58" t="n">
        <v>4</v>
      </c>
      <c r="P58" t="n">
        <v>0</v>
      </c>
      <c r="Q58" t="n">
        <v>7</v>
      </c>
      <c r="R58" s="2" t="inlineStr">
        <is>
          <t>Garnlav
Spillkråka
Talltita
Tretåig hackspett
Kungsfågel
Tjäder
Revlummer</t>
        </is>
      </c>
      <c r="S58">
        <f>HYPERLINK("https://klasma.github.io/Logging_2281/artfynd/A 37814-2023 artfynd.xlsx", "A 37814-2023")</f>
        <v/>
      </c>
      <c r="T58">
        <f>HYPERLINK("https://klasma.github.io/Logging_2281/kartor/A 37814-2023 karta.png", "A 37814-2023")</f>
        <v/>
      </c>
      <c r="V58">
        <f>HYPERLINK("https://klasma.github.io/Logging_2281/klagomål/A 37814-2023 FSC-klagomål.docx", "A 37814-2023")</f>
        <v/>
      </c>
      <c r="W58">
        <f>HYPERLINK("https://klasma.github.io/Logging_2281/klagomålsmail/A 37814-2023 FSC-klagomål mail.docx", "A 37814-2023")</f>
        <v/>
      </c>
      <c r="X58">
        <f>HYPERLINK("https://klasma.github.io/Logging_2281/tillsyn/A 37814-2023 tillsynsbegäran.docx", "A 37814-2023")</f>
        <v/>
      </c>
      <c r="Y58">
        <f>HYPERLINK("https://klasma.github.io/Logging_2281/tillsynsmail/A 37814-2023 tillsynsbegäran mail.docx", "A 37814-2023")</f>
        <v/>
      </c>
      <c r="Z58">
        <f>HYPERLINK("https://klasma.github.io/Logging_2281/fåglar/A 37814-2023 prioriterade fågelarter.docx", "A 37814-2023")</f>
        <v/>
      </c>
    </row>
    <row r="59" ht="15" customHeight="1">
      <c r="A59" t="inlineStr">
        <is>
          <t>A 48506-2023</t>
        </is>
      </c>
      <c r="B59" s="1" t="n">
        <v>45207</v>
      </c>
      <c r="C59" s="1" t="n">
        <v>45961</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48506-2023 artfynd.xlsx", "A 48506-2023")</f>
        <v/>
      </c>
      <c r="T59">
        <f>HYPERLINK("https://klasma.github.io/Logging_2281/kartor/A 48506-2023 karta.png", "A 48506-2023")</f>
        <v/>
      </c>
      <c r="U59">
        <f>HYPERLINK("https://klasma.github.io/Logging_2281/knärot/A 48506-2023 karta knärot.png", "A 48506-2023")</f>
        <v/>
      </c>
      <c r="V59">
        <f>HYPERLINK("https://klasma.github.io/Logging_2281/klagomål/A 48506-2023 FSC-klagomål.docx", "A 48506-2023")</f>
        <v/>
      </c>
      <c r="W59">
        <f>HYPERLINK("https://klasma.github.io/Logging_2281/klagomålsmail/A 48506-2023 FSC-klagomål mail.docx", "A 48506-2023")</f>
        <v/>
      </c>
      <c r="X59">
        <f>HYPERLINK("https://klasma.github.io/Logging_2281/tillsyn/A 48506-2023 tillsynsbegäran.docx", "A 48506-2023")</f>
        <v/>
      </c>
      <c r="Y59">
        <f>HYPERLINK("https://klasma.github.io/Logging_2281/tillsynsmail/A 48506-2023 tillsynsbegäran mail.docx", "A 48506-2023")</f>
        <v/>
      </c>
      <c r="Z59">
        <f>HYPERLINK("https://klasma.github.io/Logging_2281/fåglar/A 48506-2023 prioriterade fågelarter.docx", "A 48506-2023")</f>
        <v/>
      </c>
    </row>
    <row r="60" ht="15" customHeight="1">
      <c r="A60" t="inlineStr">
        <is>
          <t>A 13443-2025</t>
        </is>
      </c>
      <c r="B60" s="1" t="n">
        <v>45736</v>
      </c>
      <c r="C60" s="1" t="n">
        <v>45961</v>
      </c>
      <c r="D60" t="inlineStr">
        <is>
          <t>VÄSTERNORRLANDS LÄN</t>
        </is>
      </c>
      <c r="E60" t="inlineStr">
        <is>
          <t>SUNDSVALL</t>
        </is>
      </c>
      <c r="F60" t="inlineStr">
        <is>
          <t>SCA</t>
        </is>
      </c>
      <c r="G60" t="n">
        <v>12.5</v>
      </c>
      <c r="H60" t="n">
        <v>5</v>
      </c>
      <c r="I60" t="n">
        <v>3</v>
      </c>
      <c r="J60" t="n">
        <v>2</v>
      </c>
      <c r="K60" t="n">
        <v>0</v>
      </c>
      <c r="L60" t="n">
        <v>0</v>
      </c>
      <c r="M60" t="n">
        <v>0</v>
      </c>
      <c r="N60" t="n">
        <v>0</v>
      </c>
      <c r="O60" t="n">
        <v>2</v>
      </c>
      <c r="P60" t="n">
        <v>0</v>
      </c>
      <c r="Q60" t="n">
        <v>7</v>
      </c>
      <c r="R60" s="2" t="inlineStr">
        <is>
          <t>Orange taggsvamp
Skogsfru
Kattfotslav
Spindelblomster
Tvåblad
Fläcknycklar
Nattviol</t>
        </is>
      </c>
      <c r="S60">
        <f>HYPERLINK("https://klasma.github.io/Logging_2281/artfynd/A 13443-2025 artfynd.xlsx", "A 13443-2025")</f>
        <v/>
      </c>
      <c r="T60">
        <f>HYPERLINK("https://klasma.github.io/Logging_2281/kartor/A 13443-2025 karta.png", "A 13443-2025")</f>
        <v/>
      </c>
      <c r="U60">
        <f>HYPERLINK("https://klasma.github.io/Logging_2281/knärot/A 13443-2025 karta knärot.png", "A 13443-2025")</f>
        <v/>
      </c>
      <c r="V60">
        <f>HYPERLINK("https://klasma.github.io/Logging_2281/klagomål/A 13443-2025 FSC-klagomål.docx", "A 13443-2025")</f>
        <v/>
      </c>
      <c r="W60">
        <f>HYPERLINK("https://klasma.github.io/Logging_2281/klagomålsmail/A 13443-2025 FSC-klagomål mail.docx", "A 13443-2025")</f>
        <v/>
      </c>
      <c r="X60">
        <f>HYPERLINK("https://klasma.github.io/Logging_2281/tillsyn/A 13443-2025 tillsynsbegäran.docx", "A 13443-2025")</f>
        <v/>
      </c>
      <c r="Y60">
        <f>HYPERLINK("https://klasma.github.io/Logging_2281/tillsynsmail/A 13443-2025 tillsynsbegäran mail.docx", "A 13443-2025")</f>
        <v/>
      </c>
    </row>
    <row r="61" ht="15" customHeight="1">
      <c r="A61" t="inlineStr">
        <is>
          <t>A 16656-2025</t>
        </is>
      </c>
      <c r="B61" s="1" t="n">
        <v>45754.4068287037</v>
      </c>
      <c r="C61" s="1" t="n">
        <v>45961</v>
      </c>
      <c r="D61" t="inlineStr">
        <is>
          <t>VÄSTERNORRLANDS LÄN</t>
        </is>
      </c>
      <c r="E61" t="inlineStr">
        <is>
          <t>SUNDSVALL</t>
        </is>
      </c>
      <c r="F61" t="inlineStr">
        <is>
          <t>SCA</t>
        </is>
      </c>
      <c r="G61" t="n">
        <v>3.5</v>
      </c>
      <c r="H61" t="n">
        <v>4</v>
      </c>
      <c r="I61" t="n">
        <v>0</v>
      </c>
      <c r="J61" t="n">
        <v>5</v>
      </c>
      <c r="K61" t="n">
        <v>0</v>
      </c>
      <c r="L61" t="n">
        <v>0</v>
      </c>
      <c r="M61" t="n">
        <v>0</v>
      </c>
      <c r="N61" t="n">
        <v>0</v>
      </c>
      <c r="O61" t="n">
        <v>5</v>
      </c>
      <c r="P61" t="n">
        <v>0</v>
      </c>
      <c r="Q61" t="n">
        <v>7</v>
      </c>
      <c r="R61" s="2" t="inlineStr">
        <is>
          <t>Gammelgransskål
Garnlav
Lunglav
Spillkråka
Tretåig hackspett
Fläcknycklar
Revlummer</t>
        </is>
      </c>
      <c r="S61">
        <f>HYPERLINK("https://klasma.github.io/Logging_2281/artfynd/A 16656-2025 artfynd.xlsx", "A 16656-2025")</f>
        <v/>
      </c>
      <c r="T61">
        <f>HYPERLINK("https://klasma.github.io/Logging_2281/kartor/A 16656-2025 karta.png", "A 16656-2025")</f>
        <v/>
      </c>
      <c r="V61">
        <f>HYPERLINK("https://klasma.github.io/Logging_2281/klagomål/A 16656-2025 FSC-klagomål.docx", "A 16656-2025")</f>
        <v/>
      </c>
      <c r="W61">
        <f>HYPERLINK("https://klasma.github.io/Logging_2281/klagomålsmail/A 16656-2025 FSC-klagomål mail.docx", "A 16656-2025")</f>
        <v/>
      </c>
      <c r="X61">
        <f>HYPERLINK("https://klasma.github.io/Logging_2281/tillsyn/A 16656-2025 tillsynsbegäran.docx", "A 16656-2025")</f>
        <v/>
      </c>
      <c r="Y61">
        <f>HYPERLINK("https://klasma.github.io/Logging_2281/tillsynsmail/A 16656-2025 tillsynsbegäran mail.docx", "A 16656-2025")</f>
        <v/>
      </c>
      <c r="Z61">
        <f>HYPERLINK("https://klasma.github.io/Logging_2281/fåglar/A 16656-2025 prioriterade fågelarter.docx", "A 16656-2025")</f>
        <v/>
      </c>
    </row>
    <row r="62" ht="15" customHeight="1">
      <c r="A62" t="inlineStr">
        <is>
          <t>A 32491-2025</t>
        </is>
      </c>
      <c r="B62" s="1" t="n">
        <v>45838.44831018519</v>
      </c>
      <c r="C62" s="1" t="n">
        <v>45961</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38443-2025</t>
        </is>
      </c>
      <c r="B63" s="1" t="n">
        <v>45883.65546296296</v>
      </c>
      <c r="C63" s="1" t="n">
        <v>45961</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50817-2025</t>
        </is>
      </c>
      <c r="B64" s="1" t="n">
        <v>45946.53168981482</v>
      </c>
      <c r="C64" s="1" t="n">
        <v>45961</v>
      </c>
      <c r="D64" t="inlineStr">
        <is>
          <t>VÄSTERNORRLANDS LÄN</t>
        </is>
      </c>
      <c r="E64" t="inlineStr">
        <is>
          <t>SUNDSVALL</t>
        </is>
      </c>
      <c r="F64" t="inlineStr">
        <is>
          <t>SCA</t>
        </is>
      </c>
      <c r="G64" t="n">
        <v>6.1</v>
      </c>
      <c r="H64" t="n">
        <v>4</v>
      </c>
      <c r="I64" t="n">
        <v>1</v>
      </c>
      <c r="J64" t="n">
        <v>3</v>
      </c>
      <c r="K64" t="n">
        <v>1</v>
      </c>
      <c r="L64" t="n">
        <v>0</v>
      </c>
      <c r="M64" t="n">
        <v>0</v>
      </c>
      <c r="N64" t="n">
        <v>0</v>
      </c>
      <c r="O64" t="n">
        <v>4</v>
      </c>
      <c r="P64" t="n">
        <v>1</v>
      </c>
      <c r="Q64" t="n">
        <v>7</v>
      </c>
      <c r="R64" s="2" t="inlineStr">
        <is>
          <t>Knärot
Garnlav
Lunglav
Talltita
Jättesvampmal
Tjäder
Fläcknycklar</t>
        </is>
      </c>
      <c r="S64">
        <f>HYPERLINK("https://klasma.github.io/Logging_2281/artfynd/A 50817-2025 artfynd.xlsx", "A 50817-2025")</f>
        <v/>
      </c>
      <c r="T64">
        <f>HYPERLINK("https://klasma.github.io/Logging_2281/kartor/A 50817-2025 karta.png", "A 50817-2025")</f>
        <v/>
      </c>
      <c r="U64">
        <f>HYPERLINK("https://klasma.github.io/Logging_2281/knärot/A 50817-2025 karta knärot.png", "A 50817-2025")</f>
        <v/>
      </c>
      <c r="V64">
        <f>HYPERLINK("https://klasma.github.io/Logging_2281/klagomål/A 50817-2025 FSC-klagomål.docx", "A 50817-2025")</f>
        <v/>
      </c>
      <c r="W64">
        <f>HYPERLINK("https://klasma.github.io/Logging_2281/klagomålsmail/A 50817-2025 FSC-klagomål mail.docx", "A 50817-2025")</f>
        <v/>
      </c>
      <c r="X64">
        <f>HYPERLINK("https://klasma.github.io/Logging_2281/tillsyn/A 50817-2025 tillsynsbegäran.docx", "A 50817-2025")</f>
        <v/>
      </c>
      <c r="Y64">
        <f>HYPERLINK("https://klasma.github.io/Logging_2281/tillsynsmail/A 50817-2025 tillsynsbegäran mail.docx", "A 50817-2025")</f>
        <v/>
      </c>
      <c r="Z64">
        <f>HYPERLINK("https://klasma.github.io/Logging_2281/fåglar/A 50817-2025 prioriterade fågelarter.docx", "A 50817-2025")</f>
        <v/>
      </c>
    </row>
    <row r="65" ht="15" customHeight="1">
      <c r="A65" t="inlineStr">
        <is>
          <t>A 37437-2025</t>
        </is>
      </c>
      <c r="B65" s="1" t="n">
        <v>45877</v>
      </c>
      <c r="C65" s="1" t="n">
        <v>45961</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7567-2021</t>
        </is>
      </c>
      <c r="B66" s="1" t="n">
        <v>44239</v>
      </c>
      <c r="C66" s="1" t="n">
        <v>45961</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45961</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45961</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55548-2024</t>
        </is>
      </c>
      <c r="B69" s="1" t="n">
        <v>45622</v>
      </c>
      <c r="C69" s="1" t="n">
        <v>45961</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43818-2024</t>
        </is>
      </c>
      <c r="B70" s="1" t="n">
        <v>45571</v>
      </c>
      <c r="C70" s="1" t="n">
        <v>45961</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58518-2022</t>
        </is>
      </c>
      <c r="B71" s="1" t="n">
        <v>44902</v>
      </c>
      <c r="C71" s="1" t="n">
        <v>45961</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48777-2023</t>
        </is>
      </c>
      <c r="B72" s="1" t="n">
        <v>45208</v>
      </c>
      <c r="C72" s="1" t="n">
        <v>45961</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46087-2024</t>
        </is>
      </c>
      <c r="B73" s="1" t="n">
        <v>45581.34430555555</v>
      </c>
      <c r="C73" s="1" t="n">
        <v>45961</v>
      </c>
      <c r="D73" t="inlineStr">
        <is>
          <t>VÄSTERNORRLANDS LÄN</t>
        </is>
      </c>
      <c r="E73" t="inlineStr">
        <is>
          <t>SUNDSVALL</t>
        </is>
      </c>
      <c r="F73" t="inlineStr">
        <is>
          <t>SCA</t>
        </is>
      </c>
      <c r="G73" t="n">
        <v>2.6</v>
      </c>
      <c r="H73" t="n">
        <v>4</v>
      </c>
      <c r="I73" t="n">
        <v>0</v>
      </c>
      <c r="J73" t="n">
        <v>5</v>
      </c>
      <c r="K73" t="n">
        <v>0</v>
      </c>
      <c r="L73" t="n">
        <v>0</v>
      </c>
      <c r="M73" t="n">
        <v>0</v>
      </c>
      <c r="N73" t="n">
        <v>0</v>
      </c>
      <c r="O73" t="n">
        <v>5</v>
      </c>
      <c r="P73" t="n">
        <v>0</v>
      </c>
      <c r="Q73" t="n">
        <v>6</v>
      </c>
      <c r="R73" s="2" t="inlineStr">
        <is>
          <t>Garnlav
Spillkråka
Talltita
Tretåig hackspett
Violettgrå tagellav
Revlummer</t>
        </is>
      </c>
      <c r="S73">
        <f>HYPERLINK("https://klasma.github.io/Logging_2281/artfynd/A 46087-2024 artfynd.xlsx", "A 46087-2024")</f>
        <v/>
      </c>
      <c r="T73">
        <f>HYPERLINK("https://klasma.github.io/Logging_2281/kartor/A 46087-2024 karta.png", "A 46087-2024")</f>
        <v/>
      </c>
      <c r="V73">
        <f>HYPERLINK("https://klasma.github.io/Logging_2281/klagomål/A 46087-2024 FSC-klagomål.docx", "A 46087-2024")</f>
        <v/>
      </c>
      <c r="W73">
        <f>HYPERLINK("https://klasma.github.io/Logging_2281/klagomålsmail/A 46087-2024 FSC-klagomål mail.docx", "A 46087-2024")</f>
        <v/>
      </c>
      <c r="X73">
        <f>HYPERLINK("https://klasma.github.io/Logging_2281/tillsyn/A 46087-2024 tillsynsbegäran.docx", "A 46087-2024")</f>
        <v/>
      </c>
      <c r="Y73">
        <f>HYPERLINK("https://klasma.github.io/Logging_2281/tillsynsmail/A 46087-2024 tillsynsbegäran mail.docx", "A 46087-2024")</f>
        <v/>
      </c>
      <c r="Z73">
        <f>HYPERLINK("https://klasma.github.io/Logging_2281/fåglar/A 46087-2024 prioriterade fågelarter.docx", "A 46087-2024")</f>
        <v/>
      </c>
    </row>
    <row r="74" ht="15" customHeight="1">
      <c r="A74" t="inlineStr">
        <is>
          <t>A 27209-2025</t>
        </is>
      </c>
      <c r="B74" s="1" t="n">
        <v>45812.40658564815</v>
      </c>
      <c r="C74" s="1" t="n">
        <v>45961</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45961</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33777-2024</t>
        </is>
      </c>
      <c r="B76" s="1" t="n">
        <v>45520</v>
      </c>
      <c r="C76" s="1" t="n">
        <v>45961</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32938-2025</t>
        </is>
      </c>
      <c r="B77" s="1" t="n">
        <v>45839.67746527777</v>
      </c>
      <c r="C77" s="1" t="n">
        <v>45961</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50551-2024</t>
        </is>
      </c>
      <c r="B78" s="1" t="n">
        <v>45600</v>
      </c>
      <c r="C78" s="1" t="n">
        <v>45961</v>
      </c>
      <c r="D78" t="inlineStr">
        <is>
          <t>VÄSTERNORRLANDS LÄN</t>
        </is>
      </c>
      <c r="E78" t="inlineStr">
        <is>
          <t>SUNDSVALL</t>
        </is>
      </c>
      <c r="F78" t="inlineStr">
        <is>
          <t>Kommuner</t>
        </is>
      </c>
      <c r="G78" t="n">
        <v>19.7</v>
      </c>
      <c r="H78" t="n">
        <v>5</v>
      </c>
      <c r="I78" t="n">
        <v>0</v>
      </c>
      <c r="J78" t="n">
        <v>3</v>
      </c>
      <c r="K78" t="n">
        <v>1</v>
      </c>
      <c r="L78" t="n">
        <v>0</v>
      </c>
      <c r="M78" t="n">
        <v>0</v>
      </c>
      <c r="N78" t="n">
        <v>0</v>
      </c>
      <c r="O78" t="n">
        <v>4</v>
      </c>
      <c r="P78" t="n">
        <v>1</v>
      </c>
      <c r="Q78" t="n">
        <v>6</v>
      </c>
      <c r="R78" s="2" t="inlineStr">
        <is>
          <t>Havstrut
Flodsångare
Rödprick
Spillkråka
Sparvuggla
Trana</t>
        </is>
      </c>
      <c r="S78">
        <f>HYPERLINK("https://klasma.github.io/Logging_2281/artfynd/A 50551-2024 artfynd.xlsx", "A 50551-2024")</f>
        <v/>
      </c>
      <c r="T78">
        <f>HYPERLINK("https://klasma.github.io/Logging_2281/kartor/A 50551-2024 karta.png", "A 50551-2024")</f>
        <v/>
      </c>
      <c r="V78">
        <f>HYPERLINK("https://klasma.github.io/Logging_2281/klagomål/A 50551-2024 FSC-klagomål.docx", "A 50551-2024")</f>
        <v/>
      </c>
      <c r="W78">
        <f>HYPERLINK("https://klasma.github.io/Logging_2281/klagomålsmail/A 50551-2024 FSC-klagomål mail.docx", "A 50551-2024")</f>
        <v/>
      </c>
      <c r="X78">
        <f>HYPERLINK("https://klasma.github.io/Logging_2281/tillsyn/A 50551-2024 tillsynsbegäran.docx", "A 50551-2024")</f>
        <v/>
      </c>
      <c r="Y78">
        <f>HYPERLINK("https://klasma.github.io/Logging_2281/tillsynsmail/A 50551-2024 tillsynsbegäran mail.docx", "A 50551-2024")</f>
        <v/>
      </c>
      <c r="Z78">
        <f>HYPERLINK("https://klasma.github.io/Logging_2281/fåglar/A 50551-2024 prioriterade fågelarter.docx", "A 50551-2024")</f>
        <v/>
      </c>
    </row>
    <row r="79" ht="15" customHeight="1">
      <c r="A79" t="inlineStr">
        <is>
          <t>A 57859-2024</t>
        </is>
      </c>
      <c r="B79" s="1" t="n">
        <v>45631.42853009259</v>
      </c>
      <c r="C79" s="1" t="n">
        <v>45961</v>
      </c>
      <c r="D79" t="inlineStr">
        <is>
          <t>VÄSTERNORRLANDS LÄN</t>
        </is>
      </c>
      <c r="E79" t="inlineStr">
        <is>
          <t>SUNDSVALL</t>
        </is>
      </c>
      <c r="G79" t="n">
        <v>2.3</v>
      </c>
      <c r="H79" t="n">
        <v>5</v>
      </c>
      <c r="I79" t="n">
        <v>0</v>
      </c>
      <c r="J79" t="n">
        <v>2</v>
      </c>
      <c r="K79" t="n">
        <v>0</v>
      </c>
      <c r="L79" t="n">
        <v>0</v>
      </c>
      <c r="M79" t="n">
        <v>0</v>
      </c>
      <c r="N79" t="n">
        <v>0</v>
      </c>
      <c r="O79" t="n">
        <v>2</v>
      </c>
      <c r="P79" t="n">
        <v>0</v>
      </c>
      <c r="Q79" t="n">
        <v>5</v>
      </c>
      <c r="R79" s="2" t="inlineStr">
        <is>
          <t>Spillkråka
Tretåig hackspett
Grönsiska
Fläcknycklar
Revlummer</t>
        </is>
      </c>
      <c r="S79">
        <f>HYPERLINK("https://klasma.github.io/Logging_2281/artfynd/A 57859-2024 artfynd.xlsx", "A 57859-2024")</f>
        <v/>
      </c>
      <c r="T79">
        <f>HYPERLINK("https://klasma.github.io/Logging_2281/kartor/A 57859-2024 karta.png", "A 57859-2024")</f>
        <v/>
      </c>
      <c r="V79">
        <f>HYPERLINK("https://klasma.github.io/Logging_2281/klagomål/A 57859-2024 FSC-klagomål.docx", "A 57859-2024")</f>
        <v/>
      </c>
      <c r="W79">
        <f>HYPERLINK("https://klasma.github.io/Logging_2281/klagomålsmail/A 57859-2024 FSC-klagomål mail.docx", "A 57859-2024")</f>
        <v/>
      </c>
      <c r="X79">
        <f>HYPERLINK("https://klasma.github.io/Logging_2281/tillsyn/A 57859-2024 tillsynsbegäran.docx", "A 57859-2024")</f>
        <v/>
      </c>
      <c r="Y79">
        <f>HYPERLINK("https://klasma.github.io/Logging_2281/tillsynsmail/A 57859-2024 tillsynsbegäran mail.docx", "A 57859-2024")</f>
        <v/>
      </c>
      <c r="Z79">
        <f>HYPERLINK("https://klasma.github.io/Logging_2281/fåglar/A 57859-2024 prioriterade fågelarter.docx", "A 57859-2024")</f>
        <v/>
      </c>
    </row>
    <row r="80" ht="15" customHeight="1">
      <c r="A80" t="inlineStr">
        <is>
          <t>A 29076-2024</t>
        </is>
      </c>
      <c r="B80" s="1" t="n">
        <v>45481</v>
      </c>
      <c r="C80" s="1" t="n">
        <v>45961</v>
      </c>
      <c r="D80" t="inlineStr">
        <is>
          <t>VÄSTERNORRLANDS LÄN</t>
        </is>
      </c>
      <c r="E80" t="inlineStr">
        <is>
          <t>SUNDSVALL</t>
        </is>
      </c>
      <c r="G80" t="n">
        <v>5.6</v>
      </c>
      <c r="H80" t="n">
        <v>1</v>
      </c>
      <c r="I80" t="n">
        <v>3</v>
      </c>
      <c r="J80" t="n">
        <v>1</v>
      </c>
      <c r="K80" t="n">
        <v>1</v>
      </c>
      <c r="L80" t="n">
        <v>0</v>
      </c>
      <c r="M80" t="n">
        <v>0</v>
      </c>
      <c r="N80" t="n">
        <v>0</v>
      </c>
      <c r="O80" t="n">
        <v>2</v>
      </c>
      <c r="P80" t="n">
        <v>1</v>
      </c>
      <c r="Q80" t="n">
        <v>5</v>
      </c>
      <c r="R80" s="2" t="inlineStr">
        <is>
          <t>Knärot
Lunglav
Bårdlav
Stuplav
Svart trolldruva</t>
        </is>
      </c>
      <c r="S80">
        <f>HYPERLINK("https://klasma.github.io/Logging_2281/artfynd/A 29076-2024 artfynd.xlsx", "A 29076-2024")</f>
        <v/>
      </c>
      <c r="T80">
        <f>HYPERLINK("https://klasma.github.io/Logging_2281/kartor/A 29076-2024 karta.png", "A 29076-2024")</f>
        <v/>
      </c>
      <c r="U80">
        <f>HYPERLINK("https://klasma.github.io/Logging_2281/knärot/A 29076-2024 karta knärot.png",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20628-2025</t>
        </is>
      </c>
      <c r="B81" s="1" t="n">
        <v>45776</v>
      </c>
      <c r="C81" s="1" t="n">
        <v>45961</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13556-2024</t>
        </is>
      </c>
      <c r="B82" s="1" t="n">
        <v>45387</v>
      </c>
      <c r="C82" s="1" t="n">
        <v>45961</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4865-2025</t>
        </is>
      </c>
      <c r="B83" s="1" t="n">
        <v>45688.67528935185</v>
      </c>
      <c r="C83" s="1" t="n">
        <v>45961</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60009-2024</t>
        </is>
      </c>
      <c r="B84" s="1" t="n">
        <v>45642.42752314815</v>
      </c>
      <c r="C84" s="1" t="n">
        <v>45961</v>
      </c>
      <c r="D84" t="inlineStr">
        <is>
          <t>VÄSTERNORRLANDS LÄN</t>
        </is>
      </c>
      <c r="E84" t="inlineStr">
        <is>
          <t>SUNDSVALL</t>
        </is>
      </c>
      <c r="F84" t="inlineStr">
        <is>
          <t>SCA</t>
        </is>
      </c>
      <c r="G84" t="n">
        <v>9.6</v>
      </c>
      <c r="H84" t="n">
        <v>0</v>
      </c>
      <c r="I84" t="n">
        <v>0</v>
      </c>
      <c r="J84" t="n">
        <v>5</v>
      </c>
      <c r="K84" t="n">
        <v>0</v>
      </c>
      <c r="L84" t="n">
        <v>0</v>
      </c>
      <c r="M84" t="n">
        <v>0</v>
      </c>
      <c r="N84" t="n">
        <v>0</v>
      </c>
      <c r="O84" t="n">
        <v>5</v>
      </c>
      <c r="P84" t="n">
        <v>0</v>
      </c>
      <c r="Q84" t="n">
        <v>5</v>
      </c>
      <c r="R84" s="2" t="inlineStr">
        <is>
          <t>Garnlav
Kolflarnlav
Mörk kolflarnlav
Reliktbock
Vedskivlav</t>
        </is>
      </c>
      <c r="S84">
        <f>HYPERLINK("https://klasma.github.io/Logging_2281/artfynd/A 60009-2024 artfynd.xlsx", "A 60009-2024")</f>
        <v/>
      </c>
      <c r="T84">
        <f>HYPERLINK("https://klasma.github.io/Logging_2281/kartor/A 60009-2024 karta.png", "A 60009-2024")</f>
        <v/>
      </c>
      <c r="V84">
        <f>HYPERLINK("https://klasma.github.io/Logging_2281/klagomål/A 60009-2024 FSC-klagomål.docx", "A 60009-2024")</f>
        <v/>
      </c>
      <c r="W84">
        <f>HYPERLINK("https://klasma.github.io/Logging_2281/klagomålsmail/A 60009-2024 FSC-klagomål mail.docx", "A 60009-2024")</f>
        <v/>
      </c>
      <c r="X84">
        <f>HYPERLINK("https://klasma.github.io/Logging_2281/tillsyn/A 60009-2024 tillsynsbegäran.docx", "A 60009-2024")</f>
        <v/>
      </c>
      <c r="Y84">
        <f>HYPERLINK("https://klasma.github.io/Logging_2281/tillsynsmail/A 60009-2024 tillsynsbegäran mail.docx", "A 60009-2024")</f>
        <v/>
      </c>
    </row>
    <row r="85" ht="15" customHeight="1">
      <c r="A85" t="inlineStr">
        <is>
          <t>A 51286-2024</t>
        </is>
      </c>
      <c r="B85" s="1" t="n">
        <v>45600</v>
      </c>
      <c r="C85" s="1" t="n">
        <v>45961</v>
      </c>
      <c r="D85" t="inlineStr">
        <is>
          <t>VÄSTERNORRLANDS LÄN</t>
        </is>
      </c>
      <c r="E85" t="inlineStr">
        <is>
          <t>SUNDSVALL</t>
        </is>
      </c>
      <c r="F85" t="inlineStr">
        <is>
          <t>Kommuner</t>
        </is>
      </c>
      <c r="G85" t="n">
        <v>10</v>
      </c>
      <c r="H85" t="n">
        <v>2</v>
      </c>
      <c r="I85" t="n">
        <v>2</v>
      </c>
      <c r="J85" t="n">
        <v>2</v>
      </c>
      <c r="K85" t="n">
        <v>0</v>
      </c>
      <c r="L85" t="n">
        <v>0</v>
      </c>
      <c r="M85" t="n">
        <v>0</v>
      </c>
      <c r="N85" t="n">
        <v>0</v>
      </c>
      <c r="O85" t="n">
        <v>2</v>
      </c>
      <c r="P85" t="n">
        <v>0</v>
      </c>
      <c r="Q85" t="n">
        <v>5</v>
      </c>
      <c r="R85" s="2" t="inlineStr">
        <is>
          <t>Desmeknopp
Rödprick
Tvåblad
Ögonpyrola
Fläcknycklar</t>
        </is>
      </c>
      <c r="S85">
        <f>HYPERLINK("https://klasma.github.io/Logging_2281/artfynd/A 51286-2024 artfynd.xlsx", "A 51286-2024")</f>
        <v/>
      </c>
      <c r="T85">
        <f>HYPERLINK("https://klasma.github.io/Logging_2281/kartor/A 51286-2024 karta.png", "A 51286-2024")</f>
        <v/>
      </c>
      <c r="V85">
        <f>HYPERLINK("https://klasma.github.io/Logging_2281/klagomål/A 51286-2024 FSC-klagomål.docx", "A 51286-2024")</f>
        <v/>
      </c>
      <c r="W85">
        <f>HYPERLINK("https://klasma.github.io/Logging_2281/klagomålsmail/A 51286-2024 FSC-klagomål mail.docx", "A 51286-2024")</f>
        <v/>
      </c>
      <c r="X85">
        <f>HYPERLINK("https://klasma.github.io/Logging_2281/tillsyn/A 51286-2024 tillsynsbegäran.docx", "A 51286-2024")</f>
        <v/>
      </c>
      <c r="Y85">
        <f>HYPERLINK("https://klasma.github.io/Logging_2281/tillsynsmail/A 51286-2024 tillsynsbegäran mail.docx", "A 51286-2024")</f>
        <v/>
      </c>
    </row>
    <row r="86" ht="15" customHeight="1">
      <c r="A86" t="inlineStr">
        <is>
          <t>A 28406-2025</t>
        </is>
      </c>
      <c r="B86" s="1" t="n">
        <v>45819.34565972222</v>
      </c>
      <c r="C86" s="1" t="n">
        <v>45961</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31887-2024</t>
        </is>
      </c>
      <c r="B87" s="1" t="n">
        <v>45509</v>
      </c>
      <c r="C87" s="1" t="n">
        <v>45961</v>
      </c>
      <c r="D87" t="inlineStr">
        <is>
          <t>VÄSTERNORRLANDS LÄN</t>
        </is>
      </c>
      <c r="E87" t="inlineStr">
        <is>
          <t>SUNDSVALL</t>
        </is>
      </c>
      <c r="F87" t="inlineStr">
        <is>
          <t>SCA</t>
        </is>
      </c>
      <c r="G87" t="n">
        <v>5</v>
      </c>
      <c r="H87" t="n">
        <v>2</v>
      </c>
      <c r="I87" t="n">
        <v>1</v>
      </c>
      <c r="J87" t="n">
        <v>2</v>
      </c>
      <c r="K87" t="n">
        <v>1</v>
      </c>
      <c r="L87" t="n">
        <v>0</v>
      </c>
      <c r="M87" t="n">
        <v>0</v>
      </c>
      <c r="N87" t="n">
        <v>0</v>
      </c>
      <c r="O87" t="n">
        <v>3</v>
      </c>
      <c r="P87" t="n">
        <v>1</v>
      </c>
      <c r="Q87" t="n">
        <v>5</v>
      </c>
      <c r="R87" s="2" t="inlineStr">
        <is>
          <t>Knärot
Garnlav
Ullticka
Vedticka
Revlummer</t>
        </is>
      </c>
      <c r="S87">
        <f>HYPERLINK("https://klasma.github.io/Logging_2281/artfynd/A 31887-2024 artfynd.xlsx", "A 31887-2024")</f>
        <v/>
      </c>
      <c r="T87">
        <f>HYPERLINK("https://klasma.github.io/Logging_2281/kartor/A 31887-2024 karta.png", "A 31887-2024")</f>
        <v/>
      </c>
      <c r="U87">
        <f>HYPERLINK("https://klasma.github.io/Logging_2281/knärot/A 31887-2024 karta knärot.png", "A 31887-2024")</f>
        <v/>
      </c>
      <c r="V87">
        <f>HYPERLINK("https://klasma.github.io/Logging_2281/klagomål/A 31887-2024 FSC-klagomål.docx", "A 31887-2024")</f>
        <v/>
      </c>
      <c r="W87">
        <f>HYPERLINK("https://klasma.github.io/Logging_2281/klagomålsmail/A 31887-2024 FSC-klagomål mail.docx", "A 31887-2024")</f>
        <v/>
      </c>
      <c r="X87">
        <f>HYPERLINK("https://klasma.github.io/Logging_2281/tillsyn/A 31887-2024 tillsynsbegäran.docx", "A 31887-2024")</f>
        <v/>
      </c>
      <c r="Y87">
        <f>HYPERLINK("https://klasma.github.io/Logging_2281/tillsynsmail/A 31887-2024 tillsynsbegäran mail.docx", "A 31887-2024")</f>
        <v/>
      </c>
    </row>
    <row r="88" ht="15" customHeight="1">
      <c r="A88" t="inlineStr">
        <is>
          <t>A 30394-2025</t>
        </is>
      </c>
      <c r="B88" s="1" t="n">
        <v>45827.57431712963</v>
      </c>
      <c r="C88" s="1" t="n">
        <v>45961</v>
      </c>
      <c r="D88" t="inlineStr">
        <is>
          <t>VÄSTERNORRLANDS LÄN</t>
        </is>
      </c>
      <c r="E88" t="inlineStr">
        <is>
          <t>SUNDSVALL</t>
        </is>
      </c>
      <c r="F88" t="inlineStr">
        <is>
          <t>SCA</t>
        </is>
      </c>
      <c r="G88" t="n">
        <v>3.6</v>
      </c>
      <c r="H88" t="n">
        <v>3</v>
      </c>
      <c r="I88" t="n">
        <v>2</v>
      </c>
      <c r="J88" t="n">
        <v>2</v>
      </c>
      <c r="K88" t="n">
        <v>0</v>
      </c>
      <c r="L88" t="n">
        <v>0</v>
      </c>
      <c r="M88" t="n">
        <v>0</v>
      </c>
      <c r="N88" t="n">
        <v>0</v>
      </c>
      <c r="O88" t="n">
        <v>2</v>
      </c>
      <c r="P88" t="n">
        <v>0</v>
      </c>
      <c r="Q88" t="n">
        <v>5</v>
      </c>
      <c r="R88" s="2" t="inlineStr">
        <is>
          <t>Spillkråka
Tretåig hackspett
Barkticka
Grönpyrola
Kungsfågel</t>
        </is>
      </c>
      <c r="S88">
        <f>HYPERLINK("https://klasma.github.io/Logging_2281/artfynd/A 30394-2025 artfynd.xlsx", "A 30394-2025")</f>
        <v/>
      </c>
      <c r="T88">
        <f>HYPERLINK("https://klasma.github.io/Logging_2281/kartor/A 30394-2025 karta.png", "A 30394-2025")</f>
        <v/>
      </c>
      <c r="V88">
        <f>HYPERLINK("https://klasma.github.io/Logging_2281/klagomål/A 30394-2025 FSC-klagomål.docx", "A 30394-2025")</f>
        <v/>
      </c>
      <c r="W88">
        <f>HYPERLINK("https://klasma.github.io/Logging_2281/klagomålsmail/A 30394-2025 FSC-klagomål mail.docx", "A 30394-2025")</f>
        <v/>
      </c>
      <c r="X88">
        <f>HYPERLINK("https://klasma.github.io/Logging_2281/tillsyn/A 30394-2025 tillsynsbegäran.docx", "A 30394-2025")</f>
        <v/>
      </c>
      <c r="Y88">
        <f>HYPERLINK("https://klasma.github.io/Logging_2281/tillsynsmail/A 30394-2025 tillsynsbegäran mail.docx", "A 30394-2025")</f>
        <v/>
      </c>
      <c r="Z88">
        <f>HYPERLINK("https://klasma.github.io/Logging_2281/fåglar/A 30394-2025 prioriterade fågelarter.docx", "A 30394-2025")</f>
        <v/>
      </c>
    </row>
    <row r="89" ht="15" customHeight="1">
      <c r="A89" t="inlineStr">
        <is>
          <t>A 4878-2025</t>
        </is>
      </c>
      <c r="B89" s="1" t="n">
        <v>45688</v>
      </c>
      <c r="C89" s="1" t="n">
        <v>45961</v>
      </c>
      <c r="D89" t="inlineStr">
        <is>
          <t>VÄSTERNORRLANDS LÄN</t>
        </is>
      </c>
      <c r="E89" t="inlineStr">
        <is>
          <t>SUNDSVALL</t>
        </is>
      </c>
      <c r="F89" t="inlineStr">
        <is>
          <t>SCA</t>
        </is>
      </c>
      <c r="G89" t="n">
        <v>4.2</v>
      </c>
      <c r="H89" t="n">
        <v>3</v>
      </c>
      <c r="I89" t="n">
        <v>1</v>
      </c>
      <c r="J89" t="n">
        <v>3</v>
      </c>
      <c r="K89" t="n">
        <v>1</v>
      </c>
      <c r="L89" t="n">
        <v>0</v>
      </c>
      <c r="M89" t="n">
        <v>0</v>
      </c>
      <c r="N89" t="n">
        <v>0</v>
      </c>
      <c r="O89" t="n">
        <v>4</v>
      </c>
      <c r="P89" t="n">
        <v>1</v>
      </c>
      <c r="Q89" t="n">
        <v>5</v>
      </c>
      <c r="R89" s="2" t="inlineStr">
        <is>
          <t>Knärot
Doftskinn
Talltita
Tretåig hackspett
Vedticka</t>
        </is>
      </c>
      <c r="S89">
        <f>HYPERLINK("https://klasma.github.io/Logging_2281/artfynd/A 4878-2025 artfynd.xlsx", "A 4878-2025")</f>
        <v/>
      </c>
      <c r="T89">
        <f>HYPERLINK("https://klasma.github.io/Logging_2281/kartor/A 4878-2025 karta.png", "A 4878-2025")</f>
        <v/>
      </c>
      <c r="U89">
        <f>HYPERLINK("https://klasma.github.io/Logging_2281/knärot/A 4878-2025 karta knärot.png", "A 4878-2025")</f>
        <v/>
      </c>
      <c r="V89">
        <f>HYPERLINK("https://klasma.github.io/Logging_2281/klagomål/A 4878-2025 FSC-klagomål.docx", "A 4878-2025")</f>
        <v/>
      </c>
      <c r="W89">
        <f>HYPERLINK("https://klasma.github.io/Logging_2281/klagomålsmail/A 4878-2025 FSC-klagomål mail.docx", "A 4878-2025")</f>
        <v/>
      </c>
      <c r="X89">
        <f>HYPERLINK("https://klasma.github.io/Logging_2281/tillsyn/A 4878-2025 tillsynsbegäran.docx", "A 4878-2025")</f>
        <v/>
      </c>
      <c r="Y89">
        <f>HYPERLINK("https://klasma.github.io/Logging_2281/tillsynsmail/A 4878-2025 tillsynsbegäran mail.docx", "A 4878-2025")</f>
        <v/>
      </c>
      <c r="Z89">
        <f>HYPERLINK("https://klasma.github.io/Logging_2281/fåglar/A 4878-2025 prioriterade fågelarter.docx", "A 4878-2025")</f>
        <v/>
      </c>
    </row>
    <row r="90" ht="15" customHeight="1">
      <c r="A90" t="inlineStr">
        <is>
          <t>A 55854-2022</t>
        </is>
      </c>
      <c r="B90" s="1" t="n">
        <v>44886</v>
      </c>
      <c r="C90" s="1" t="n">
        <v>45961</v>
      </c>
      <c r="D90" t="inlineStr">
        <is>
          <t>VÄSTERNORRLANDS LÄN</t>
        </is>
      </c>
      <c r="E90" t="inlineStr">
        <is>
          <t>SUNDSVALL</t>
        </is>
      </c>
      <c r="G90" t="n">
        <v>3.8</v>
      </c>
      <c r="H90" t="n">
        <v>2</v>
      </c>
      <c r="I90" t="n">
        <v>0</v>
      </c>
      <c r="J90" t="n">
        <v>2</v>
      </c>
      <c r="K90" t="n">
        <v>1</v>
      </c>
      <c r="L90" t="n">
        <v>0</v>
      </c>
      <c r="M90" t="n">
        <v>0</v>
      </c>
      <c r="N90" t="n">
        <v>0</v>
      </c>
      <c r="O90" t="n">
        <v>3</v>
      </c>
      <c r="P90" t="n">
        <v>1</v>
      </c>
      <c r="Q90" t="n">
        <v>5</v>
      </c>
      <c r="R90" s="2" t="inlineStr">
        <is>
          <t>Sanddraba
Sminkrot
Vårstarr
Pärluggla
Gullviva</t>
        </is>
      </c>
      <c r="S90">
        <f>HYPERLINK("https://klasma.github.io/Logging_2281/artfynd/A 55854-2022 artfynd.xlsx", "A 55854-2022")</f>
        <v/>
      </c>
      <c r="T90">
        <f>HYPERLINK("https://klasma.github.io/Logging_2281/kartor/A 55854-2022 karta.png", "A 55854-2022")</f>
        <v/>
      </c>
      <c r="V90">
        <f>HYPERLINK("https://klasma.github.io/Logging_2281/klagomål/A 55854-2022 FSC-klagomål.docx", "A 55854-2022")</f>
        <v/>
      </c>
      <c r="W90">
        <f>HYPERLINK("https://klasma.github.io/Logging_2281/klagomålsmail/A 55854-2022 FSC-klagomål mail.docx", "A 55854-2022")</f>
        <v/>
      </c>
      <c r="X90">
        <f>HYPERLINK("https://klasma.github.io/Logging_2281/tillsyn/A 55854-2022 tillsynsbegäran.docx", "A 55854-2022")</f>
        <v/>
      </c>
      <c r="Y90">
        <f>HYPERLINK("https://klasma.github.io/Logging_2281/tillsynsmail/A 55854-2022 tillsynsbegäran mail.docx", "A 55854-2022")</f>
        <v/>
      </c>
      <c r="Z90">
        <f>HYPERLINK("https://klasma.github.io/Logging_2281/fåglar/A 55854-2022 prioriterade fågelarter.docx", "A 55854-2022")</f>
        <v/>
      </c>
    </row>
    <row r="91" ht="15" customHeight="1">
      <c r="A91" t="inlineStr">
        <is>
          <t>A 16943-2025</t>
        </is>
      </c>
      <c r="B91" s="1" t="n">
        <v>45755.42534722222</v>
      </c>
      <c r="C91" s="1" t="n">
        <v>45961</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50910-2025</t>
        </is>
      </c>
      <c r="B92" s="1" t="n">
        <v>45946.65672453704</v>
      </c>
      <c r="C92" s="1" t="n">
        <v>45961</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50910-2025 artfynd.xlsx", "A 50910-2025")</f>
        <v/>
      </c>
      <c r="T92">
        <f>HYPERLINK("https://klasma.github.io/Logging_2281/kartor/A 50910-2025 karta.png", "A 50910-2025")</f>
        <v/>
      </c>
      <c r="U92">
        <f>HYPERLINK("https://klasma.github.io/Logging_2281/knärot/A 50910-2025 karta knärot.png", "A 50910-2025")</f>
        <v/>
      </c>
      <c r="V92">
        <f>HYPERLINK("https://klasma.github.io/Logging_2281/klagomål/A 50910-2025 FSC-klagomål.docx", "A 50910-2025")</f>
        <v/>
      </c>
      <c r="W92">
        <f>HYPERLINK("https://klasma.github.io/Logging_2281/klagomålsmail/A 50910-2025 FSC-klagomål mail.docx", "A 50910-2025")</f>
        <v/>
      </c>
      <c r="X92">
        <f>HYPERLINK("https://klasma.github.io/Logging_2281/tillsyn/A 50910-2025 tillsynsbegäran.docx", "A 50910-2025")</f>
        <v/>
      </c>
      <c r="Y92">
        <f>HYPERLINK("https://klasma.github.io/Logging_2281/tillsynsmail/A 50910-2025 tillsynsbegäran mail.docx", "A 50910-2025")</f>
        <v/>
      </c>
      <c r="Z92">
        <f>HYPERLINK("https://klasma.github.io/Logging_2281/fåglar/A 50910-2025 prioriterade fågelarter.docx", "A 50910-2025")</f>
        <v/>
      </c>
    </row>
    <row r="93" ht="15" customHeight="1">
      <c r="A93" t="inlineStr">
        <is>
          <t>A 50885-2025</t>
        </is>
      </c>
      <c r="B93" s="1" t="n">
        <v>45946.63587962963</v>
      </c>
      <c r="C93" s="1" t="n">
        <v>45961</v>
      </c>
      <c r="D93" t="inlineStr">
        <is>
          <t>VÄSTERNORRLANDS LÄN</t>
        </is>
      </c>
      <c r="E93" t="inlineStr">
        <is>
          <t>SUNDSVALL</t>
        </is>
      </c>
      <c r="F93" t="inlineStr">
        <is>
          <t>SCA</t>
        </is>
      </c>
      <c r="G93" t="n">
        <v>3.6</v>
      </c>
      <c r="H93" t="n">
        <v>5</v>
      </c>
      <c r="I93" t="n">
        <v>0</v>
      </c>
      <c r="J93" t="n">
        <v>2</v>
      </c>
      <c r="K93" t="n">
        <v>1</v>
      </c>
      <c r="L93" t="n">
        <v>0</v>
      </c>
      <c r="M93" t="n">
        <v>0</v>
      </c>
      <c r="N93" t="n">
        <v>0</v>
      </c>
      <c r="O93" t="n">
        <v>3</v>
      </c>
      <c r="P93" t="n">
        <v>1</v>
      </c>
      <c r="Q93" t="n">
        <v>5</v>
      </c>
      <c r="R93" s="2" t="inlineStr">
        <is>
          <t>Knärot
Järpe
Spillkråka
Orre
Tjäder</t>
        </is>
      </c>
      <c r="S93">
        <f>HYPERLINK("https://klasma.github.io/Logging_2281/artfynd/A 50885-2025 artfynd.xlsx", "A 50885-2025")</f>
        <v/>
      </c>
      <c r="T93">
        <f>HYPERLINK("https://klasma.github.io/Logging_2281/kartor/A 50885-2025 karta.png", "A 50885-2025")</f>
        <v/>
      </c>
      <c r="U93">
        <f>HYPERLINK("https://klasma.github.io/Logging_2281/knärot/A 50885-2025 karta knärot.png", "A 50885-2025")</f>
        <v/>
      </c>
      <c r="V93">
        <f>HYPERLINK("https://klasma.github.io/Logging_2281/klagomål/A 50885-2025 FSC-klagomål.docx", "A 50885-2025")</f>
        <v/>
      </c>
      <c r="W93">
        <f>HYPERLINK("https://klasma.github.io/Logging_2281/klagomålsmail/A 50885-2025 FSC-klagomål mail.docx", "A 50885-2025")</f>
        <v/>
      </c>
      <c r="X93">
        <f>HYPERLINK("https://klasma.github.io/Logging_2281/tillsyn/A 50885-2025 tillsynsbegäran.docx", "A 50885-2025")</f>
        <v/>
      </c>
      <c r="Y93">
        <f>HYPERLINK("https://klasma.github.io/Logging_2281/tillsynsmail/A 50885-2025 tillsynsbegäran mail.docx", "A 50885-2025")</f>
        <v/>
      </c>
      <c r="Z93">
        <f>HYPERLINK("https://klasma.github.io/Logging_2281/fåglar/A 50885-2025 prioriterade fågelarter.docx", "A 50885-2025")</f>
        <v/>
      </c>
    </row>
    <row r="94" ht="15" customHeight="1">
      <c r="A94" t="inlineStr">
        <is>
          <t>A 24268-2021</t>
        </is>
      </c>
      <c r="B94" s="1" t="n">
        <v>44336</v>
      </c>
      <c r="C94" s="1" t="n">
        <v>45961</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45961</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45961</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45961</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13441-2025</t>
        </is>
      </c>
      <c r="B98" s="1" t="n">
        <v>45736</v>
      </c>
      <c r="C98" s="1" t="n">
        <v>45961</v>
      </c>
      <c r="D98" t="inlineStr">
        <is>
          <t>VÄSTERNORRLANDS LÄN</t>
        </is>
      </c>
      <c r="E98" t="inlineStr">
        <is>
          <t>SUNDSVALL</t>
        </is>
      </c>
      <c r="F98" t="inlineStr">
        <is>
          <t>SCA</t>
        </is>
      </c>
      <c r="G98" t="n">
        <v>0.8</v>
      </c>
      <c r="H98" t="n">
        <v>2</v>
      </c>
      <c r="I98" t="n">
        <v>2</v>
      </c>
      <c r="J98" t="n">
        <v>1</v>
      </c>
      <c r="K98" t="n">
        <v>1</v>
      </c>
      <c r="L98" t="n">
        <v>0</v>
      </c>
      <c r="M98" t="n">
        <v>0</v>
      </c>
      <c r="N98" t="n">
        <v>0</v>
      </c>
      <c r="O98" t="n">
        <v>2</v>
      </c>
      <c r="P98" t="n">
        <v>1</v>
      </c>
      <c r="Q98" t="n">
        <v>4</v>
      </c>
      <c r="R98" s="2" t="inlineStr">
        <is>
          <t>Knärot
Vedtrappmossa
Korallrot
Vedticka</t>
        </is>
      </c>
      <c r="S98">
        <f>HYPERLINK("https://klasma.github.io/Logging_2281/artfynd/A 13441-2025 artfynd.xlsx", "A 13441-2025")</f>
        <v/>
      </c>
      <c r="T98">
        <f>HYPERLINK("https://klasma.github.io/Logging_2281/kartor/A 13441-2025 karta.png", "A 13441-2025")</f>
        <v/>
      </c>
      <c r="U98">
        <f>HYPERLINK("https://klasma.github.io/Logging_2281/knärot/A 13441-2025 karta knärot.png", "A 13441-2025")</f>
        <v/>
      </c>
      <c r="V98">
        <f>HYPERLINK("https://klasma.github.io/Logging_2281/klagomål/A 13441-2025 FSC-klagomål.docx", "A 13441-2025")</f>
        <v/>
      </c>
      <c r="W98">
        <f>HYPERLINK("https://klasma.github.io/Logging_2281/klagomålsmail/A 13441-2025 FSC-klagomål mail.docx", "A 13441-2025")</f>
        <v/>
      </c>
      <c r="X98">
        <f>HYPERLINK("https://klasma.github.io/Logging_2281/tillsyn/A 13441-2025 tillsynsbegäran.docx", "A 13441-2025")</f>
        <v/>
      </c>
      <c r="Y98">
        <f>HYPERLINK("https://klasma.github.io/Logging_2281/tillsynsmail/A 13441-2025 tillsynsbegäran mail.docx", "A 13441-2025")</f>
        <v/>
      </c>
    </row>
    <row r="99" ht="15" customHeight="1">
      <c r="A99" t="inlineStr">
        <is>
          <t>A 60194-2024</t>
        </is>
      </c>
      <c r="B99" s="1" t="n">
        <v>45642</v>
      </c>
      <c r="C99" s="1" t="n">
        <v>45961</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45961</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45961</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45961</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49997-2021</t>
        </is>
      </c>
      <c r="B103" s="1" t="n">
        <v>44456</v>
      </c>
      <c r="C103" s="1" t="n">
        <v>45961</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24422-2025</t>
        </is>
      </c>
      <c r="B104" s="1" t="n">
        <v>45797.67798611111</v>
      </c>
      <c r="C104" s="1" t="n">
        <v>45961</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3094-2021</t>
        </is>
      </c>
      <c r="B105" s="1" t="n">
        <v>44216</v>
      </c>
      <c r="C105" s="1" t="n">
        <v>45961</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18829-2023</t>
        </is>
      </c>
      <c r="B106" s="1" t="n">
        <v>45042</v>
      </c>
      <c r="C106" s="1" t="n">
        <v>45961</v>
      </c>
      <c r="D106" t="inlineStr">
        <is>
          <t>VÄSTERNORRLANDS LÄN</t>
        </is>
      </c>
      <c r="E106" t="inlineStr">
        <is>
          <t>SUNDSVALL</t>
        </is>
      </c>
      <c r="G106" t="n">
        <v>9.9</v>
      </c>
      <c r="H106" t="n">
        <v>3</v>
      </c>
      <c r="I106" t="n">
        <v>0</v>
      </c>
      <c r="J106" t="n">
        <v>2</v>
      </c>
      <c r="K106" t="n">
        <v>0</v>
      </c>
      <c r="L106" t="n">
        <v>0</v>
      </c>
      <c r="M106" t="n">
        <v>0</v>
      </c>
      <c r="N106" t="n">
        <v>0</v>
      </c>
      <c r="O106" t="n">
        <v>2</v>
      </c>
      <c r="P106" t="n">
        <v>0</v>
      </c>
      <c r="Q106" t="n">
        <v>4</v>
      </c>
      <c r="R106" s="2" t="inlineStr">
        <is>
          <t>Garnlav
Järpe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13391-2025</t>
        </is>
      </c>
      <c r="B107" s="1" t="n">
        <v>45735.69886574074</v>
      </c>
      <c r="C107" s="1" t="n">
        <v>45961</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HYPERLINK("https://klasma.github.io/Logging_2281/artfynd/A 13391-2025 artfynd.xlsx", "A 13391-2025")</f>
        <v/>
      </c>
      <c r="T107">
        <f>HYPERLINK("https://klasma.github.io/Logging_2281/kartor/A 13391-2025 karta.png", "A 13391-2025")</f>
        <v/>
      </c>
      <c r="V107">
        <f>HYPERLINK("https://klasma.github.io/Logging_2281/klagomål/A 13391-2025 FSC-klagomål.docx", "A 13391-2025")</f>
        <v/>
      </c>
      <c r="W107">
        <f>HYPERLINK("https://klasma.github.io/Logging_2281/klagomålsmail/A 13391-2025 FSC-klagomål mail.docx", "A 13391-2025")</f>
        <v/>
      </c>
      <c r="X107">
        <f>HYPERLINK("https://klasma.github.io/Logging_2281/tillsyn/A 13391-2025 tillsynsbegäran.docx", "A 13391-2025")</f>
        <v/>
      </c>
      <c r="Y107">
        <f>HYPERLINK("https://klasma.github.io/Logging_2281/tillsynsmail/A 13391-2025 tillsynsbegäran mail.docx", "A 13391-2025")</f>
        <v/>
      </c>
      <c r="Z107">
        <f>HYPERLINK("https://klasma.github.io/Logging_2281/fåglar/A 13391-2025 prioriterade fågelarter.docx", "A 13391-2025")</f>
        <v/>
      </c>
    </row>
    <row r="108" ht="15" customHeight="1">
      <c r="A108" t="inlineStr">
        <is>
          <t>A 16767-2023</t>
        </is>
      </c>
      <c r="B108" s="1" t="n">
        <v>45030</v>
      </c>
      <c r="C108" s="1" t="n">
        <v>45961</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16319-2025</t>
        </is>
      </c>
      <c r="B109" s="1" t="n">
        <v>45751.34840277778</v>
      </c>
      <c r="C109" s="1" t="n">
        <v>45961</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38193-2025</t>
        </is>
      </c>
      <c r="B110" s="1" t="n">
        <v>45882.65716435185</v>
      </c>
      <c r="C110" s="1" t="n">
        <v>45961</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40654-2025</t>
        </is>
      </c>
      <c r="B111" s="1" t="n">
        <v>45896.63640046296</v>
      </c>
      <c r="C111" s="1" t="n">
        <v>45961</v>
      </c>
      <c r="D111" t="inlineStr">
        <is>
          <t>VÄSTERNORRLANDS LÄN</t>
        </is>
      </c>
      <c r="E111" t="inlineStr">
        <is>
          <t>SUNDSVALL</t>
        </is>
      </c>
      <c r="F111" t="inlineStr">
        <is>
          <t>Naturvårdsverket</t>
        </is>
      </c>
      <c r="G111" t="n">
        <v>1.2</v>
      </c>
      <c r="H111" t="n">
        <v>0</v>
      </c>
      <c r="I111" t="n">
        <v>1</v>
      </c>
      <c r="J111" t="n">
        <v>3</v>
      </c>
      <c r="K111" t="n">
        <v>0</v>
      </c>
      <c r="L111" t="n">
        <v>0</v>
      </c>
      <c r="M111" t="n">
        <v>0</v>
      </c>
      <c r="N111" t="n">
        <v>0</v>
      </c>
      <c r="O111" t="n">
        <v>3</v>
      </c>
      <c r="P111" t="n">
        <v>0</v>
      </c>
      <c r="Q111" t="n">
        <v>4</v>
      </c>
      <c r="R111" s="2" t="inlineStr">
        <is>
          <t>Garnlav
Granticka
Lunglav
Gulnål</t>
        </is>
      </c>
      <c r="S111">
        <f>HYPERLINK("https://klasma.github.io/Logging_2281/artfynd/A 40654-2025 artfynd.xlsx", "A 40654-2025")</f>
        <v/>
      </c>
      <c r="T111">
        <f>HYPERLINK("https://klasma.github.io/Logging_2281/kartor/A 40654-2025 karta.png", "A 40654-2025")</f>
        <v/>
      </c>
      <c r="V111">
        <f>HYPERLINK("https://klasma.github.io/Logging_2281/klagomål/A 40654-2025 FSC-klagomål.docx", "A 40654-2025")</f>
        <v/>
      </c>
      <c r="W111">
        <f>HYPERLINK("https://klasma.github.io/Logging_2281/klagomålsmail/A 40654-2025 FSC-klagomål mail.docx", "A 40654-2025")</f>
        <v/>
      </c>
      <c r="X111">
        <f>HYPERLINK("https://klasma.github.io/Logging_2281/tillsyn/A 40654-2025 tillsynsbegäran.docx", "A 40654-2025")</f>
        <v/>
      </c>
      <c r="Y111">
        <f>HYPERLINK("https://klasma.github.io/Logging_2281/tillsynsmail/A 40654-2025 tillsynsbegäran mail.docx", "A 40654-2025")</f>
        <v/>
      </c>
    </row>
    <row r="112" ht="15" customHeight="1">
      <c r="A112" t="inlineStr">
        <is>
          <t>A 48844-2025</t>
        </is>
      </c>
      <c r="B112" s="1" t="n">
        <v>45937.4278125</v>
      </c>
      <c r="C112" s="1" t="n">
        <v>45961</v>
      </c>
      <c r="D112" t="inlineStr">
        <is>
          <t>VÄSTERNORRLANDS LÄN</t>
        </is>
      </c>
      <c r="E112" t="inlineStr">
        <is>
          <t>SUNDSVALL</t>
        </is>
      </c>
      <c r="F112" t="inlineStr">
        <is>
          <t>SCA</t>
        </is>
      </c>
      <c r="G112" t="n">
        <v>3.9</v>
      </c>
      <c r="H112" t="n">
        <v>0</v>
      </c>
      <c r="I112" t="n">
        <v>2</v>
      </c>
      <c r="J112" t="n">
        <v>2</v>
      </c>
      <c r="K112" t="n">
        <v>0</v>
      </c>
      <c r="L112" t="n">
        <v>0</v>
      </c>
      <c r="M112" t="n">
        <v>0</v>
      </c>
      <c r="N112" t="n">
        <v>0</v>
      </c>
      <c r="O112" t="n">
        <v>2</v>
      </c>
      <c r="P112" t="n">
        <v>0</v>
      </c>
      <c r="Q112" t="n">
        <v>4</v>
      </c>
      <c r="R112" s="2" t="inlineStr">
        <is>
          <t>Granticka
Ullticka
Stuplav
Vedticka</t>
        </is>
      </c>
      <c r="S112">
        <f>HYPERLINK("https://klasma.github.io/Logging_2281/artfynd/A 48844-2025 artfynd.xlsx", "A 48844-2025")</f>
        <v/>
      </c>
      <c r="T112">
        <f>HYPERLINK("https://klasma.github.io/Logging_2281/kartor/A 48844-2025 karta.png", "A 48844-2025")</f>
        <v/>
      </c>
      <c r="V112">
        <f>HYPERLINK("https://klasma.github.io/Logging_2281/klagomål/A 48844-2025 FSC-klagomål.docx", "A 48844-2025")</f>
        <v/>
      </c>
      <c r="W112">
        <f>HYPERLINK("https://klasma.github.io/Logging_2281/klagomålsmail/A 48844-2025 FSC-klagomål mail.docx", "A 48844-2025")</f>
        <v/>
      </c>
      <c r="X112">
        <f>HYPERLINK("https://klasma.github.io/Logging_2281/tillsyn/A 48844-2025 tillsynsbegäran.docx", "A 48844-2025")</f>
        <v/>
      </c>
      <c r="Y112">
        <f>HYPERLINK("https://klasma.github.io/Logging_2281/tillsynsmail/A 48844-2025 tillsynsbegäran mail.docx", "A 48844-2025")</f>
        <v/>
      </c>
    </row>
    <row r="113" ht="15" customHeight="1">
      <c r="A113" t="inlineStr">
        <is>
          <t>A 49380-2021</t>
        </is>
      </c>
      <c r="B113" s="1" t="n">
        <v>44454</v>
      </c>
      <c r="C113" s="1" t="n">
        <v>45961</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27734-2023</t>
        </is>
      </c>
      <c r="B114" s="1" t="n">
        <v>45098.37017361111</v>
      </c>
      <c r="C114" s="1" t="n">
        <v>45961</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24782-2024</t>
        </is>
      </c>
      <c r="B115" s="1" t="n">
        <v>45460.80252314815</v>
      </c>
      <c r="C115" s="1" t="n">
        <v>45961</v>
      </c>
      <c r="D115" t="inlineStr">
        <is>
          <t>VÄSTERNORRLANDS LÄN</t>
        </is>
      </c>
      <c r="E115" t="inlineStr">
        <is>
          <t>SUNDSVALL</t>
        </is>
      </c>
      <c r="F115" t="inlineStr">
        <is>
          <t>Kommuner</t>
        </is>
      </c>
      <c r="G115" t="n">
        <v>2.6</v>
      </c>
      <c r="H115" t="n">
        <v>3</v>
      </c>
      <c r="I115" t="n">
        <v>0</v>
      </c>
      <c r="J115" t="n">
        <v>3</v>
      </c>
      <c r="K115" t="n">
        <v>0</v>
      </c>
      <c r="L115" t="n">
        <v>0</v>
      </c>
      <c r="M115" t="n">
        <v>0</v>
      </c>
      <c r="N115" t="n">
        <v>0</v>
      </c>
      <c r="O115" t="n">
        <v>3</v>
      </c>
      <c r="P115" t="n">
        <v>0</v>
      </c>
      <c r="Q115" t="n">
        <v>3</v>
      </c>
      <c r="R115" s="2" t="inlineStr">
        <is>
          <t>Grönsångare
Talltita
Tretåig hackspett</t>
        </is>
      </c>
      <c r="S115">
        <f>HYPERLINK("https://klasma.github.io/Logging_2281/artfynd/A 24782-2024 artfynd.xlsx", "A 24782-2024")</f>
        <v/>
      </c>
      <c r="T115">
        <f>HYPERLINK("https://klasma.github.io/Logging_2281/kartor/A 24782-2024 karta.png", "A 24782-2024")</f>
        <v/>
      </c>
      <c r="V115">
        <f>HYPERLINK("https://klasma.github.io/Logging_2281/klagomål/A 24782-2024 FSC-klagomål.docx", "A 24782-2024")</f>
        <v/>
      </c>
      <c r="W115">
        <f>HYPERLINK("https://klasma.github.io/Logging_2281/klagomålsmail/A 24782-2024 FSC-klagomål mail.docx", "A 24782-2024")</f>
        <v/>
      </c>
      <c r="X115">
        <f>HYPERLINK("https://klasma.github.io/Logging_2281/tillsyn/A 24782-2024 tillsynsbegäran.docx", "A 24782-2024")</f>
        <v/>
      </c>
      <c r="Y115">
        <f>HYPERLINK("https://klasma.github.io/Logging_2281/tillsynsmail/A 24782-2024 tillsynsbegäran mail.docx", "A 24782-2024")</f>
        <v/>
      </c>
      <c r="Z115">
        <f>HYPERLINK("https://klasma.github.io/Logging_2281/fåglar/A 24782-2024 prioriterade fågelarter.docx", "A 24782-2024")</f>
        <v/>
      </c>
    </row>
    <row r="116" ht="15" customHeight="1">
      <c r="A116" t="inlineStr">
        <is>
          <t>A 20077-2025</t>
        </is>
      </c>
      <c r="B116" s="1" t="n">
        <v>45772.44883101852</v>
      </c>
      <c r="C116" s="1" t="n">
        <v>45961</v>
      </c>
      <c r="D116" t="inlineStr">
        <is>
          <t>VÄSTERNORRLANDS LÄN</t>
        </is>
      </c>
      <c r="E116" t="inlineStr">
        <is>
          <t>SUNDSVALL</t>
        </is>
      </c>
      <c r="F116" t="inlineStr">
        <is>
          <t>Naturvårdsverket</t>
        </is>
      </c>
      <c r="G116" t="n">
        <v>7</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HYPERLINK("https://klasma.github.io/Logging_2281/artfynd/A 20077-2025 artfynd.xlsx", "A 20077-2025")</f>
        <v/>
      </c>
      <c r="T116">
        <f>HYPERLINK("https://klasma.github.io/Logging_2281/kartor/A 20077-2025 karta.png", "A 20077-2025")</f>
        <v/>
      </c>
      <c r="V116">
        <f>HYPERLINK("https://klasma.github.io/Logging_2281/klagomål/A 20077-2025 FSC-klagomål.docx", "A 20077-2025")</f>
        <v/>
      </c>
      <c r="W116">
        <f>HYPERLINK("https://klasma.github.io/Logging_2281/klagomålsmail/A 20077-2025 FSC-klagomål mail.docx", "A 20077-2025")</f>
        <v/>
      </c>
      <c r="X116">
        <f>HYPERLINK("https://klasma.github.io/Logging_2281/tillsyn/A 20077-2025 tillsynsbegäran.docx", "A 20077-2025")</f>
        <v/>
      </c>
      <c r="Y116">
        <f>HYPERLINK("https://klasma.github.io/Logging_2281/tillsynsmail/A 20077-2025 tillsynsbegäran mail.docx", "A 20077-2025")</f>
        <v/>
      </c>
    </row>
    <row r="117" ht="15" customHeight="1">
      <c r="A117" t="inlineStr">
        <is>
          <t>A 11351-2022</t>
        </is>
      </c>
      <c r="B117" s="1" t="n">
        <v>44630</v>
      </c>
      <c r="C117" s="1" t="n">
        <v>45961</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14820-2024</t>
        </is>
      </c>
      <c r="B118" s="1" t="n">
        <v>45397</v>
      </c>
      <c r="C118" s="1" t="n">
        <v>45961</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60864-2023</t>
        </is>
      </c>
      <c r="B119" s="1" t="n">
        <v>45260</v>
      </c>
      <c r="C119" s="1" t="n">
        <v>45961</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55550-2024</t>
        </is>
      </c>
      <c r="B120" s="1" t="n">
        <v>45622</v>
      </c>
      <c r="C120" s="1" t="n">
        <v>45961</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30287-2023</t>
        </is>
      </c>
      <c r="B121" s="1" t="n">
        <v>45110</v>
      </c>
      <c r="C121" s="1" t="n">
        <v>45961</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21036-2025</t>
        </is>
      </c>
      <c r="B122" s="1" t="n">
        <v>45777.53175925926</v>
      </c>
      <c r="C122" s="1" t="n">
        <v>45961</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HYPERLINK("https://klasma.github.io/Logging_2281/artfynd/A 21036-2025 artfynd.xlsx", "A 21036-2025")</f>
        <v/>
      </c>
      <c r="T122">
        <f>HYPERLINK("https://klasma.github.io/Logging_2281/kartor/A 21036-2025 karta.png", "A 21036-2025")</f>
        <v/>
      </c>
      <c r="V122">
        <f>HYPERLINK("https://klasma.github.io/Logging_2281/klagomål/A 21036-2025 FSC-klagomål.docx", "A 21036-2025")</f>
        <v/>
      </c>
      <c r="W122">
        <f>HYPERLINK("https://klasma.github.io/Logging_2281/klagomålsmail/A 21036-2025 FSC-klagomål mail.docx", "A 21036-2025")</f>
        <v/>
      </c>
      <c r="X122">
        <f>HYPERLINK("https://klasma.github.io/Logging_2281/tillsyn/A 21036-2025 tillsynsbegäran.docx", "A 21036-2025")</f>
        <v/>
      </c>
      <c r="Y122">
        <f>HYPERLINK("https://klasma.github.io/Logging_2281/tillsynsmail/A 21036-2025 tillsynsbegäran mail.docx", "A 21036-2025")</f>
        <v/>
      </c>
    </row>
    <row r="123" ht="15" customHeight="1">
      <c r="A123" t="inlineStr">
        <is>
          <t>A 22566-2022</t>
        </is>
      </c>
      <c r="B123" s="1" t="n">
        <v>44713.93861111111</v>
      </c>
      <c r="C123" s="1" t="n">
        <v>45961</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45961</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24392-2025</t>
        </is>
      </c>
      <c r="B125" s="1" t="n">
        <v>45797.63641203703</v>
      </c>
      <c r="C125" s="1" t="n">
        <v>45961</v>
      </c>
      <c r="D125" t="inlineStr">
        <is>
          <t>VÄSTERNORRLANDS LÄN</t>
        </is>
      </c>
      <c r="E125" t="inlineStr">
        <is>
          <t>SUNDSVALL</t>
        </is>
      </c>
      <c r="F125" t="inlineStr">
        <is>
          <t>SCA</t>
        </is>
      </c>
      <c r="G125" t="n">
        <v>8.800000000000001</v>
      </c>
      <c r="H125" t="n">
        <v>3</v>
      </c>
      <c r="I125" t="n">
        <v>0</v>
      </c>
      <c r="J125" t="n">
        <v>2</v>
      </c>
      <c r="K125" t="n">
        <v>0</v>
      </c>
      <c r="L125" t="n">
        <v>0</v>
      </c>
      <c r="M125" t="n">
        <v>0</v>
      </c>
      <c r="N125" t="n">
        <v>0</v>
      </c>
      <c r="O125" t="n">
        <v>2</v>
      </c>
      <c r="P125" t="n">
        <v>0</v>
      </c>
      <c r="Q125" t="n">
        <v>3</v>
      </c>
      <c r="R125" s="2" t="inlineStr">
        <is>
          <t>Spillkråka
Tretåig hackspett
Tjäder</t>
        </is>
      </c>
      <c r="S125">
        <f>HYPERLINK("https://klasma.github.io/Logging_2281/artfynd/A 24392-2025 artfynd.xlsx", "A 24392-2025")</f>
        <v/>
      </c>
      <c r="T125">
        <f>HYPERLINK("https://klasma.github.io/Logging_2281/kartor/A 24392-2025 karta.png", "A 24392-2025")</f>
        <v/>
      </c>
      <c r="V125">
        <f>HYPERLINK("https://klasma.github.io/Logging_2281/klagomål/A 24392-2025 FSC-klagomål.docx", "A 24392-2025")</f>
        <v/>
      </c>
      <c r="W125">
        <f>HYPERLINK("https://klasma.github.io/Logging_2281/klagomålsmail/A 24392-2025 FSC-klagomål mail.docx", "A 24392-2025")</f>
        <v/>
      </c>
      <c r="X125">
        <f>HYPERLINK("https://klasma.github.io/Logging_2281/tillsyn/A 24392-2025 tillsynsbegäran.docx", "A 24392-2025")</f>
        <v/>
      </c>
      <c r="Y125">
        <f>HYPERLINK("https://klasma.github.io/Logging_2281/tillsynsmail/A 24392-2025 tillsynsbegäran mail.docx", "A 24392-2025")</f>
        <v/>
      </c>
      <c r="Z125">
        <f>HYPERLINK("https://klasma.github.io/Logging_2281/fåglar/A 24392-2025 prioriterade fågelarter.docx", "A 24392-2025")</f>
        <v/>
      </c>
    </row>
    <row r="126" ht="15" customHeight="1">
      <c r="A126" t="inlineStr">
        <is>
          <t>A 19225-2025</t>
        </is>
      </c>
      <c r="B126" s="1" t="n">
        <v>45769.44872685185</v>
      </c>
      <c r="C126" s="1" t="n">
        <v>45961</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30684-2025</t>
        </is>
      </c>
      <c r="B127" s="1" t="n">
        <v>45831.53170138889</v>
      </c>
      <c r="C127" s="1" t="n">
        <v>45961</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54621-2023</t>
        </is>
      </c>
      <c r="B128" s="1" t="n">
        <v>45233</v>
      </c>
      <c r="C128" s="1" t="n">
        <v>45961</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39925-2025</t>
        </is>
      </c>
      <c r="B129" s="1" t="n">
        <v>45891.6775</v>
      </c>
      <c r="C129" s="1" t="n">
        <v>45961</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42203-2025</t>
        </is>
      </c>
      <c r="B130" s="1" t="n">
        <v>45904.49039351852</v>
      </c>
      <c r="C130" s="1" t="n">
        <v>45961</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43435-2025</t>
        </is>
      </c>
      <c r="B131" s="1" t="n">
        <v>45911.42755787037</v>
      </c>
      <c r="C131" s="1" t="n">
        <v>45961</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45961</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58191-2022</t>
        </is>
      </c>
      <c r="B133" s="1" t="n">
        <v>44900</v>
      </c>
      <c r="C133" s="1" t="n">
        <v>45961</v>
      </c>
      <c r="D133" t="inlineStr">
        <is>
          <t>VÄSTERNORRLANDS LÄN</t>
        </is>
      </c>
      <c r="E133" t="inlineStr">
        <is>
          <t>SUNDSVALL</t>
        </is>
      </c>
      <c r="F133" t="inlineStr">
        <is>
          <t>SCA</t>
        </is>
      </c>
      <c r="G133" t="n">
        <v>2</v>
      </c>
      <c r="H133" t="n">
        <v>1</v>
      </c>
      <c r="I133" t="n">
        <v>2</v>
      </c>
      <c r="J133" t="n">
        <v>0</v>
      </c>
      <c r="K133" t="n">
        <v>0</v>
      </c>
      <c r="L133" t="n">
        <v>0</v>
      </c>
      <c r="M133" t="n">
        <v>0</v>
      </c>
      <c r="N133" t="n">
        <v>0</v>
      </c>
      <c r="O133" t="n">
        <v>0</v>
      </c>
      <c r="P133" t="n">
        <v>0</v>
      </c>
      <c r="Q133" t="n">
        <v>2</v>
      </c>
      <c r="R133" s="2" t="inlineStr">
        <is>
          <t>Korallrot
Vedticka</t>
        </is>
      </c>
      <c r="S133">
        <f>HYPERLINK("https://klasma.github.io/Logging_2281/artfynd/A 58191-2022 artfynd.xlsx", "A 58191-2022")</f>
        <v/>
      </c>
      <c r="T133">
        <f>HYPERLINK("https://klasma.github.io/Logging_2281/kartor/A 58191-2022 karta.png", "A 58191-2022")</f>
        <v/>
      </c>
      <c r="U133">
        <f>HYPERLINK("https://klasma.github.io/Logging_2281/knärot/A 58191-2022 karta knärot.png", "A 58191-2022")</f>
        <v/>
      </c>
      <c r="V133">
        <f>HYPERLINK("https://klasma.github.io/Logging_2281/klagomål/A 58191-2022 FSC-klagomål.docx", "A 58191-2022")</f>
        <v/>
      </c>
      <c r="W133">
        <f>HYPERLINK("https://klasma.github.io/Logging_2281/klagomålsmail/A 58191-2022 FSC-klagomål mail.docx", "A 58191-2022")</f>
        <v/>
      </c>
      <c r="X133">
        <f>HYPERLINK("https://klasma.github.io/Logging_2281/tillsyn/A 58191-2022 tillsynsbegäran.docx", "A 58191-2022")</f>
        <v/>
      </c>
      <c r="Y133">
        <f>HYPERLINK("https://klasma.github.io/Logging_2281/tillsynsmail/A 58191-2022 tillsynsbegäran mail.docx", "A 58191-2022")</f>
        <v/>
      </c>
    </row>
    <row r="134" ht="15" customHeight="1">
      <c r="A134" t="inlineStr">
        <is>
          <t>A 35307-2022</t>
        </is>
      </c>
      <c r="B134" s="1" t="n">
        <v>44798.44170138889</v>
      </c>
      <c r="C134" s="1" t="n">
        <v>45961</v>
      </c>
      <c r="D134" t="inlineStr">
        <is>
          <t>VÄSTERNORRLANDS LÄN</t>
        </is>
      </c>
      <c r="E134" t="inlineStr">
        <is>
          <t>SUNDSVALL</t>
        </is>
      </c>
      <c r="F134" t="inlineStr">
        <is>
          <t>Holmen skog AB</t>
        </is>
      </c>
      <c r="G134" t="n">
        <v>13.4</v>
      </c>
      <c r="H134" t="n">
        <v>0</v>
      </c>
      <c r="I134" t="n">
        <v>1</v>
      </c>
      <c r="J134" t="n">
        <v>1</v>
      </c>
      <c r="K134" t="n">
        <v>0</v>
      </c>
      <c r="L134" t="n">
        <v>0</v>
      </c>
      <c r="M134" t="n">
        <v>0</v>
      </c>
      <c r="N134" t="n">
        <v>0</v>
      </c>
      <c r="O134" t="n">
        <v>1</v>
      </c>
      <c r="P134" t="n">
        <v>0</v>
      </c>
      <c r="Q134" t="n">
        <v>2</v>
      </c>
      <c r="R134" s="2" t="inlineStr">
        <is>
          <t>Månlåsbräken
Ögonpyrola</t>
        </is>
      </c>
      <c r="S134">
        <f>HYPERLINK("https://klasma.github.io/Logging_2281/artfynd/A 35307-2022 artfynd.xlsx", "A 35307-2022")</f>
        <v/>
      </c>
      <c r="T134">
        <f>HYPERLINK("https://klasma.github.io/Logging_2281/kartor/A 35307-2022 karta.png", "A 35307-2022")</f>
        <v/>
      </c>
      <c r="V134">
        <f>HYPERLINK("https://klasma.github.io/Logging_2281/klagomål/A 35307-2022 FSC-klagomål.docx", "A 35307-2022")</f>
        <v/>
      </c>
      <c r="W134">
        <f>HYPERLINK("https://klasma.github.io/Logging_2281/klagomålsmail/A 35307-2022 FSC-klagomål mail.docx", "A 35307-2022")</f>
        <v/>
      </c>
      <c r="X134">
        <f>HYPERLINK("https://klasma.github.io/Logging_2281/tillsyn/A 35307-2022 tillsynsbegäran.docx", "A 35307-2022")</f>
        <v/>
      </c>
      <c r="Y134">
        <f>HYPERLINK("https://klasma.github.io/Logging_2281/tillsynsmail/A 35307-2022 tillsynsbegäran mail.docx", "A 35307-2022")</f>
        <v/>
      </c>
    </row>
    <row r="135" ht="15" customHeight="1">
      <c r="A135" t="inlineStr">
        <is>
          <t>A 57781-2023</t>
        </is>
      </c>
      <c r="B135" s="1" t="n">
        <v>45246</v>
      </c>
      <c r="C135" s="1" t="n">
        <v>45961</v>
      </c>
      <c r="D135" t="inlineStr">
        <is>
          <t>VÄSTERNORRLANDS LÄN</t>
        </is>
      </c>
      <c r="E135" t="inlineStr">
        <is>
          <t>SUNDSVALL</t>
        </is>
      </c>
      <c r="F135" t="inlineStr">
        <is>
          <t>SCA</t>
        </is>
      </c>
      <c r="G135" t="n">
        <v>4.9</v>
      </c>
      <c r="H135" t="n">
        <v>0</v>
      </c>
      <c r="I135" t="n">
        <v>1</v>
      </c>
      <c r="J135" t="n">
        <v>1</v>
      </c>
      <c r="K135" t="n">
        <v>0</v>
      </c>
      <c r="L135" t="n">
        <v>0</v>
      </c>
      <c r="M135" t="n">
        <v>0</v>
      </c>
      <c r="N135" t="n">
        <v>0</v>
      </c>
      <c r="O135" t="n">
        <v>1</v>
      </c>
      <c r="P135" t="n">
        <v>0</v>
      </c>
      <c r="Q135" t="n">
        <v>2</v>
      </c>
      <c r="R135" s="2" t="inlineStr">
        <is>
          <t>Tallticka
Bollvitmossa</t>
        </is>
      </c>
      <c r="S135">
        <f>HYPERLINK("https://klasma.github.io/Logging_2281/artfynd/A 57781-2023 artfynd.xlsx", "A 57781-2023")</f>
        <v/>
      </c>
      <c r="T135">
        <f>HYPERLINK("https://klasma.github.io/Logging_2281/kartor/A 57781-2023 karta.png", "A 57781-2023")</f>
        <v/>
      </c>
      <c r="V135">
        <f>HYPERLINK("https://klasma.github.io/Logging_2281/klagomål/A 57781-2023 FSC-klagomål.docx", "A 57781-2023")</f>
        <v/>
      </c>
      <c r="W135">
        <f>HYPERLINK("https://klasma.github.io/Logging_2281/klagomålsmail/A 57781-2023 FSC-klagomål mail.docx", "A 57781-2023")</f>
        <v/>
      </c>
      <c r="X135">
        <f>HYPERLINK("https://klasma.github.io/Logging_2281/tillsyn/A 57781-2023 tillsynsbegäran.docx", "A 57781-2023")</f>
        <v/>
      </c>
      <c r="Y135">
        <f>HYPERLINK("https://klasma.github.io/Logging_2281/tillsynsmail/A 57781-2023 tillsynsbegäran mail.docx", "A 57781-2023")</f>
        <v/>
      </c>
    </row>
    <row r="136" ht="15" customHeight="1">
      <c r="A136" t="inlineStr">
        <is>
          <t>A 34766-2024</t>
        </is>
      </c>
      <c r="B136" s="1" t="n">
        <v>45526</v>
      </c>
      <c r="C136" s="1" t="n">
        <v>45961</v>
      </c>
      <c r="D136" t="inlineStr">
        <is>
          <t>VÄSTERNORRLANDS LÄN</t>
        </is>
      </c>
      <c r="E136" t="inlineStr">
        <is>
          <t>SUNDSVALL</t>
        </is>
      </c>
      <c r="F136" t="inlineStr">
        <is>
          <t>SCA</t>
        </is>
      </c>
      <c r="G136" t="n">
        <v>10</v>
      </c>
      <c r="H136" t="n">
        <v>1</v>
      </c>
      <c r="I136" t="n">
        <v>1</v>
      </c>
      <c r="J136" t="n">
        <v>0</v>
      </c>
      <c r="K136" t="n">
        <v>0</v>
      </c>
      <c r="L136" t="n">
        <v>0</v>
      </c>
      <c r="M136" t="n">
        <v>0</v>
      </c>
      <c r="N136" t="n">
        <v>0</v>
      </c>
      <c r="O136" t="n">
        <v>0</v>
      </c>
      <c r="P136" t="n">
        <v>0</v>
      </c>
      <c r="Q136" t="n">
        <v>2</v>
      </c>
      <c r="R136" s="2" t="inlineStr">
        <is>
          <t>Vårärt
Revlummer</t>
        </is>
      </c>
      <c r="S136">
        <f>HYPERLINK("https://klasma.github.io/Logging_2281/artfynd/A 34766-2024 artfynd.xlsx", "A 34766-2024")</f>
        <v/>
      </c>
      <c r="T136">
        <f>HYPERLINK("https://klasma.github.io/Logging_2281/kartor/A 34766-2024 karta.png", "A 34766-2024")</f>
        <v/>
      </c>
      <c r="V136">
        <f>HYPERLINK("https://klasma.github.io/Logging_2281/klagomål/A 34766-2024 FSC-klagomål.docx", "A 34766-2024")</f>
        <v/>
      </c>
      <c r="W136">
        <f>HYPERLINK("https://klasma.github.io/Logging_2281/klagomålsmail/A 34766-2024 FSC-klagomål mail.docx", "A 34766-2024")</f>
        <v/>
      </c>
      <c r="X136">
        <f>HYPERLINK("https://klasma.github.io/Logging_2281/tillsyn/A 34766-2024 tillsynsbegäran.docx", "A 34766-2024")</f>
        <v/>
      </c>
      <c r="Y136">
        <f>HYPERLINK("https://klasma.github.io/Logging_2281/tillsynsmail/A 34766-2024 tillsynsbegäran mail.docx", "A 34766-2024")</f>
        <v/>
      </c>
    </row>
    <row r="137" ht="15" customHeight="1">
      <c r="A137" t="inlineStr">
        <is>
          <t>A 41814-2022</t>
        </is>
      </c>
      <c r="B137" s="1" t="n">
        <v>44827</v>
      </c>
      <c r="C137" s="1" t="n">
        <v>45961</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13675-2024</t>
        </is>
      </c>
      <c r="B138" s="1" t="n">
        <v>45390</v>
      </c>
      <c r="C138" s="1" t="n">
        <v>45961</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52741-2022</t>
        </is>
      </c>
      <c r="B139" s="1" t="n">
        <v>44874</v>
      </c>
      <c r="C139" s="1" t="n">
        <v>45961</v>
      </c>
      <c r="D139" t="inlineStr">
        <is>
          <t>VÄSTERNORRLANDS LÄN</t>
        </is>
      </c>
      <c r="E139" t="inlineStr">
        <is>
          <t>SUNDSVALL</t>
        </is>
      </c>
      <c r="F139" t="inlineStr">
        <is>
          <t>SCA</t>
        </is>
      </c>
      <c r="G139" t="n">
        <v>5.2</v>
      </c>
      <c r="H139" t="n">
        <v>1</v>
      </c>
      <c r="I139" t="n">
        <v>1</v>
      </c>
      <c r="J139" t="n">
        <v>1</v>
      </c>
      <c r="K139" t="n">
        <v>0</v>
      </c>
      <c r="L139" t="n">
        <v>0</v>
      </c>
      <c r="M139" t="n">
        <v>0</v>
      </c>
      <c r="N139" t="n">
        <v>0</v>
      </c>
      <c r="O139" t="n">
        <v>1</v>
      </c>
      <c r="P139" t="n">
        <v>0</v>
      </c>
      <c r="Q139" t="n">
        <v>2</v>
      </c>
      <c r="R139" s="2" t="inlineStr">
        <is>
          <t>Videsparv
Skuggblåslav</t>
        </is>
      </c>
      <c r="S139">
        <f>HYPERLINK("https://klasma.github.io/Logging_2281/artfynd/A 52741-2022 artfynd.xlsx", "A 52741-2022")</f>
        <v/>
      </c>
      <c r="T139">
        <f>HYPERLINK("https://klasma.github.io/Logging_2281/kartor/A 52741-2022 karta.png", "A 52741-2022")</f>
        <v/>
      </c>
      <c r="V139">
        <f>HYPERLINK("https://klasma.github.io/Logging_2281/klagomål/A 52741-2022 FSC-klagomål.docx", "A 52741-2022")</f>
        <v/>
      </c>
      <c r="W139">
        <f>HYPERLINK("https://klasma.github.io/Logging_2281/klagomålsmail/A 52741-2022 FSC-klagomål mail.docx", "A 52741-2022")</f>
        <v/>
      </c>
      <c r="X139">
        <f>HYPERLINK("https://klasma.github.io/Logging_2281/tillsyn/A 52741-2022 tillsynsbegäran.docx", "A 52741-2022")</f>
        <v/>
      </c>
      <c r="Y139">
        <f>HYPERLINK("https://klasma.github.io/Logging_2281/tillsynsmail/A 52741-2022 tillsynsbegäran mail.docx", "A 52741-2022")</f>
        <v/>
      </c>
      <c r="Z139">
        <f>HYPERLINK("https://klasma.github.io/Logging_2281/fåglar/A 52741-2022 prioriterade fågelarter.docx", "A 52741-2022")</f>
        <v/>
      </c>
    </row>
    <row r="140" ht="15" customHeight="1">
      <c r="A140" t="inlineStr">
        <is>
          <t>A 4900-2025</t>
        </is>
      </c>
      <c r="B140" s="1" t="n">
        <v>45688</v>
      </c>
      <c r="C140" s="1" t="n">
        <v>45961</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21321-2025</t>
        </is>
      </c>
      <c r="B141" s="1" t="n">
        <v>45782.34512731482</v>
      </c>
      <c r="C141" s="1" t="n">
        <v>45961</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45961</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52350-2022</t>
        </is>
      </c>
      <c r="B143" s="1" t="n">
        <v>44873</v>
      </c>
      <c r="C143" s="1" t="n">
        <v>45961</v>
      </c>
      <c r="D143" t="inlineStr">
        <is>
          <t>VÄSTERNORRLANDS LÄN</t>
        </is>
      </c>
      <c r="E143" t="inlineStr">
        <is>
          <t>SUNDSVALL</t>
        </is>
      </c>
      <c r="F143" t="inlineStr">
        <is>
          <t>SCA</t>
        </is>
      </c>
      <c r="G143" t="n">
        <v>4.4</v>
      </c>
      <c r="H143" t="n">
        <v>0</v>
      </c>
      <c r="I143" t="n">
        <v>0</v>
      </c>
      <c r="J143" t="n">
        <v>2</v>
      </c>
      <c r="K143" t="n">
        <v>0</v>
      </c>
      <c r="L143" t="n">
        <v>0</v>
      </c>
      <c r="M143" t="n">
        <v>0</v>
      </c>
      <c r="N143" t="n">
        <v>0</v>
      </c>
      <c r="O143" t="n">
        <v>2</v>
      </c>
      <c r="P143" t="n">
        <v>0</v>
      </c>
      <c r="Q143" t="n">
        <v>2</v>
      </c>
      <c r="R143" s="2" t="inlineStr">
        <is>
          <t>Lunglav
Ullticka</t>
        </is>
      </c>
      <c r="S143">
        <f>HYPERLINK("https://klasma.github.io/Logging_2281/artfynd/A 52350-2022 artfynd.xlsx", "A 52350-2022")</f>
        <v/>
      </c>
      <c r="T143">
        <f>HYPERLINK("https://klasma.github.io/Logging_2281/kartor/A 52350-2022 karta.png", "A 52350-2022")</f>
        <v/>
      </c>
      <c r="V143">
        <f>HYPERLINK("https://klasma.github.io/Logging_2281/klagomål/A 52350-2022 FSC-klagomål.docx", "A 52350-2022")</f>
        <v/>
      </c>
      <c r="W143">
        <f>HYPERLINK("https://klasma.github.io/Logging_2281/klagomålsmail/A 52350-2022 FSC-klagomål mail.docx", "A 52350-2022")</f>
        <v/>
      </c>
      <c r="X143">
        <f>HYPERLINK("https://klasma.github.io/Logging_2281/tillsyn/A 52350-2022 tillsynsbegäran.docx", "A 52350-2022")</f>
        <v/>
      </c>
      <c r="Y143">
        <f>HYPERLINK("https://klasma.github.io/Logging_2281/tillsynsmail/A 52350-2022 tillsynsbegäran mail.docx", "A 52350-2022")</f>
        <v/>
      </c>
    </row>
    <row r="144" ht="15" customHeight="1">
      <c r="A144" t="inlineStr">
        <is>
          <t>A 46545-2025</t>
        </is>
      </c>
      <c r="B144" s="1" t="n">
        <v>45926.34505787037</v>
      </c>
      <c r="C144" s="1" t="n">
        <v>45961</v>
      </c>
      <c r="D144" t="inlineStr">
        <is>
          <t>VÄSTERNORRLANDS LÄN</t>
        </is>
      </c>
      <c r="E144" t="inlineStr">
        <is>
          <t>SUNDSVALL</t>
        </is>
      </c>
      <c r="F144" t="inlineStr">
        <is>
          <t>SCA</t>
        </is>
      </c>
      <c r="G144" t="n">
        <v>2.9</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46545-2025 artfynd.xlsx", "A 46545-2025")</f>
        <v/>
      </c>
      <c r="T144">
        <f>HYPERLINK("https://klasma.github.io/Logging_2281/kartor/A 46545-2025 karta.png", "A 46545-2025")</f>
        <v/>
      </c>
      <c r="V144">
        <f>HYPERLINK("https://klasma.github.io/Logging_2281/klagomål/A 46545-2025 FSC-klagomål.docx", "A 46545-2025")</f>
        <v/>
      </c>
      <c r="W144">
        <f>HYPERLINK("https://klasma.github.io/Logging_2281/klagomålsmail/A 46545-2025 FSC-klagomål mail.docx", "A 46545-2025")</f>
        <v/>
      </c>
      <c r="X144">
        <f>HYPERLINK("https://klasma.github.io/Logging_2281/tillsyn/A 46545-2025 tillsynsbegäran.docx", "A 46545-2025")</f>
        <v/>
      </c>
      <c r="Y144">
        <f>HYPERLINK("https://klasma.github.io/Logging_2281/tillsynsmail/A 46545-2025 tillsynsbegäran mail.docx", "A 46545-2025")</f>
        <v/>
      </c>
    </row>
    <row r="145" ht="15" customHeight="1">
      <c r="A145" t="inlineStr">
        <is>
          <t>A 70072-2021</t>
        </is>
      </c>
      <c r="B145" s="1" t="n">
        <v>44533.52040509259</v>
      </c>
      <c r="C145" s="1" t="n">
        <v>45961</v>
      </c>
      <c r="D145" t="inlineStr">
        <is>
          <t>VÄSTERNORRLANDS LÄN</t>
        </is>
      </c>
      <c r="E145" t="inlineStr">
        <is>
          <t>SUNDSVALL</t>
        </is>
      </c>
      <c r="G145" t="n">
        <v>1.2</v>
      </c>
      <c r="H145" t="n">
        <v>0</v>
      </c>
      <c r="I145" t="n">
        <v>0</v>
      </c>
      <c r="J145" t="n">
        <v>2</v>
      </c>
      <c r="K145" t="n">
        <v>0</v>
      </c>
      <c r="L145" t="n">
        <v>0</v>
      </c>
      <c r="M145" t="n">
        <v>0</v>
      </c>
      <c r="N145" t="n">
        <v>0</v>
      </c>
      <c r="O145" t="n">
        <v>2</v>
      </c>
      <c r="P145" t="n">
        <v>0</v>
      </c>
      <c r="Q145" t="n">
        <v>2</v>
      </c>
      <c r="R145" s="2" t="inlineStr">
        <is>
          <t>Garnlav
Lunglav</t>
        </is>
      </c>
      <c r="S145">
        <f>HYPERLINK("https://klasma.github.io/Logging_2281/artfynd/A 70072-2021 artfynd.xlsx", "A 70072-2021")</f>
        <v/>
      </c>
      <c r="T145">
        <f>HYPERLINK("https://klasma.github.io/Logging_2281/kartor/A 70072-2021 karta.png", "A 70072-2021")</f>
        <v/>
      </c>
      <c r="V145">
        <f>HYPERLINK("https://klasma.github.io/Logging_2281/klagomål/A 70072-2021 FSC-klagomål.docx", "A 70072-2021")</f>
        <v/>
      </c>
      <c r="W145">
        <f>HYPERLINK("https://klasma.github.io/Logging_2281/klagomålsmail/A 70072-2021 FSC-klagomål mail.docx", "A 70072-2021")</f>
        <v/>
      </c>
      <c r="X145">
        <f>HYPERLINK("https://klasma.github.io/Logging_2281/tillsyn/A 70072-2021 tillsynsbegäran.docx", "A 70072-2021")</f>
        <v/>
      </c>
      <c r="Y145">
        <f>HYPERLINK("https://klasma.github.io/Logging_2281/tillsynsmail/A 70072-2021 tillsynsbegäran mail.docx", "A 70072-2021")</f>
        <v/>
      </c>
    </row>
    <row r="146" ht="15" customHeight="1">
      <c r="A146" t="inlineStr">
        <is>
          <t>A 25870-2025</t>
        </is>
      </c>
      <c r="B146" s="1" t="n">
        <v>45804.49010416667</v>
      </c>
      <c r="C146" s="1" t="n">
        <v>45961</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45961</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23364-2025</t>
        </is>
      </c>
      <c r="B148" s="1" t="n">
        <v>45791.67792824074</v>
      </c>
      <c r="C148" s="1" t="n">
        <v>45961</v>
      </c>
      <c r="D148" t="inlineStr">
        <is>
          <t>VÄSTERNORRLANDS LÄN</t>
        </is>
      </c>
      <c r="E148" t="inlineStr">
        <is>
          <t>SUNDSVALL</t>
        </is>
      </c>
      <c r="F148" t="inlineStr">
        <is>
          <t>SCA</t>
        </is>
      </c>
      <c r="G148" t="n">
        <v>4</v>
      </c>
      <c r="H148" t="n">
        <v>1</v>
      </c>
      <c r="I148" t="n">
        <v>0</v>
      </c>
      <c r="J148" t="n">
        <v>2</v>
      </c>
      <c r="K148" t="n">
        <v>0</v>
      </c>
      <c r="L148" t="n">
        <v>0</v>
      </c>
      <c r="M148" t="n">
        <v>0</v>
      </c>
      <c r="N148" t="n">
        <v>0</v>
      </c>
      <c r="O148" t="n">
        <v>2</v>
      </c>
      <c r="P148" t="n">
        <v>0</v>
      </c>
      <c r="Q148" t="n">
        <v>2</v>
      </c>
      <c r="R148" s="2" t="inlineStr">
        <is>
          <t>Garnlav
Tretåig hackspett</t>
        </is>
      </c>
      <c r="S148">
        <f>HYPERLINK("https://klasma.github.io/Logging_2281/artfynd/A 23364-2025 artfynd.xlsx", "A 23364-2025")</f>
        <v/>
      </c>
      <c r="T148">
        <f>HYPERLINK("https://klasma.github.io/Logging_2281/kartor/A 23364-2025 karta.png", "A 23364-2025")</f>
        <v/>
      </c>
      <c r="V148">
        <f>HYPERLINK("https://klasma.github.io/Logging_2281/klagomål/A 23364-2025 FSC-klagomål.docx", "A 23364-2025")</f>
        <v/>
      </c>
      <c r="W148">
        <f>HYPERLINK("https://klasma.github.io/Logging_2281/klagomålsmail/A 23364-2025 FSC-klagomål mail.docx", "A 23364-2025")</f>
        <v/>
      </c>
      <c r="X148">
        <f>HYPERLINK("https://klasma.github.io/Logging_2281/tillsyn/A 23364-2025 tillsynsbegäran.docx", "A 23364-2025")</f>
        <v/>
      </c>
      <c r="Y148">
        <f>HYPERLINK("https://klasma.github.io/Logging_2281/tillsynsmail/A 23364-2025 tillsynsbegäran mail.docx", "A 23364-2025")</f>
        <v/>
      </c>
      <c r="Z148">
        <f>HYPERLINK("https://klasma.github.io/Logging_2281/fåglar/A 23364-2025 prioriterade fågelarter.docx", "A 23364-2025")</f>
        <v/>
      </c>
    </row>
    <row r="149" ht="15" customHeight="1">
      <c r="A149" t="inlineStr">
        <is>
          <t>A 25500-2025</t>
        </is>
      </c>
      <c r="B149" s="1" t="n">
        <v>45803.34451388889</v>
      </c>
      <c r="C149" s="1" t="n">
        <v>45961</v>
      </c>
      <c r="D149" t="inlineStr">
        <is>
          <t>VÄSTERNORRLANDS LÄN</t>
        </is>
      </c>
      <c r="E149" t="inlineStr">
        <is>
          <t>SUNDSVALL</t>
        </is>
      </c>
      <c r="F149" t="inlineStr">
        <is>
          <t>SCA</t>
        </is>
      </c>
      <c r="G149" t="n">
        <v>1.6</v>
      </c>
      <c r="H149" t="n">
        <v>1</v>
      </c>
      <c r="I149" t="n">
        <v>0</v>
      </c>
      <c r="J149" t="n">
        <v>2</v>
      </c>
      <c r="K149" t="n">
        <v>0</v>
      </c>
      <c r="L149" t="n">
        <v>0</v>
      </c>
      <c r="M149" t="n">
        <v>0</v>
      </c>
      <c r="N149" t="n">
        <v>0</v>
      </c>
      <c r="O149" t="n">
        <v>2</v>
      </c>
      <c r="P149" t="n">
        <v>0</v>
      </c>
      <c r="Q149" t="n">
        <v>2</v>
      </c>
      <c r="R149" s="2" t="inlineStr">
        <is>
          <t>Garnlav
Tretåig hackspett</t>
        </is>
      </c>
      <c r="S149">
        <f>HYPERLINK("https://klasma.github.io/Logging_2281/artfynd/A 25500-2025 artfynd.xlsx", "A 25500-2025")</f>
        <v/>
      </c>
      <c r="T149">
        <f>HYPERLINK("https://klasma.github.io/Logging_2281/kartor/A 25500-2025 karta.png", "A 25500-2025")</f>
        <v/>
      </c>
      <c r="V149">
        <f>HYPERLINK("https://klasma.github.io/Logging_2281/klagomål/A 25500-2025 FSC-klagomål.docx", "A 25500-2025")</f>
        <v/>
      </c>
      <c r="W149">
        <f>HYPERLINK("https://klasma.github.io/Logging_2281/klagomålsmail/A 25500-2025 FSC-klagomål mail.docx", "A 25500-2025")</f>
        <v/>
      </c>
      <c r="X149">
        <f>HYPERLINK("https://klasma.github.io/Logging_2281/tillsyn/A 25500-2025 tillsynsbegäran.docx", "A 25500-2025")</f>
        <v/>
      </c>
      <c r="Y149">
        <f>HYPERLINK("https://klasma.github.io/Logging_2281/tillsynsmail/A 25500-2025 tillsynsbegäran mail.docx", "A 25500-2025")</f>
        <v/>
      </c>
      <c r="Z149">
        <f>HYPERLINK("https://klasma.github.io/Logging_2281/fåglar/A 25500-2025 prioriterade fågelarter.docx", "A 25500-2025")</f>
        <v/>
      </c>
    </row>
    <row r="150" ht="15" customHeight="1">
      <c r="A150" t="inlineStr">
        <is>
          <t>A 26834-2025</t>
        </is>
      </c>
      <c r="B150" s="1" t="n">
        <v>45810.65725694445</v>
      </c>
      <c r="C150" s="1" t="n">
        <v>45961</v>
      </c>
      <c r="D150" t="inlineStr">
        <is>
          <t>VÄSTERNORRLANDS LÄN</t>
        </is>
      </c>
      <c r="E150" t="inlineStr">
        <is>
          <t>SUNDSVALL</t>
        </is>
      </c>
      <c r="F150" t="inlineStr">
        <is>
          <t>SCA</t>
        </is>
      </c>
      <c r="G150" t="n">
        <v>1.9</v>
      </c>
      <c r="H150" t="n">
        <v>0</v>
      </c>
      <c r="I150" t="n">
        <v>0</v>
      </c>
      <c r="J150" t="n">
        <v>2</v>
      </c>
      <c r="K150" t="n">
        <v>0</v>
      </c>
      <c r="L150" t="n">
        <v>0</v>
      </c>
      <c r="M150" t="n">
        <v>0</v>
      </c>
      <c r="N150" t="n">
        <v>0</v>
      </c>
      <c r="O150" t="n">
        <v>2</v>
      </c>
      <c r="P150" t="n">
        <v>0</v>
      </c>
      <c r="Q150" t="n">
        <v>2</v>
      </c>
      <c r="R150" s="2" t="inlineStr">
        <is>
          <t>Garnlav
Kolflarnlav</t>
        </is>
      </c>
      <c r="S150">
        <f>HYPERLINK("https://klasma.github.io/Logging_2281/artfynd/A 26834-2025 artfynd.xlsx", "A 26834-2025")</f>
        <v/>
      </c>
      <c r="T150">
        <f>HYPERLINK("https://klasma.github.io/Logging_2281/kartor/A 26834-2025 karta.png", "A 26834-2025")</f>
        <v/>
      </c>
      <c r="V150">
        <f>HYPERLINK("https://klasma.github.io/Logging_2281/klagomål/A 26834-2025 FSC-klagomål.docx", "A 26834-2025")</f>
        <v/>
      </c>
      <c r="W150">
        <f>HYPERLINK("https://klasma.github.io/Logging_2281/klagomålsmail/A 26834-2025 FSC-klagomål mail.docx", "A 26834-2025")</f>
        <v/>
      </c>
      <c r="X150">
        <f>HYPERLINK("https://klasma.github.io/Logging_2281/tillsyn/A 26834-2025 tillsynsbegäran.docx", "A 26834-2025")</f>
        <v/>
      </c>
      <c r="Y150">
        <f>HYPERLINK("https://klasma.github.io/Logging_2281/tillsynsmail/A 26834-2025 tillsynsbegäran mail.docx", "A 26834-2025")</f>
        <v/>
      </c>
    </row>
    <row r="151" ht="15" customHeight="1">
      <c r="A151" t="inlineStr">
        <is>
          <t>A 26833-2025</t>
        </is>
      </c>
      <c r="B151" s="1" t="n">
        <v>45810.65706018519</v>
      </c>
      <c r="C151" s="1" t="n">
        <v>45961</v>
      </c>
      <c r="D151" t="inlineStr">
        <is>
          <t>VÄSTERNORRLANDS LÄN</t>
        </is>
      </c>
      <c r="E151" t="inlineStr">
        <is>
          <t>SUNDSVALL</t>
        </is>
      </c>
      <c r="F151" t="inlineStr">
        <is>
          <t>SCA</t>
        </is>
      </c>
      <c r="G151" t="n">
        <v>6</v>
      </c>
      <c r="H151" t="n">
        <v>0</v>
      </c>
      <c r="I151" t="n">
        <v>0</v>
      </c>
      <c r="J151" t="n">
        <v>2</v>
      </c>
      <c r="K151" t="n">
        <v>0</v>
      </c>
      <c r="L151" t="n">
        <v>0</v>
      </c>
      <c r="M151" t="n">
        <v>0</v>
      </c>
      <c r="N151" t="n">
        <v>0</v>
      </c>
      <c r="O151" t="n">
        <v>2</v>
      </c>
      <c r="P151" t="n">
        <v>0</v>
      </c>
      <c r="Q151" t="n">
        <v>2</v>
      </c>
      <c r="R151" s="2" t="inlineStr">
        <is>
          <t>Kolflarnlav
Vedskivlav</t>
        </is>
      </c>
      <c r="S151">
        <f>HYPERLINK("https://klasma.github.io/Logging_2281/artfynd/A 26833-2025 artfynd.xlsx", "A 26833-2025")</f>
        <v/>
      </c>
      <c r="T151">
        <f>HYPERLINK("https://klasma.github.io/Logging_2281/kartor/A 26833-2025 karta.png", "A 26833-2025")</f>
        <v/>
      </c>
      <c r="V151">
        <f>HYPERLINK("https://klasma.github.io/Logging_2281/klagomål/A 26833-2025 FSC-klagomål.docx", "A 26833-2025")</f>
        <v/>
      </c>
      <c r="W151">
        <f>HYPERLINK("https://klasma.github.io/Logging_2281/klagomålsmail/A 26833-2025 FSC-klagomål mail.docx", "A 26833-2025")</f>
        <v/>
      </c>
      <c r="X151">
        <f>HYPERLINK("https://klasma.github.io/Logging_2281/tillsyn/A 26833-2025 tillsynsbegäran.docx", "A 26833-2025")</f>
        <v/>
      </c>
      <c r="Y151">
        <f>HYPERLINK("https://klasma.github.io/Logging_2281/tillsynsmail/A 26833-2025 tillsynsbegäran mail.docx", "A 26833-2025")</f>
        <v/>
      </c>
    </row>
    <row r="152" ht="15" customHeight="1">
      <c r="A152" t="inlineStr">
        <is>
          <t>A 6672-2025</t>
        </is>
      </c>
      <c r="B152" s="1" t="n">
        <v>45700.46920138889</v>
      </c>
      <c r="C152" s="1" t="n">
        <v>45961</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41090-2024</t>
        </is>
      </c>
      <c r="B153" s="1" t="n">
        <v>45559.42744212963</v>
      </c>
      <c r="C153" s="1" t="n">
        <v>45961</v>
      </c>
      <c r="D153" t="inlineStr">
        <is>
          <t>VÄSTERNORRLANDS LÄN</t>
        </is>
      </c>
      <c r="E153" t="inlineStr">
        <is>
          <t>SUNDSVALL</t>
        </is>
      </c>
      <c r="F153" t="inlineStr">
        <is>
          <t>SCA</t>
        </is>
      </c>
      <c r="G153" t="n">
        <v>1.7</v>
      </c>
      <c r="H153" t="n">
        <v>0</v>
      </c>
      <c r="I153" t="n">
        <v>1</v>
      </c>
      <c r="J153" t="n">
        <v>1</v>
      </c>
      <c r="K153" t="n">
        <v>0</v>
      </c>
      <c r="L153" t="n">
        <v>0</v>
      </c>
      <c r="M153" t="n">
        <v>0</v>
      </c>
      <c r="N153" t="n">
        <v>0</v>
      </c>
      <c r="O153" t="n">
        <v>1</v>
      </c>
      <c r="P153" t="n">
        <v>0</v>
      </c>
      <c r="Q153" t="n">
        <v>2</v>
      </c>
      <c r="R153" s="2" t="inlineStr">
        <is>
          <t>Lunglav
Stuplav</t>
        </is>
      </c>
      <c r="S153">
        <f>HYPERLINK("https://klasma.github.io/Logging_2281/artfynd/A 41090-2024 artfynd.xlsx", "A 41090-2024")</f>
        <v/>
      </c>
      <c r="T153">
        <f>HYPERLINK("https://klasma.github.io/Logging_2281/kartor/A 41090-2024 karta.png", "A 41090-2024")</f>
        <v/>
      </c>
      <c r="V153">
        <f>HYPERLINK("https://klasma.github.io/Logging_2281/klagomål/A 41090-2024 FSC-klagomål.docx", "A 41090-2024")</f>
        <v/>
      </c>
      <c r="W153">
        <f>HYPERLINK("https://klasma.github.io/Logging_2281/klagomålsmail/A 41090-2024 FSC-klagomål mail.docx", "A 41090-2024")</f>
        <v/>
      </c>
      <c r="X153">
        <f>HYPERLINK("https://klasma.github.io/Logging_2281/tillsyn/A 41090-2024 tillsynsbegäran.docx", "A 41090-2024")</f>
        <v/>
      </c>
      <c r="Y153">
        <f>HYPERLINK("https://klasma.github.io/Logging_2281/tillsynsmail/A 41090-2024 tillsynsbegäran mail.docx", "A 41090-2024")</f>
        <v/>
      </c>
    </row>
    <row r="154" ht="15" customHeight="1">
      <c r="A154" t="inlineStr">
        <is>
          <t>A 39929-2021</t>
        </is>
      </c>
      <c r="B154" s="1" t="n">
        <v>44417</v>
      </c>
      <c r="C154" s="1" t="n">
        <v>45961</v>
      </c>
      <c r="D154" t="inlineStr">
        <is>
          <t>VÄSTERNORRLANDS LÄN</t>
        </is>
      </c>
      <c r="E154" t="inlineStr">
        <is>
          <t>SUNDSVALL</t>
        </is>
      </c>
      <c r="F154" t="inlineStr">
        <is>
          <t>SCA</t>
        </is>
      </c>
      <c r="G154" t="n">
        <v>3.3</v>
      </c>
      <c r="H154" t="n">
        <v>2</v>
      </c>
      <c r="I154" t="n">
        <v>0</v>
      </c>
      <c r="J154" t="n">
        <v>1</v>
      </c>
      <c r="K154" t="n">
        <v>0</v>
      </c>
      <c r="L154" t="n">
        <v>0</v>
      </c>
      <c r="M154" t="n">
        <v>0</v>
      </c>
      <c r="N154" t="n">
        <v>0</v>
      </c>
      <c r="O154" t="n">
        <v>1</v>
      </c>
      <c r="P154" t="n">
        <v>0</v>
      </c>
      <c r="Q154" t="n">
        <v>2</v>
      </c>
      <c r="R154" s="2" t="inlineStr">
        <is>
          <t>Tretåig hackspett
Nattviol</t>
        </is>
      </c>
      <c r="S154">
        <f>HYPERLINK("https://klasma.github.io/Logging_2281/artfynd/A 39929-2021 artfynd.xlsx", "A 39929-2021")</f>
        <v/>
      </c>
      <c r="T154">
        <f>HYPERLINK("https://klasma.github.io/Logging_2281/kartor/A 39929-2021 karta.png", "A 39929-2021")</f>
        <v/>
      </c>
      <c r="V154">
        <f>HYPERLINK("https://klasma.github.io/Logging_2281/klagomål/A 39929-2021 FSC-klagomål.docx", "A 39929-2021")</f>
        <v/>
      </c>
      <c r="W154">
        <f>HYPERLINK("https://klasma.github.io/Logging_2281/klagomålsmail/A 39929-2021 FSC-klagomål mail.docx", "A 39929-2021")</f>
        <v/>
      </c>
      <c r="X154">
        <f>HYPERLINK("https://klasma.github.io/Logging_2281/tillsyn/A 39929-2021 tillsynsbegäran.docx", "A 39929-2021")</f>
        <v/>
      </c>
      <c r="Y154">
        <f>HYPERLINK("https://klasma.github.io/Logging_2281/tillsynsmail/A 39929-2021 tillsynsbegäran mail.docx", "A 39929-2021")</f>
        <v/>
      </c>
      <c r="Z154">
        <f>HYPERLINK("https://klasma.github.io/Logging_2281/fåglar/A 39929-2021 prioriterade fågelarter.docx", "A 39929-2021")</f>
        <v/>
      </c>
    </row>
    <row r="155" ht="15" customHeight="1">
      <c r="A155" t="inlineStr">
        <is>
          <t>A 62532-2023</t>
        </is>
      </c>
      <c r="B155" s="1" t="n">
        <v>45268</v>
      </c>
      <c r="C155" s="1" t="n">
        <v>45961</v>
      </c>
      <c r="D155" t="inlineStr">
        <is>
          <t>VÄSTERNORRLANDS LÄN</t>
        </is>
      </c>
      <c r="E155" t="inlineStr">
        <is>
          <t>SUNDSVALL</t>
        </is>
      </c>
      <c r="G155" t="n">
        <v>0.7</v>
      </c>
      <c r="H155" t="n">
        <v>2</v>
      </c>
      <c r="I155" t="n">
        <v>0</v>
      </c>
      <c r="J155" t="n">
        <v>1</v>
      </c>
      <c r="K155" t="n">
        <v>0</v>
      </c>
      <c r="L155" t="n">
        <v>0</v>
      </c>
      <c r="M155" t="n">
        <v>0</v>
      </c>
      <c r="N155" t="n">
        <v>0</v>
      </c>
      <c r="O155" t="n">
        <v>1</v>
      </c>
      <c r="P155" t="n">
        <v>0</v>
      </c>
      <c r="Q155" t="n">
        <v>2</v>
      </c>
      <c r="R155" s="2" t="inlineStr">
        <is>
          <t>Spillkråka
Gråspett</t>
        </is>
      </c>
      <c r="S155">
        <f>HYPERLINK("https://klasma.github.io/Logging_2281/artfynd/A 62532-2023 artfynd.xlsx", "A 62532-2023")</f>
        <v/>
      </c>
      <c r="T155">
        <f>HYPERLINK("https://klasma.github.io/Logging_2281/kartor/A 62532-2023 karta.png", "A 62532-2023")</f>
        <v/>
      </c>
      <c r="V155">
        <f>HYPERLINK("https://klasma.github.io/Logging_2281/klagomål/A 62532-2023 FSC-klagomål.docx", "A 62532-2023")</f>
        <v/>
      </c>
      <c r="W155">
        <f>HYPERLINK("https://klasma.github.io/Logging_2281/klagomålsmail/A 62532-2023 FSC-klagomål mail.docx", "A 62532-2023")</f>
        <v/>
      </c>
      <c r="X155">
        <f>HYPERLINK("https://klasma.github.io/Logging_2281/tillsyn/A 62532-2023 tillsynsbegäran.docx", "A 62532-2023")</f>
        <v/>
      </c>
      <c r="Y155">
        <f>HYPERLINK("https://klasma.github.io/Logging_2281/tillsynsmail/A 62532-2023 tillsynsbegäran mail.docx", "A 62532-2023")</f>
        <v/>
      </c>
      <c r="Z155">
        <f>HYPERLINK("https://klasma.github.io/Logging_2281/fåglar/A 62532-2023 prioriterade fågelarter.docx", "A 62532-2023")</f>
        <v/>
      </c>
    </row>
    <row r="156" ht="15" customHeight="1">
      <c r="A156" t="inlineStr">
        <is>
          <t>A 14725-2024</t>
        </is>
      </c>
      <c r="B156" s="1" t="n">
        <v>45397</v>
      </c>
      <c r="C156" s="1" t="n">
        <v>45961</v>
      </c>
      <c r="D156" t="inlineStr">
        <is>
          <t>VÄSTERNORRLANDS LÄN</t>
        </is>
      </c>
      <c r="E156" t="inlineStr">
        <is>
          <t>SUNDSVALL</t>
        </is>
      </c>
      <c r="G156" t="n">
        <v>6.9</v>
      </c>
      <c r="H156" t="n">
        <v>1</v>
      </c>
      <c r="I156" t="n">
        <v>1</v>
      </c>
      <c r="J156" t="n">
        <v>0</v>
      </c>
      <c r="K156" t="n">
        <v>1</v>
      </c>
      <c r="L156" t="n">
        <v>0</v>
      </c>
      <c r="M156" t="n">
        <v>0</v>
      </c>
      <c r="N156" t="n">
        <v>0</v>
      </c>
      <c r="O156" t="n">
        <v>1</v>
      </c>
      <c r="P156" t="n">
        <v>1</v>
      </c>
      <c r="Q156" t="n">
        <v>2</v>
      </c>
      <c r="R156" s="2" t="inlineStr">
        <is>
          <t>Knärot
Blodticka</t>
        </is>
      </c>
      <c r="S156">
        <f>HYPERLINK("https://klasma.github.io/Logging_2281/artfynd/A 14725-2024 artfynd.xlsx", "A 14725-2024")</f>
        <v/>
      </c>
      <c r="T156">
        <f>HYPERLINK("https://klasma.github.io/Logging_2281/kartor/A 14725-2024 karta.png", "A 14725-2024")</f>
        <v/>
      </c>
      <c r="U156">
        <f>HYPERLINK("https://klasma.github.io/Logging_2281/knärot/A 14725-2024 karta knärot.png", "A 14725-2024")</f>
        <v/>
      </c>
      <c r="V156">
        <f>HYPERLINK("https://klasma.github.io/Logging_2281/klagomål/A 14725-2024 FSC-klagomål.docx", "A 14725-2024")</f>
        <v/>
      </c>
      <c r="W156">
        <f>HYPERLINK("https://klasma.github.io/Logging_2281/klagomålsmail/A 14725-2024 FSC-klagomål mail.docx", "A 14725-2024")</f>
        <v/>
      </c>
      <c r="X156">
        <f>HYPERLINK("https://klasma.github.io/Logging_2281/tillsyn/A 14725-2024 tillsynsbegäran.docx", "A 14725-2024")</f>
        <v/>
      </c>
      <c r="Y156">
        <f>HYPERLINK("https://klasma.github.io/Logging_2281/tillsynsmail/A 14725-2024 tillsynsbegäran mail.docx", "A 14725-2024")</f>
        <v/>
      </c>
    </row>
    <row r="157" ht="15" customHeight="1">
      <c r="A157" t="inlineStr">
        <is>
          <t>A 36072-2025</t>
        </is>
      </c>
      <c r="B157" s="1" t="n">
        <v>45866.42975694445</v>
      </c>
      <c r="C157" s="1" t="n">
        <v>45961</v>
      </c>
      <c r="D157" t="inlineStr">
        <is>
          <t>VÄSTERNORRLANDS LÄN</t>
        </is>
      </c>
      <c r="E157" t="inlineStr">
        <is>
          <t>SUNDSVALL</t>
        </is>
      </c>
      <c r="G157" t="n">
        <v>0.6</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36072-2025 artfynd.xlsx", "A 36072-2025")</f>
        <v/>
      </c>
      <c r="T157">
        <f>HYPERLINK("https://klasma.github.io/Logging_2281/kartor/A 36072-2025 karta.png", "A 36072-2025")</f>
        <v/>
      </c>
      <c r="U157">
        <f>HYPERLINK("https://klasma.github.io/Logging_2281/knärot/A 36072-2025 karta knärot.png", "A 36072-2025")</f>
        <v/>
      </c>
      <c r="V157">
        <f>HYPERLINK("https://klasma.github.io/Logging_2281/klagomål/A 36072-2025 FSC-klagomål.docx", "A 36072-2025")</f>
        <v/>
      </c>
      <c r="W157">
        <f>HYPERLINK("https://klasma.github.io/Logging_2281/klagomålsmail/A 36072-2025 FSC-klagomål mail.docx", "A 36072-2025")</f>
        <v/>
      </c>
      <c r="X157">
        <f>HYPERLINK("https://klasma.github.io/Logging_2281/tillsyn/A 36072-2025 tillsynsbegäran.docx", "A 36072-2025")</f>
        <v/>
      </c>
      <c r="Y157">
        <f>HYPERLINK("https://klasma.github.io/Logging_2281/tillsynsmail/A 36072-2025 tillsynsbegäran mail.docx", "A 36072-2025")</f>
        <v/>
      </c>
    </row>
    <row r="158" ht="15" customHeight="1">
      <c r="A158" t="inlineStr">
        <is>
          <t>A 16043-2025</t>
        </is>
      </c>
      <c r="B158" s="1" t="n">
        <v>45749</v>
      </c>
      <c r="C158" s="1" t="n">
        <v>45961</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27380-2023</t>
        </is>
      </c>
      <c r="B159" s="1" t="n">
        <v>45096</v>
      </c>
      <c r="C159" s="1" t="n">
        <v>45961</v>
      </c>
      <c r="D159" t="inlineStr">
        <is>
          <t>VÄSTERNORRLANDS LÄN</t>
        </is>
      </c>
      <c r="E159" t="inlineStr">
        <is>
          <t>SUNDSVALL</t>
        </is>
      </c>
      <c r="F159" t="inlineStr">
        <is>
          <t>Naturvårdsverket</t>
        </is>
      </c>
      <c r="G159" t="n">
        <v>6.2</v>
      </c>
      <c r="H159" t="n">
        <v>0</v>
      </c>
      <c r="I159" t="n">
        <v>0</v>
      </c>
      <c r="J159" t="n">
        <v>2</v>
      </c>
      <c r="K159" t="n">
        <v>0</v>
      </c>
      <c r="L159" t="n">
        <v>0</v>
      </c>
      <c r="M159" t="n">
        <v>0</v>
      </c>
      <c r="N159" t="n">
        <v>0</v>
      </c>
      <c r="O159" t="n">
        <v>2</v>
      </c>
      <c r="P159" t="n">
        <v>0</v>
      </c>
      <c r="Q159" t="n">
        <v>2</v>
      </c>
      <c r="R159" s="2" t="inlineStr">
        <is>
          <t>Granticka
Gränsticka</t>
        </is>
      </c>
      <c r="S159">
        <f>HYPERLINK("https://klasma.github.io/Logging_2281/artfynd/A 27380-2023 artfynd.xlsx", "A 27380-2023")</f>
        <v/>
      </c>
      <c r="T159">
        <f>HYPERLINK("https://klasma.github.io/Logging_2281/kartor/A 27380-2023 karta.png", "A 27380-2023")</f>
        <v/>
      </c>
      <c r="V159">
        <f>HYPERLINK("https://klasma.github.io/Logging_2281/klagomål/A 27380-2023 FSC-klagomål.docx", "A 27380-2023")</f>
        <v/>
      </c>
      <c r="W159">
        <f>HYPERLINK("https://klasma.github.io/Logging_2281/klagomålsmail/A 27380-2023 FSC-klagomål mail.docx", "A 27380-2023")</f>
        <v/>
      </c>
      <c r="X159">
        <f>HYPERLINK("https://klasma.github.io/Logging_2281/tillsyn/A 27380-2023 tillsynsbegäran.docx", "A 27380-2023")</f>
        <v/>
      </c>
      <c r="Y159">
        <f>HYPERLINK("https://klasma.github.io/Logging_2281/tillsynsmail/A 27380-2023 tillsynsbegäran mail.docx", "A 27380-2023")</f>
        <v/>
      </c>
    </row>
    <row r="160" ht="15" customHeight="1">
      <c r="A160" t="inlineStr">
        <is>
          <t>A 38060-2025</t>
        </is>
      </c>
      <c r="B160" s="1" t="n">
        <v>45882.42796296296</v>
      </c>
      <c r="C160" s="1" t="n">
        <v>45961</v>
      </c>
      <c r="D160" t="inlineStr">
        <is>
          <t>VÄSTERNORRLANDS LÄN</t>
        </is>
      </c>
      <c r="E160" t="inlineStr">
        <is>
          <t>SUNDSVALL</t>
        </is>
      </c>
      <c r="F160" t="inlineStr">
        <is>
          <t>SCA</t>
        </is>
      </c>
      <c r="G160" t="n">
        <v>5.1</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38060-2025 artfynd.xlsx", "A 38060-2025")</f>
        <v/>
      </c>
      <c r="T160">
        <f>HYPERLINK("https://klasma.github.io/Logging_2281/kartor/A 38060-2025 karta.png", "A 38060-2025")</f>
        <v/>
      </c>
      <c r="V160">
        <f>HYPERLINK("https://klasma.github.io/Logging_2281/klagomål/A 38060-2025 FSC-klagomål.docx", "A 38060-2025")</f>
        <v/>
      </c>
      <c r="W160">
        <f>HYPERLINK("https://klasma.github.io/Logging_2281/klagomålsmail/A 38060-2025 FSC-klagomål mail.docx", "A 38060-2025")</f>
        <v/>
      </c>
      <c r="X160">
        <f>HYPERLINK("https://klasma.github.io/Logging_2281/tillsyn/A 38060-2025 tillsynsbegäran.docx", "A 38060-2025")</f>
        <v/>
      </c>
      <c r="Y160">
        <f>HYPERLINK("https://klasma.github.io/Logging_2281/tillsynsmail/A 38060-2025 tillsynsbegäran mail.docx", "A 38060-2025")</f>
        <v/>
      </c>
    </row>
    <row r="161" ht="15" customHeight="1">
      <c r="A161" t="inlineStr">
        <is>
          <t>A 36001-2025</t>
        </is>
      </c>
      <c r="B161" s="1" t="n">
        <v>45863.51965277778</v>
      </c>
      <c r="C161" s="1" t="n">
        <v>45961</v>
      </c>
      <c r="D161" t="inlineStr">
        <is>
          <t>VÄSTERNORRLANDS LÄN</t>
        </is>
      </c>
      <c r="E161" t="inlineStr">
        <is>
          <t>SUNDSVALL</t>
        </is>
      </c>
      <c r="G161" t="n">
        <v>2.2</v>
      </c>
      <c r="H161" t="n">
        <v>2</v>
      </c>
      <c r="I161" t="n">
        <v>0</v>
      </c>
      <c r="J161" t="n">
        <v>0</v>
      </c>
      <c r="K161" t="n">
        <v>1</v>
      </c>
      <c r="L161" t="n">
        <v>0</v>
      </c>
      <c r="M161" t="n">
        <v>0</v>
      </c>
      <c r="N161" t="n">
        <v>0</v>
      </c>
      <c r="O161" t="n">
        <v>1</v>
      </c>
      <c r="P161" t="n">
        <v>1</v>
      </c>
      <c r="Q161" t="n">
        <v>2</v>
      </c>
      <c r="R161" s="2" t="inlineStr">
        <is>
          <t>Knärot
Fläcknycklar</t>
        </is>
      </c>
      <c r="S161">
        <f>HYPERLINK("https://klasma.github.io/Logging_2281/artfynd/A 36001-2025 artfynd.xlsx", "A 36001-2025")</f>
        <v/>
      </c>
      <c r="T161">
        <f>HYPERLINK("https://klasma.github.io/Logging_2281/kartor/A 36001-2025 karta.png", "A 36001-2025")</f>
        <v/>
      </c>
      <c r="U161">
        <f>HYPERLINK("https://klasma.github.io/Logging_2281/knärot/A 36001-2025 karta knärot.png", "A 36001-2025")</f>
        <v/>
      </c>
      <c r="V161">
        <f>HYPERLINK("https://klasma.github.io/Logging_2281/klagomål/A 36001-2025 FSC-klagomål.docx", "A 36001-2025")</f>
        <v/>
      </c>
      <c r="W161">
        <f>HYPERLINK("https://klasma.github.io/Logging_2281/klagomålsmail/A 36001-2025 FSC-klagomål mail.docx", "A 36001-2025")</f>
        <v/>
      </c>
      <c r="X161">
        <f>HYPERLINK("https://klasma.github.io/Logging_2281/tillsyn/A 36001-2025 tillsynsbegäran.docx", "A 36001-2025")</f>
        <v/>
      </c>
      <c r="Y161">
        <f>HYPERLINK("https://klasma.github.io/Logging_2281/tillsynsmail/A 36001-2025 tillsynsbegäran mail.docx", "A 36001-2025")</f>
        <v/>
      </c>
    </row>
    <row r="162" ht="15" customHeight="1">
      <c r="A162" t="inlineStr">
        <is>
          <t>A 50808-2025</t>
        </is>
      </c>
      <c r="B162" s="1" t="n">
        <v>45946.51084490741</v>
      </c>
      <c r="C162" s="1" t="n">
        <v>45961</v>
      </c>
      <c r="D162" t="inlineStr">
        <is>
          <t>VÄSTERNORRLANDS LÄN</t>
        </is>
      </c>
      <c r="E162" t="inlineStr">
        <is>
          <t>SUNDSVALL</t>
        </is>
      </c>
      <c r="F162" t="inlineStr">
        <is>
          <t>SCA</t>
        </is>
      </c>
      <c r="G162" t="n">
        <v>2.9</v>
      </c>
      <c r="H162" t="n">
        <v>0</v>
      </c>
      <c r="I162" t="n">
        <v>0</v>
      </c>
      <c r="J162" t="n">
        <v>2</v>
      </c>
      <c r="K162" t="n">
        <v>0</v>
      </c>
      <c r="L162" t="n">
        <v>0</v>
      </c>
      <c r="M162" t="n">
        <v>0</v>
      </c>
      <c r="N162" t="n">
        <v>0</v>
      </c>
      <c r="O162" t="n">
        <v>2</v>
      </c>
      <c r="P162" t="n">
        <v>0</v>
      </c>
      <c r="Q162" t="n">
        <v>2</v>
      </c>
      <c r="R162" s="2" t="inlineStr">
        <is>
          <t>Lunglav
Ullticka</t>
        </is>
      </c>
      <c r="S162">
        <f>HYPERLINK("https://klasma.github.io/Logging_2281/artfynd/A 50808-2025 artfynd.xlsx", "A 50808-2025")</f>
        <v/>
      </c>
      <c r="T162">
        <f>HYPERLINK("https://klasma.github.io/Logging_2281/kartor/A 50808-2025 karta.png", "A 50808-2025")</f>
        <v/>
      </c>
      <c r="U162">
        <f>HYPERLINK("https://klasma.github.io/Logging_2281/knärot/A 50808-2025 karta knärot.png", "A 50808-2025")</f>
        <v/>
      </c>
      <c r="V162">
        <f>HYPERLINK("https://klasma.github.io/Logging_2281/klagomål/A 50808-2025 FSC-klagomål.docx", "A 50808-2025")</f>
        <v/>
      </c>
      <c r="W162">
        <f>HYPERLINK("https://klasma.github.io/Logging_2281/klagomålsmail/A 50808-2025 FSC-klagomål mail.docx", "A 50808-2025")</f>
        <v/>
      </c>
      <c r="X162">
        <f>HYPERLINK("https://klasma.github.io/Logging_2281/tillsyn/A 50808-2025 tillsynsbegäran.docx", "A 50808-2025")</f>
        <v/>
      </c>
      <c r="Y162">
        <f>HYPERLINK("https://klasma.github.io/Logging_2281/tillsynsmail/A 50808-2025 tillsynsbegäran mail.docx", "A 50808-2025")</f>
        <v/>
      </c>
    </row>
    <row r="163" ht="15" customHeight="1">
      <c r="A163" t="inlineStr">
        <is>
          <t>A 50982-2025</t>
        </is>
      </c>
      <c r="B163" s="1" t="n">
        <v>45947.34473379629</v>
      </c>
      <c r="C163" s="1" t="n">
        <v>45961</v>
      </c>
      <c r="D163" t="inlineStr">
        <is>
          <t>VÄSTERNORRLANDS LÄN</t>
        </is>
      </c>
      <c r="E163" t="inlineStr">
        <is>
          <t>SUNDSVALL</t>
        </is>
      </c>
      <c r="F163" t="inlineStr">
        <is>
          <t>SCA</t>
        </is>
      </c>
      <c r="G163" t="n">
        <v>3</v>
      </c>
      <c r="H163" t="n">
        <v>1</v>
      </c>
      <c r="I163" t="n">
        <v>0</v>
      </c>
      <c r="J163" t="n">
        <v>1</v>
      </c>
      <c r="K163" t="n">
        <v>1</v>
      </c>
      <c r="L163" t="n">
        <v>0</v>
      </c>
      <c r="M163" t="n">
        <v>0</v>
      </c>
      <c r="N163" t="n">
        <v>0</v>
      </c>
      <c r="O163" t="n">
        <v>2</v>
      </c>
      <c r="P163" t="n">
        <v>1</v>
      </c>
      <c r="Q163" t="n">
        <v>2</v>
      </c>
      <c r="R163" s="2" t="inlineStr">
        <is>
          <t>Knärot
Lunglav</t>
        </is>
      </c>
      <c r="S163">
        <f>HYPERLINK("https://klasma.github.io/Logging_2281/artfynd/A 50982-2025 artfynd.xlsx", "A 50982-2025")</f>
        <v/>
      </c>
      <c r="T163">
        <f>HYPERLINK("https://klasma.github.io/Logging_2281/kartor/A 50982-2025 karta.png", "A 50982-2025")</f>
        <v/>
      </c>
      <c r="U163">
        <f>HYPERLINK("https://klasma.github.io/Logging_2281/knärot/A 50982-2025 karta knärot.png", "A 50982-2025")</f>
        <v/>
      </c>
      <c r="V163">
        <f>HYPERLINK("https://klasma.github.io/Logging_2281/klagomål/A 50982-2025 FSC-klagomål.docx", "A 50982-2025")</f>
        <v/>
      </c>
      <c r="W163">
        <f>HYPERLINK("https://klasma.github.io/Logging_2281/klagomålsmail/A 50982-2025 FSC-klagomål mail.docx", "A 50982-2025")</f>
        <v/>
      </c>
      <c r="X163">
        <f>HYPERLINK("https://klasma.github.io/Logging_2281/tillsyn/A 50982-2025 tillsynsbegäran.docx", "A 50982-2025")</f>
        <v/>
      </c>
      <c r="Y163">
        <f>HYPERLINK("https://klasma.github.io/Logging_2281/tillsynsmail/A 50982-2025 tillsynsbegäran mail.docx", "A 50982-2025")</f>
        <v/>
      </c>
    </row>
    <row r="164" ht="15" customHeight="1">
      <c r="A164" t="inlineStr">
        <is>
          <t>A 50981-2025</t>
        </is>
      </c>
      <c r="B164" s="1" t="n">
        <v>45947.34456018519</v>
      </c>
      <c r="C164" s="1" t="n">
        <v>45961</v>
      </c>
      <c r="D164" t="inlineStr">
        <is>
          <t>VÄSTERNORRLANDS LÄN</t>
        </is>
      </c>
      <c r="E164" t="inlineStr">
        <is>
          <t>SUNDSVALL</t>
        </is>
      </c>
      <c r="F164" t="inlineStr">
        <is>
          <t>SCA</t>
        </is>
      </c>
      <c r="G164" t="n">
        <v>8.1</v>
      </c>
      <c r="H164" t="n">
        <v>1</v>
      </c>
      <c r="I164" t="n">
        <v>0</v>
      </c>
      <c r="J164" t="n">
        <v>1</v>
      </c>
      <c r="K164" t="n">
        <v>0</v>
      </c>
      <c r="L164" t="n">
        <v>0</v>
      </c>
      <c r="M164" t="n">
        <v>0</v>
      </c>
      <c r="N164" t="n">
        <v>0</v>
      </c>
      <c r="O164" t="n">
        <v>1</v>
      </c>
      <c r="P164" t="n">
        <v>0</v>
      </c>
      <c r="Q164" t="n">
        <v>2</v>
      </c>
      <c r="R164" s="2" t="inlineStr">
        <is>
          <t>Garnlav
Tjäder</t>
        </is>
      </c>
      <c r="S164">
        <f>HYPERLINK("https://klasma.github.io/Logging_2281/artfynd/A 50981-2025 artfynd.xlsx", "A 50981-2025")</f>
        <v/>
      </c>
      <c r="T164">
        <f>HYPERLINK("https://klasma.github.io/Logging_2281/kartor/A 50981-2025 karta.png", "A 50981-2025")</f>
        <v/>
      </c>
      <c r="U164">
        <f>HYPERLINK("https://klasma.github.io/Logging_2281/knärot/A 50981-2025 karta knärot.png", "A 50981-2025")</f>
        <v/>
      </c>
      <c r="V164">
        <f>HYPERLINK("https://klasma.github.io/Logging_2281/klagomål/A 50981-2025 FSC-klagomål.docx", "A 50981-2025")</f>
        <v/>
      </c>
      <c r="W164">
        <f>HYPERLINK("https://klasma.github.io/Logging_2281/klagomålsmail/A 50981-2025 FSC-klagomål mail.docx", "A 50981-2025")</f>
        <v/>
      </c>
      <c r="X164">
        <f>HYPERLINK("https://klasma.github.io/Logging_2281/tillsyn/A 50981-2025 tillsynsbegäran.docx", "A 50981-2025")</f>
        <v/>
      </c>
      <c r="Y164">
        <f>HYPERLINK("https://klasma.github.io/Logging_2281/tillsynsmail/A 50981-2025 tillsynsbegäran mail.docx", "A 50981-2025")</f>
        <v/>
      </c>
      <c r="Z164">
        <f>HYPERLINK("https://klasma.github.io/Logging_2281/fåglar/A 50981-2025 prioriterade fågelarter.docx", "A 50981-2025")</f>
        <v/>
      </c>
    </row>
    <row r="165" ht="15" customHeight="1">
      <c r="A165" t="inlineStr">
        <is>
          <t>A 43616-2025</t>
        </is>
      </c>
      <c r="B165" s="1" t="n">
        <v>45911.67792824074</v>
      </c>
      <c r="C165" s="1" t="n">
        <v>45961</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44328-2025</t>
        </is>
      </c>
      <c r="B166" s="1" t="n">
        <v>45916.40769675926</v>
      </c>
      <c r="C166" s="1" t="n">
        <v>45961</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45841-2025</t>
        </is>
      </c>
      <c r="B167" s="1" t="n">
        <v>45923</v>
      </c>
      <c r="C167" s="1" t="n">
        <v>45961</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14014-2022</t>
        </is>
      </c>
      <c r="B168" s="1" t="n">
        <v>44650</v>
      </c>
      <c r="C168" s="1" t="n">
        <v>45961</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30933-2022</t>
        </is>
      </c>
      <c r="B169" s="1" t="n">
        <v>44767.93952546296</v>
      </c>
      <c r="C169" s="1" t="n">
        <v>45961</v>
      </c>
      <c r="D169" t="inlineStr">
        <is>
          <t>VÄSTERNORRLANDS LÄN</t>
        </is>
      </c>
      <c r="E169" t="inlineStr">
        <is>
          <t>SUNDSVALL</t>
        </is>
      </c>
      <c r="F169" t="inlineStr">
        <is>
          <t>SCA</t>
        </is>
      </c>
      <c r="G169" t="n">
        <v>1.9</v>
      </c>
      <c r="H169" t="n">
        <v>1</v>
      </c>
      <c r="I169" t="n">
        <v>0</v>
      </c>
      <c r="J169" t="n">
        <v>1</v>
      </c>
      <c r="K169" t="n">
        <v>0</v>
      </c>
      <c r="L169" t="n">
        <v>0</v>
      </c>
      <c r="M169" t="n">
        <v>0</v>
      </c>
      <c r="N169" t="n">
        <v>0</v>
      </c>
      <c r="O169" t="n">
        <v>1</v>
      </c>
      <c r="P169" t="n">
        <v>0</v>
      </c>
      <c r="Q169" t="n">
        <v>1</v>
      </c>
      <c r="R169" s="2" t="inlineStr">
        <is>
          <t>Björktrast</t>
        </is>
      </c>
      <c r="S169">
        <f>HYPERLINK("https://klasma.github.io/Logging_2281/artfynd/A 30933-2022 artfynd.xlsx", "A 30933-2022")</f>
        <v/>
      </c>
      <c r="T169">
        <f>HYPERLINK("https://klasma.github.io/Logging_2281/kartor/A 30933-2022 karta.png", "A 30933-2022")</f>
        <v/>
      </c>
      <c r="V169">
        <f>HYPERLINK("https://klasma.github.io/Logging_2281/klagomål/A 30933-2022 FSC-klagomål.docx", "A 30933-2022")</f>
        <v/>
      </c>
      <c r="W169">
        <f>HYPERLINK("https://klasma.github.io/Logging_2281/klagomålsmail/A 30933-2022 FSC-klagomål mail.docx", "A 30933-2022")</f>
        <v/>
      </c>
      <c r="X169">
        <f>HYPERLINK("https://klasma.github.io/Logging_2281/tillsyn/A 30933-2022 tillsynsbegäran.docx", "A 30933-2022")</f>
        <v/>
      </c>
      <c r="Y169">
        <f>HYPERLINK("https://klasma.github.io/Logging_2281/tillsynsmail/A 30933-2022 tillsynsbegäran mail.docx", "A 30933-2022")</f>
        <v/>
      </c>
      <c r="Z169">
        <f>HYPERLINK("https://klasma.github.io/Logging_2281/fåglar/A 30933-2022 prioriterade fågelarter.docx", "A 30933-2022")</f>
        <v/>
      </c>
    </row>
    <row r="170" ht="15" customHeight="1">
      <c r="A170" t="inlineStr">
        <is>
          <t>A 14676-2022</t>
        </is>
      </c>
      <c r="B170" s="1" t="n">
        <v>44655</v>
      </c>
      <c r="C170" s="1" t="n">
        <v>45961</v>
      </c>
      <c r="D170" t="inlineStr">
        <is>
          <t>VÄSTERNORRLANDS LÄN</t>
        </is>
      </c>
      <c r="E170" t="inlineStr">
        <is>
          <t>SUNDSVALL</t>
        </is>
      </c>
      <c r="G170" t="n">
        <v>10.1</v>
      </c>
      <c r="H170" t="n">
        <v>0</v>
      </c>
      <c r="I170" t="n">
        <v>0</v>
      </c>
      <c r="J170" t="n">
        <v>1</v>
      </c>
      <c r="K170" t="n">
        <v>0</v>
      </c>
      <c r="L170" t="n">
        <v>0</v>
      </c>
      <c r="M170" t="n">
        <v>0</v>
      </c>
      <c r="N170" t="n">
        <v>0</v>
      </c>
      <c r="O170" t="n">
        <v>1</v>
      </c>
      <c r="P170" t="n">
        <v>0</v>
      </c>
      <c r="Q170" t="n">
        <v>1</v>
      </c>
      <c r="R170" s="2" t="inlineStr">
        <is>
          <t>Granticka</t>
        </is>
      </c>
      <c r="S170">
        <f>HYPERLINK("https://klasma.github.io/Logging_2281/artfynd/A 14676-2022 artfynd.xlsx", "A 14676-2022")</f>
        <v/>
      </c>
      <c r="T170">
        <f>HYPERLINK("https://klasma.github.io/Logging_2281/kartor/A 14676-2022 karta.png", "A 14676-2022")</f>
        <v/>
      </c>
      <c r="V170">
        <f>HYPERLINK("https://klasma.github.io/Logging_2281/klagomål/A 14676-2022 FSC-klagomål.docx", "A 14676-2022")</f>
        <v/>
      </c>
      <c r="W170">
        <f>HYPERLINK("https://klasma.github.io/Logging_2281/klagomålsmail/A 14676-2022 FSC-klagomål mail.docx", "A 14676-2022")</f>
        <v/>
      </c>
      <c r="X170">
        <f>HYPERLINK("https://klasma.github.io/Logging_2281/tillsyn/A 14676-2022 tillsynsbegäran.docx", "A 14676-2022")</f>
        <v/>
      </c>
      <c r="Y170">
        <f>HYPERLINK("https://klasma.github.io/Logging_2281/tillsynsmail/A 14676-2022 tillsynsbegäran mail.docx", "A 14676-2022")</f>
        <v/>
      </c>
    </row>
    <row r="171" ht="15" customHeight="1">
      <c r="A171" t="inlineStr">
        <is>
          <t>A 58186-2022</t>
        </is>
      </c>
      <c r="B171" s="1" t="n">
        <v>44900</v>
      </c>
      <c r="C171" s="1" t="n">
        <v>45961</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233-2024</t>
        </is>
      </c>
      <c r="B172" s="1" t="n">
        <v>45294</v>
      </c>
      <c r="C172" s="1" t="n">
        <v>45961</v>
      </c>
      <c r="D172" t="inlineStr">
        <is>
          <t>VÄSTERNORRLANDS LÄN</t>
        </is>
      </c>
      <c r="E172" t="inlineStr">
        <is>
          <t>SUNDSVALL</t>
        </is>
      </c>
      <c r="G172" t="n">
        <v>2.4</v>
      </c>
      <c r="H172" t="n">
        <v>1</v>
      </c>
      <c r="I172" t="n">
        <v>0</v>
      </c>
      <c r="J172" t="n">
        <v>1</v>
      </c>
      <c r="K172" t="n">
        <v>0</v>
      </c>
      <c r="L172" t="n">
        <v>0</v>
      </c>
      <c r="M172" t="n">
        <v>0</v>
      </c>
      <c r="N172" t="n">
        <v>0</v>
      </c>
      <c r="O172" t="n">
        <v>1</v>
      </c>
      <c r="P172" t="n">
        <v>0</v>
      </c>
      <c r="Q172" t="n">
        <v>1</v>
      </c>
      <c r="R172" s="2" t="inlineStr">
        <is>
          <t>Duvhök</t>
        </is>
      </c>
      <c r="S172">
        <f>HYPERLINK("https://klasma.github.io/Logging_2281/artfynd/A 233-2024 artfynd.xlsx", "A 233-2024")</f>
        <v/>
      </c>
      <c r="T172">
        <f>HYPERLINK("https://klasma.github.io/Logging_2281/kartor/A 233-2024 karta.png", "A 233-2024")</f>
        <v/>
      </c>
      <c r="V172">
        <f>HYPERLINK("https://klasma.github.io/Logging_2281/klagomål/A 233-2024 FSC-klagomål.docx", "A 233-2024")</f>
        <v/>
      </c>
      <c r="W172">
        <f>HYPERLINK("https://klasma.github.io/Logging_2281/klagomålsmail/A 233-2024 FSC-klagomål mail.docx", "A 233-2024")</f>
        <v/>
      </c>
      <c r="X172">
        <f>HYPERLINK("https://klasma.github.io/Logging_2281/tillsyn/A 233-2024 tillsynsbegäran.docx", "A 233-2024")</f>
        <v/>
      </c>
      <c r="Y172">
        <f>HYPERLINK("https://klasma.github.io/Logging_2281/tillsynsmail/A 233-2024 tillsynsbegäran mail.docx", "A 233-2024")</f>
        <v/>
      </c>
      <c r="Z172">
        <f>HYPERLINK("https://klasma.github.io/Logging_2281/fåglar/A 233-2024 prioriterade fågelarter.docx", "A 233-2024")</f>
        <v/>
      </c>
    </row>
    <row r="173" ht="15" customHeight="1">
      <c r="A173" t="inlineStr">
        <is>
          <t>A 51737-2023</t>
        </is>
      </c>
      <c r="B173" s="1" t="n">
        <v>45222</v>
      </c>
      <c r="C173" s="1" t="n">
        <v>45961</v>
      </c>
      <c r="D173" t="inlineStr">
        <is>
          <t>VÄSTERNORRLANDS LÄN</t>
        </is>
      </c>
      <c r="E173" t="inlineStr">
        <is>
          <t>SUNDSVALL</t>
        </is>
      </c>
      <c r="G173" t="n">
        <v>10.9</v>
      </c>
      <c r="H173" t="n">
        <v>0</v>
      </c>
      <c r="I173" t="n">
        <v>0</v>
      </c>
      <c r="J173" t="n">
        <v>1</v>
      </c>
      <c r="K173" t="n">
        <v>0</v>
      </c>
      <c r="L173" t="n">
        <v>0</v>
      </c>
      <c r="M173" t="n">
        <v>0</v>
      </c>
      <c r="N173" t="n">
        <v>0</v>
      </c>
      <c r="O173" t="n">
        <v>1</v>
      </c>
      <c r="P173" t="n">
        <v>0</v>
      </c>
      <c r="Q173" t="n">
        <v>1</v>
      </c>
      <c r="R173" s="2" t="inlineStr">
        <is>
          <t>Garnlav</t>
        </is>
      </c>
      <c r="S173">
        <f>HYPERLINK("https://klasma.github.io/Logging_2281/artfynd/A 51737-2023 artfynd.xlsx", "A 51737-2023")</f>
        <v/>
      </c>
      <c r="T173">
        <f>HYPERLINK("https://klasma.github.io/Logging_2281/kartor/A 51737-2023 karta.png", "A 51737-2023")</f>
        <v/>
      </c>
      <c r="V173">
        <f>HYPERLINK("https://klasma.github.io/Logging_2281/klagomål/A 51737-2023 FSC-klagomål.docx", "A 51737-2023")</f>
        <v/>
      </c>
      <c r="W173">
        <f>HYPERLINK("https://klasma.github.io/Logging_2281/klagomålsmail/A 51737-2023 FSC-klagomål mail.docx", "A 51737-2023")</f>
        <v/>
      </c>
      <c r="X173">
        <f>HYPERLINK("https://klasma.github.io/Logging_2281/tillsyn/A 51737-2023 tillsynsbegäran.docx", "A 51737-2023")</f>
        <v/>
      </c>
      <c r="Y173">
        <f>HYPERLINK("https://klasma.github.io/Logging_2281/tillsynsmail/A 51737-2023 tillsynsbegäran mail.docx", "A 51737-2023")</f>
        <v/>
      </c>
    </row>
    <row r="174" ht="15" customHeight="1">
      <c r="A174" t="inlineStr">
        <is>
          <t>A 20075-2025</t>
        </is>
      </c>
      <c r="B174" s="1" t="n">
        <v>45772.44855324074</v>
      </c>
      <c r="C174" s="1" t="n">
        <v>45961</v>
      </c>
      <c r="D174" t="inlineStr">
        <is>
          <t>VÄSTERNORRLANDS LÄN</t>
        </is>
      </c>
      <c r="E174" t="inlineStr">
        <is>
          <t>SUNDSVALL</t>
        </is>
      </c>
      <c r="F174" t="inlineStr">
        <is>
          <t>Naturvårdsverket</t>
        </is>
      </c>
      <c r="G174" t="n">
        <v>8.9</v>
      </c>
      <c r="H174" t="n">
        <v>0</v>
      </c>
      <c r="I174" t="n">
        <v>0</v>
      </c>
      <c r="J174" t="n">
        <v>1</v>
      </c>
      <c r="K174" t="n">
        <v>0</v>
      </c>
      <c r="L174" t="n">
        <v>0</v>
      </c>
      <c r="M174" t="n">
        <v>0</v>
      </c>
      <c r="N174" t="n">
        <v>0</v>
      </c>
      <c r="O174" t="n">
        <v>1</v>
      </c>
      <c r="P174" t="n">
        <v>0</v>
      </c>
      <c r="Q174" t="n">
        <v>1</v>
      </c>
      <c r="R174" s="2" t="inlineStr">
        <is>
          <t>Lunglav</t>
        </is>
      </c>
      <c r="S174">
        <f>HYPERLINK("https://klasma.github.io/Logging_2281/artfynd/A 20075-2025 artfynd.xlsx", "A 20075-2025")</f>
        <v/>
      </c>
      <c r="T174">
        <f>HYPERLINK("https://klasma.github.io/Logging_2281/kartor/A 20075-2025 karta.png", "A 20075-2025")</f>
        <v/>
      </c>
      <c r="V174">
        <f>HYPERLINK("https://klasma.github.io/Logging_2281/klagomål/A 20075-2025 FSC-klagomål.docx", "A 20075-2025")</f>
        <v/>
      </c>
      <c r="W174">
        <f>HYPERLINK("https://klasma.github.io/Logging_2281/klagomålsmail/A 20075-2025 FSC-klagomål mail.docx", "A 20075-2025")</f>
        <v/>
      </c>
      <c r="X174">
        <f>HYPERLINK("https://klasma.github.io/Logging_2281/tillsyn/A 20075-2025 tillsynsbegäran.docx", "A 20075-2025")</f>
        <v/>
      </c>
      <c r="Y174">
        <f>HYPERLINK("https://klasma.github.io/Logging_2281/tillsynsmail/A 20075-2025 tillsynsbegäran mail.docx", "A 20075-2025")</f>
        <v/>
      </c>
    </row>
    <row r="175" ht="15" customHeight="1">
      <c r="A175" t="inlineStr">
        <is>
          <t>A 46260-2023</t>
        </is>
      </c>
      <c r="B175" s="1" t="n">
        <v>45196</v>
      </c>
      <c r="C175" s="1" t="n">
        <v>45961</v>
      </c>
      <c r="D175" t="inlineStr">
        <is>
          <t>VÄSTERNORRLANDS LÄN</t>
        </is>
      </c>
      <c r="E175" t="inlineStr">
        <is>
          <t>SUNDSVALL</t>
        </is>
      </c>
      <c r="F175" t="inlineStr">
        <is>
          <t>SCA</t>
        </is>
      </c>
      <c r="G175" t="n">
        <v>3</v>
      </c>
      <c r="H175" t="n">
        <v>1</v>
      </c>
      <c r="I175" t="n">
        <v>0</v>
      </c>
      <c r="J175" t="n">
        <v>1</v>
      </c>
      <c r="K175" t="n">
        <v>0</v>
      </c>
      <c r="L175" t="n">
        <v>0</v>
      </c>
      <c r="M175" t="n">
        <v>0</v>
      </c>
      <c r="N175" t="n">
        <v>0</v>
      </c>
      <c r="O175" t="n">
        <v>1</v>
      </c>
      <c r="P175" t="n">
        <v>0</v>
      </c>
      <c r="Q175" t="n">
        <v>1</v>
      </c>
      <c r="R175" s="2" t="inlineStr">
        <is>
          <t>Spillkråka</t>
        </is>
      </c>
      <c r="S175">
        <f>HYPERLINK("https://klasma.github.io/Logging_2281/artfynd/A 46260-2023 artfynd.xlsx", "A 46260-2023")</f>
        <v/>
      </c>
      <c r="T175">
        <f>HYPERLINK("https://klasma.github.io/Logging_2281/kartor/A 46260-2023 karta.png", "A 46260-2023")</f>
        <v/>
      </c>
      <c r="V175">
        <f>HYPERLINK("https://klasma.github.io/Logging_2281/klagomål/A 46260-2023 FSC-klagomål.docx", "A 46260-2023")</f>
        <v/>
      </c>
      <c r="W175">
        <f>HYPERLINK("https://klasma.github.io/Logging_2281/klagomålsmail/A 46260-2023 FSC-klagomål mail.docx", "A 46260-2023")</f>
        <v/>
      </c>
      <c r="X175">
        <f>HYPERLINK("https://klasma.github.io/Logging_2281/tillsyn/A 46260-2023 tillsynsbegäran.docx", "A 46260-2023")</f>
        <v/>
      </c>
      <c r="Y175">
        <f>HYPERLINK("https://klasma.github.io/Logging_2281/tillsynsmail/A 46260-2023 tillsynsbegäran mail.docx", "A 46260-2023")</f>
        <v/>
      </c>
      <c r="Z175">
        <f>HYPERLINK("https://klasma.github.io/Logging_2281/fåglar/A 46260-2023 prioriterade fågelarter.docx", "A 46260-2023")</f>
        <v/>
      </c>
    </row>
    <row r="176" ht="15" customHeight="1">
      <c r="A176" t="inlineStr">
        <is>
          <t>A 49850-2022</t>
        </is>
      </c>
      <c r="B176" s="1" t="n">
        <v>44862</v>
      </c>
      <c r="C176" s="1" t="n">
        <v>45961</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64922-2021</t>
        </is>
      </c>
      <c r="B177" s="1" t="n">
        <v>44512</v>
      </c>
      <c r="C177" s="1" t="n">
        <v>45961</v>
      </c>
      <c r="D177" t="inlineStr">
        <is>
          <t>VÄSTERNORRLANDS LÄN</t>
        </is>
      </c>
      <c r="E177" t="inlineStr">
        <is>
          <t>SUNDSVALL</t>
        </is>
      </c>
      <c r="F177" t="inlineStr">
        <is>
          <t>Kommuner</t>
        </is>
      </c>
      <c r="G177" t="n">
        <v>1.5</v>
      </c>
      <c r="H177" t="n">
        <v>1</v>
      </c>
      <c r="I177" t="n">
        <v>0</v>
      </c>
      <c r="J177" t="n">
        <v>0</v>
      </c>
      <c r="K177" t="n">
        <v>0</v>
      </c>
      <c r="L177" t="n">
        <v>0</v>
      </c>
      <c r="M177" t="n">
        <v>0</v>
      </c>
      <c r="N177" t="n">
        <v>0</v>
      </c>
      <c r="O177" t="n">
        <v>0</v>
      </c>
      <c r="P177" t="n">
        <v>0</v>
      </c>
      <c r="Q177" t="n">
        <v>1</v>
      </c>
      <c r="R177" s="2" t="inlineStr">
        <is>
          <t>Näktergal</t>
        </is>
      </c>
      <c r="S177">
        <f>HYPERLINK("https://klasma.github.io/Logging_2281/artfynd/A 64922-2021 artfynd.xlsx", "A 64922-2021")</f>
        <v/>
      </c>
      <c r="T177">
        <f>HYPERLINK("https://klasma.github.io/Logging_2281/kartor/A 64922-2021 karta.png", "A 64922-2021")</f>
        <v/>
      </c>
      <c r="V177">
        <f>HYPERLINK("https://klasma.github.io/Logging_2281/klagomål/A 64922-2021 FSC-klagomål.docx", "A 64922-2021")</f>
        <v/>
      </c>
      <c r="W177">
        <f>HYPERLINK("https://klasma.github.io/Logging_2281/klagomålsmail/A 64922-2021 FSC-klagomål mail.docx", "A 64922-2021")</f>
        <v/>
      </c>
      <c r="X177">
        <f>HYPERLINK("https://klasma.github.io/Logging_2281/tillsyn/A 64922-2021 tillsynsbegäran.docx", "A 64922-2021")</f>
        <v/>
      </c>
      <c r="Y177">
        <f>HYPERLINK("https://klasma.github.io/Logging_2281/tillsynsmail/A 64922-2021 tillsynsbegäran mail.docx", "A 64922-2021")</f>
        <v/>
      </c>
      <c r="Z177">
        <f>HYPERLINK("https://klasma.github.io/Logging_2281/fåglar/A 64922-2021 prioriterade fågelarter.docx", "A 64922-2021")</f>
        <v/>
      </c>
    </row>
    <row r="178" ht="15" customHeight="1">
      <c r="A178" t="inlineStr">
        <is>
          <t>A 1220-2023</t>
        </is>
      </c>
      <c r="B178" s="1" t="n">
        <v>44935</v>
      </c>
      <c r="C178" s="1" t="n">
        <v>45961</v>
      </c>
      <c r="D178" t="inlineStr">
        <is>
          <t>VÄSTERNORRLANDS LÄN</t>
        </is>
      </c>
      <c r="E178" t="inlineStr">
        <is>
          <t>SUNDSVALL</t>
        </is>
      </c>
      <c r="G178" t="n">
        <v>2.7</v>
      </c>
      <c r="H178" t="n">
        <v>1</v>
      </c>
      <c r="I178" t="n">
        <v>0</v>
      </c>
      <c r="J178" t="n">
        <v>1</v>
      </c>
      <c r="K178" t="n">
        <v>0</v>
      </c>
      <c r="L178" t="n">
        <v>0</v>
      </c>
      <c r="M178" t="n">
        <v>0</v>
      </c>
      <c r="N178" t="n">
        <v>0</v>
      </c>
      <c r="O178" t="n">
        <v>1</v>
      </c>
      <c r="P178" t="n">
        <v>0</v>
      </c>
      <c r="Q178" t="n">
        <v>1</v>
      </c>
      <c r="R178" s="2" t="inlineStr">
        <is>
          <t>Spillkråka</t>
        </is>
      </c>
      <c r="S178">
        <f>HYPERLINK("https://klasma.github.io/Logging_2281/artfynd/A 1220-2023 artfynd.xlsx", "A 1220-2023")</f>
        <v/>
      </c>
      <c r="T178">
        <f>HYPERLINK("https://klasma.github.io/Logging_2281/kartor/A 1220-2023 karta.png", "A 1220-2023")</f>
        <v/>
      </c>
      <c r="V178">
        <f>HYPERLINK("https://klasma.github.io/Logging_2281/klagomål/A 1220-2023 FSC-klagomål.docx", "A 1220-2023")</f>
        <v/>
      </c>
      <c r="W178">
        <f>HYPERLINK("https://klasma.github.io/Logging_2281/klagomålsmail/A 1220-2023 FSC-klagomål mail.docx", "A 1220-2023")</f>
        <v/>
      </c>
      <c r="X178">
        <f>HYPERLINK("https://klasma.github.io/Logging_2281/tillsyn/A 1220-2023 tillsynsbegäran.docx", "A 1220-2023")</f>
        <v/>
      </c>
      <c r="Y178">
        <f>HYPERLINK("https://klasma.github.io/Logging_2281/tillsynsmail/A 1220-2023 tillsynsbegäran mail.docx", "A 1220-2023")</f>
        <v/>
      </c>
      <c r="Z178">
        <f>HYPERLINK("https://klasma.github.io/Logging_2281/fåglar/A 1220-2023 prioriterade fågelarter.docx", "A 1220-2023")</f>
        <v/>
      </c>
    </row>
    <row r="179" ht="15" customHeight="1">
      <c r="A179" t="inlineStr">
        <is>
          <t>A 37057-2021</t>
        </is>
      </c>
      <c r="B179" s="1" t="n">
        <v>44393.93881944445</v>
      </c>
      <c r="C179" s="1" t="n">
        <v>45961</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3347-2025</t>
        </is>
      </c>
      <c r="B180" s="1" t="n">
        <v>45679.78429398148</v>
      </c>
      <c r="C180" s="1" t="n">
        <v>45961</v>
      </c>
      <c r="D180" t="inlineStr">
        <is>
          <t>VÄSTERNORRLANDS LÄN</t>
        </is>
      </c>
      <c r="E180" t="inlineStr">
        <is>
          <t>SUNDSVALL</t>
        </is>
      </c>
      <c r="G180" t="n">
        <v>20.7</v>
      </c>
      <c r="H180" t="n">
        <v>0</v>
      </c>
      <c r="I180" t="n">
        <v>0</v>
      </c>
      <c r="J180" t="n">
        <v>1</v>
      </c>
      <c r="K180" t="n">
        <v>0</v>
      </c>
      <c r="L180" t="n">
        <v>0</v>
      </c>
      <c r="M180" t="n">
        <v>0</v>
      </c>
      <c r="N180" t="n">
        <v>0</v>
      </c>
      <c r="O180" t="n">
        <v>1</v>
      </c>
      <c r="P180" t="n">
        <v>0</v>
      </c>
      <c r="Q180" t="n">
        <v>1</v>
      </c>
      <c r="R180" s="2" t="inlineStr">
        <is>
          <t>Lunglav</t>
        </is>
      </c>
      <c r="S180">
        <f>HYPERLINK("https://klasma.github.io/Logging_2281/artfynd/A 3347-2025 artfynd.xlsx", "A 3347-2025")</f>
        <v/>
      </c>
      <c r="T180">
        <f>HYPERLINK("https://klasma.github.io/Logging_2281/kartor/A 3347-2025 karta.png", "A 3347-2025")</f>
        <v/>
      </c>
      <c r="V180">
        <f>HYPERLINK("https://klasma.github.io/Logging_2281/klagomål/A 3347-2025 FSC-klagomål.docx", "A 3347-2025")</f>
        <v/>
      </c>
      <c r="W180">
        <f>HYPERLINK("https://klasma.github.io/Logging_2281/klagomålsmail/A 3347-2025 FSC-klagomål mail.docx", "A 3347-2025")</f>
        <v/>
      </c>
      <c r="X180">
        <f>HYPERLINK("https://klasma.github.io/Logging_2281/tillsyn/A 3347-2025 tillsynsbegäran.docx", "A 3347-2025")</f>
        <v/>
      </c>
      <c r="Y180">
        <f>HYPERLINK("https://klasma.github.io/Logging_2281/tillsynsmail/A 3347-2025 tillsynsbegäran mail.docx", "A 3347-2025")</f>
        <v/>
      </c>
    </row>
    <row r="181" ht="15" customHeight="1">
      <c r="A181" t="inlineStr">
        <is>
          <t>A 9200-2022</t>
        </is>
      </c>
      <c r="B181" s="1" t="n">
        <v>44615.92614583333</v>
      </c>
      <c r="C181" s="1" t="n">
        <v>45961</v>
      </c>
      <c r="D181" t="inlineStr">
        <is>
          <t>VÄSTERNORRLANDS LÄN</t>
        </is>
      </c>
      <c r="E181" t="inlineStr">
        <is>
          <t>SUNDSVALL</t>
        </is>
      </c>
      <c r="G181" t="n">
        <v>17.6</v>
      </c>
      <c r="H181" t="n">
        <v>0</v>
      </c>
      <c r="I181" t="n">
        <v>0</v>
      </c>
      <c r="J181" t="n">
        <v>1</v>
      </c>
      <c r="K181" t="n">
        <v>0</v>
      </c>
      <c r="L181" t="n">
        <v>0</v>
      </c>
      <c r="M181" t="n">
        <v>0</v>
      </c>
      <c r="N181" t="n">
        <v>0</v>
      </c>
      <c r="O181" t="n">
        <v>1</v>
      </c>
      <c r="P181" t="n">
        <v>0</v>
      </c>
      <c r="Q181" t="n">
        <v>1</v>
      </c>
      <c r="R181" s="2" t="inlineStr">
        <is>
          <t>Blå taggsvamp</t>
        </is>
      </c>
      <c r="S181">
        <f>HYPERLINK("https://klasma.github.io/Logging_2281/artfynd/A 9200-2022 artfynd.xlsx", "A 9200-2022")</f>
        <v/>
      </c>
      <c r="T181">
        <f>HYPERLINK("https://klasma.github.io/Logging_2281/kartor/A 9200-2022 karta.png", "A 9200-2022")</f>
        <v/>
      </c>
      <c r="V181">
        <f>HYPERLINK("https://klasma.github.io/Logging_2281/klagomål/A 9200-2022 FSC-klagomål.docx", "A 9200-2022")</f>
        <v/>
      </c>
      <c r="W181">
        <f>HYPERLINK("https://klasma.github.io/Logging_2281/klagomålsmail/A 9200-2022 FSC-klagomål mail.docx", "A 9200-2022")</f>
        <v/>
      </c>
      <c r="X181">
        <f>HYPERLINK("https://klasma.github.io/Logging_2281/tillsyn/A 9200-2022 tillsynsbegäran.docx", "A 9200-2022")</f>
        <v/>
      </c>
      <c r="Y181">
        <f>HYPERLINK("https://klasma.github.io/Logging_2281/tillsynsmail/A 9200-2022 tillsynsbegäran mail.docx", "A 9200-2022")</f>
        <v/>
      </c>
    </row>
    <row r="182" ht="15" customHeight="1">
      <c r="A182" t="inlineStr">
        <is>
          <t>A 10683-2025</t>
        </is>
      </c>
      <c r="B182" s="1" t="n">
        <v>45721.94451388889</v>
      </c>
      <c r="C182" s="1" t="n">
        <v>45961</v>
      </c>
      <c r="D182" t="inlineStr">
        <is>
          <t>VÄSTERNORRLANDS LÄN</t>
        </is>
      </c>
      <c r="E182" t="inlineStr">
        <is>
          <t>SUNDSVALL</t>
        </is>
      </c>
      <c r="G182" t="n">
        <v>1.5</v>
      </c>
      <c r="H182" t="n">
        <v>1</v>
      </c>
      <c r="I182" t="n">
        <v>0</v>
      </c>
      <c r="J182" t="n">
        <v>1</v>
      </c>
      <c r="K182" t="n">
        <v>0</v>
      </c>
      <c r="L182" t="n">
        <v>0</v>
      </c>
      <c r="M182" t="n">
        <v>0</v>
      </c>
      <c r="N182" t="n">
        <v>0</v>
      </c>
      <c r="O182" t="n">
        <v>1</v>
      </c>
      <c r="P182" t="n">
        <v>0</v>
      </c>
      <c r="Q182" t="n">
        <v>1</v>
      </c>
      <c r="R182" s="2" t="inlineStr">
        <is>
          <t>Björktrast</t>
        </is>
      </c>
      <c r="S182">
        <f>HYPERLINK("https://klasma.github.io/Logging_2281/artfynd/A 10683-2025 artfynd.xlsx", "A 10683-2025")</f>
        <v/>
      </c>
      <c r="T182">
        <f>HYPERLINK("https://klasma.github.io/Logging_2281/kartor/A 10683-2025 karta.png", "A 10683-2025")</f>
        <v/>
      </c>
      <c r="V182">
        <f>HYPERLINK("https://klasma.github.io/Logging_2281/klagomål/A 10683-2025 FSC-klagomål.docx", "A 10683-2025")</f>
        <v/>
      </c>
      <c r="W182">
        <f>HYPERLINK("https://klasma.github.io/Logging_2281/klagomålsmail/A 10683-2025 FSC-klagomål mail.docx", "A 10683-2025")</f>
        <v/>
      </c>
      <c r="X182">
        <f>HYPERLINK("https://klasma.github.io/Logging_2281/tillsyn/A 10683-2025 tillsynsbegäran.docx", "A 10683-2025")</f>
        <v/>
      </c>
      <c r="Y182">
        <f>HYPERLINK("https://klasma.github.io/Logging_2281/tillsynsmail/A 10683-2025 tillsynsbegäran mail.docx", "A 10683-2025")</f>
        <v/>
      </c>
      <c r="Z182">
        <f>HYPERLINK("https://klasma.github.io/Logging_2281/fåglar/A 10683-2025 prioriterade fågelarter.docx", "A 10683-2025")</f>
        <v/>
      </c>
    </row>
    <row r="183" ht="15" customHeight="1">
      <c r="A183" t="inlineStr">
        <is>
          <t>A 15376-2024</t>
        </is>
      </c>
      <c r="B183" s="1" t="n">
        <v>45400</v>
      </c>
      <c r="C183" s="1" t="n">
        <v>45961</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14665-2023</t>
        </is>
      </c>
      <c r="B184" s="1" t="n">
        <v>45013.9258912037</v>
      </c>
      <c r="C184" s="1" t="n">
        <v>45961</v>
      </c>
      <c r="D184" t="inlineStr">
        <is>
          <t>VÄSTERNORRLANDS LÄN</t>
        </is>
      </c>
      <c r="E184" t="inlineStr">
        <is>
          <t>SUNDSVALL</t>
        </is>
      </c>
      <c r="G184" t="n">
        <v>1.8</v>
      </c>
      <c r="H184" t="n">
        <v>1</v>
      </c>
      <c r="I184" t="n">
        <v>0</v>
      </c>
      <c r="J184" t="n">
        <v>0</v>
      </c>
      <c r="K184" t="n">
        <v>0</v>
      </c>
      <c r="L184" t="n">
        <v>0</v>
      </c>
      <c r="M184" t="n">
        <v>0</v>
      </c>
      <c r="N184" t="n">
        <v>0</v>
      </c>
      <c r="O184" t="n">
        <v>0</v>
      </c>
      <c r="P184" t="n">
        <v>0</v>
      </c>
      <c r="Q184" t="n">
        <v>1</v>
      </c>
      <c r="R184" s="2" t="inlineStr">
        <is>
          <t>Trana</t>
        </is>
      </c>
      <c r="S184">
        <f>HYPERLINK("https://klasma.github.io/Logging_2281/artfynd/A 14665-2023 artfynd.xlsx", "A 14665-2023")</f>
        <v/>
      </c>
      <c r="T184">
        <f>HYPERLINK("https://klasma.github.io/Logging_2281/kartor/A 14665-2023 karta.png", "A 14665-2023")</f>
        <v/>
      </c>
      <c r="V184">
        <f>HYPERLINK("https://klasma.github.io/Logging_2281/klagomål/A 14665-2023 FSC-klagomål.docx", "A 14665-2023")</f>
        <v/>
      </c>
      <c r="W184">
        <f>HYPERLINK("https://klasma.github.io/Logging_2281/klagomålsmail/A 14665-2023 FSC-klagomål mail.docx", "A 14665-2023")</f>
        <v/>
      </c>
      <c r="X184">
        <f>HYPERLINK("https://klasma.github.io/Logging_2281/tillsyn/A 14665-2023 tillsynsbegäran.docx", "A 14665-2023")</f>
        <v/>
      </c>
      <c r="Y184">
        <f>HYPERLINK("https://klasma.github.io/Logging_2281/tillsynsmail/A 14665-2023 tillsynsbegäran mail.docx", "A 14665-2023")</f>
        <v/>
      </c>
      <c r="Z184">
        <f>HYPERLINK("https://klasma.github.io/Logging_2281/fåglar/A 14665-2023 prioriterade fågelarter.docx", "A 14665-2023")</f>
        <v/>
      </c>
    </row>
    <row r="185" ht="15" customHeight="1">
      <c r="A185" t="inlineStr">
        <is>
          <t>A 19762-2025</t>
        </is>
      </c>
      <c r="B185" s="1" t="n">
        <v>45771.40686342592</v>
      </c>
      <c r="C185" s="1" t="n">
        <v>45961</v>
      </c>
      <c r="D185" t="inlineStr">
        <is>
          <t>VÄSTERNORRLANDS LÄN</t>
        </is>
      </c>
      <c r="E185" t="inlineStr">
        <is>
          <t>SUNDSVALL</t>
        </is>
      </c>
      <c r="F185" t="inlineStr">
        <is>
          <t>Naturvårdsverket</t>
        </is>
      </c>
      <c r="G185" t="n">
        <v>2.3</v>
      </c>
      <c r="H185" t="n">
        <v>0</v>
      </c>
      <c r="I185" t="n">
        <v>1</v>
      </c>
      <c r="J185" t="n">
        <v>0</v>
      </c>
      <c r="K185" t="n">
        <v>0</v>
      </c>
      <c r="L185" t="n">
        <v>0</v>
      </c>
      <c r="M185" t="n">
        <v>0</v>
      </c>
      <c r="N185" t="n">
        <v>0</v>
      </c>
      <c r="O185" t="n">
        <v>0</v>
      </c>
      <c r="P185" t="n">
        <v>0</v>
      </c>
      <c r="Q185" t="n">
        <v>1</v>
      </c>
      <c r="R185" s="2" t="inlineStr">
        <is>
          <t>Barkticka</t>
        </is>
      </c>
      <c r="S185">
        <f>HYPERLINK("https://klasma.github.io/Logging_2281/artfynd/A 19762-2025 artfynd.xlsx", "A 19762-2025")</f>
        <v/>
      </c>
      <c r="T185">
        <f>HYPERLINK("https://klasma.github.io/Logging_2281/kartor/A 19762-2025 karta.png", "A 19762-2025")</f>
        <v/>
      </c>
      <c r="V185">
        <f>HYPERLINK("https://klasma.github.io/Logging_2281/klagomål/A 19762-2025 FSC-klagomål.docx", "A 19762-2025")</f>
        <v/>
      </c>
      <c r="W185">
        <f>HYPERLINK("https://klasma.github.io/Logging_2281/klagomålsmail/A 19762-2025 FSC-klagomål mail.docx", "A 19762-2025")</f>
        <v/>
      </c>
      <c r="X185">
        <f>HYPERLINK("https://klasma.github.io/Logging_2281/tillsyn/A 19762-2025 tillsynsbegäran.docx", "A 19762-2025")</f>
        <v/>
      </c>
      <c r="Y185">
        <f>HYPERLINK("https://klasma.github.io/Logging_2281/tillsynsmail/A 19762-2025 tillsynsbegäran mail.docx", "A 19762-2025")</f>
        <v/>
      </c>
    </row>
    <row r="186" ht="15" customHeight="1">
      <c r="A186" t="inlineStr">
        <is>
          <t>A 3924-2025</t>
        </is>
      </c>
      <c r="B186" s="1" t="n">
        <v>45684.44851851852</v>
      </c>
      <c r="C186" s="1" t="n">
        <v>45961</v>
      </c>
      <c r="D186" t="inlineStr">
        <is>
          <t>VÄSTERNORRLANDS LÄN</t>
        </is>
      </c>
      <c r="E186" t="inlineStr">
        <is>
          <t>SUNDSVALL</t>
        </is>
      </c>
      <c r="F186" t="inlineStr">
        <is>
          <t>SCA</t>
        </is>
      </c>
      <c r="G186" t="n">
        <v>5.9</v>
      </c>
      <c r="H186" t="n">
        <v>1</v>
      </c>
      <c r="I186" t="n">
        <v>0</v>
      </c>
      <c r="J186" t="n">
        <v>1</v>
      </c>
      <c r="K186" t="n">
        <v>0</v>
      </c>
      <c r="L186" t="n">
        <v>0</v>
      </c>
      <c r="M186" t="n">
        <v>0</v>
      </c>
      <c r="N186" t="n">
        <v>0</v>
      </c>
      <c r="O186" t="n">
        <v>1</v>
      </c>
      <c r="P186" t="n">
        <v>0</v>
      </c>
      <c r="Q186" t="n">
        <v>1</v>
      </c>
      <c r="R186" s="2" t="inlineStr">
        <is>
          <t>Järpe</t>
        </is>
      </c>
      <c r="S186">
        <f>HYPERLINK("https://klasma.github.io/Logging_2281/artfynd/A 3924-2025 artfynd.xlsx", "A 3924-2025")</f>
        <v/>
      </c>
      <c r="T186">
        <f>HYPERLINK("https://klasma.github.io/Logging_2281/kartor/A 3924-2025 karta.png", "A 3924-2025")</f>
        <v/>
      </c>
      <c r="V186">
        <f>HYPERLINK("https://klasma.github.io/Logging_2281/klagomål/A 3924-2025 FSC-klagomål.docx", "A 3924-2025")</f>
        <v/>
      </c>
      <c r="W186">
        <f>HYPERLINK("https://klasma.github.io/Logging_2281/klagomålsmail/A 3924-2025 FSC-klagomål mail.docx", "A 3924-2025")</f>
        <v/>
      </c>
      <c r="X186">
        <f>HYPERLINK("https://klasma.github.io/Logging_2281/tillsyn/A 3924-2025 tillsynsbegäran.docx", "A 3924-2025")</f>
        <v/>
      </c>
      <c r="Y186">
        <f>HYPERLINK("https://klasma.github.io/Logging_2281/tillsynsmail/A 3924-2025 tillsynsbegäran mail.docx", "A 3924-2025")</f>
        <v/>
      </c>
      <c r="Z186">
        <f>HYPERLINK("https://klasma.github.io/Logging_2281/fåglar/A 3924-2025 prioriterade fågelarter.docx", "A 3924-2025")</f>
        <v/>
      </c>
    </row>
    <row r="187" ht="15" customHeight="1">
      <c r="A187" t="inlineStr">
        <is>
          <t>A 3819-2024</t>
        </is>
      </c>
      <c r="B187" s="1" t="n">
        <v>45321</v>
      </c>
      <c r="C187" s="1" t="n">
        <v>45961</v>
      </c>
      <c r="D187" t="inlineStr">
        <is>
          <t>VÄSTERNORRLANDS LÄN</t>
        </is>
      </c>
      <c r="E187" t="inlineStr">
        <is>
          <t>SUNDSVALL</t>
        </is>
      </c>
      <c r="G187" t="n">
        <v>13.5</v>
      </c>
      <c r="H187" t="n">
        <v>1</v>
      </c>
      <c r="I187" t="n">
        <v>0</v>
      </c>
      <c r="J187" t="n">
        <v>0</v>
      </c>
      <c r="K187" t="n">
        <v>1</v>
      </c>
      <c r="L187" t="n">
        <v>0</v>
      </c>
      <c r="M187" t="n">
        <v>0</v>
      </c>
      <c r="N187" t="n">
        <v>0</v>
      </c>
      <c r="O187" t="n">
        <v>1</v>
      </c>
      <c r="P187" t="n">
        <v>1</v>
      </c>
      <c r="Q187" t="n">
        <v>1</v>
      </c>
      <c r="R187" s="2" t="inlineStr">
        <is>
          <t>Bombmurkla</t>
        </is>
      </c>
      <c r="S187">
        <f>HYPERLINK("https://klasma.github.io/Logging_2281/artfynd/A 3819-2024 artfynd.xlsx", "A 3819-2024")</f>
        <v/>
      </c>
      <c r="T187">
        <f>HYPERLINK("https://klasma.github.io/Logging_2281/kartor/A 3819-2024 karta.png", "A 3819-2024")</f>
        <v/>
      </c>
      <c r="V187">
        <f>HYPERLINK("https://klasma.github.io/Logging_2281/klagomål/A 3819-2024 FSC-klagomål.docx", "A 3819-2024")</f>
        <v/>
      </c>
      <c r="W187">
        <f>HYPERLINK("https://klasma.github.io/Logging_2281/klagomålsmail/A 3819-2024 FSC-klagomål mail.docx", "A 3819-2024")</f>
        <v/>
      </c>
      <c r="X187">
        <f>HYPERLINK("https://klasma.github.io/Logging_2281/tillsyn/A 3819-2024 tillsynsbegäran.docx", "A 3819-2024")</f>
        <v/>
      </c>
      <c r="Y187">
        <f>HYPERLINK("https://klasma.github.io/Logging_2281/tillsynsmail/A 3819-2024 tillsynsbegäran mail.docx", "A 3819-2024")</f>
        <v/>
      </c>
    </row>
    <row r="188" ht="15" customHeight="1">
      <c r="A188" t="inlineStr">
        <is>
          <t>A 22420-2021</t>
        </is>
      </c>
      <c r="B188" s="1" t="n">
        <v>44326</v>
      </c>
      <c r="C188" s="1" t="n">
        <v>45961</v>
      </c>
      <c r="D188" t="inlineStr">
        <is>
          <t>VÄSTERNORRLANDS LÄN</t>
        </is>
      </c>
      <c r="E188" t="inlineStr">
        <is>
          <t>SUNDSVALL</t>
        </is>
      </c>
      <c r="F188" t="inlineStr">
        <is>
          <t>Kyrkan</t>
        </is>
      </c>
      <c r="G188" t="n">
        <v>21.9</v>
      </c>
      <c r="H188" t="n">
        <v>1</v>
      </c>
      <c r="I188" t="n">
        <v>0</v>
      </c>
      <c r="J188" t="n">
        <v>1</v>
      </c>
      <c r="K188" t="n">
        <v>0</v>
      </c>
      <c r="L188" t="n">
        <v>0</v>
      </c>
      <c r="M188" t="n">
        <v>0</v>
      </c>
      <c r="N188" t="n">
        <v>0</v>
      </c>
      <c r="O188" t="n">
        <v>1</v>
      </c>
      <c r="P188" t="n">
        <v>0</v>
      </c>
      <c r="Q188" t="n">
        <v>1</v>
      </c>
      <c r="R188" s="2" t="inlineStr">
        <is>
          <t>Järpe</t>
        </is>
      </c>
      <c r="S188">
        <f>HYPERLINK("https://klasma.github.io/Logging_2281/artfynd/A 22420-2021 artfynd.xlsx", "A 22420-2021")</f>
        <v/>
      </c>
      <c r="T188">
        <f>HYPERLINK("https://klasma.github.io/Logging_2281/kartor/A 22420-2021 karta.png", "A 22420-2021")</f>
        <v/>
      </c>
      <c r="V188">
        <f>HYPERLINK("https://klasma.github.io/Logging_2281/klagomål/A 22420-2021 FSC-klagomål.docx", "A 22420-2021")</f>
        <v/>
      </c>
      <c r="W188">
        <f>HYPERLINK("https://klasma.github.io/Logging_2281/klagomålsmail/A 22420-2021 FSC-klagomål mail.docx", "A 22420-2021")</f>
        <v/>
      </c>
      <c r="X188">
        <f>HYPERLINK("https://klasma.github.io/Logging_2281/tillsyn/A 22420-2021 tillsynsbegäran.docx", "A 22420-2021")</f>
        <v/>
      </c>
      <c r="Y188">
        <f>HYPERLINK("https://klasma.github.io/Logging_2281/tillsynsmail/A 22420-2021 tillsynsbegäran mail.docx", "A 22420-2021")</f>
        <v/>
      </c>
      <c r="Z188">
        <f>HYPERLINK("https://klasma.github.io/Logging_2281/fåglar/A 22420-2021 prioriterade fågelarter.docx", "A 22420-2021")</f>
        <v/>
      </c>
    </row>
    <row r="189" ht="15" customHeight="1">
      <c r="A189" t="inlineStr">
        <is>
          <t>A 20631-2025</t>
        </is>
      </c>
      <c r="B189" s="1" t="n">
        <v>45776</v>
      </c>
      <c r="C189" s="1" t="n">
        <v>45961</v>
      </c>
      <c r="D189" t="inlineStr">
        <is>
          <t>VÄSTERNORRLANDS LÄN</t>
        </is>
      </c>
      <c r="E189" t="inlineStr">
        <is>
          <t>SUNDSVALL</t>
        </is>
      </c>
      <c r="F189" t="inlineStr">
        <is>
          <t>Naturvårdsverket</t>
        </is>
      </c>
      <c r="G189" t="n">
        <v>9.6</v>
      </c>
      <c r="H189" t="n">
        <v>0</v>
      </c>
      <c r="I189" t="n">
        <v>0</v>
      </c>
      <c r="J189" t="n">
        <v>1</v>
      </c>
      <c r="K189" t="n">
        <v>0</v>
      </c>
      <c r="L189" t="n">
        <v>0</v>
      </c>
      <c r="M189" t="n">
        <v>0</v>
      </c>
      <c r="N189" t="n">
        <v>0</v>
      </c>
      <c r="O189" t="n">
        <v>1</v>
      </c>
      <c r="P189" t="n">
        <v>0</v>
      </c>
      <c r="Q189" t="n">
        <v>1</v>
      </c>
      <c r="R189" s="2" t="inlineStr">
        <is>
          <t>Nordtagging</t>
        </is>
      </c>
      <c r="S189">
        <f>HYPERLINK("https://klasma.github.io/Logging_2281/artfynd/A 20631-2025 artfynd.xlsx", "A 20631-2025")</f>
        <v/>
      </c>
      <c r="T189">
        <f>HYPERLINK("https://klasma.github.io/Logging_2281/kartor/A 20631-2025 karta.png", "A 20631-2025")</f>
        <v/>
      </c>
      <c r="V189">
        <f>HYPERLINK("https://klasma.github.io/Logging_2281/klagomål/A 20631-2025 FSC-klagomål.docx", "A 20631-2025")</f>
        <v/>
      </c>
      <c r="W189">
        <f>HYPERLINK("https://klasma.github.io/Logging_2281/klagomålsmail/A 20631-2025 FSC-klagomål mail.docx", "A 20631-2025")</f>
        <v/>
      </c>
      <c r="X189">
        <f>HYPERLINK("https://klasma.github.io/Logging_2281/tillsyn/A 20631-2025 tillsynsbegäran.docx", "A 20631-2025")</f>
        <v/>
      </c>
      <c r="Y189">
        <f>HYPERLINK("https://klasma.github.io/Logging_2281/tillsynsmail/A 20631-2025 tillsynsbegäran mail.docx", "A 20631-2025")</f>
        <v/>
      </c>
    </row>
    <row r="190" ht="15" customHeight="1">
      <c r="A190" t="inlineStr">
        <is>
          <t>A 49863-2023</t>
        </is>
      </c>
      <c r="B190" s="1" t="n">
        <v>45212</v>
      </c>
      <c r="C190" s="1" t="n">
        <v>45961</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49863-2023 artfynd.xlsx", "A 49863-2023")</f>
        <v/>
      </c>
      <c r="T190">
        <f>HYPERLINK("https://klasma.github.io/Logging_2281/kartor/A 49863-2023 karta.png", "A 49863-2023")</f>
        <v/>
      </c>
      <c r="V190">
        <f>HYPERLINK("https://klasma.github.io/Logging_2281/klagomål/A 49863-2023 FSC-klagomål.docx", "A 49863-2023")</f>
        <v/>
      </c>
      <c r="W190">
        <f>HYPERLINK("https://klasma.github.io/Logging_2281/klagomålsmail/A 49863-2023 FSC-klagomål mail.docx", "A 49863-2023")</f>
        <v/>
      </c>
      <c r="X190">
        <f>HYPERLINK("https://klasma.github.io/Logging_2281/tillsyn/A 49863-2023 tillsynsbegäran.docx", "A 49863-2023")</f>
        <v/>
      </c>
      <c r="Y190">
        <f>HYPERLINK("https://klasma.github.io/Logging_2281/tillsynsmail/A 49863-2023 tillsynsbegäran mail.docx", "A 49863-2023")</f>
        <v/>
      </c>
      <c r="Z190">
        <f>HYPERLINK("https://klasma.github.io/Logging_2281/fåglar/A 49863-2023 prioriterade fågelarter.docx", "A 49863-2023")</f>
        <v/>
      </c>
    </row>
    <row r="191" ht="15" customHeight="1">
      <c r="A191" t="inlineStr">
        <is>
          <t>A 21318-2025</t>
        </is>
      </c>
      <c r="B191" s="1" t="n">
        <v>45782.34424768519</v>
      </c>
      <c r="C191" s="1" t="n">
        <v>45961</v>
      </c>
      <c r="D191" t="inlineStr">
        <is>
          <t>VÄSTERNORRLANDS LÄN</t>
        </is>
      </c>
      <c r="E191" t="inlineStr">
        <is>
          <t>SUNDSVALL</t>
        </is>
      </c>
      <c r="F191" t="inlineStr">
        <is>
          <t>Naturvårdsverket</t>
        </is>
      </c>
      <c r="G191" t="n">
        <v>3.7</v>
      </c>
      <c r="H191" t="n">
        <v>0</v>
      </c>
      <c r="I191" t="n">
        <v>0</v>
      </c>
      <c r="J191" t="n">
        <v>1</v>
      </c>
      <c r="K191" t="n">
        <v>0</v>
      </c>
      <c r="L191" t="n">
        <v>0</v>
      </c>
      <c r="M191" t="n">
        <v>0</v>
      </c>
      <c r="N191" t="n">
        <v>0</v>
      </c>
      <c r="O191" t="n">
        <v>1</v>
      </c>
      <c r="P191" t="n">
        <v>0</v>
      </c>
      <c r="Q191" t="n">
        <v>1</v>
      </c>
      <c r="R191" s="2" t="inlineStr">
        <is>
          <t>Reliktbock</t>
        </is>
      </c>
      <c r="S191">
        <f>HYPERLINK("https://klasma.github.io/Logging_2281/artfynd/A 21318-2025 artfynd.xlsx", "A 21318-2025")</f>
        <v/>
      </c>
      <c r="T191">
        <f>HYPERLINK("https://klasma.github.io/Logging_2281/kartor/A 21318-2025 karta.png", "A 21318-2025")</f>
        <v/>
      </c>
      <c r="V191">
        <f>HYPERLINK("https://klasma.github.io/Logging_2281/klagomål/A 21318-2025 FSC-klagomål.docx", "A 21318-2025")</f>
        <v/>
      </c>
      <c r="W191">
        <f>HYPERLINK("https://klasma.github.io/Logging_2281/klagomålsmail/A 21318-2025 FSC-klagomål mail.docx", "A 21318-2025")</f>
        <v/>
      </c>
      <c r="X191">
        <f>HYPERLINK("https://klasma.github.io/Logging_2281/tillsyn/A 21318-2025 tillsynsbegäran.docx", "A 21318-2025")</f>
        <v/>
      </c>
      <c r="Y191">
        <f>HYPERLINK("https://klasma.github.io/Logging_2281/tillsynsmail/A 21318-2025 tillsynsbegäran mail.docx", "A 21318-2025")</f>
        <v/>
      </c>
    </row>
    <row r="192" ht="15" customHeight="1">
      <c r="A192" t="inlineStr">
        <is>
          <t>A 37231-2021</t>
        </is>
      </c>
      <c r="B192" s="1" t="n">
        <v>44396</v>
      </c>
      <c r="C192" s="1" t="n">
        <v>45961</v>
      </c>
      <c r="D192" t="inlineStr">
        <is>
          <t>VÄSTERNORRLANDS LÄN</t>
        </is>
      </c>
      <c r="E192" t="inlineStr">
        <is>
          <t>SUNDSVALL</t>
        </is>
      </c>
      <c r="F192" t="inlineStr">
        <is>
          <t>SCA</t>
        </is>
      </c>
      <c r="G192" t="n">
        <v>7.3</v>
      </c>
      <c r="H192" t="n">
        <v>1</v>
      </c>
      <c r="I192" t="n">
        <v>0</v>
      </c>
      <c r="J192" t="n">
        <v>0</v>
      </c>
      <c r="K192" t="n">
        <v>0</v>
      </c>
      <c r="L192" t="n">
        <v>0</v>
      </c>
      <c r="M192" t="n">
        <v>0</v>
      </c>
      <c r="N192" t="n">
        <v>0</v>
      </c>
      <c r="O192" t="n">
        <v>0</v>
      </c>
      <c r="P192" t="n">
        <v>0</v>
      </c>
      <c r="Q192" t="n">
        <v>1</v>
      </c>
      <c r="R192" s="2" t="inlineStr">
        <is>
          <t>Orre</t>
        </is>
      </c>
      <c r="S192">
        <f>HYPERLINK("https://klasma.github.io/Logging_2281/artfynd/A 37231-2021 artfynd.xlsx", "A 37231-2021")</f>
        <v/>
      </c>
      <c r="T192">
        <f>HYPERLINK("https://klasma.github.io/Logging_2281/kartor/A 37231-2021 karta.png", "A 37231-2021")</f>
        <v/>
      </c>
      <c r="V192">
        <f>HYPERLINK("https://klasma.github.io/Logging_2281/klagomål/A 37231-2021 FSC-klagomål.docx", "A 37231-2021")</f>
        <v/>
      </c>
      <c r="W192">
        <f>HYPERLINK("https://klasma.github.io/Logging_2281/klagomålsmail/A 37231-2021 FSC-klagomål mail.docx", "A 37231-2021")</f>
        <v/>
      </c>
      <c r="X192">
        <f>HYPERLINK("https://klasma.github.io/Logging_2281/tillsyn/A 37231-2021 tillsynsbegäran.docx", "A 37231-2021")</f>
        <v/>
      </c>
      <c r="Y192">
        <f>HYPERLINK("https://klasma.github.io/Logging_2281/tillsynsmail/A 37231-2021 tillsynsbegäran mail.docx", "A 37231-2021")</f>
        <v/>
      </c>
      <c r="Z192">
        <f>HYPERLINK("https://klasma.github.io/Logging_2281/fåglar/A 37231-2021 prioriterade fågelarter.docx", "A 37231-2021")</f>
        <v/>
      </c>
    </row>
    <row r="193" ht="15" customHeight="1">
      <c r="A193" t="inlineStr">
        <is>
          <t>A 39004-2024</t>
        </is>
      </c>
      <c r="B193" s="1" t="n">
        <v>45548</v>
      </c>
      <c r="C193" s="1" t="n">
        <v>45961</v>
      </c>
      <c r="D193" t="inlineStr">
        <is>
          <t>VÄSTERNORRLANDS LÄN</t>
        </is>
      </c>
      <c r="E193" t="inlineStr">
        <is>
          <t>SUNDSVALL</t>
        </is>
      </c>
      <c r="G193" t="n">
        <v>6.9</v>
      </c>
      <c r="H193" t="n">
        <v>0</v>
      </c>
      <c r="I193" t="n">
        <v>0</v>
      </c>
      <c r="J193" t="n">
        <v>1</v>
      </c>
      <c r="K193" t="n">
        <v>0</v>
      </c>
      <c r="L193" t="n">
        <v>0</v>
      </c>
      <c r="M193" t="n">
        <v>0</v>
      </c>
      <c r="N193" t="n">
        <v>0</v>
      </c>
      <c r="O193" t="n">
        <v>1</v>
      </c>
      <c r="P193" t="n">
        <v>0</v>
      </c>
      <c r="Q193" t="n">
        <v>1</v>
      </c>
      <c r="R193" s="2" t="inlineStr">
        <is>
          <t>Liten parasollmossa</t>
        </is>
      </c>
      <c r="S193">
        <f>HYPERLINK("https://klasma.github.io/Logging_2281/artfynd/A 39004-2024 artfynd.xlsx", "A 39004-2024")</f>
        <v/>
      </c>
      <c r="T193">
        <f>HYPERLINK("https://klasma.github.io/Logging_2281/kartor/A 39004-2024 karta.png", "A 39004-2024")</f>
        <v/>
      </c>
      <c r="V193">
        <f>HYPERLINK("https://klasma.github.io/Logging_2281/klagomål/A 39004-2024 FSC-klagomål.docx", "A 39004-2024")</f>
        <v/>
      </c>
      <c r="W193">
        <f>HYPERLINK("https://klasma.github.io/Logging_2281/klagomålsmail/A 39004-2024 FSC-klagomål mail.docx", "A 39004-2024")</f>
        <v/>
      </c>
      <c r="X193">
        <f>HYPERLINK("https://klasma.github.io/Logging_2281/tillsyn/A 39004-2024 tillsynsbegäran.docx", "A 39004-2024")</f>
        <v/>
      </c>
      <c r="Y193">
        <f>HYPERLINK("https://klasma.github.io/Logging_2281/tillsynsmail/A 39004-2024 tillsynsbegäran mail.docx", "A 39004-2024")</f>
        <v/>
      </c>
    </row>
    <row r="194" ht="15" customHeight="1">
      <c r="A194" t="inlineStr">
        <is>
          <t>A 30827-2023</t>
        </is>
      </c>
      <c r="B194" s="1" t="n">
        <v>45112</v>
      </c>
      <c r="C194" s="1" t="n">
        <v>45961</v>
      </c>
      <c r="D194" t="inlineStr">
        <is>
          <t>VÄSTERNORRLANDS LÄN</t>
        </is>
      </c>
      <c r="E194" t="inlineStr">
        <is>
          <t>SUNDSVALL</t>
        </is>
      </c>
      <c r="F194" t="inlineStr">
        <is>
          <t>SCA</t>
        </is>
      </c>
      <c r="G194" t="n">
        <v>21.9</v>
      </c>
      <c r="H194" t="n">
        <v>0</v>
      </c>
      <c r="I194" t="n">
        <v>1</v>
      </c>
      <c r="J194" t="n">
        <v>0</v>
      </c>
      <c r="K194" t="n">
        <v>0</v>
      </c>
      <c r="L194" t="n">
        <v>0</v>
      </c>
      <c r="M194" t="n">
        <v>0</v>
      </c>
      <c r="N194" t="n">
        <v>0</v>
      </c>
      <c r="O194" t="n">
        <v>0</v>
      </c>
      <c r="P194" t="n">
        <v>0</v>
      </c>
      <c r="Q194" t="n">
        <v>1</v>
      </c>
      <c r="R194" s="2" t="inlineStr">
        <is>
          <t>Dropptaggsvamp</t>
        </is>
      </c>
      <c r="S194">
        <f>HYPERLINK("https://klasma.github.io/Logging_2281/artfynd/A 30827-2023 artfynd.xlsx", "A 30827-2023")</f>
        <v/>
      </c>
      <c r="T194">
        <f>HYPERLINK("https://klasma.github.io/Logging_2281/kartor/A 30827-2023 karta.png", "A 30827-2023")</f>
        <v/>
      </c>
      <c r="V194">
        <f>HYPERLINK("https://klasma.github.io/Logging_2281/klagomål/A 30827-2023 FSC-klagomål.docx", "A 30827-2023")</f>
        <v/>
      </c>
      <c r="W194">
        <f>HYPERLINK("https://klasma.github.io/Logging_2281/klagomålsmail/A 30827-2023 FSC-klagomål mail.docx", "A 30827-2023")</f>
        <v/>
      </c>
      <c r="X194">
        <f>HYPERLINK("https://klasma.github.io/Logging_2281/tillsyn/A 30827-2023 tillsynsbegäran.docx", "A 30827-2023")</f>
        <v/>
      </c>
      <c r="Y194">
        <f>HYPERLINK("https://klasma.github.io/Logging_2281/tillsynsmail/A 30827-2023 tillsynsbegäran mail.docx", "A 30827-2023")</f>
        <v/>
      </c>
    </row>
    <row r="195" ht="15" customHeight="1">
      <c r="A195" t="inlineStr">
        <is>
          <t>A 50396-2024</t>
        </is>
      </c>
      <c r="B195" s="1" t="n">
        <v>45601</v>
      </c>
      <c r="C195" s="1" t="n">
        <v>45961</v>
      </c>
      <c r="D195" t="inlineStr">
        <is>
          <t>VÄSTERNORRLANDS LÄN</t>
        </is>
      </c>
      <c r="E195" t="inlineStr">
        <is>
          <t>SUNDSVALL</t>
        </is>
      </c>
      <c r="F195" t="inlineStr">
        <is>
          <t>SCA</t>
        </is>
      </c>
      <c r="G195" t="n">
        <v>8</v>
      </c>
      <c r="H195" t="n">
        <v>1</v>
      </c>
      <c r="I195" t="n">
        <v>0</v>
      </c>
      <c r="J195" t="n">
        <v>1</v>
      </c>
      <c r="K195" t="n">
        <v>0</v>
      </c>
      <c r="L195" t="n">
        <v>0</v>
      </c>
      <c r="M195" t="n">
        <v>0</v>
      </c>
      <c r="N195" t="n">
        <v>0</v>
      </c>
      <c r="O195" t="n">
        <v>1</v>
      </c>
      <c r="P195" t="n">
        <v>0</v>
      </c>
      <c r="Q195" t="n">
        <v>1</v>
      </c>
      <c r="R195" s="2" t="inlineStr">
        <is>
          <t>Järpe</t>
        </is>
      </c>
      <c r="S195">
        <f>HYPERLINK("https://klasma.github.io/Logging_2281/artfynd/A 50396-2024 artfynd.xlsx", "A 50396-2024")</f>
        <v/>
      </c>
      <c r="T195">
        <f>HYPERLINK("https://klasma.github.io/Logging_2281/kartor/A 50396-2024 karta.png", "A 50396-2024")</f>
        <v/>
      </c>
      <c r="V195">
        <f>HYPERLINK("https://klasma.github.io/Logging_2281/klagomål/A 50396-2024 FSC-klagomål.docx", "A 50396-2024")</f>
        <v/>
      </c>
      <c r="W195">
        <f>HYPERLINK("https://klasma.github.io/Logging_2281/klagomålsmail/A 50396-2024 FSC-klagomål mail.docx", "A 50396-2024")</f>
        <v/>
      </c>
      <c r="X195">
        <f>HYPERLINK("https://klasma.github.io/Logging_2281/tillsyn/A 50396-2024 tillsynsbegäran.docx", "A 50396-2024")</f>
        <v/>
      </c>
      <c r="Y195">
        <f>HYPERLINK("https://klasma.github.io/Logging_2281/tillsynsmail/A 50396-2024 tillsynsbegäran mail.docx", "A 50396-2024")</f>
        <v/>
      </c>
      <c r="Z195">
        <f>HYPERLINK("https://klasma.github.io/Logging_2281/fåglar/A 50396-2024 prioriterade fågelarter.docx", "A 50396-2024")</f>
        <v/>
      </c>
    </row>
    <row r="196" ht="15" customHeight="1">
      <c r="A196" t="inlineStr">
        <is>
          <t>A 23711-2022</t>
        </is>
      </c>
      <c r="B196" s="1" t="n">
        <v>44722</v>
      </c>
      <c r="C196" s="1" t="n">
        <v>45961</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22556-2022</t>
        </is>
      </c>
      <c r="B197" s="1" t="n">
        <v>44713.93802083333</v>
      </c>
      <c r="C197" s="1" t="n">
        <v>45961</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24016-2025</t>
        </is>
      </c>
      <c r="B198" s="1" t="n">
        <v>45796.44878472222</v>
      </c>
      <c r="C198" s="1" t="n">
        <v>45961</v>
      </c>
      <c r="D198" t="inlineStr">
        <is>
          <t>VÄSTERNORRLANDS LÄN</t>
        </is>
      </c>
      <c r="E198" t="inlineStr">
        <is>
          <t>SUNDSVALL</t>
        </is>
      </c>
      <c r="F198" t="inlineStr">
        <is>
          <t>Naturvårdsverket</t>
        </is>
      </c>
      <c r="G198" t="n">
        <v>4.1</v>
      </c>
      <c r="H198" t="n">
        <v>0</v>
      </c>
      <c r="I198" t="n">
        <v>0</v>
      </c>
      <c r="J198" t="n">
        <v>1</v>
      </c>
      <c r="K198" t="n">
        <v>0</v>
      </c>
      <c r="L198" t="n">
        <v>0</v>
      </c>
      <c r="M198" t="n">
        <v>0</v>
      </c>
      <c r="N198" t="n">
        <v>0</v>
      </c>
      <c r="O198" t="n">
        <v>1</v>
      </c>
      <c r="P198" t="n">
        <v>0</v>
      </c>
      <c r="Q198" t="n">
        <v>1</v>
      </c>
      <c r="R198" s="2" t="inlineStr">
        <is>
          <t>Kolflarnlav</t>
        </is>
      </c>
      <c r="S198">
        <f>HYPERLINK("https://klasma.github.io/Logging_2281/artfynd/A 24016-2025 artfynd.xlsx", "A 24016-2025")</f>
        <v/>
      </c>
      <c r="T198">
        <f>HYPERLINK("https://klasma.github.io/Logging_2281/kartor/A 24016-2025 karta.png", "A 24016-2025")</f>
        <v/>
      </c>
      <c r="V198">
        <f>HYPERLINK("https://klasma.github.io/Logging_2281/klagomål/A 24016-2025 FSC-klagomål.docx", "A 24016-2025")</f>
        <v/>
      </c>
      <c r="W198">
        <f>HYPERLINK("https://klasma.github.io/Logging_2281/klagomålsmail/A 24016-2025 FSC-klagomål mail.docx", "A 24016-2025")</f>
        <v/>
      </c>
      <c r="X198">
        <f>HYPERLINK("https://klasma.github.io/Logging_2281/tillsyn/A 24016-2025 tillsynsbegäran.docx", "A 24016-2025")</f>
        <v/>
      </c>
      <c r="Y198">
        <f>HYPERLINK("https://klasma.github.io/Logging_2281/tillsynsmail/A 24016-2025 tillsynsbegäran mail.docx", "A 24016-2025")</f>
        <v/>
      </c>
    </row>
    <row r="199" ht="15" customHeight="1">
      <c r="A199" t="inlineStr">
        <is>
          <t>A 52515-2024</t>
        </is>
      </c>
      <c r="B199" s="1" t="n">
        <v>45609</v>
      </c>
      <c r="C199" s="1" t="n">
        <v>45961</v>
      </c>
      <c r="D199" t="inlineStr">
        <is>
          <t>VÄSTERNORRLANDS LÄN</t>
        </is>
      </c>
      <c r="E199" t="inlineStr">
        <is>
          <t>SUNDSVALL</t>
        </is>
      </c>
      <c r="G199" t="n">
        <v>2.4</v>
      </c>
      <c r="H199" t="n">
        <v>0</v>
      </c>
      <c r="I199" t="n">
        <v>1</v>
      </c>
      <c r="J199" t="n">
        <v>0</v>
      </c>
      <c r="K199" t="n">
        <v>0</v>
      </c>
      <c r="L199" t="n">
        <v>0</v>
      </c>
      <c r="M199" t="n">
        <v>0</v>
      </c>
      <c r="N199" t="n">
        <v>0</v>
      </c>
      <c r="O199" t="n">
        <v>0</v>
      </c>
      <c r="P199" t="n">
        <v>0</v>
      </c>
      <c r="Q199" t="n">
        <v>1</v>
      </c>
      <c r="R199" s="2" t="inlineStr">
        <is>
          <t>Tibast</t>
        </is>
      </c>
      <c r="S199">
        <f>HYPERLINK("https://klasma.github.io/Logging_2281/artfynd/A 52515-2024 artfynd.xlsx", "A 52515-2024")</f>
        <v/>
      </c>
      <c r="T199">
        <f>HYPERLINK("https://klasma.github.io/Logging_2281/kartor/A 52515-2024 karta.png", "A 52515-2024")</f>
        <v/>
      </c>
      <c r="V199">
        <f>HYPERLINK("https://klasma.github.io/Logging_2281/klagomål/A 52515-2024 FSC-klagomål.docx", "A 52515-2024")</f>
        <v/>
      </c>
      <c r="W199">
        <f>HYPERLINK("https://klasma.github.io/Logging_2281/klagomålsmail/A 52515-2024 FSC-klagomål mail.docx", "A 52515-2024")</f>
        <v/>
      </c>
      <c r="X199">
        <f>HYPERLINK("https://klasma.github.io/Logging_2281/tillsyn/A 52515-2024 tillsynsbegäran.docx", "A 52515-2024")</f>
        <v/>
      </c>
      <c r="Y199">
        <f>HYPERLINK("https://klasma.github.io/Logging_2281/tillsynsmail/A 52515-2024 tillsynsbegäran mail.docx", "A 52515-2024")</f>
        <v/>
      </c>
    </row>
    <row r="200" ht="15" customHeight="1">
      <c r="A200" t="inlineStr">
        <is>
          <t>A 64483-2023</t>
        </is>
      </c>
      <c r="B200" s="1" t="n">
        <v>45280</v>
      </c>
      <c r="C200" s="1" t="n">
        <v>45961</v>
      </c>
      <c r="D200" t="inlineStr">
        <is>
          <t>VÄSTERNORRLANDS LÄN</t>
        </is>
      </c>
      <c r="E200" t="inlineStr">
        <is>
          <t>SUNDSVALL</t>
        </is>
      </c>
      <c r="G200" t="n">
        <v>1.5</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64483-2023 artfynd.xlsx", "A 64483-2023")</f>
        <v/>
      </c>
      <c r="T200">
        <f>HYPERLINK("https://klasma.github.io/Logging_2281/kartor/A 64483-2023 karta.png", "A 64483-2023")</f>
        <v/>
      </c>
      <c r="V200">
        <f>HYPERLINK("https://klasma.github.io/Logging_2281/klagomål/A 64483-2023 FSC-klagomål.docx", "A 64483-2023")</f>
        <v/>
      </c>
      <c r="W200">
        <f>HYPERLINK("https://klasma.github.io/Logging_2281/klagomålsmail/A 64483-2023 FSC-klagomål mail.docx", "A 64483-2023")</f>
        <v/>
      </c>
      <c r="X200">
        <f>HYPERLINK("https://klasma.github.io/Logging_2281/tillsyn/A 64483-2023 tillsynsbegäran.docx", "A 64483-2023")</f>
        <v/>
      </c>
      <c r="Y200">
        <f>HYPERLINK("https://klasma.github.io/Logging_2281/tillsynsmail/A 64483-2023 tillsynsbegäran mail.docx", "A 64483-2023")</f>
        <v/>
      </c>
      <c r="Z200">
        <f>HYPERLINK("https://klasma.github.io/Logging_2281/fåglar/A 64483-2023 prioriterade fågelarter.docx", "A 64483-2023")</f>
        <v/>
      </c>
    </row>
    <row r="201" ht="15" customHeight="1">
      <c r="A201" t="inlineStr">
        <is>
          <t>A 17331-2021</t>
        </is>
      </c>
      <c r="B201" s="1" t="n">
        <v>44298</v>
      </c>
      <c r="C201" s="1" t="n">
        <v>45961</v>
      </c>
      <c r="D201" t="inlineStr">
        <is>
          <t>VÄSTERNORRLANDS LÄN</t>
        </is>
      </c>
      <c r="E201" t="inlineStr">
        <is>
          <t>SUNDSVALL</t>
        </is>
      </c>
      <c r="G201" t="n">
        <v>3.7</v>
      </c>
      <c r="H201" t="n">
        <v>0</v>
      </c>
      <c r="I201" t="n">
        <v>0</v>
      </c>
      <c r="J201" t="n">
        <v>1</v>
      </c>
      <c r="K201" t="n">
        <v>0</v>
      </c>
      <c r="L201" t="n">
        <v>0</v>
      </c>
      <c r="M201" t="n">
        <v>0</v>
      </c>
      <c r="N201" t="n">
        <v>0</v>
      </c>
      <c r="O201" t="n">
        <v>1</v>
      </c>
      <c r="P201" t="n">
        <v>0</v>
      </c>
      <c r="Q201" t="n">
        <v>1</v>
      </c>
      <c r="R201" s="2" t="inlineStr">
        <is>
          <t>Myskmåra</t>
        </is>
      </c>
      <c r="S201">
        <f>HYPERLINK("https://klasma.github.io/Logging_2281/artfynd/A 17331-2021 artfynd.xlsx", "A 17331-2021")</f>
        <v/>
      </c>
      <c r="T201">
        <f>HYPERLINK("https://klasma.github.io/Logging_2281/kartor/A 17331-2021 karta.png", "A 17331-2021")</f>
        <v/>
      </c>
      <c r="V201">
        <f>HYPERLINK("https://klasma.github.io/Logging_2281/klagomål/A 17331-2021 FSC-klagomål.docx", "A 17331-2021")</f>
        <v/>
      </c>
      <c r="W201">
        <f>HYPERLINK("https://klasma.github.io/Logging_2281/klagomålsmail/A 17331-2021 FSC-klagomål mail.docx", "A 17331-2021")</f>
        <v/>
      </c>
      <c r="X201">
        <f>HYPERLINK("https://klasma.github.io/Logging_2281/tillsyn/A 17331-2021 tillsynsbegäran.docx", "A 17331-2021")</f>
        <v/>
      </c>
      <c r="Y201">
        <f>HYPERLINK("https://klasma.github.io/Logging_2281/tillsynsmail/A 17331-2021 tillsynsbegäran mail.docx", "A 17331-2021")</f>
        <v/>
      </c>
    </row>
    <row r="202" ht="15" customHeight="1">
      <c r="A202" t="inlineStr">
        <is>
          <t>A 17333-2021</t>
        </is>
      </c>
      <c r="B202" s="1" t="n">
        <v>44298</v>
      </c>
      <c r="C202" s="1" t="n">
        <v>45961</v>
      </c>
      <c r="D202" t="inlineStr">
        <is>
          <t>VÄSTERNORRLANDS LÄN</t>
        </is>
      </c>
      <c r="E202" t="inlineStr">
        <is>
          <t>SUNDSVALL</t>
        </is>
      </c>
      <c r="G202" t="n">
        <v>6.7</v>
      </c>
      <c r="H202" t="n">
        <v>1</v>
      </c>
      <c r="I202" t="n">
        <v>0</v>
      </c>
      <c r="J202" t="n">
        <v>1</v>
      </c>
      <c r="K202" t="n">
        <v>0</v>
      </c>
      <c r="L202" t="n">
        <v>0</v>
      </c>
      <c r="M202" t="n">
        <v>0</v>
      </c>
      <c r="N202" t="n">
        <v>0</v>
      </c>
      <c r="O202" t="n">
        <v>1</v>
      </c>
      <c r="P202" t="n">
        <v>0</v>
      </c>
      <c r="Q202" t="n">
        <v>1</v>
      </c>
      <c r="R202" s="2" t="inlineStr">
        <is>
          <t>Mindre hackspett</t>
        </is>
      </c>
      <c r="S202">
        <f>HYPERLINK("https://klasma.github.io/Logging_2281/artfynd/A 17333-2021 artfynd.xlsx", "A 17333-2021")</f>
        <v/>
      </c>
      <c r="T202">
        <f>HYPERLINK("https://klasma.github.io/Logging_2281/kartor/A 17333-2021 karta.png", "A 17333-2021")</f>
        <v/>
      </c>
      <c r="V202">
        <f>HYPERLINK("https://klasma.github.io/Logging_2281/klagomål/A 17333-2021 FSC-klagomål.docx", "A 17333-2021")</f>
        <v/>
      </c>
      <c r="W202">
        <f>HYPERLINK("https://klasma.github.io/Logging_2281/klagomålsmail/A 17333-2021 FSC-klagomål mail.docx", "A 17333-2021")</f>
        <v/>
      </c>
      <c r="X202">
        <f>HYPERLINK("https://klasma.github.io/Logging_2281/tillsyn/A 17333-2021 tillsynsbegäran.docx", "A 17333-2021")</f>
        <v/>
      </c>
      <c r="Y202">
        <f>HYPERLINK("https://klasma.github.io/Logging_2281/tillsynsmail/A 17333-2021 tillsynsbegäran mail.docx", "A 17333-2021")</f>
        <v/>
      </c>
      <c r="Z202">
        <f>HYPERLINK("https://klasma.github.io/Logging_2281/fåglar/A 17333-2021 prioriterade fågelarter.docx", "A 17333-2021")</f>
        <v/>
      </c>
    </row>
    <row r="203" ht="15" customHeight="1">
      <c r="A203" t="inlineStr">
        <is>
          <t>A 58723-2024</t>
        </is>
      </c>
      <c r="B203" s="1" t="n">
        <v>45635.66302083333</v>
      </c>
      <c r="C203" s="1" t="n">
        <v>45961</v>
      </c>
      <c r="D203" t="inlineStr">
        <is>
          <t>VÄSTERNORRLANDS LÄN</t>
        </is>
      </c>
      <c r="E203" t="inlineStr">
        <is>
          <t>SUNDSVALL</t>
        </is>
      </c>
      <c r="G203" t="n">
        <v>2.2</v>
      </c>
      <c r="H203" t="n">
        <v>1</v>
      </c>
      <c r="I203" t="n">
        <v>0</v>
      </c>
      <c r="J203" t="n">
        <v>1</v>
      </c>
      <c r="K203" t="n">
        <v>0</v>
      </c>
      <c r="L203" t="n">
        <v>0</v>
      </c>
      <c r="M203" t="n">
        <v>0</v>
      </c>
      <c r="N203" t="n">
        <v>0</v>
      </c>
      <c r="O203" t="n">
        <v>1</v>
      </c>
      <c r="P203" t="n">
        <v>0</v>
      </c>
      <c r="Q203" t="n">
        <v>1</v>
      </c>
      <c r="R203" s="2" t="inlineStr">
        <is>
          <t>Talltita</t>
        </is>
      </c>
      <c r="S203">
        <f>HYPERLINK("https://klasma.github.io/Logging_2281/artfynd/A 58723-2024 artfynd.xlsx", "A 58723-2024")</f>
        <v/>
      </c>
      <c r="T203">
        <f>HYPERLINK("https://klasma.github.io/Logging_2281/kartor/A 58723-2024 karta.png", "A 58723-2024")</f>
        <v/>
      </c>
      <c r="V203">
        <f>HYPERLINK("https://klasma.github.io/Logging_2281/klagomål/A 58723-2024 FSC-klagomål.docx", "A 58723-2024")</f>
        <v/>
      </c>
      <c r="W203">
        <f>HYPERLINK("https://klasma.github.io/Logging_2281/klagomålsmail/A 58723-2024 FSC-klagomål mail.docx", "A 58723-2024")</f>
        <v/>
      </c>
      <c r="X203">
        <f>HYPERLINK("https://klasma.github.io/Logging_2281/tillsyn/A 58723-2024 tillsynsbegäran.docx", "A 58723-2024")</f>
        <v/>
      </c>
      <c r="Y203">
        <f>HYPERLINK("https://klasma.github.io/Logging_2281/tillsynsmail/A 58723-2024 tillsynsbegäran mail.docx", "A 58723-2024")</f>
        <v/>
      </c>
      <c r="Z203">
        <f>HYPERLINK("https://klasma.github.io/Logging_2281/fåglar/A 58723-2024 prioriterade fågelarter.docx", "A 58723-2024")</f>
        <v/>
      </c>
    </row>
    <row r="204" ht="15" customHeight="1">
      <c r="A204" t="inlineStr">
        <is>
          <t>A 51434-2024</t>
        </is>
      </c>
      <c r="B204" s="1" t="n">
        <v>45604.47024305556</v>
      </c>
      <c r="C204" s="1" t="n">
        <v>45961</v>
      </c>
      <c r="D204" t="inlineStr">
        <is>
          <t>VÄSTERNORRLANDS LÄN</t>
        </is>
      </c>
      <c r="E204" t="inlineStr">
        <is>
          <t>SUNDSVALL</t>
        </is>
      </c>
      <c r="G204" t="n">
        <v>5.4</v>
      </c>
      <c r="H204" t="n">
        <v>1</v>
      </c>
      <c r="I204" t="n">
        <v>0</v>
      </c>
      <c r="J204" t="n">
        <v>0</v>
      </c>
      <c r="K204" t="n">
        <v>0</v>
      </c>
      <c r="L204" t="n">
        <v>0</v>
      </c>
      <c r="M204" t="n">
        <v>0</v>
      </c>
      <c r="N204" t="n">
        <v>0</v>
      </c>
      <c r="O204" t="n">
        <v>0</v>
      </c>
      <c r="P204" t="n">
        <v>0</v>
      </c>
      <c r="Q204" t="n">
        <v>1</v>
      </c>
      <c r="R204" s="2" t="inlineStr">
        <is>
          <t>Fläcknycklar</t>
        </is>
      </c>
      <c r="S204">
        <f>HYPERLINK("https://klasma.github.io/Logging_2281/artfynd/A 51434-2024 artfynd.xlsx", "A 51434-2024")</f>
        <v/>
      </c>
      <c r="T204">
        <f>HYPERLINK("https://klasma.github.io/Logging_2281/kartor/A 51434-2024 karta.png", "A 51434-2024")</f>
        <v/>
      </c>
      <c r="V204">
        <f>HYPERLINK("https://klasma.github.io/Logging_2281/klagomål/A 51434-2024 FSC-klagomål.docx", "A 51434-2024")</f>
        <v/>
      </c>
      <c r="W204">
        <f>HYPERLINK("https://klasma.github.io/Logging_2281/klagomålsmail/A 51434-2024 FSC-klagomål mail.docx", "A 51434-2024")</f>
        <v/>
      </c>
      <c r="X204">
        <f>HYPERLINK("https://klasma.github.io/Logging_2281/tillsyn/A 51434-2024 tillsynsbegäran.docx", "A 51434-2024")</f>
        <v/>
      </c>
      <c r="Y204">
        <f>HYPERLINK("https://klasma.github.io/Logging_2281/tillsynsmail/A 51434-2024 tillsynsbegäran mail.docx", "A 51434-2024")</f>
        <v/>
      </c>
    </row>
    <row r="205" ht="15" customHeight="1">
      <c r="A205" t="inlineStr">
        <is>
          <t>A 27320-2024</t>
        </is>
      </c>
      <c r="B205" s="1" t="n">
        <v>45471</v>
      </c>
      <c r="C205" s="1" t="n">
        <v>45961</v>
      </c>
      <c r="D205" t="inlineStr">
        <is>
          <t>VÄSTERNORRLANDS LÄN</t>
        </is>
      </c>
      <c r="E205" t="inlineStr">
        <is>
          <t>SUNDSVALL</t>
        </is>
      </c>
      <c r="F205" t="inlineStr">
        <is>
          <t>SCA</t>
        </is>
      </c>
      <c r="G205" t="n">
        <v>4</v>
      </c>
      <c r="H205" t="n">
        <v>0</v>
      </c>
      <c r="I205" t="n">
        <v>0</v>
      </c>
      <c r="J205" t="n">
        <v>1</v>
      </c>
      <c r="K205" t="n">
        <v>0</v>
      </c>
      <c r="L205" t="n">
        <v>0</v>
      </c>
      <c r="M205" t="n">
        <v>0</v>
      </c>
      <c r="N205" t="n">
        <v>0</v>
      </c>
      <c r="O205" t="n">
        <v>1</v>
      </c>
      <c r="P205" t="n">
        <v>0</v>
      </c>
      <c r="Q205" t="n">
        <v>1</v>
      </c>
      <c r="R205" s="2" t="inlineStr">
        <is>
          <t>Småflikig brosklav</t>
        </is>
      </c>
      <c r="S205">
        <f>HYPERLINK("https://klasma.github.io/Logging_2281/artfynd/A 27320-2024 artfynd.xlsx", "A 27320-2024")</f>
        <v/>
      </c>
      <c r="T205">
        <f>HYPERLINK("https://klasma.github.io/Logging_2281/kartor/A 27320-2024 karta.png", "A 27320-2024")</f>
        <v/>
      </c>
      <c r="V205">
        <f>HYPERLINK("https://klasma.github.io/Logging_2281/klagomål/A 27320-2024 FSC-klagomål.docx", "A 27320-2024")</f>
        <v/>
      </c>
      <c r="W205">
        <f>HYPERLINK("https://klasma.github.io/Logging_2281/klagomålsmail/A 27320-2024 FSC-klagomål mail.docx", "A 27320-2024")</f>
        <v/>
      </c>
      <c r="X205">
        <f>HYPERLINK("https://klasma.github.io/Logging_2281/tillsyn/A 27320-2024 tillsynsbegäran.docx", "A 27320-2024")</f>
        <v/>
      </c>
      <c r="Y205">
        <f>HYPERLINK("https://klasma.github.io/Logging_2281/tillsynsmail/A 27320-2024 tillsynsbegäran mail.docx", "A 27320-2024")</f>
        <v/>
      </c>
    </row>
    <row r="206" ht="15" customHeight="1">
      <c r="A206" t="inlineStr">
        <is>
          <t>A 25117-2025</t>
        </is>
      </c>
      <c r="B206" s="1" t="n">
        <v>45800.365</v>
      </c>
      <c r="C206" s="1" t="n">
        <v>45961</v>
      </c>
      <c r="D206" t="inlineStr">
        <is>
          <t>VÄSTERNORRLANDS LÄN</t>
        </is>
      </c>
      <c r="E206" t="inlineStr">
        <is>
          <t>SUNDSVALL</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HYPERLINK("https://klasma.github.io/Logging_2281/artfynd/A 25117-2025 artfynd.xlsx", "A 25117-2025")</f>
        <v/>
      </c>
      <c r="T206">
        <f>HYPERLINK("https://klasma.github.io/Logging_2281/kartor/A 25117-2025 karta.png", "A 25117-2025")</f>
        <v/>
      </c>
      <c r="V206">
        <f>HYPERLINK("https://klasma.github.io/Logging_2281/klagomål/A 25117-2025 FSC-klagomål.docx", "A 25117-2025")</f>
        <v/>
      </c>
      <c r="W206">
        <f>HYPERLINK("https://klasma.github.io/Logging_2281/klagomålsmail/A 25117-2025 FSC-klagomål mail.docx", "A 25117-2025")</f>
        <v/>
      </c>
      <c r="X206">
        <f>HYPERLINK("https://klasma.github.io/Logging_2281/tillsyn/A 25117-2025 tillsynsbegäran.docx", "A 25117-2025")</f>
        <v/>
      </c>
      <c r="Y206">
        <f>HYPERLINK("https://klasma.github.io/Logging_2281/tillsynsmail/A 25117-2025 tillsynsbegäran mail.docx", "A 25117-2025")</f>
        <v/>
      </c>
    </row>
    <row r="207" ht="15" customHeight="1">
      <c r="A207" t="inlineStr">
        <is>
          <t>A 19826-2025</t>
        </is>
      </c>
      <c r="B207" s="1" t="n">
        <v>45771.4690625</v>
      </c>
      <c r="C207" s="1" t="n">
        <v>45961</v>
      </c>
      <c r="D207" t="inlineStr">
        <is>
          <t>VÄSTERNORRLANDS LÄN</t>
        </is>
      </c>
      <c r="E207" t="inlineStr">
        <is>
          <t>SUNDSVALL</t>
        </is>
      </c>
      <c r="F207" t="inlineStr">
        <is>
          <t>Naturvårdsverket</t>
        </is>
      </c>
      <c r="G207" t="n">
        <v>1.5</v>
      </c>
      <c r="H207" t="n">
        <v>0</v>
      </c>
      <c r="I207" t="n">
        <v>0</v>
      </c>
      <c r="J207" t="n">
        <v>1</v>
      </c>
      <c r="K207" t="n">
        <v>0</v>
      </c>
      <c r="L207" t="n">
        <v>0</v>
      </c>
      <c r="M207" t="n">
        <v>0</v>
      </c>
      <c r="N207" t="n">
        <v>0</v>
      </c>
      <c r="O207" t="n">
        <v>1</v>
      </c>
      <c r="P207" t="n">
        <v>0</v>
      </c>
      <c r="Q207" t="n">
        <v>1</v>
      </c>
      <c r="R207" s="2" t="inlineStr">
        <is>
          <t>Lunglav</t>
        </is>
      </c>
      <c r="S207">
        <f>HYPERLINK("https://klasma.github.io/Logging_2281/artfynd/A 19826-2025 artfynd.xlsx", "A 19826-2025")</f>
        <v/>
      </c>
      <c r="T207">
        <f>HYPERLINK("https://klasma.github.io/Logging_2281/kartor/A 19826-2025 karta.png", "A 19826-2025")</f>
        <v/>
      </c>
      <c r="V207">
        <f>HYPERLINK("https://klasma.github.io/Logging_2281/klagomål/A 19826-2025 FSC-klagomål.docx", "A 19826-2025")</f>
        <v/>
      </c>
      <c r="W207">
        <f>HYPERLINK("https://klasma.github.io/Logging_2281/klagomålsmail/A 19826-2025 FSC-klagomål mail.docx", "A 19826-2025")</f>
        <v/>
      </c>
      <c r="X207">
        <f>HYPERLINK("https://klasma.github.io/Logging_2281/tillsyn/A 19826-2025 tillsynsbegäran.docx", "A 19826-2025")</f>
        <v/>
      </c>
      <c r="Y207">
        <f>HYPERLINK("https://klasma.github.io/Logging_2281/tillsynsmail/A 19826-2025 tillsynsbegäran mail.docx", "A 19826-2025")</f>
        <v/>
      </c>
    </row>
    <row r="208" ht="15" customHeight="1">
      <c r="A208" t="inlineStr">
        <is>
          <t>A 1058-2024</t>
        </is>
      </c>
      <c r="B208" s="1" t="n">
        <v>45301</v>
      </c>
      <c r="C208" s="1" t="n">
        <v>45961</v>
      </c>
      <c r="D208" t="inlineStr">
        <is>
          <t>VÄSTERNORRLANDS LÄN</t>
        </is>
      </c>
      <c r="E208" t="inlineStr">
        <is>
          <t>SUNDSVALL</t>
        </is>
      </c>
      <c r="F208" t="inlineStr">
        <is>
          <t>SCA</t>
        </is>
      </c>
      <c r="G208" t="n">
        <v>8</v>
      </c>
      <c r="H208" t="n">
        <v>0</v>
      </c>
      <c r="I208" t="n">
        <v>0</v>
      </c>
      <c r="J208" t="n">
        <v>1</v>
      </c>
      <c r="K208" t="n">
        <v>0</v>
      </c>
      <c r="L208" t="n">
        <v>0</v>
      </c>
      <c r="M208" t="n">
        <v>0</v>
      </c>
      <c r="N208" t="n">
        <v>0</v>
      </c>
      <c r="O208" t="n">
        <v>1</v>
      </c>
      <c r="P208" t="n">
        <v>0</v>
      </c>
      <c r="Q208" t="n">
        <v>1</v>
      </c>
      <c r="R208" s="2" t="inlineStr">
        <is>
          <t>Garnlav</t>
        </is>
      </c>
      <c r="S208">
        <f>HYPERLINK("https://klasma.github.io/Logging_2281/artfynd/A 1058-2024 artfynd.xlsx", "A 1058-2024")</f>
        <v/>
      </c>
      <c r="T208">
        <f>HYPERLINK("https://klasma.github.io/Logging_2281/kartor/A 1058-2024 karta.png", "A 1058-2024")</f>
        <v/>
      </c>
      <c r="V208">
        <f>HYPERLINK("https://klasma.github.io/Logging_2281/klagomål/A 1058-2024 FSC-klagomål.docx", "A 1058-2024")</f>
        <v/>
      </c>
      <c r="W208">
        <f>HYPERLINK("https://klasma.github.io/Logging_2281/klagomålsmail/A 1058-2024 FSC-klagomål mail.docx", "A 1058-2024")</f>
        <v/>
      </c>
      <c r="X208">
        <f>HYPERLINK("https://klasma.github.io/Logging_2281/tillsyn/A 1058-2024 tillsynsbegäran.docx", "A 1058-2024")</f>
        <v/>
      </c>
      <c r="Y208">
        <f>HYPERLINK("https://klasma.github.io/Logging_2281/tillsynsmail/A 1058-2024 tillsynsbegäran mail.docx", "A 1058-2024")</f>
        <v/>
      </c>
    </row>
    <row r="209" ht="15" customHeight="1">
      <c r="A209" t="inlineStr">
        <is>
          <t>A 28332-2021</t>
        </is>
      </c>
      <c r="B209" s="1" t="n">
        <v>44356.36717592592</v>
      </c>
      <c r="C209" s="1" t="n">
        <v>45961</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12058-2023</t>
        </is>
      </c>
      <c r="B210" s="1" t="n">
        <v>44995</v>
      </c>
      <c r="C210" s="1" t="n">
        <v>45961</v>
      </c>
      <c r="D210" t="inlineStr">
        <is>
          <t>VÄSTERNORRLANDS LÄN</t>
        </is>
      </c>
      <c r="E210" t="inlineStr">
        <is>
          <t>SUNDSVALL</t>
        </is>
      </c>
      <c r="F210" t="inlineStr">
        <is>
          <t>SCA</t>
        </is>
      </c>
      <c r="G210" t="n">
        <v>4</v>
      </c>
      <c r="H210" t="n">
        <v>1</v>
      </c>
      <c r="I210" t="n">
        <v>0</v>
      </c>
      <c r="J210" t="n">
        <v>1</v>
      </c>
      <c r="K210" t="n">
        <v>0</v>
      </c>
      <c r="L210" t="n">
        <v>0</v>
      </c>
      <c r="M210" t="n">
        <v>0</v>
      </c>
      <c r="N210" t="n">
        <v>0</v>
      </c>
      <c r="O210" t="n">
        <v>1</v>
      </c>
      <c r="P210" t="n">
        <v>0</v>
      </c>
      <c r="Q210" t="n">
        <v>1</v>
      </c>
      <c r="R210" s="2" t="inlineStr">
        <is>
          <t>Fiskmås</t>
        </is>
      </c>
      <c r="S210">
        <f>HYPERLINK("https://klasma.github.io/Logging_2281/artfynd/A 12058-2023 artfynd.xlsx", "A 12058-2023")</f>
        <v/>
      </c>
      <c r="T210">
        <f>HYPERLINK("https://klasma.github.io/Logging_2281/kartor/A 12058-2023 karta.png", "A 12058-2023")</f>
        <v/>
      </c>
      <c r="V210">
        <f>HYPERLINK("https://klasma.github.io/Logging_2281/klagomål/A 12058-2023 FSC-klagomål.docx", "A 12058-2023")</f>
        <v/>
      </c>
      <c r="W210">
        <f>HYPERLINK("https://klasma.github.io/Logging_2281/klagomålsmail/A 12058-2023 FSC-klagomål mail.docx", "A 12058-2023")</f>
        <v/>
      </c>
      <c r="X210">
        <f>HYPERLINK("https://klasma.github.io/Logging_2281/tillsyn/A 12058-2023 tillsynsbegäran.docx", "A 12058-2023")</f>
        <v/>
      </c>
      <c r="Y210">
        <f>HYPERLINK("https://klasma.github.io/Logging_2281/tillsynsmail/A 12058-2023 tillsynsbegäran mail.docx", "A 12058-2023")</f>
        <v/>
      </c>
    </row>
    <row r="211" ht="15" customHeight="1">
      <c r="A211" t="inlineStr">
        <is>
          <t>A 58470-2023</t>
        </is>
      </c>
      <c r="B211" s="1" t="n">
        <v>45250</v>
      </c>
      <c r="C211" s="1" t="n">
        <v>45961</v>
      </c>
      <c r="D211" t="inlineStr">
        <is>
          <t>VÄSTERNORRLANDS LÄN</t>
        </is>
      </c>
      <c r="E211" t="inlineStr">
        <is>
          <t>SUNDSVALL</t>
        </is>
      </c>
      <c r="F211" t="inlineStr">
        <is>
          <t>SCA</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HYPERLINK("https://klasma.github.io/Logging_2281/artfynd/A 58470-2023 artfynd.xlsx", "A 58470-2023")</f>
        <v/>
      </c>
      <c r="T211">
        <f>HYPERLINK("https://klasma.github.io/Logging_2281/kartor/A 58470-2023 karta.png", "A 58470-2023")</f>
        <v/>
      </c>
      <c r="V211">
        <f>HYPERLINK("https://klasma.github.io/Logging_2281/klagomål/A 58470-2023 FSC-klagomål.docx", "A 58470-2023")</f>
        <v/>
      </c>
      <c r="W211">
        <f>HYPERLINK("https://klasma.github.io/Logging_2281/klagomålsmail/A 58470-2023 FSC-klagomål mail.docx", "A 58470-2023")</f>
        <v/>
      </c>
      <c r="X211">
        <f>HYPERLINK("https://klasma.github.io/Logging_2281/tillsyn/A 58470-2023 tillsynsbegäran.docx", "A 58470-2023")</f>
        <v/>
      </c>
      <c r="Y211">
        <f>HYPERLINK("https://klasma.github.io/Logging_2281/tillsynsmail/A 58470-2023 tillsynsbegäran mail.docx", "A 58470-2023")</f>
        <v/>
      </c>
    </row>
    <row r="212" ht="15" customHeight="1">
      <c r="A212" t="inlineStr">
        <is>
          <t>A 37057-2021</t>
        </is>
      </c>
      <c r="B212" s="1" t="n">
        <v>44393.93881944445</v>
      </c>
      <c r="C212" s="1" t="n">
        <v>45961</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15775-2021</t>
        </is>
      </c>
      <c r="B213" s="1" t="n">
        <v>44286</v>
      </c>
      <c r="C213" s="1" t="n">
        <v>45961</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24431-2025</t>
        </is>
      </c>
      <c r="B214" s="1" t="n">
        <v>45797</v>
      </c>
      <c r="C214" s="1" t="n">
        <v>45961</v>
      </c>
      <c r="D214" t="inlineStr">
        <is>
          <t>VÄSTERNORRLANDS LÄN</t>
        </is>
      </c>
      <c r="E214" t="inlineStr">
        <is>
          <t>SUNDSVALL</t>
        </is>
      </c>
      <c r="F214" t="inlineStr">
        <is>
          <t>SCA</t>
        </is>
      </c>
      <c r="G214" t="n">
        <v>2.3</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24431-2025 artfynd.xlsx", "A 24431-2025")</f>
        <v/>
      </c>
      <c r="T214">
        <f>HYPERLINK("https://klasma.github.io/Logging_2281/kartor/A 24431-2025 karta.png", "A 24431-2025")</f>
        <v/>
      </c>
      <c r="V214">
        <f>HYPERLINK("https://klasma.github.io/Logging_2281/klagomål/A 24431-2025 FSC-klagomål.docx", "A 24431-2025")</f>
        <v/>
      </c>
      <c r="W214">
        <f>HYPERLINK("https://klasma.github.io/Logging_2281/klagomålsmail/A 24431-2025 FSC-klagomål mail.docx", "A 24431-2025")</f>
        <v/>
      </c>
      <c r="X214">
        <f>HYPERLINK("https://klasma.github.io/Logging_2281/tillsyn/A 24431-2025 tillsynsbegäran.docx", "A 24431-2025")</f>
        <v/>
      </c>
      <c r="Y214">
        <f>HYPERLINK("https://klasma.github.io/Logging_2281/tillsynsmail/A 24431-2025 tillsynsbegäran mail.docx", "A 24431-2025")</f>
        <v/>
      </c>
      <c r="Z214">
        <f>HYPERLINK("https://klasma.github.io/Logging_2281/fåglar/A 24431-2025 prioriterade fågelarter.docx", "A 24431-2025")</f>
        <v/>
      </c>
    </row>
    <row r="215" ht="15" customHeight="1">
      <c r="A215" t="inlineStr">
        <is>
          <t>A 27211-2025</t>
        </is>
      </c>
      <c r="B215" s="1" t="n">
        <v>45812.4068287037</v>
      </c>
      <c r="C215" s="1" t="n">
        <v>45961</v>
      </c>
      <c r="D215" t="inlineStr">
        <is>
          <t>VÄSTERNORRLANDS LÄN</t>
        </is>
      </c>
      <c r="E215" t="inlineStr">
        <is>
          <t>SUNDSVALL</t>
        </is>
      </c>
      <c r="F215" t="inlineStr">
        <is>
          <t>SCA</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HYPERLINK("https://klasma.github.io/Logging_2281/artfynd/A 27211-2025 artfynd.xlsx", "A 27211-2025")</f>
        <v/>
      </c>
      <c r="T215">
        <f>HYPERLINK("https://klasma.github.io/Logging_2281/kartor/A 27211-2025 karta.png", "A 27211-2025")</f>
        <v/>
      </c>
      <c r="V215">
        <f>HYPERLINK("https://klasma.github.io/Logging_2281/klagomål/A 27211-2025 FSC-klagomål.docx", "A 27211-2025")</f>
        <v/>
      </c>
      <c r="W215">
        <f>HYPERLINK("https://klasma.github.io/Logging_2281/klagomålsmail/A 27211-2025 FSC-klagomål mail.docx", "A 27211-2025")</f>
        <v/>
      </c>
      <c r="X215">
        <f>HYPERLINK("https://klasma.github.io/Logging_2281/tillsyn/A 27211-2025 tillsynsbegäran.docx", "A 27211-2025")</f>
        <v/>
      </c>
      <c r="Y215">
        <f>HYPERLINK("https://klasma.github.io/Logging_2281/tillsynsmail/A 27211-2025 tillsynsbegäran mail.docx", "A 27211-2025")</f>
        <v/>
      </c>
    </row>
    <row r="216" ht="15" customHeight="1">
      <c r="A216" t="inlineStr">
        <is>
          <t>A 37232-2021</t>
        </is>
      </c>
      <c r="B216" s="1" t="n">
        <v>44396</v>
      </c>
      <c r="C216" s="1" t="n">
        <v>45961</v>
      </c>
      <c r="D216" t="inlineStr">
        <is>
          <t>VÄSTERNORRLANDS LÄN</t>
        </is>
      </c>
      <c r="E216" t="inlineStr">
        <is>
          <t>SUNDSVALL</t>
        </is>
      </c>
      <c r="F216" t="inlineStr">
        <is>
          <t>SCA</t>
        </is>
      </c>
      <c r="G216" t="n">
        <v>1.6</v>
      </c>
      <c r="H216" t="n">
        <v>0</v>
      </c>
      <c r="I216" t="n">
        <v>0</v>
      </c>
      <c r="J216" t="n">
        <v>1</v>
      </c>
      <c r="K216" t="n">
        <v>0</v>
      </c>
      <c r="L216" t="n">
        <v>0</v>
      </c>
      <c r="M216" t="n">
        <v>0</v>
      </c>
      <c r="N216" t="n">
        <v>0</v>
      </c>
      <c r="O216" t="n">
        <v>1</v>
      </c>
      <c r="P216" t="n">
        <v>0</v>
      </c>
      <c r="Q216" t="n">
        <v>1</v>
      </c>
      <c r="R216" s="2" t="inlineStr">
        <is>
          <t>Rosenticka</t>
        </is>
      </c>
      <c r="S216">
        <f>HYPERLINK("https://klasma.github.io/Logging_2281/artfynd/A 37232-2021 artfynd.xlsx", "A 37232-2021")</f>
        <v/>
      </c>
      <c r="T216">
        <f>HYPERLINK("https://klasma.github.io/Logging_2281/kartor/A 37232-2021 karta.png", "A 37232-2021")</f>
        <v/>
      </c>
      <c r="V216">
        <f>HYPERLINK("https://klasma.github.io/Logging_2281/klagomål/A 37232-2021 FSC-klagomål.docx", "A 37232-2021")</f>
        <v/>
      </c>
      <c r="W216">
        <f>HYPERLINK("https://klasma.github.io/Logging_2281/klagomålsmail/A 37232-2021 FSC-klagomål mail.docx", "A 37232-2021")</f>
        <v/>
      </c>
      <c r="X216">
        <f>HYPERLINK("https://klasma.github.io/Logging_2281/tillsyn/A 37232-2021 tillsynsbegäran.docx", "A 37232-2021")</f>
        <v/>
      </c>
      <c r="Y216">
        <f>HYPERLINK("https://klasma.github.io/Logging_2281/tillsynsmail/A 37232-2021 tillsynsbegäran mail.docx", "A 37232-2021")</f>
        <v/>
      </c>
    </row>
    <row r="217" ht="15" customHeight="1">
      <c r="A217" t="inlineStr">
        <is>
          <t>A 28452-2025</t>
        </is>
      </c>
      <c r="B217" s="1" t="n">
        <v>45819.40657407408</v>
      </c>
      <c r="C217" s="1" t="n">
        <v>45961</v>
      </c>
      <c r="D217" t="inlineStr">
        <is>
          <t>VÄSTERNORRLANDS LÄN</t>
        </is>
      </c>
      <c r="E217" t="inlineStr">
        <is>
          <t>SUNDSVALL</t>
        </is>
      </c>
      <c r="F217" t="inlineStr">
        <is>
          <t>Naturvårdsverket</t>
        </is>
      </c>
      <c r="G217" t="n">
        <v>11</v>
      </c>
      <c r="H217" t="n">
        <v>0</v>
      </c>
      <c r="I217" t="n">
        <v>0</v>
      </c>
      <c r="J217" t="n">
        <v>1</v>
      </c>
      <c r="K217" t="n">
        <v>0</v>
      </c>
      <c r="L217" t="n">
        <v>0</v>
      </c>
      <c r="M217" t="n">
        <v>0</v>
      </c>
      <c r="N217" t="n">
        <v>0</v>
      </c>
      <c r="O217" t="n">
        <v>1</v>
      </c>
      <c r="P217" t="n">
        <v>0</v>
      </c>
      <c r="Q217" t="n">
        <v>1</v>
      </c>
      <c r="R217" s="2" t="inlineStr">
        <is>
          <t>Lunglav</t>
        </is>
      </c>
      <c r="S217">
        <f>HYPERLINK("https://klasma.github.io/Logging_2281/artfynd/A 28452-2025 artfynd.xlsx", "A 28452-2025")</f>
        <v/>
      </c>
      <c r="T217">
        <f>HYPERLINK("https://klasma.github.io/Logging_2281/kartor/A 28452-2025 karta.png", "A 28452-2025")</f>
        <v/>
      </c>
      <c r="V217">
        <f>HYPERLINK("https://klasma.github.io/Logging_2281/klagomål/A 28452-2025 FSC-klagomål.docx", "A 28452-2025")</f>
        <v/>
      </c>
      <c r="W217">
        <f>HYPERLINK("https://klasma.github.io/Logging_2281/klagomålsmail/A 28452-2025 FSC-klagomål mail.docx", "A 28452-2025")</f>
        <v/>
      </c>
      <c r="X217">
        <f>HYPERLINK("https://klasma.github.io/Logging_2281/tillsyn/A 28452-2025 tillsynsbegäran.docx", "A 28452-2025")</f>
        <v/>
      </c>
      <c r="Y217">
        <f>HYPERLINK("https://klasma.github.io/Logging_2281/tillsynsmail/A 28452-2025 tillsynsbegäran mail.docx", "A 28452-2025")</f>
        <v/>
      </c>
    </row>
    <row r="218" ht="15" customHeight="1">
      <c r="A218" t="inlineStr">
        <is>
          <t>A 21765-2025</t>
        </is>
      </c>
      <c r="B218" s="1" t="n">
        <v>45783.64675925926</v>
      </c>
      <c r="C218" s="1" t="n">
        <v>45961</v>
      </c>
      <c r="D218" t="inlineStr">
        <is>
          <t>VÄSTERNORRLANDS LÄN</t>
        </is>
      </c>
      <c r="E218" t="inlineStr">
        <is>
          <t>SUNDSVALL</t>
        </is>
      </c>
      <c r="G218" t="n">
        <v>8</v>
      </c>
      <c r="H218" t="n">
        <v>1</v>
      </c>
      <c r="I218" t="n">
        <v>0</v>
      </c>
      <c r="J218" t="n">
        <v>0</v>
      </c>
      <c r="K218" t="n">
        <v>0</v>
      </c>
      <c r="L218" t="n">
        <v>0</v>
      </c>
      <c r="M218" t="n">
        <v>0</v>
      </c>
      <c r="N218" t="n">
        <v>0</v>
      </c>
      <c r="O218" t="n">
        <v>0</v>
      </c>
      <c r="P218" t="n">
        <v>0</v>
      </c>
      <c r="Q218" t="n">
        <v>1</v>
      </c>
      <c r="R218" s="2" t="inlineStr">
        <is>
          <t>Orre</t>
        </is>
      </c>
      <c r="S218">
        <f>HYPERLINK("https://klasma.github.io/Logging_2281/artfynd/A 21765-2025 artfynd.xlsx", "A 21765-2025")</f>
        <v/>
      </c>
      <c r="T218">
        <f>HYPERLINK("https://klasma.github.io/Logging_2281/kartor/A 21765-2025 karta.png", "A 21765-2025")</f>
        <v/>
      </c>
      <c r="V218">
        <f>HYPERLINK("https://klasma.github.io/Logging_2281/klagomål/A 21765-2025 FSC-klagomål.docx", "A 21765-2025")</f>
        <v/>
      </c>
      <c r="W218">
        <f>HYPERLINK("https://klasma.github.io/Logging_2281/klagomålsmail/A 21765-2025 FSC-klagomål mail.docx", "A 21765-2025")</f>
        <v/>
      </c>
      <c r="X218">
        <f>HYPERLINK("https://klasma.github.io/Logging_2281/tillsyn/A 21765-2025 tillsynsbegäran.docx", "A 21765-2025")</f>
        <v/>
      </c>
      <c r="Y218">
        <f>HYPERLINK("https://klasma.github.io/Logging_2281/tillsynsmail/A 21765-2025 tillsynsbegäran mail.docx", "A 21765-2025")</f>
        <v/>
      </c>
      <c r="Z218">
        <f>HYPERLINK("https://klasma.github.io/Logging_2281/fåglar/A 21765-2025 prioriterade fågelarter.docx", "A 21765-2025")</f>
        <v/>
      </c>
    </row>
    <row r="219" ht="15" customHeight="1">
      <c r="A219" t="inlineStr">
        <is>
          <t>A 44193-2023</t>
        </is>
      </c>
      <c r="B219" s="1" t="n">
        <v>45188</v>
      </c>
      <c r="C219" s="1" t="n">
        <v>45961</v>
      </c>
      <c r="D219" t="inlineStr">
        <is>
          <t>VÄSTERNORRLANDS LÄN</t>
        </is>
      </c>
      <c r="E219" t="inlineStr">
        <is>
          <t>SUNDSVALL</t>
        </is>
      </c>
      <c r="F219" t="inlineStr">
        <is>
          <t>Holmen skog AB</t>
        </is>
      </c>
      <c r="G219" t="n">
        <v>15.1</v>
      </c>
      <c r="H219" t="n">
        <v>1</v>
      </c>
      <c r="I219" t="n">
        <v>0</v>
      </c>
      <c r="J219" t="n">
        <v>0</v>
      </c>
      <c r="K219" t="n">
        <v>0</v>
      </c>
      <c r="L219" t="n">
        <v>0</v>
      </c>
      <c r="M219" t="n">
        <v>0</v>
      </c>
      <c r="N219" t="n">
        <v>0</v>
      </c>
      <c r="O219" t="n">
        <v>0</v>
      </c>
      <c r="P219" t="n">
        <v>0</v>
      </c>
      <c r="Q219" t="n">
        <v>1</v>
      </c>
      <c r="R219" s="2" t="inlineStr">
        <is>
          <t>Tjäder</t>
        </is>
      </c>
      <c r="S219">
        <f>HYPERLINK("https://klasma.github.io/Logging_2281/artfynd/A 44193-2023 artfynd.xlsx", "A 44193-2023")</f>
        <v/>
      </c>
      <c r="T219">
        <f>HYPERLINK("https://klasma.github.io/Logging_2281/kartor/A 44193-2023 karta.png", "A 44193-2023")</f>
        <v/>
      </c>
      <c r="V219">
        <f>HYPERLINK("https://klasma.github.io/Logging_2281/klagomål/A 44193-2023 FSC-klagomål.docx", "A 44193-2023")</f>
        <v/>
      </c>
      <c r="W219">
        <f>HYPERLINK("https://klasma.github.io/Logging_2281/klagomålsmail/A 44193-2023 FSC-klagomål mail.docx", "A 44193-2023")</f>
        <v/>
      </c>
      <c r="X219">
        <f>HYPERLINK("https://klasma.github.io/Logging_2281/tillsyn/A 44193-2023 tillsynsbegäran.docx", "A 44193-2023")</f>
        <v/>
      </c>
      <c r="Y219">
        <f>HYPERLINK("https://klasma.github.io/Logging_2281/tillsynsmail/A 44193-2023 tillsynsbegäran mail.docx", "A 44193-2023")</f>
        <v/>
      </c>
      <c r="Z219">
        <f>HYPERLINK("https://klasma.github.io/Logging_2281/fåglar/A 44193-2023 prioriterade fågelarter.docx", "A 44193-2023")</f>
        <v/>
      </c>
    </row>
    <row r="220" ht="15" customHeight="1">
      <c r="A220" t="inlineStr">
        <is>
          <t>A 40123-2021</t>
        </is>
      </c>
      <c r="B220" s="1" t="n">
        <v>44418</v>
      </c>
      <c r="C220" s="1" t="n">
        <v>45961</v>
      </c>
      <c r="D220" t="inlineStr">
        <is>
          <t>VÄSTERNORRLANDS LÄN</t>
        </is>
      </c>
      <c r="E220" t="inlineStr">
        <is>
          <t>SUNDSVALL</t>
        </is>
      </c>
      <c r="G220" t="n">
        <v>12.2</v>
      </c>
      <c r="H220" t="n">
        <v>1</v>
      </c>
      <c r="I220" t="n">
        <v>0</v>
      </c>
      <c r="J220" t="n">
        <v>1</v>
      </c>
      <c r="K220" t="n">
        <v>0</v>
      </c>
      <c r="L220" t="n">
        <v>0</v>
      </c>
      <c r="M220" t="n">
        <v>0</v>
      </c>
      <c r="N220" t="n">
        <v>0</v>
      </c>
      <c r="O220" t="n">
        <v>1</v>
      </c>
      <c r="P220" t="n">
        <v>0</v>
      </c>
      <c r="Q220" t="n">
        <v>1</v>
      </c>
      <c r="R220" s="2" t="inlineStr">
        <is>
          <t>Skogsfru</t>
        </is>
      </c>
      <c r="S220">
        <f>HYPERLINK("https://klasma.github.io/Logging_2281/artfynd/A 40123-2021 artfynd.xlsx", "A 40123-2021")</f>
        <v/>
      </c>
      <c r="T220">
        <f>HYPERLINK("https://klasma.github.io/Logging_2281/kartor/A 40123-2021 karta.png", "A 40123-2021")</f>
        <v/>
      </c>
      <c r="V220">
        <f>HYPERLINK("https://klasma.github.io/Logging_2281/klagomål/A 40123-2021 FSC-klagomål.docx", "A 40123-2021")</f>
        <v/>
      </c>
      <c r="W220">
        <f>HYPERLINK("https://klasma.github.io/Logging_2281/klagomålsmail/A 40123-2021 FSC-klagomål mail.docx", "A 40123-2021")</f>
        <v/>
      </c>
      <c r="X220">
        <f>HYPERLINK("https://klasma.github.io/Logging_2281/tillsyn/A 40123-2021 tillsynsbegäran.docx", "A 40123-2021")</f>
        <v/>
      </c>
      <c r="Y220">
        <f>HYPERLINK("https://klasma.github.io/Logging_2281/tillsynsmail/A 40123-2021 tillsynsbegäran mail.docx", "A 40123-2021")</f>
        <v/>
      </c>
    </row>
    <row r="221" ht="15" customHeight="1">
      <c r="A221" t="inlineStr">
        <is>
          <t>A 20078-2025</t>
        </is>
      </c>
      <c r="B221" s="1" t="n">
        <v>45772.44892361111</v>
      </c>
      <c r="C221" s="1" t="n">
        <v>45961</v>
      </c>
      <c r="D221" t="inlineStr">
        <is>
          <t>VÄSTERNORRLANDS LÄN</t>
        </is>
      </c>
      <c r="E221" t="inlineStr">
        <is>
          <t>SUNDSVALL</t>
        </is>
      </c>
      <c r="F221" t="inlineStr">
        <is>
          <t>Naturvårdsverket</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HYPERLINK("https://klasma.github.io/Logging_2281/artfynd/A 20078-2025 artfynd.xlsx", "A 20078-2025")</f>
        <v/>
      </c>
      <c r="T221">
        <f>HYPERLINK("https://klasma.github.io/Logging_2281/kartor/A 20078-2025 karta.png", "A 20078-2025")</f>
        <v/>
      </c>
      <c r="V221">
        <f>HYPERLINK("https://klasma.github.io/Logging_2281/klagomål/A 20078-2025 FSC-klagomål.docx", "A 20078-2025")</f>
        <v/>
      </c>
      <c r="W221">
        <f>HYPERLINK("https://klasma.github.io/Logging_2281/klagomålsmail/A 20078-2025 FSC-klagomål mail.docx", "A 20078-2025")</f>
        <v/>
      </c>
      <c r="X221">
        <f>HYPERLINK("https://klasma.github.io/Logging_2281/tillsyn/A 20078-2025 tillsynsbegäran.docx", "A 20078-2025")</f>
        <v/>
      </c>
      <c r="Y221">
        <f>HYPERLINK("https://klasma.github.io/Logging_2281/tillsynsmail/A 20078-2025 tillsynsbegäran mail.docx", "A 20078-2025")</f>
        <v/>
      </c>
    </row>
    <row r="222" ht="15" customHeight="1">
      <c r="A222" t="inlineStr">
        <is>
          <t>A 22993-2023</t>
        </is>
      </c>
      <c r="B222" s="1" t="n">
        <v>45072</v>
      </c>
      <c r="C222" s="1" t="n">
        <v>45961</v>
      </c>
      <c r="D222" t="inlineStr">
        <is>
          <t>VÄSTERNORRLANDS LÄN</t>
        </is>
      </c>
      <c r="E222" t="inlineStr">
        <is>
          <t>SUNDSVALL</t>
        </is>
      </c>
      <c r="F222" t="inlineStr">
        <is>
          <t>SCA</t>
        </is>
      </c>
      <c r="G222" t="n">
        <v>3.6</v>
      </c>
      <c r="H222" t="n">
        <v>0</v>
      </c>
      <c r="I222" t="n">
        <v>0</v>
      </c>
      <c r="J222" t="n">
        <v>1</v>
      </c>
      <c r="K222" t="n">
        <v>0</v>
      </c>
      <c r="L222" t="n">
        <v>0</v>
      </c>
      <c r="M222" t="n">
        <v>0</v>
      </c>
      <c r="N222" t="n">
        <v>0</v>
      </c>
      <c r="O222" t="n">
        <v>1</v>
      </c>
      <c r="P222" t="n">
        <v>0</v>
      </c>
      <c r="Q222" t="n">
        <v>1</v>
      </c>
      <c r="R222" s="2" t="inlineStr">
        <is>
          <t>Lunglav</t>
        </is>
      </c>
      <c r="S222">
        <f>HYPERLINK("https://klasma.github.io/Logging_2281/artfynd/A 22993-2023 artfynd.xlsx", "A 22993-2023")</f>
        <v/>
      </c>
      <c r="T222">
        <f>HYPERLINK("https://klasma.github.io/Logging_2281/kartor/A 22993-2023 karta.png", "A 22993-2023")</f>
        <v/>
      </c>
      <c r="V222">
        <f>HYPERLINK("https://klasma.github.io/Logging_2281/klagomål/A 22993-2023 FSC-klagomål.docx", "A 22993-2023")</f>
        <v/>
      </c>
      <c r="W222">
        <f>HYPERLINK("https://klasma.github.io/Logging_2281/klagomålsmail/A 22993-2023 FSC-klagomål mail.docx", "A 22993-2023")</f>
        <v/>
      </c>
      <c r="X222">
        <f>HYPERLINK("https://klasma.github.io/Logging_2281/tillsyn/A 22993-2023 tillsynsbegäran.docx", "A 22993-2023")</f>
        <v/>
      </c>
      <c r="Y222">
        <f>HYPERLINK("https://klasma.github.io/Logging_2281/tillsynsmail/A 22993-2023 tillsynsbegäran mail.docx", "A 22993-2023")</f>
        <v/>
      </c>
    </row>
    <row r="223" ht="15" customHeight="1">
      <c r="A223" t="inlineStr">
        <is>
          <t>A 30462-2024</t>
        </is>
      </c>
      <c r="B223" s="1" t="n">
        <v>45491</v>
      </c>
      <c r="C223" s="1" t="n">
        <v>45961</v>
      </c>
      <c r="D223" t="inlineStr">
        <is>
          <t>VÄSTERNORRLANDS LÄN</t>
        </is>
      </c>
      <c r="E223" t="inlineStr">
        <is>
          <t>SUNDSVALL</t>
        </is>
      </c>
      <c r="F223" t="inlineStr">
        <is>
          <t>SCA</t>
        </is>
      </c>
      <c r="G223" t="n">
        <v>4.1</v>
      </c>
      <c r="H223" t="n">
        <v>0</v>
      </c>
      <c r="I223" t="n">
        <v>0</v>
      </c>
      <c r="J223" t="n">
        <v>1</v>
      </c>
      <c r="K223" t="n">
        <v>0</v>
      </c>
      <c r="L223" t="n">
        <v>0</v>
      </c>
      <c r="M223" t="n">
        <v>0</v>
      </c>
      <c r="N223" t="n">
        <v>0</v>
      </c>
      <c r="O223" t="n">
        <v>1</v>
      </c>
      <c r="P223" t="n">
        <v>0</v>
      </c>
      <c r="Q223" t="n">
        <v>1</v>
      </c>
      <c r="R223" s="2" t="inlineStr">
        <is>
          <t>Igelkott</t>
        </is>
      </c>
      <c r="S223">
        <f>HYPERLINK("https://klasma.github.io/Logging_2281/artfynd/A 30462-2024 artfynd.xlsx", "A 30462-2024")</f>
        <v/>
      </c>
      <c r="T223">
        <f>HYPERLINK("https://klasma.github.io/Logging_2281/kartor/A 30462-2024 karta.png", "A 30462-2024")</f>
        <v/>
      </c>
      <c r="V223">
        <f>HYPERLINK("https://klasma.github.io/Logging_2281/klagomål/A 30462-2024 FSC-klagomål.docx", "A 30462-2024")</f>
        <v/>
      </c>
      <c r="W223">
        <f>HYPERLINK("https://klasma.github.io/Logging_2281/klagomålsmail/A 30462-2024 FSC-klagomål mail.docx", "A 30462-2024")</f>
        <v/>
      </c>
      <c r="X223">
        <f>HYPERLINK("https://klasma.github.io/Logging_2281/tillsyn/A 30462-2024 tillsynsbegäran.docx", "A 30462-2024")</f>
        <v/>
      </c>
      <c r="Y223">
        <f>HYPERLINK("https://klasma.github.io/Logging_2281/tillsynsmail/A 30462-2024 tillsynsbegäran mail.docx", "A 30462-2024")</f>
        <v/>
      </c>
    </row>
    <row r="224" ht="15" customHeight="1">
      <c r="A224" t="inlineStr">
        <is>
          <t>A 11681-2024</t>
        </is>
      </c>
      <c r="B224" s="1" t="n">
        <v>45373.58155092593</v>
      </c>
      <c r="C224" s="1" t="n">
        <v>45961</v>
      </c>
      <c r="D224" t="inlineStr">
        <is>
          <t>VÄSTERNORRLANDS LÄN</t>
        </is>
      </c>
      <c r="E224" t="inlineStr">
        <is>
          <t>SUNDSVALL</t>
        </is>
      </c>
      <c r="F224" t="inlineStr">
        <is>
          <t>Holmen skog AB</t>
        </is>
      </c>
      <c r="G224" t="n">
        <v>9</v>
      </c>
      <c r="H224" t="n">
        <v>1</v>
      </c>
      <c r="I224" t="n">
        <v>0</v>
      </c>
      <c r="J224" t="n">
        <v>0</v>
      </c>
      <c r="K224" t="n">
        <v>0</v>
      </c>
      <c r="L224" t="n">
        <v>0</v>
      </c>
      <c r="M224" t="n">
        <v>0</v>
      </c>
      <c r="N224" t="n">
        <v>0</v>
      </c>
      <c r="O224" t="n">
        <v>0</v>
      </c>
      <c r="P224" t="n">
        <v>0</v>
      </c>
      <c r="Q224" t="n">
        <v>1</v>
      </c>
      <c r="R224" s="2" t="inlineStr">
        <is>
          <t>Tjäder</t>
        </is>
      </c>
      <c r="S224">
        <f>HYPERLINK("https://klasma.github.io/Logging_2281/artfynd/A 11681-2024 artfynd.xlsx", "A 11681-2024")</f>
        <v/>
      </c>
      <c r="T224">
        <f>HYPERLINK("https://klasma.github.io/Logging_2281/kartor/A 11681-2024 karta.png", "A 11681-2024")</f>
        <v/>
      </c>
      <c r="V224">
        <f>HYPERLINK("https://klasma.github.io/Logging_2281/klagomål/A 11681-2024 FSC-klagomål.docx", "A 11681-2024")</f>
        <v/>
      </c>
      <c r="W224">
        <f>HYPERLINK("https://klasma.github.io/Logging_2281/klagomålsmail/A 11681-2024 FSC-klagomål mail.docx", "A 11681-2024")</f>
        <v/>
      </c>
      <c r="X224">
        <f>HYPERLINK("https://klasma.github.io/Logging_2281/tillsyn/A 11681-2024 tillsynsbegäran.docx", "A 11681-2024")</f>
        <v/>
      </c>
      <c r="Y224">
        <f>HYPERLINK("https://klasma.github.io/Logging_2281/tillsynsmail/A 11681-2024 tillsynsbegäran mail.docx", "A 11681-2024")</f>
        <v/>
      </c>
      <c r="Z224">
        <f>HYPERLINK("https://klasma.github.io/Logging_2281/fåglar/A 11681-2024 prioriterade fågelarter.docx", "A 11681-2024")</f>
        <v/>
      </c>
    </row>
    <row r="225" ht="15" customHeight="1">
      <c r="A225" t="inlineStr">
        <is>
          <t>A 19305-2022</t>
        </is>
      </c>
      <c r="B225" s="1" t="n">
        <v>44692</v>
      </c>
      <c r="C225" s="1" t="n">
        <v>45961</v>
      </c>
      <c r="D225" t="inlineStr">
        <is>
          <t>VÄSTERNORRLANDS LÄN</t>
        </is>
      </c>
      <c r="E225" t="inlineStr">
        <is>
          <t>SUNDSVALL</t>
        </is>
      </c>
      <c r="G225" t="n">
        <v>4.1</v>
      </c>
      <c r="H225" t="n">
        <v>0</v>
      </c>
      <c r="I225" t="n">
        <v>0</v>
      </c>
      <c r="J225" t="n">
        <v>1</v>
      </c>
      <c r="K225" t="n">
        <v>0</v>
      </c>
      <c r="L225" t="n">
        <v>0</v>
      </c>
      <c r="M225" t="n">
        <v>0</v>
      </c>
      <c r="N225" t="n">
        <v>0</v>
      </c>
      <c r="O225" t="n">
        <v>1</v>
      </c>
      <c r="P225" t="n">
        <v>0</v>
      </c>
      <c r="Q225" t="n">
        <v>1</v>
      </c>
      <c r="R225" s="2" t="inlineStr">
        <is>
          <t>Månlåsbräken</t>
        </is>
      </c>
      <c r="S225">
        <f>HYPERLINK("https://klasma.github.io/Logging_2281/artfynd/A 19305-2022 artfynd.xlsx", "A 19305-2022")</f>
        <v/>
      </c>
      <c r="T225">
        <f>HYPERLINK("https://klasma.github.io/Logging_2281/kartor/A 19305-2022 karta.png", "A 19305-2022")</f>
        <v/>
      </c>
      <c r="V225">
        <f>HYPERLINK("https://klasma.github.io/Logging_2281/klagomål/A 19305-2022 FSC-klagomål.docx", "A 19305-2022")</f>
        <v/>
      </c>
      <c r="W225">
        <f>HYPERLINK("https://klasma.github.io/Logging_2281/klagomålsmail/A 19305-2022 FSC-klagomål mail.docx", "A 19305-2022")</f>
        <v/>
      </c>
      <c r="X225">
        <f>HYPERLINK("https://klasma.github.io/Logging_2281/tillsyn/A 19305-2022 tillsynsbegäran.docx", "A 19305-2022")</f>
        <v/>
      </c>
      <c r="Y225">
        <f>HYPERLINK("https://klasma.github.io/Logging_2281/tillsynsmail/A 19305-2022 tillsynsbegäran mail.docx", "A 19305-2022")</f>
        <v/>
      </c>
    </row>
    <row r="226" ht="15" customHeight="1">
      <c r="A226" t="inlineStr">
        <is>
          <t>A 20277-2024</t>
        </is>
      </c>
      <c r="B226" s="1" t="n">
        <v>45434</v>
      </c>
      <c r="C226" s="1" t="n">
        <v>45961</v>
      </c>
      <c r="D226" t="inlineStr">
        <is>
          <t>VÄSTERNORRLANDS LÄN</t>
        </is>
      </c>
      <c r="E226" t="inlineStr">
        <is>
          <t>SUNDSVALL</t>
        </is>
      </c>
      <c r="F226" t="inlineStr">
        <is>
          <t>SCA</t>
        </is>
      </c>
      <c r="G226" t="n">
        <v>2.6</v>
      </c>
      <c r="H226" t="n">
        <v>0</v>
      </c>
      <c r="I226" t="n">
        <v>1</v>
      </c>
      <c r="J226" t="n">
        <v>0</v>
      </c>
      <c r="K226" t="n">
        <v>0</v>
      </c>
      <c r="L226" t="n">
        <v>0</v>
      </c>
      <c r="M226" t="n">
        <v>0</v>
      </c>
      <c r="N226" t="n">
        <v>0</v>
      </c>
      <c r="O226" t="n">
        <v>0</v>
      </c>
      <c r="P226" t="n">
        <v>0</v>
      </c>
      <c r="Q226" t="n">
        <v>1</v>
      </c>
      <c r="R226" s="2" t="inlineStr">
        <is>
          <t>Vedticka</t>
        </is>
      </c>
      <c r="S226">
        <f>HYPERLINK("https://klasma.github.io/Logging_2281/artfynd/A 20277-2024 artfynd.xlsx", "A 20277-2024")</f>
        <v/>
      </c>
      <c r="T226">
        <f>HYPERLINK("https://klasma.github.io/Logging_2281/kartor/A 20277-2024 karta.png", "A 20277-2024")</f>
        <v/>
      </c>
      <c r="V226">
        <f>HYPERLINK("https://klasma.github.io/Logging_2281/klagomål/A 20277-2024 FSC-klagomål.docx", "A 20277-2024")</f>
        <v/>
      </c>
      <c r="W226">
        <f>HYPERLINK("https://klasma.github.io/Logging_2281/klagomålsmail/A 20277-2024 FSC-klagomål mail.docx", "A 20277-2024")</f>
        <v/>
      </c>
      <c r="X226">
        <f>HYPERLINK("https://klasma.github.io/Logging_2281/tillsyn/A 20277-2024 tillsynsbegäran.docx", "A 20277-2024")</f>
        <v/>
      </c>
      <c r="Y226">
        <f>HYPERLINK("https://klasma.github.io/Logging_2281/tillsynsmail/A 20277-2024 tillsynsbegäran mail.docx", "A 20277-2024")</f>
        <v/>
      </c>
    </row>
    <row r="227" ht="15" customHeight="1">
      <c r="A227" t="inlineStr">
        <is>
          <t>A 59895-2024</t>
        </is>
      </c>
      <c r="B227" s="1" t="n">
        <v>45641.59408564815</v>
      </c>
      <c r="C227" s="1" t="n">
        <v>45961</v>
      </c>
      <c r="D227" t="inlineStr">
        <is>
          <t>VÄSTERNORRLANDS LÄN</t>
        </is>
      </c>
      <c r="E227" t="inlineStr">
        <is>
          <t>SUNDSVALL</t>
        </is>
      </c>
      <c r="F227" t="inlineStr">
        <is>
          <t>SCA</t>
        </is>
      </c>
      <c r="G227" t="n">
        <v>3.4</v>
      </c>
      <c r="H227" t="n">
        <v>1</v>
      </c>
      <c r="I227" t="n">
        <v>0</v>
      </c>
      <c r="J227" t="n">
        <v>0</v>
      </c>
      <c r="K227" t="n">
        <v>1</v>
      </c>
      <c r="L227" t="n">
        <v>0</v>
      </c>
      <c r="M227" t="n">
        <v>0</v>
      </c>
      <c r="N227" t="n">
        <v>0</v>
      </c>
      <c r="O227" t="n">
        <v>1</v>
      </c>
      <c r="P227" t="n">
        <v>1</v>
      </c>
      <c r="Q227" t="n">
        <v>1</v>
      </c>
      <c r="R227" s="2" t="inlineStr">
        <is>
          <t>Knärot</t>
        </is>
      </c>
      <c r="S227">
        <f>HYPERLINK("https://klasma.github.io/Logging_2281/artfynd/A 59895-2024 artfynd.xlsx", "A 59895-2024")</f>
        <v/>
      </c>
      <c r="T227">
        <f>HYPERLINK("https://klasma.github.io/Logging_2281/kartor/A 59895-2024 karta.png", "A 59895-2024")</f>
        <v/>
      </c>
      <c r="U227">
        <f>HYPERLINK("https://klasma.github.io/Logging_2281/knärot/A 59895-2024 karta knärot.png", "A 59895-2024")</f>
        <v/>
      </c>
      <c r="V227">
        <f>HYPERLINK("https://klasma.github.io/Logging_2281/klagomål/A 59895-2024 FSC-klagomål.docx", "A 59895-2024")</f>
        <v/>
      </c>
      <c r="W227">
        <f>HYPERLINK("https://klasma.github.io/Logging_2281/klagomålsmail/A 59895-2024 FSC-klagomål mail.docx", "A 59895-2024")</f>
        <v/>
      </c>
      <c r="X227">
        <f>HYPERLINK("https://klasma.github.io/Logging_2281/tillsyn/A 59895-2024 tillsynsbegäran.docx", "A 59895-2024")</f>
        <v/>
      </c>
      <c r="Y227">
        <f>HYPERLINK("https://klasma.github.io/Logging_2281/tillsynsmail/A 59895-2024 tillsynsbegäran mail.docx", "A 59895-2024")</f>
        <v/>
      </c>
    </row>
    <row r="228" ht="15" customHeight="1">
      <c r="A228" t="inlineStr">
        <is>
          <t>A 13301-2025</t>
        </is>
      </c>
      <c r="B228" s="1" t="n">
        <v>45735.57451388889</v>
      </c>
      <c r="C228" s="1" t="n">
        <v>45961</v>
      </c>
      <c r="D228" t="inlineStr">
        <is>
          <t>VÄSTERNORRLANDS LÄN</t>
        </is>
      </c>
      <c r="E228" t="inlineStr">
        <is>
          <t>SUNDSVALL</t>
        </is>
      </c>
      <c r="F228" t="inlineStr">
        <is>
          <t>SCA</t>
        </is>
      </c>
      <c r="G228" t="n">
        <v>13.4</v>
      </c>
      <c r="H228" t="n">
        <v>1</v>
      </c>
      <c r="I228" t="n">
        <v>0</v>
      </c>
      <c r="J228" t="n">
        <v>0</v>
      </c>
      <c r="K228" t="n">
        <v>0</v>
      </c>
      <c r="L228" t="n">
        <v>0</v>
      </c>
      <c r="M228" t="n">
        <v>0</v>
      </c>
      <c r="N228" t="n">
        <v>0</v>
      </c>
      <c r="O228" t="n">
        <v>0</v>
      </c>
      <c r="P228" t="n">
        <v>0</v>
      </c>
      <c r="Q228" t="n">
        <v>1</v>
      </c>
      <c r="R228" s="2" t="inlineStr">
        <is>
          <t>Blåsippa</t>
        </is>
      </c>
      <c r="S228">
        <f>HYPERLINK("https://klasma.github.io/Logging_2281/artfynd/A 13301-2025 artfynd.xlsx", "A 13301-2025")</f>
        <v/>
      </c>
      <c r="T228">
        <f>HYPERLINK("https://klasma.github.io/Logging_2281/kartor/A 13301-2025 karta.png", "A 13301-2025")</f>
        <v/>
      </c>
      <c r="V228">
        <f>HYPERLINK("https://klasma.github.io/Logging_2281/klagomål/A 13301-2025 FSC-klagomål.docx", "A 13301-2025")</f>
        <v/>
      </c>
      <c r="W228">
        <f>HYPERLINK("https://klasma.github.io/Logging_2281/klagomålsmail/A 13301-2025 FSC-klagomål mail.docx", "A 13301-2025")</f>
        <v/>
      </c>
      <c r="X228">
        <f>HYPERLINK("https://klasma.github.io/Logging_2281/tillsyn/A 13301-2025 tillsynsbegäran.docx", "A 13301-2025")</f>
        <v/>
      </c>
      <c r="Y228">
        <f>HYPERLINK("https://klasma.github.io/Logging_2281/tillsynsmail/A 13301-2025 tillsynsbegäran mail.docx", "A 13301-2025")</f>
        <v/>
      </c>
    </row>
    <row r="229" ht="15" customHeight="1">
      <c r="A229" t="inlineStr">
        <is>
          <t>A 25791-2025</t>
        </is>
      </c>
      <c r="B229" s="1" t="n">
        <v>45804.38903935185</v>
      </c>
      <c r="C229" s="1" t="n">
        <v>45961</v>
      </c>
      <c r="D229" t="inlineStr">
        <is>
          <t>VÄSTERNORRLANDS LÄN</t>
        </is>
      </c>
      <c r="E229" t="inlineStr">
        <is>
          <t>SUNDSVALL</t>
        </is>
      </c>
      <c r="G229" t="n">
        <v>2.8</v>
      </c>
      <c r="H229" t="n">
        <v>1</v>
      </c>
      <c r="I229" t="n">
        <v>0</v>
      </c>
      <c r="J229" t="n">
        <v>1</v>
      </c>
      <c r="K229" t="n">
        <v>0</v>
      </c>
      <c r="L229" t="n">
        <v>0</v>
      </c>
      <c r="M229" t="n">
        <v>0</v>
      </c>
      <c r="N229" t="n">
        <v>0</v>
      </c>
      <c r="O229" t="n">
        <v>1</v>
      </c>
      <c r="P229" t="n">
        <v>0</v>
      </c>
      <c r="Q229" t="n">
        <v>1</v>
      </c>
      <c r="R229" s="2" t="inlineStr">
        <is>
          <t>Hornuggla</t>
        </is>
      </c>
      <c r="S229">
        <f>HYPERLINK("https://klasma.github.io/Logging_2281/artfynd/A 25791-2025 artfynd.xlsx", "A 25791-2025")</f>
        <v/>
      </c>
      <c r="T229">
        <f>HYPERLINK("https://klasma.github.io/Logging_2281/kartor/A 25791-2025 karta.png", "A 25791-2025")</f>
        <v/>
      </c>
      <c r="V229">
        <f>HYPERLINK("https://klasma.github.io/Logging_2281/klagomål/A 25791-2025 FSC-klagomål.docx", "A 25791-2025")</f>
        <v/>
      </c>
      <c r="W229">
        <f>HYPERLINK("https://klasma.github.io/Logging_2281/klagomålsmail/A 25791-2025 FSC-klagomål mail.docx", "A 25791-2025")</f>
        <v/>
      </c>
      <c r="X229">
        <f>HYPERLINK("https://klasma.github.io/Logging_2281/tillsyn/A 25791-2025 tillsynsbegäran.docx", "A 25791-2025")</f>
        <v/>
      </c>
      <c r="Y229">
        <f>HYPERLINK("https://klasma.github.io/Logging_2281/tillsynsmail/A 25791-2025 tillsynsbegäran mail.docx", "A 25791-2025")</f>
        <v/>
      </c>
      <c r="Z229">
        <f>HYPERLINK("https://klasma.github.io/Logging_2281/fåglar/A 25791-2025 prioriterade fågelarter.docx", "A 25791-2025")</f>
        <v/>
      </c>
    </row>
    <row r="230" ht="15" customHeight="1">
      <c r="A230" t="inlineStr">
        <is>
          <t>A 15346-2023</t>
        </is>
      </c>
      <c r="B230" s="1" t="n">
        <v>45016</v>
      </c>
      <c r="C230" s="1" t="n">
        <v>45961</v>
      </c>
      <c r="D230" t="inlineStr">
        <is>
          <t>VÄSTERNORRLANDS LÄN</t>
        </is>
      </c>
      <c r="E230" t="inlineStr">
        <is>
          <t>SUNDSVALL</t>
        </is>
      </c>
      <c r="G230" t="n">
        <v>3.8</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15346-2023 artfynd.xlsx", "A 15346-2023")</f>
        <v/>
      </c>
      <c r="T230">
        <f>HYPERLINK("https://klasma.github.io/Logging_2281/kartor/A 15346-2023 karta.png", "A 15346-2023")</f>
        <v/>
      </c>
      <c r="V230">
        <f>HYPERLINK("https://klasma.github.io/Logging_2281/klagomål/A 15346-2023 FSC-klagomål.docx", "A 15346-2023")</f>
        <v/>
      </c>
      <c r="W230">
        <f>HYPERLINK("https://klasma.github.io/Logging_2281/klagomålsmail/A 15346-2023 FSC-klagomål mail.docx", "A 15346-2023")</f>
        <v/>
      </c>
      <c r="X230">
        <f>HYPERLINK("https://klasma.github.io/Logging_2281/tillsyn/A 15346-2023 tillsynsbegäran.docx", "A 15346-2023")</f>
        <v/>
      </c>
      <c r="Y230">
        <f>HYPERLINK("https://klasma.github.io/Logging_2281/tillsynsmail/A 15346-2023 tillsynsbegäran mail.docx", "A 15346-2023")</f>
        <v/>
      </c>
      <c r="Z230">
        <f>HYPERLINK("https://klasma.github.io/Logging_2281/fåglar/A 15346-2023 prioriterade fågelarter.docx", "A 15346-2023")</f>
        <v/>
      </c>
    </row>
    <row r="231" ht="15" customHeight="1">
      <c r="A231" t="inlineStr">
        <is>
          <t>A 37564-2025</t>
        </is>
      </c>
      <c r="B231" s="1" t="n">
        <v>45880</v>
      </c>
      <c r="C231" s="1" t="n">
        <v>45961</v>
      </c>
      <c r="D231" t="inlineStr">
        <is>
          <t>VÄSTERNORRLANDS LÄN</t>
        </is>
      </c>
      <c r="E231" t="inlineStr">
        <is>
          <t>SUNDSVALL</t>
        </is>
      </c>
      <c r="G231" t="n">
        <v>4</v>
      </c>
      <c r="H231" t="n">
        <v>1</v>
      </c>
      <c r="I231" t="n">
        <v>1</v>
      </c>
      <c r="J231" t="n">
        <v>0</v>
      </c>
      <c r="K231" t="n">
        <v>0</v>
      </c>
      <c r="L231" t="n">
        <v>0</v>
      </c>
      <c r="M231" t="n">
        <v>0</v>
      </c>
      <c r="N231" t="n">
        <v>0</v>
      </c>
      <c r="O231" t="n">
        <v>0</v>
      </c>
      <c r="P231" t="n">
        <v>0</v>
      </c>
      <c r="Q231" t="n">
        <v>1</v>
      </c>
      <c r="R231" s="2" t="inlineStr">
        <is>
          <t>Korallrot</t>
        </is>
      </c>
      <c r="S231">
        <f>HYPERLINK("https://klasma.github.io/Logging_2281/artfynd/A 37564-2025 artfynd.xlsx", "A 37564-2025")</f>
        <v/>
      </c>
      <c r="T231">
        <f>HYPERLINK("https://klasma.github.io/Logging_2281/kartor/A 37564-2025 karta.png", "A 37564-2025")</f>
        <v/>
      </c>
      <c r="V231">
        <f>HYPERLINK("https://klasma.github.io/Logging_2281/klagomål/A 37564-2025 FSC-klagomål.docx", "A 37564-2025")</f>
        <v/>
      </c>
      <c r="W231">
        <f>HYPERLINK("https://klasma.github.io/Logging_2281/klagomålsmail/A 37564-2025 FSC-klagomål mail.docx", "A 37564-2025")</f>
        <v/>
      </c>
      <c r="X231">
        <f>HYPERLINK("https://klasma.github.io/Logging_2281/tillsyn/A 37564-2025 tillsynsbegäran.docx", "A 37564-2025")</f>
        <v/>
      </c>
      <c r="Y231">
        <f>HYPERLINK("https://klasma.github.io/Logging_2281/tillsynsmail/A 37564-2025 tillsynsbegäran mail.docx", "A 37564-2025")</f>
        <v/>
      </c>
    </row>
    <row r="232" ht="15" customHeight="1">
      <c r="A232" t="inlineStr">
        <is>
          <t>A 45500-2025</t>
        </is>
      </c>
      <c r="B232" s="1" t="n">
        <v>45922.57185185186</v>
      </c>
      <c r="C232" s="1" t="n">
        <v>45961</v>
      </c>
      <c r="D232" t="inlineStr">
        <is>
          <t>VÄSTERNORRLANDS LÄN</t>
        </is>
      </c>
      <c r="E232" t="inlineStr">
        <is>
          <t>SUNDSVALL</t>
        </is>
      </c>
      <c r="G232" t="n">
        <v>4.5</v>
      </c>
      <c r="H232" t="n">
        <v>1</v>
      </c>
      <c r="I232" t="n">
        <v>0</v>
      </c>
      <c r="J232" t="n">
        <v>0</v>
      </c>
      <c r="K232" t="n">
        <v>0</v>
      </c>
      <c r="L232" t="n">
        <v>0</v>
      </c>
      <c r="M232" t="n">
        <v>0</v>
      </c>
      <c r="N232" t="n">
        <v>0</v>
      </c>
      <c r="O232" t="n">
        <v>0</v>
      </c>
      <c r="P232" t="n">
        <v>0</v>
      </c>
      <c r="Q232" t="n">
        <v>1</v>
      </c>
      <c r="R232" s="2" t="inlineStr">
        <is>
          <t>Revlummer</t>
        </is>
      </c>
      <c r="S232">
        <f>HYPERLINK("https://klasma.github.io/Logging_2281/artfynd/A 45500-2025 artfynd.xlsx", "A 45500-2025")</f>
        <v/>
      </c>
      <c r="T232">
        <f>HYPERLINK("https://klasma.github.io/Logging_2281/kartor/A 45500-2025 karta.png", "A 45500-2025")</f>
        <v/>
      </c>
      <c r="V232">
        <f>HYPERLINK("https://klasma.github.io/Logging_2281/klagomål/A 45500-2025 FSC-klagomål.docx", "A 45500-2025")</f>
        <v/>
      </c>
      <c r="W232">
        <f>HYPERLINK("https://klasma.github.io/Logging_2281/klagomålsmail/A 45500-2025 FSC-klagomål mail.docx", "A 45500-2025")</f>
        <v/>
      </c>
      <c r="X232">
        <f>HYPERLINK("https://klasma.github.io/Logging_2281/tillsyn/A 45500-2025 tillsynsbegäran.docx", "A 45500-2025")</f>
        <v/>
      </c>
      <c r="Y232">
        <f>HYPERLINK("https://klasma.github.io/Logging_2281/tillsynsmail/A 45500-2025 tillsynsbegäran mail.docx", "A 45500-2025")</f>
        <v/>
      </c>
    </row>
    <row r="233" ht="15" customHeight="1">
      <c r="A233" t="inlineStr">
        <is>
          <t>A 38206-2025</t>
        </is>
      </c>
      <c r="B233" s="1" t="n">
        <v>45882.6987037037</v>
      </c>
      <c r="C233" s="1" t="n">
        <v>45961</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7264-2025</t>
        </is>
      </c>
      <c r="B234" s="1" t="n">
        <v>45702.59416666667</v>
      </c>
      <c r="C234" s="1" t="n">
        <v>45961</v>
      </c>
      <c r="D234" t="inlineStr">
        <is>
          <t>VÄSTERNORRLANDS LÄN</t>
        </is>
      </c>
      <c r="E234" t="inlineStr">
        <is>
          <t>SUNDSVALL</t>
        </is>
      </c>
      <c r="F234" t="inlineStr">
        <is>
          <t>SCA</t>
        </is>
      </c>
      <c r="G234" t="n">
        <v>2.1</v>
      </c>
      <c r="H234" t="n">
        <v>0</v>
      </c>
      <c r="I234" t="n">
        <v>0</v>
      </c>
      <c r="J234" t="n">
        <v>1</v>
      </c>
      <c r="K234" t="n">
        <v>0</v>
      </c>
      <c r="L234" t="n">
        <v>0</v>
      </c>
      <c r="M234" t="n">
        <v>0</v>
      </c>
      <c r="N234" t="n">
        <v>0</v>
      </c>
      <c r="O234" t="n">
        <v>1</v>
      </c>
      <c r="P234" t="n">
        <v>0</v>
      </c>
      <c r="Q234" t="n">
        <v>1</v>
      </c>
      <c r="R234" s="2" t="inlineStr">
        <is>
          <t>Ullticka</t>
        </is>
      </c>
      <c r="S234">
        <f>HYPERLINK("https://klasma.github.io/Logging_2281/artfynd/A 7264-2025 artfynd.xlsx", "A 7264-2025")</f>
        <v/>
      </c>
      <c r="T234">
        <f>HYPERLINK("https://klasma.github.io/Logging_2281/kartor/A 7264-2025 karta.png", "A 7264-2025")</f>
        <v/>
      </c>
      <c r="U234">
        <f>HYPERLINK("https://klasma.github.io/Logging_2281/knärot/A 7264-2025 karta knärot.png", "A 7264-2025")</f>
        <v/>
      </c>
      <c r="V234">
        <f>HYPERLINK("https://klasma.github.io/Logging_2281/klagomål/A 7264-2025 FSC-klagomål.docx", "A 7264-2025")</f>
        <v/>
      </c>
      <c r="W234">
        <f>HYPERLINK("https://klasma.github.io/Logging_2281/klagomålsmail/A 7264-2025 FSC-klagomål mail.docx", "A 7264-2025")</f>
        <v/>
      </c>
      <c r="X234">
        <f>HYPERLINK("https://klasma.github.io/Logging_2281/tillsyn/A 7264-2025 tillsynsbegäran.docx", "A 7264-2025")</f>
        <v/>
      </c>
      <c r="Y234">
        <f>HYPERLINK("https://klasma.github.io/Logging_2281/tillsynsmail/A 7264-2025 tillsynsbegäran mail.docx", "A 7264-2025")</f>
        <v/>
      </c>
    </row>
    <row r="235" ht="15" customHeight="1">
      <c r="A235" t="inlineStr">
        <is>
          <t>A 9584-2023</t>
        </is>
      </c>
      <c r="B235" s="1" t="n">
        <v>44982</v>
      </c>
      <c r="C235" s="1" t="n">
        <v>45961</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49626-2025</t>
        </is>
      </c>
      <c r="B236" s="1" t="n">
        <v>45939.59484953704</v>
      </c>
      <c r="C236" s="1" t="n">
        <v>45961</v>
      </c>
      <c r="D236" t="inlineStr">
        <is>
          <t>VÄSTERNORRLANDS LÄN</t>
        </is>
      </c>
      <c r="E236" t="inlineStr">
        <is>
          <t>SUNDSVALL</t>
        </is>
      </c>
      <c r="G236" t="n">
        <v>4</v>
      </c>
      <c r="H236" t="n">
        <v>0</v>
      </c>
      <c r="I236" t="n">
        <v>0</v>
      </c>
      <c r="J236" t="n">
        <v>1</v>
      </c>
      <c r="K236" t="n">
        <v>0</v>
      </c>
      <c r="L236" t="n">
        <v>0</v>
      </c>
      <c r="M236" t="n">
        <v>0</v>
      </c>
      <c r="N236" t="n">
        <v>0</v>
      </c>
      <c r="O236" t="n">
        <v>1</v>
      </c>
      <c r="P236" t="n">
        <v>0</v>
      </c>
      <c r="Q236" t="n">
        <v>1</v>
      </c>
      <c r="R236" s="2" t="inlineStr">
        <is>
          <t>Garnlav</t>
        </is>
      </c>
      <c r="S236">
        <f>HYPERLINK("https://klasma.github.io/Logging_2281/artfynd/A 49626-2025 artfynd.xlsx", "A 49626-2025")</f>
        <v/>
      </c>
      <c r="T236">
        <f>HYPERLINK("https://klasma.github.io/Logging_2281/kartor/A 49626-2025 karta.png", "A 49626-2025")</f>
        <v/>
      </c>
      <c r="V236">
        <f>HYPERLINK("https://klasma.github.io/Logging_2281/klagomål/A 49626-2025 FSC-klagomål.docx", "A 49626-2025")</f>
        <v/>
      </c>
      <c r="W236">
        <f>HYPERLINK("https://klasma.github.io/Logging_2281/klagomålsmail/A 49626-2025 FSC-klagomål mail.docx", "A 49626-2025")</f>
        <v/>
      </c>
      <c r="X236">
        <f>HYPERLINK("https://klasma.github.io/Logging_2281/tillsyn/A 49626-2025 tillsynsbegäran.docx", "A 49626-2025")</f>
        <v/>
      </c>
      <c r="Y236">
        <f>HYPERLINK("https://klasma.github.io/Logging_2281/tillsynsmail/A 49626-2025 tillsynsbegäran mail.docx", "A 49626-2025")</f>
        <v/>
      </c>
    </row>
    <row r="237" ht="15" customHeight="1">
      <c r="A237" t="inlineStr">
        <is>
          <t>A 49554-2025</t>
        </is>
      </c>
      <c r="B237" s="1" t="n">
        <v>45939.44833333333</v>
      </c>
      <c r="C237" s="1" t="n">
        <v>45961</v>
      </c>
      <c r="D237" t="inlineStr">
        <is>
          <t>VÄSTERNORRLANDS LÄN</t>
        </is>
      </c>
      <c r="E237" t="inlineStr">
        <is>
          <t>SUNDSVALL</t>
        </is>
      </c>
      <c r="G237" t="n">
        <v>4.9</v>
      </c>
      <c r="H237" t="n">
        <v>0</v>
      </c>
      <c r="I237" t="n">
        <v>0</v>
      </c>
      <c r="J237" t="n">
        <v>1</v>
      </c>
      <c r="K237" t="n">
        <v>0</v>
      </c>
      <c r="L237" t="n">
        <v>0</v>
      </c>
      <c r="M237" t="n">
        <v>0</v>
      </c>
      <c r="N237" t="n">
        <v>0</v>
      </c>
      <c r="O237" t="n">
        <v>1</v>
      </c>
      <c r="P237" t="n">
        <v>0</v>
      </c>
      <c r="Q237" t="n">
        <v>1</v>
      </c>
      <c r="R237" s="2" t="inlineStr">
        <is>
          <t>Lunglav</t>
        </is>
      </c>
      <c r="S237">
        <f>HYPERLINK("https://klasma.github.io/Logging_2281/artfynd/A 49554-2025 artfynd.xlsx", "A 49554-2025")</f>
        <v/>
      </c>
      <c r="T237">
        <f>HYPERLINK("https://klasma.github.io/Logging_2281/kartor/A 49554-2025 karta.png", "A 49554-2025")</f>
        <v/>
      </c>
      <c r="V237">
        <f>HYPERLINK("https://klasma.github.io/Logging_2281/klagomål/A 49554-2025 FSC-klagomål.docx", "A 49554-2025")</f>
        <v/>
      </c>
      <c r="W237">
        <f>HYPERLINK("https://klasma.github.io/Logging_2281/klagomålsmail/A 49554-2025 FSC-klagomål mail.docx", "A 49554-2025")</f>
        <v/>
      </c>
      <c r="X237">
        <f>HYPERLINK("https://klasma.github.io/Logging_2281/tillsyn/A 49554-2025 tillsynsbegäran.docx", "A 49554-2025")</f>
        <v/>
      </c>
      <c r="Y237">
        <f>HYPERLINK("https://klasma.github.io/Logging_2281/tillsynsmail/A 49554-2025 tillsynsbegäran mail.docx", "A 49554-2025")</f>
        <v/>
      </c>
    </row>
    <row r="238" ht="15" customHeight="1">
      <c r="A238" t="inlineStr">
        <is>
          <t>A 50213-2025</t>
        </is>
      </c>
      <c r="B238" s="1" t="n">
        <v>45943.67806712963</v>
      </c>
      <c r="C238" s="1" t="n">
        <v>45961</v>
      </c>
      <c r="D238" t="inlineStr">
        <is>
          <t>VÄSTERNORRLANDS LÄN</t>
        </is>
      </c>
      <c r="E238" t="inlineStr">
        <is>
          <t>SUNDSVALL</t>
        </is>
      </c>
      <c r="F238" t="inlineStr">
        <is>
          <t>SCA</t>
        </is>
      </c>
      <c r="G238" t="n">
        <v>4</v>
      </c>
      <c r="H238" t="n">
        <v>1</v>
      </c>
      <c r="I238" t="n">
        <v>0</v>
      </c>
      <c r="J238" t="n">
        <v>0</v>
      </c>
      <c r="K238" t="n">
        <v>0</v>
      </c>
      <c r="L238" t="n">
        <v>0</v>
      </c>
      <c r="M238" t="n">
        <v>0</v>
      </c>
      <c r="N238" t="n">
        <v>0</v>
      </c>
      <c r="O238" t="n">
        <v>0</v>
      </c>
      <c r="P238" t="n">
        <v>0</v>
      </c>
      <c r="Q238" t="n">
        <v>1</v>
      </c>
      <c r="R238" s="2" t="inlineStr">
        <is>
          <t>Nattviol</t>
        </is>
      </c>
      <c r="S238">
        <f>HYPERLINK("https://klasma.github.io/Logging_2281/artfynd/A 50213-2025 artfynd.xlsx", "A 50213-2025")</f>
        <v/>
      </c>
      <c r="T238">
        <f>HYPERLINK("https://klasma.github.io/Logging_2281/kartor/A 50213-2025 karta.png", "A 50213-2025")</f>
        <v/>
      </c>
      <c r="V238">
        <f>HYPERLINK("https://klasma.github.io/Logging_2281/klagomål/A 50213-2025 FSC-klagomål.docx", "A 50213-2025")</f>
        <v/>
      </c>
      <c r="W238">
        <f>HYPERLINK("https://klasma.github.io/Logging_2281/klagomålsmail/A 50213-2025 FSC-klagomål mail.docx", "A 50213-2025")</f>
        <v/>
      </c>
      <c r="X238">
        <f>HYPERLINK("https://klasma.github.io/Logging_2281/tillsyn/A 50213-2025 tillsynsbegäran.docx", "A 50213-2025")</f>
        <v/>
      </c>
      <c r="Y238">
        <f>HYPERLINK("https://klasma.github.io/Logging_2281/tillsynsmail/A 50213-2025 tillsynsbegäran mail.docx", "A 50213-2025")</f>
        <v/>
      </c>
    </row>
    <row r="239" ht="15" customHeight="1">
      <c r="A239" t="inlineStr">
        <is>
          <t>A 11146-2025</t>
        </is>
      </c>
      <c r="B239" s="1" t="n">
        <v>45723.6775</v>
      </c>
      <c r="C239" s="1" t="n">
        <v>45961</v>
      </c>
      <c r="D239" t="inlineStr">
        <is>
          <t>VÄSTERNORRLANDS LÄN</t>
        </is>
      </c>
      <c r="E239" t="inlineStr">
        <is>
          <t>SUNDSVALL</t>
        </is>
      </c>
      <c r="F239" t="inlineStr">
        <is>
          <t>SCA</t>
        </is>
      </c>
      <c r="G239" t="n">
        <v>17.4</v>
      </c>
      <c r="H239" t="n">
        <v>0</v>
      </c>
      <c r="I239" t="n">
        <v>0</v>
      </c>
      <c r="J239" t="n">
        <v>1</v>
      </c>
      <c r="K239" t="n">
        <v>0</v>
      </c>
      <c r="L239" t="n">
        <v>0</v>
      </c>
      <c r="M239" t="n">
        <v>0</v>
      </c>
      <c r="N239" t="n">
        <v>0</v>
      </c>
      <c r="O239" t="n">
        <v>1</v>
      </c>
      <c r="P239" t="n">
        <v>0</v>
      </c>
      <c r="Q239" t="n">
        <v>1</v>
      </c>
      <c r="R239" s="2" t="inlineStr">
        <is>
          <t>Skogshare</t>
        </is>
      </c>
      <c r="S239">
        <f>HYPERLINK("https://klasma.github.io/Logging_2281/artfynd/A 11146-2025 artfynd.xlsx", "A 11146-2025")</f>
        <v/>
      </c>
      <c r="T239">
        <f>HYPERLINK("https://klasma.github.io/Logging_2281/kartor/A 11146-2025 karta.png", "A 11146-2025")</f>
        <v/>
      </c>
      <c r="V239">
        <f>HYPERLINK("https://klasma.github.io/Logging_2281/klagomål/A 11146-2025 FSC-klagomål.docx", "A 11146-2025")</f>
        <v/>
      </c>
      <c r="W239">
        <f>HYPERLINK("https://klasma.github.io/Logging_2281/klagomålsmail/A 11146-2025 FSC-klagomål mail.docx", "A 11146-2025")</f>
        <v/>
      </c>
      <c r="X239">
        <f>HYPERLINK("https://klasma.github.io/Logging_2281/tillsyn/A 11146-2025 tillsynsbegäran.docx", "A 11146-2025")</f>
        <v/>
      </c>
      <c r="Y239">
        <f>HYPERLINK("https://klasma.github.io/Logging_2281/tillsynsmail/A 11146-2025 tillsynsbegäran mail.docx", "A 11146-2025")</f>
        <v/>
      </c>
    </row>
    <row r="240" ht="15" customHeight="1">
      <c r="A240" t="inlineStr">
        <is>
          <t>A 50987-2025</t>
        </is>
      </c>
      <c r="B240" s="1" t="n">
        <v>45947.34546296296</v>
      </c>
      <c r="C240" s="1" t="n">
        <v>45961</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17395-2025</t>
        </is>
      </c>
      <c r="B241" s="1" t="n">
        <v>45757.34414351852</v>
      </c>
      <c r="C241" s="1" t="n">
        <v>45961</v>
      </c>
      <c r="D241" t="inlineStr">
        <is>
          <t>VÄSTERNORRLANDS LÄN</t>
        </is>
      </c>
      <c r="E241" t="inlineStr">
        <is>
          <t>SUNDSVALL</t>
        </is>
      </c>
      <c r="F241" t="inlineStr">
        <is>
          <t>SCA</t>
        </is>
      </c>
      <c r="G241" t="n">
        <v>7.1</v>
      </c>
      <c r="H241" t="n">
        <v>1</v>
      </c>
      <c r="I241" t="n">
        <v>0</v>
      </c>
      <c r="J241" t="n">
        <v>0</v>
      </c>
      <c r="K241" t="n">
        <v>0</v>
      </c>
      <c r="L241" t="n">
        <v>0</v>
      </c>
      <c r="M241" t="n">
        <v>0</v>
      </c>
      <c r="N241" t="n">
        <v>0</v>
      </c>
      <c r="O241" t="n">
        <v>0</v>
      </c>
      <c r="P241" t="n">
        <v>0</v>
      </c>
      <c r="Q241" t="n">
        <v>1</v>
      </c>
      <c r="R241" s="2" t="inlineStr">
        <is>
          <t>Nattviol</t>
        </is>
      </c>
      <c r="S241">
        <f>HYPERLINK("https://klasma.github.io/Logging_2281/artfynd/A 17395-2025 artfynd.xlsx", "A 17395-2025")</f>
        <v/>
      </c>
      <c r="T241">
        <f>HYPERLINK("https://klasma.github.io/Logging_2281/kartor/A 17395-2025 karta.png", "A 17395-2025")</f>
        <v/>
      </c>
      <c r="V241">
        <f>HYPERLINK("https://klasma.github.io/Logging_2281/klagomål/A 17395-2025 FSC-klagomål.docx", "A 17395-2025")</f>
        <v/>
      </c>
      <c r="W241">
        <f>HYPERLINK("https://klasma.github.io/Logging_2281/klagomålsmail/A 17395-2025 FSC-klagomål mail.docx", "A 17395-2025")</f>
        <v/>
      </c>
      <c r="X241">
        <f>HYPERLINK("https://klasma.github.io/Logging_2281/tillsyn/A 17395-2025 tillsynsbegäran.docx", "A 17395-2025")</f>
        <v/>
      </c>
      <c r="Y241">
        <f>HYPERLINK("https://klasma.github.io/Logging_2281/tillsynsmail/A 17395-2025 tillsynsbegäran mail.docx", "A 17395-2025")</f>
        <v/>
      </c>
    </row>
    <row r="242" ht="15" customHeight="1">
      <c r="A242" t="inlineStr">
        <is>
          <t>A 43362-2025</t>
        </is>
      </c>
      <c r="B242" s="1" t="n">
        <v>45911</v>
      </c>
      <c r="C242" s="1" t="n">
        <v>45961</v>
      </c>
      <c r="D242" t="inlineStr">
        <is>
          <t>VÄSTERNORRLANDS LÄN</t>
        </is>
      </c>
      <c r="E242" t="inlineStr">
        <is>
          <t>SUNDSVALL</t>
        </is>
      </c>
      <c r="F242" t="inlineStr">
        <is>
          <t>Naturvårdsverket</t>
        </is>
      </c>
      <c r="G242" t="n">
        <v>3.7</v>
      </c>
      <c r="H242" t="n">
        <v>1</v>
      </c>
      <c r="I242" t="n">
        <v>0</v>
      </c>
      <c r="J242" t="n">
        <v>1</v>
      </c>
      <c r="K242" t="n">
        <v>0</v>
      </c>
      <c r="L242" t="n">
        <v>0</v>
      </c>
      <c r="M242" t="n">
        <v>0</v>
      </c>
      <c r="N242" t="n">
        <v>0</v>
      </c>
      <c r="O242" t="n">
        <v>1</v>
      </c>
      <c r="P242" t="n">
        <v>0</v>
      </c>
      <c r="Q242" t="n">
        <v>1</v>
      </c>
      <c r="R242" s="2" t="inlineStr">
        <is>
          <t>Utter</t>
        </is>
      </c>
      <c r="S242">
        <f>HYPERLINK("https://klasma.github.io/Logging_2281/artfynd/A 43362-2025 artfynd.xlsx", "A 43362-2025")</f>
        <v/>
      </c>
      <c r="T242">
        <f>HYPERLINK("https://klasma.github.io/Logging_2281/kartor/A 43362-2025 karta.png", "A 43362-2025")</f>
        <v/>
      </c>
      <c r="V242">
        <f>HYPERLINK("https://klasma.github.io/Logging_2281/klagomål/A 43362-2025 FSC-klagomål.docx", "A 43362-2025")</f>
        <v/>
      </c>
      <c r="W242">
        <f>HYPERLINK("https://klasma.github.io/Logging_2281/klagomålsmail/A 43362-2025 FSC-klagomål mail.docx", "A 43362-2025")</f>
        <v/>
      </c>
      <c r="X242">
        <f>HYPERLINK("https://klasma.github.io/Logging_2281/tillsyn/A 43362-2025 tillsynsbegäran.docx", "A 43362-2025")</f>
        <v/>
      </c>
      <c r="Y242">
        <f>HYPERLINK("https://klasma.github.io/Logging_2281/tillsynsmail/A 43362-2025 tillsynsbegäran mail.docx", "A 43362-2025")</f>
        <v/>
      </c>
    </row>
    <row r="243" ht="15" customHeight="1">
      <c r="A243" t="inlineStr">
        <is>
          <t>A 44403-2025</t>
        </is>
      </c>
      <c r="B243" s="1" t="n">
        <v>45916.51086805556</v>
      </c>
      <c r="C243" s="1" t="n">
        <v>45961</v>
      </c>
      <c r="D243" t="inlineStr">
        <is>
          <t>VÄSTERNORRLANDS LÄN</t>
        </is>
      </c>
      <c r="E243" t="inlineStr">
        <is>
          <t>SUNDSVALL</t>
        </is>
      </c>
      <c r="F243" t="inlineStr">
        <is>
          <t>SCA</t>
        </is>
      </c>
      <c r="G243" t="n">
        <v>4.3</v>
      </c>
      <c r="H243" t="n">
        <v>0</v>
      </c>
      <c r="I243" t="n">
        <v>0</v>
      </c>
      <c r="J243" t="n">
        <v>0</v>
      </c>
      <c r="K243" t="n">
        <v>1</v>
      </c>
      <c r="L243" t="n">
        <v>0</v>
      </c>
      <c r="M243" t="n">
        <v>0</v>
      </c>
      <c r="N243" t="n">
        <v>0</v>
      </c>
      <c r="O243" t="n">
        <v>1</v>
      </c>
      <c r="P243" t="n">
        <v>1</v>
      </c>
      <c r="Q243" t="n">
        <v>1</v>
      </c>
      <c r="R243" s="2" t="inlineStr">
        <is>
          <t>Blackticka</t>
        </is>
      </c>
      <c r="S243">
        <f>HYPERLINK("https://klasma.github.io/Logging_2281/artfynd/A 44403-2025 artfynd.xlsx", "A 44403-2025")</f>
        <v/>
      </c>
      <c r="T243">
        <f>HYPERLINK("https://klasma.github.io/Logging_2281/kartor/A 44403-2025 karta.png", "A 44403-2025")</f>
        <v/>
      </c>
      <c r="V243">
        <f>HYPERLINK("https://klasma.github.io/Logging_2281/klagomål/A 44403-2025 FSC-klagomål.docx", "A 44403-2025")</f>
        <v/>
      </c>
      <c r="W243">
        <f>HYPERLINK("https://klasma.github.io/Logging_2281/klagomålsmail/A 44403-2025 FSC-klagomål mail.docx", "A 44403-2025")</f>
        <v/>
      </c>
      <c r="X243">
        <f>HYPERLINK("https://klasma.github.io/Logging_2281/tillsyn/A 44403-2025 tillsynsbegäran.docx", "A 44403-2025")</f>
        <v/>
      </c>
      <c r="Y243">
        <f>HYPERLINK("https://klasma.github.io/Logging_2281/tillsynsmail/A 44403-2025 tillsynsbegäran mail.docx", "A 44403-2025")</f>
        <v/>
      </c>
    </row>
    <row r="244" ht="15" customHeight="1">
      <c r="A244" t="inlineStr">
        <is>
          <t>A 41118-2025</t>
        </is>
      </c>
      <c r="B244" s="1" t="n">
        <v>45898</v>
      </c>
      <c r="C244" s="1" t="n">
        <v>45961</v>
      </c>
      <c r="D244" t="inlineStr">
        <is>
          <t>VÄSTERNORRLANDS LÄN</t>
        </is>
      </c>
      <c r="E244" t="inlineStr">
        <is>
          <t>SUNDSVALL</t>
        </is>
      </c>
      <c r="G244" t="n">
        <v>3.4</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41118-2025 artfynd.xlsx", "A 41118-2025")</f>
        <v/>
      </c>
      <c r="T244">
        <f>HYPERLINK("https://klasma.github.io/Logging_2281/kartor/A 41118-2025 karta.png", "A 41118-2025")</f>
        <v/>
      </c>
      <c r="V244">
        <f>HYPERLINK("https://klasma.github.io/Logging_2281/klagomål/A 41118-2025 FSC-klagomål.docx", "A 41118-2025")</f>
        <v/>
      </c>
      <c r="W244">
        <f>HYPERLINK("https://klasma.github.io/Logging_2281/klagomålsmail/A 41118-2025 FSC-klagomål mail.docx", "A 41118-2025")</f>
        <v/>
      </c>
      <c r="X244">
        <f>HYPERLINK("https://klasma.github.io/Logging_2281/tillsyn/A 41118-2025 tillsynsbegäran.docx", "A 41118-2025")</f>
        <v/>
      </c>
      <c r="Y244">
        <f>HYPERLINK("https://klasma.github.io/Logging_2281/tillsynsmail/A 41118-2025 tillsynsbegäran mail.docx", "A 41118-2025")</f>
        <v/>
      </c>
      <c r="Z244">
        <f>HYPERLINK("https://klasma.github.io/Logging_2281/fåglar/A 41118-2025 prioriterade fågelarter.docx", "A 41118-2025")</f>
        <v/>
      </c>
    </row>
    <row r="245" ht="15" customHeight="1">
      <c r="A245" t="inlineStr">
        <is>
          <t>A 44610-2021</t>
        </is>
      </c>
      <c r="B245" s="1" t="n">
        <v>44435.94177083333</v>
      </c>
      <c r="C245" s="1" t="n">
        <v>45961</v>
      </c>
      <c r="D245" t="inlineStr">
        <is>
          <t>VÄSTERNORRLANDS LÄN</t>
        </is>
      </c>
      <c r="E245" t="inlineStr">
        <is>
          <t>SUNDSVALL</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44399-2022</t>
        </is>
      </c>
      <c r="B246" s="1" t="n">
        <v>44838</v>
      </c>
      <c r="C246" s="1" t="n">
        <v>45961</v>
      </c>
      <c r="D246" t="inlineStr">
        <is>
          <t>VÄSTERNORRLANDS LÄN</t>
        </is>
      </c>
      <c r="E246" t="inlineStr">
        <is>
          <t>SUNDSVALL</t>
        </is>
      </c>
      <c r="G246" t="n">
        <v>0.2</v>
      </c>
      <c r="H246" t="n">
        <v>0</v>
      </c>
      <c r="I246" t="n">
        <v>0</v>
      </c>
      <c r="J246" t="n">
        <v>0</v>
      </c>
      <c r="K246" t="n">
        <v>0</v>
      </c>
      <c r="L246" t="n">
        <v>0</v>
      </c>
      <c r="M246" t="n">
        <v>0</v>
      </c>
      <c r="N246" t="n">
        <v>0</v>
      </c>
      <c r="O246" t="n">
        <v>0</v>
      </c>
      <c r="P246" t="n">
        <v>0</v>
      </c>
      <c r="Q246" t="n">
        <v>0</v>
      </c>
      <c r="R246" s="2" t="inlineStr"/>
    </row>
    <row r="247" ht="15" customHeight="1">
      <c r="A247" t="inlineStr">
        <is>
          <t>A 18453-2021</t>
        </is>
      </c>
      <c r="B247" s="1" t="n">
        <v>44305.92042824074</v>
      </c>
      <c r="C247" s="1" t="n">
        <v>45961</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7638-2021</t>
        </is>
      </c>
      <c r="B248" s="1" t="n">
        <v>44242.37700231482</v>
      </c>
      <c r="C248" s="1" t="n">
        <v>45961</v>
      </c>
      <c r="D248" t="inlineStr">
        <is>
          <t>VÄSTERNORRLANDS LÄN</t>
        </is>
      </c>
      <c r="E248" t="inlineStr">
        <is>
          <t>SUNDSVALL</t>
        </is>
      </c>
      <c r="G248" t="n">
        <v>1.7</v>
      </c>
      <c r="H248" t="n">
        <v>0</v>
      </c>
      <c r="I248" t="n">
        <v>0</v>
      </c>
      <c r="J248" t="n">
        <v>0</v>
      </c>
      <c r="K248" t="n">
        <v>0</v>
      </c>
      <c r="L248" t="n">
        <v>0</v>
      </c>
      <c r="M248" t="n">
        <v>0</v>
      </c>
      <c r="N248" t="n">
        <v>0</v>
      </c>
      <c r="O248" t="n">
        <v>0</v>
      </c>
      <c r="P248" t="n">
        <v>0</v>
      </c>
      <c r="Q248" t="n">
        <v>0</v>
      </c>
      <c r="R248" s="2" t="inlineStr"/>
    </row>
    <row r="249" ht="15" customHeight="1">
      <c r="A249" t="inlineStr">
        <is>
          <t>A 7639-2021</t>
        </is>
      </c>
      <c r="B249" s="1" t="n">
        <v>44242.3794212963</v>
      </c>
      <c r="C249" s="1" t="n">
        <v>45961</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63862-2020</t>
        </is>
      </c>
      <c r="B250" s="1" t="n">
        <v>44166</v>
      </c>
      <c r="C250" s="1" t="n">
        <v>45961</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28264-2021</t>
        </is>
      </c>
      <c r="B251" s="1" t="n">
        <v>44355</v>
      </c>
      <c r="C251" s="1" t="n">
        <v>45961</v>
      </c>
      <c r="D251" t="inlineStr">
        <is>
          <t>VÄSTERNORRLANDS LÄN</t>
        </is>
      </c>
      <c r="E251" t="inlineStr">
        <is>
          <t>SUNDSVALL</t>
        </is>
      </c>
      <c r="G251" t="n">
        <v>0.1</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45961</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3824-2021</t>
        </is>
      </c>
      <c r="B253" s="1" t="n">
        <v>44222</v>
      </c>
      <c r="C253" s="1" t="n">
        <v>45961</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50127-2021</t>
        </is>
      </c>
      <c r="B254" s="1" t="n">
        <v>44456</v>
      </c>
      <c r="C254" s="1" t="n">
        <v>45961</v>
      </c>
      <c r="D254" t="inlineStr">
        <is>
          <t>VÄSTERNORRLANDS LÄN</t>
        </is>
      </c>
      <c r="E254" t="inlineStr">
        <is>
          <t>SUNDSVALL</t>
        </is>
      </c>
      <c r="G254" t="n">
        <v>0.5</v>
      </c>
      <c r="H254" t="n">
        <v>0</v>
      </c>
      <c r="I254" t="n">
        <v>0</v>
      </c>
      <c r="J254" t="n">
        <v>0</v>
      </c>
      <c r="K254" t="n">
        <v>0</v>
      </c>
      <c r="L254" t="n">
        <v>0</v>
      </c>
      <c r="M254" t="n">
        <v>0</v>
      </c>
      <c r="N254" t="n">
        <v>0</v>
      </c>
      <c r="O254" t="n">
        <v>0</v>
      </c>
      <c r="P254" t="n">
        <v>0</v>
      </c>
      <c r="Q254" t="n">
        <v>0</v>
      </c>
      <c r="R254" s="2" t="inlineStr"/>
    </row>
    <row r="255" ht="15" customHeight="1">
      <c r="A255" t="inlineStr">
        <is>
          <t>A 50237-2021</t>
        </is>
      </c>
      <c r="B255" s="1" t="n">
        <v>44457.94170138889</v>
      </c>
      <c r="C255" s="1" t="n">
        <v>45961</v>
      </c>
      <c r="D255" t="inlineStr">
        <is>
          <t>VÄSTERNORRLANDS LÄN</t>
        </is>
      </c>
      <c r="E255" t="inlineStr">
        <is>
          <t>SUNDSVALL</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45961</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45961</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45961</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64478-2021</t>
        </is>
      </c>
      <c r="B259" s="1" t="n">
        <v>44511</v>
      </c>
      <c r="C259" s="1" t="n">
        <v>45961</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45961</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29484-2021</t>
        </is>
      </c>
      <c r="B261" s="1" t="n">
        <v>44361.64238425926</v>
      </c>
      <c r="C261" s="1" t="n">
        <v>45961</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37040-2021</t>
        </is>
      </c>
      <c r="B262" s="1" t="n">
        <v>44393.93452546297</v>
      </c>
      <c r="C262" s="1" t="n">
        <v>45961</v>
      </c>
      <c r="D262" t="inlineStr">
        <is>
          <t>VÄSTERNORRLANDS LÄN</t>
        </is>
      </c>
      <c r="E262" t="inlineStr">
        <is>
          <t>SUNDSVALL</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25643-2022</t>
        </is>
      </c>
      <c r="B263" s="1" t="n">
        <v>44732.94244212963</v>
      </c>
      <c r="C263" s="1" t="n">
        <v>45961</v>
      </c>
      <c r="D263" t="inlineStr">
        <is>
          <t>VÄSTERNORRLANDS LÄN</t>
        </is>
      </c>
      <c r="E263" t="inlineStr">
        <is>
          <t>SUNDSVALL</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17039-2022</t>
        </is>
      </c>
      <c r="B264" s="1" t="n">
        <v>44676.92622685185</v>
      </c>
      <c r="C264" s="1" t="n">
        <v>45961</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4760-2021</t>
        </is>
      </c>
      <c r="B265" s="1" t="n">
        <v>44225</v>
      </c>
      <c r="C265" s="1" t="n">
        <v>45961</v>
      </c>
      <c r="D265" t="inlineStr">
        <is>
          <t>VÄSTERNORRLANDS LÄN</t>
        </is>
      </c>
      <c r="E265" t="inlineStr">
        <is>
          <t>SUNDSVALL</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13574-2021</t>
        </is>
      </c>
      <c r="B266" s="1" t="n">
        <v>44273.94049768519</v>
      </c>
      <c r="C266" s="1" t="n">
        <v>45961</v>
      </c>
      <c r="D266" t="inlineStr">
        <is>
          <t>VÄSTERNORRLANDS LÄN</t>
        </is>
      </c>
      <c r="E266" t="inlineStr">
        <is>
          <t>SUNDSVALL</t>
        </is>
      </c>
      <c r="F266" t="inlineStr">
        <is>
          <t>Naturvårdsverket</t>
        </is>
      </c>
      <c r="G266" t="n">
        <v>3.6</v>
      </c>
      <c r="H266" t="n">
        <v>0</v>
      </c>
      <c r="I266" t="n">
        <v>0</v>
      </c>
      <c r="J266" t="n">
        <v>0</v>
      </c>
      <c r="K266" t="n">
        <v>0</v>
      </c>
      <c r="L266" t="n">
        <v>0</v>
      </c>
      <c r="M266" t="n">
        <v>0</v>
      </c>
      <c r="N266" t="n">
        <v>0</v>
      </c>
      <c r="O266" t="n">
        <v>0</v>
      </c>
      <c r="P266" t="n">
        <v>0</v>
      </c>
      <c r="Q266" t="n">
        <v>0</v>
      </c>
      <c r="R266" s="2" t="inlineStr"/>
    </row>
    <row r="267" ht="15" customHeight="1">
      <c r="A267" t="inlineStr">
        <is>
          <t>A 28238-2021</t>
        </is>
      </c>
      <c r="B267" s="1" t="n">
        <v>44355</v>
      </c>
      <c r="C267" s="1" t="n">
        <v>45961</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45961</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64367-2021</t>
        </is>
      </c>
      <c r="B269" s="1" t="n">
        <v>44511</v>
      </c>
      <c r="C269" s="1" t="n">
        <v>45961</v>
      </c>
      <c r="D269" t="inlineStr">
        <is>
          <t>VÄSTERNORRLANDS LÄN</t>
        </is>
      </c>
      <c r="E269" t="inlineStr">
        <is>
          <t>SUNDSVALL</t>
        </is>
      </c>
      <c r="G269" t="n">
        <v>2.2</v>
      </c>
      <c r="H269" t="n">
        <v>0</v>
      </c>
      <c r="I269" t="n">
        <v>0</v>
      </c>
      <c r="J269" t="n">
        <v>0</v>
      </c>
      <c r="K269" t="n">
        <v>0</v>
      </c>
      <c r="L269" t="n">
        <v>0</v>
      </c>
      <c r="M269" t="n">
        <v>0</v>
      </c>
      <c r="N269" t="n">
        <v>0</v>
      </c>
      <c r="O269" t="n">
        <v>0</v>
      </c>
      <c r="P269" t="n">
        <v>0</v>
      </c>
      <c r="Q269" t="n">
        <v>0</v>
      </c>
      <c r="R269" s="2" t="inlineStr"/>
    </row>
    <row r="270" ht="15" customHeight="1">
      <c r="A270" t="inlineStr">
        <is>
          <t>A 20186-2021</t>
        </is>
      </c>
      <c r="B270" s="1" t="n">
        <v>44314</v>
      </c>
      <c r="C270" s="1" t="n">
        <v>45961</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15769-2021</t>
        </is>
      </c>
      <c r="B271" s="1" t="n">
        <v>44286</v>
      </c>
      <c r="C271" s="1" t="n">
        <v>45961</v>
      </c>
      <c r="D271" t="inlineStr">
        <is>
          <t>VÄSTERNORRLANDS LÄN</t>
        </is>
      </c>
      <c r="E271" t="inlineStr">
        <is>
          <t>SUNDSVALL</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67987-2020</t>
        </is>
      </c>
      <c r="B272" s="1" t="n">
        <v>44182.81473379629</v>
      </c>
      <c r="C272" s="1" t="n">
        <v>45961</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45961</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7437-2022</t>
        </is>
      </c>
      <c r="B274" s="1" t="n">
        <v>44606</v>
      </c>
      <c r="C274" s="1" t="n">
        <v>45961</v>
      </c>
      <c r="D274" t="inlineStr">
        <is>
          <t>VÄSTERNORRLANDS LÄN</t>
        </is>
      </c>
      <c r="E274" t="inlineStr">
        <is>
          <t>SUNDSVALL</t>
        </is>
      </c>
      <c r="G274" t="n">
        <v>2</v>
      </c>
      <c r="H274" t="n">
        <v>0</v>
      </c>
      <c r="I274" t="n">
        <v>0</v>
      </c>
      <c r="J274" t="n">
        <v>0</v>
      </c>
      <c r="K274" t="n">
        <v>0</v>
      </c>
      <c r="L274" t="n">
        <v>0</v>
      </c>
      <c r="M274" t="n">
        <v>0</v>
      </c>
      <c r="N274" t="n">
        <v>0</v>
      </c>
      <c r="O274" t="n">
        <v>0</v>
      </c>
      <c r="P274" t="n">
        <v>0</v>
      </c>
      <c r="Q274" t="n">
        <v>0</v>
      </c>
      <c r="R274" s="2" t="inlineStr"/>
    </row>
    <row r="275" ht="15" customHeight="1">
      <c r="A275" t="inlineStr">
        <is>
          <t>A 1232-2022</t>
        </is>
      </c>
      <c r="B275" s="1" t="n">
        <v>44572.57984953704</v>
      </c>
      <c r="C275" s="1" t="n">
        <v>45961</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45961</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45961</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45961</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45961</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45961</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36316-2021</t>
        </is>
      </c>
      <c r="B281" s="1" t="n">
        <v>44390.45508101852</v>
      </c>
      <c r="C281" s="1" t="n">
        <v>45961</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45961</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14233-2022</t>
        </is>
      </c>
      <c r="B283" s="1" t="n">
        <v>44651</v>
      </c>
      <c r="C283" s="1" t="n">
        <v>45961</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43205-2021</t>
        </is>
      </c>
      <c r="B284" s="1" t="n">
        <v>44431</v>
      </c>
      <c r="C284" s="1" t="n">
        <v>45961</v>
      </c>
      <c r="D284" t="inlineStr">
        <is>
          <t>VÄSTERNORRLANDS LÄN</t>
        </is>
      </c>
      <c r="E284" t="inlineStr">
        <is>
          <t>SUNDSVALL</t>
        </is>
      </c>
      <c r="G284" t="n">
        <v>2.9</v>
      </c>
      <c r="H284" t="n">
        <v>0</v>
      </c>
      <c r="I284" t="n">
        <v>0</v>
      </c>
      <c r="J284" t="n">
        <v>0</v>
      </c>
      <c r="K284" t="n">
        <v>0</v>
      </c>
      <c r="L284" t="n">
        <v>0</v>
      </c>
      <c r="M284" t="n">
        <v>0</v>
      </c>
      <c r="N284" t="n">
        <v>0</v>
      </c>
      <c r="O284" t="n">
        <v>0</v>
      </c>
      <c r="P284" t="n">
        <v>0</v>
      </c>
      <c r="Q284" t="n">
        <v>0</v>
      </c>
      <c r="R284" s="2" t="inlineStr"/>
    </row>
    <row r="285" ht="15" customHeight="1">
      <c r="A285" t="inlineStr">
        <is>
          <t>A 45775-2021</t>
        </is>
      </c>
      <c r="B285" s="1" t="n">
        <v>44441</v>
      </c>
      <c r="C285" s="1" t="n">
        <v>45961</v>
      </c>
      <c r="D285" t="inlineStr">
        <is>
          <t>VÄSTERNORRLANDS LÄN</t>
        </is>
      </c>
      <c r="E285" t="inlineStr">
        <is>
          <t>SUNDSVALL</t>
        </is>
      </c>
      <c r="G285" t="n">
        <v>3.7</v>
      </c>
      <c r="H285" t="n">
        <v>0</v>
      </c>
      <c r="I285" t="n">
        <v>0</v>
      </c>
      <c r="J285" t="n">
        <v>0</v>
      </c>
      <c r="K285" t="n">
        <v>0</v>
      </c>
      <c r="L285" t="n">
        <v>0</v>
      </c>
      <c r="M285" t="n">
        <v>0</v>
      </c>
      <c r="N285" t="n">
        <v>0</v>
      </c>
      <c r="O285" t="n">
        <v>0</v>
      </c>
      <c r="P285" t="n">
        <v>0</v>
      </c>
      <c r="Q285" t="n">
        <v>0</v>
      </c>
      <c r="R285" s="2" t="inlineStr"/>
    </row>
    <row r="286" ht="15" customHeight="1">
      <c r="A286" t="inlineStr">
        <is>
          <t>A 25484-2021</t>
        </is>
      </c>
      <c r="B286" s="1" t="n">
        <v>44342</v>
      </c>
      <c r="C286" s="1" t="n">
        <v>45961</v>
      </c>
      <c r="D286" t="inlineStr">
        <is>
          <t>VÄSTERNORRLANDS LÄN</t>
        </is>
      </c>
      <c r="E286" t="inlineStr">
        <is>
          <t>SUNDSVALL</t>
        </is>
      </c>
      <c r="G286" t="n">
        <v>1.8</v>
      </c>
      <c r="H286" t="n">
        <v>0</v>
      </c>
      <c r="I286" t="n">
        <v>0</v>
      </c>
      <c r="J286" t="n">
        <v>0</v>
      </c>
      <c r="K286" t="n">
        <v>0</v>
      </c>
      <c r="L286" t="n">
        <v>0</v>
      </c>
      <c r="M286" t="n">
        <v>0</v>
      </c>
      <c r="N286" t="n">
        <v>0</v>
      </c>
      <c r="O286" t="n">
        <v>0</v>
      </c>
      <c r="P286" t="n">
        <v>0</v>
      </c>
      <c r="Q286" t="n">
        <v>0</v>
      </c>
      <c r="R286" s="2" t="inlineStr"/>
    </row>
    <row r="287" ht="15" customHeight="1">
      <c r="A287" t="inlineStr">
        <is>
          <t>A 55496-2022</t>
        </is>
      </c>
      <c r="B287" s="1" t="n">
        <v>44887.72143518519</v>
      </c>
      <c r="C287" s="1" t="n">
        <v>45961</v>
      </c>
      <c r="D287" t="inlineStr">
        <is>
          <t>VÄSTERNORRLANDS LÄN</t>
        </is>
      </c>
      <c r="E287" t="inlineStr">
        <is>
          <t>SUNDSVALL</t>
        </is>
      </c>
      <c r="F287" t="inlineStr">
        <is>
          <t>Holmen skog AB</t>
        </is>
      </c>
      <c r="G287" t="n">
        <v>2.8</v>
      </c>
      <c r="H287" t="n">
        <v>0</v>
      </c>
      <c r="I287" t="n">
        <v>0</v>
      </c>
      <c r="J287" t="n">
        <v>0</v>
      </c>
      <c r="K287" t="n">
        <v>0</v>
      </c>
      <c r="L287" t="n">
        <v>0</v>
      </c>
      <c r="M287" t="n">
        <v>0</v>
      </c>
      <c r="N287" t="n">
        <v>0</v>
      </c>
      <c r="O287" t="n">
        <v>0</v>
      </c>
      <c r="P287" t="n">
        <v>0</v>
      </c>
      <c r="Q287" t="n">
        <v>0</v>
      </c>
      <c r="R287" s="2" t="inlineStr"/>
    </row>
    <row r="288" ht="15" customHeight="1">
      <c r="A288" t="inlineStr">
        <is>
          <t>A 67388-2021</t>
        </is>
      </c>
      <c r="B288" s="1" t="n">
        <v>44523.92046296296</v>
      </c>
      <c r="C288" s="1" t="n">
        <v>45961</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45961</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70309-2021</t>
        </is>
      </c>
      <c r="B290" s="1" t="n">
        <v>44533</v>
      </c>
      <c r="C290" s="1" t="n">
        <v>45961</v>
      </c>
      <c r="D290" t="inlineStr">
        <is>
          <t>VÄSTERNORRLANDS LÄN</t>
        </is>
      </c>
      <c r="E290" t="inlineStr">
        <is>
          <t>SUNDSVALL</t>
        </is>
      </c>
      <c r="G290" t="n">
        <v>18.8</v>
      </c>
      <c r="H290" t="n">
        <v>0</v>
      </c>
      <c r="I290" t="n">
        <v>0</v>
      </c>
      <c r="J290" t="n">
        <v>0</v>
      </c>
      <c r="K290" t="n">
        <v>0</v>
      </c>
      <c r="L290" t="n">
        <v>0</v>
      </c>
      <c r="M290" t="n">
        <v>0</v>
      </c>
      <c r="N290" t="n">
        <v>0</v>
      </c>
      <c r="O290" t="n">
        <v>0</v>
      </c>
      <c r="P290" t="n">
        <v>0</v>
      </c>
      <c r="Q290" t="n">
        <v>0</v>
      </c>
      <c r="R290" s="2" t="inlineStr"/>
    </row>
    <row r="291" ht="15" customHeight="1">
      <c r="A291" t="inlineStr">
        <is>
          <t>A 24433-2021</t>
        </is>
      </c>
      <c r="B291" s="1" t="n">
        <v>44337.56453703704</v>
      </c>
      <c r="C291" s="1" t="n">
        <v>45961</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67277-2021</t>
        </is>
      </c>
      <c r="B292" s="1" t="n">
        <v>44523.6065162037</v>
      </c>
      <c r="C292" s="1" t="n">
        <v>45961</v>
      </c>
      <c r="D292" t="inlineStr">
        <is>
          <t>VÄSTERNORRLANDS LÄN</t>
        </is>
      </c>
      <c r="E292" t="inlineStr">
        <is>
          <t>SUNDSVALL</t>
        </is>
      </c>
      <c r="G292" t="n">
        <v>4.9</v>
      </c>
      <c r="H292" t="n">
        <v>0</v>
      </c>
      <c r="I292" t="n">
        <v>0</v>
      </c>
      <c r="J292" t="n">
        <v>0</v>
      </c>
      <c r="K292" t="n">
        <v>0</v>
      </c>
      <c r="L292" t="n">
        <v>0</v>
      </c>
      <c r="M292" t="n">
        <v>0</v>
      </c>
      <c r="N292" t="n">
        <v>0</v>
      </c>
      <c r="O292" t="n">
        <v>0</v>
      </c>
      <c r="P292" t="n">
        <v>0</v>
      </c>
      <c r="Q292" t="n">
        <v>0</v>
      </c>
      <c r="R292" s="2" t="inlineStr"/>
    </row>
    <row r="293" ht="15" customHeight="1">
      <c r="A293" t="inlineStr">
        <is>
          <t>A 74383-2021</t>
        </is>
      </c>
      <c r="B293" s="1" t="n">
        <v>44559</v>
      </c>
      <c r="C293" s="1" t="n">
        <v>45961</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26287-2022</t>
        </is>
      </c>
      <c r="B294" s="1" t="n">
        <v>44735</v>
      </c>
      <c r="C294" s="1" t="n">
        <v>45961</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22336-2021</t>
        </is>
      </c>
      <c r="B295" s="1" t="n">
        <v>44326</v>
      </c>
      <c r="C295" s="1" t="n">
        <v>45961</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45961</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31959-2022</t>
        </is>
      </c>
      <c r="B297" s="1" t="n">
        <v>44777.92671296297</v>
      </c>
      <c r="C297" s="1" t="n">
        <v>45961</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59127-2021</t>
        </is>
      </c>
      <c r="B298" s="1" t="n">
        <v>44490</v>
      </c>
      <c r="C298" s="1" t="n">
        <v>45961</v>
      </c>
      <c r="D298" t="inlineStr">
        <is>
          <t>VÄSTERNORRLANDS LÄN</t>
        </is>
      </c>
      <c r="E298" t="inlineStr">
        <is>
          <t>SUNDSVALL</t>
        </is>
      </c>
      <c r="G298" t="n">
        <v>0.6</v>
      </c>
      <c r="H298" t="n">
        <v>0</v>
      </c>
      <c r="I298" t="n">
        <v>0</v>
      </c>
      <c r="J298" t="n">
        <v>0</v>
      </c>
      <c r="K298" t="n">
        <v>0</v>
      </c>
      <c r="L298" t="n">
        <v>0</v>
      </c>
      <c r="M298" t="n">
        <v>0</v>
      </c>
      <c r="N298" t="n">
        <v>0</v>
      </c>
      <c r="O298" t="n">
        <v>0</v>
      </c>
      <c r="P298" t="n">
        <v>0</v>
      </c>
      <c r="Q298" t="n">
        <v>0</v>
      </c>
      <c r="R298" s="2" t="inlineStr"/>
    </row>
    <row r="299" ht="15" customHeight="1">
      <c r="A299" t="inlineStr">
        <is>
          <t>A 59496-2021</t>
        </is>
      </c>
      <c r="B299" s="1" t="n">
        <v>44491</v>
      </c>
      <c r="C299" s="1" t="n">
        <v>45961</v>
      </c>
      <c r="D299" t="inlineStr">
        <is>
          <t>VÄSTERNORRLANDS LÄN</t>
        </is>
      </c>
      <c r="E299" t="inlineStr">
        <is>
          <t>SUNDSVALL</t>
        </is>
      </c>
      <c r="G299" t="n">
        <v>1.3</v>
      </c>
      <c r="H299" t="n">
        <v>0</v>
      </c>
      <c r="I299" t="n">
        <v>0</v>
      </c>
      <c r="J299" t="n">
        <v>0</v>
      </c>
      <c r="K299" t="n">
        <v>0</v>
      </c>
      <c r="L299" t="n">
        <v>0</v>
      </c>
      <c r="M299" t="n">
        <v>0</v>
      </c>
      <c r="N299" t="n">
        <v>0</v>
      </c>
      <c r="O299" t="n">
        <v>0</v>
      </c>
      <c r="P299" t="n">
        <v>0</v>
      </c>
      <c r="Q299" t="n">
        <v>0</v>
      </c>
      <c r="R299" s="2" t="inlineStr"/>
    </row>
    <row r="300" ht="15" customHeight="1">
      <c r="A300" t="inlineStr">
        <is>
          <t>A 67698-2021</t>
        </is>
      </c>
      <c r="B300" s="1" t="n">
        <v>44524.94635416667</v>
      </c>
      <c r="C300" s="1" t="n">
        <v>45961</v>
      </c>
      <c r="D300" t="inlineStr">
        <is>
          <t>VÄSTERNORRLANDS LÄN</t>
        </is>
      </c>
      <c r="E300" t="inlineStr">
        <is>
          <t>SUNDSVALL</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23054-2022</t>
        </is>
      </c>
      <c r="B301" s="1" t="n">
        <v>44719.43481481481</v>
      </c>
      <c r="C301" s="1" t="n">
        <v>45961</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30460-2021</t>
        </is>
      </c>
      <c r="B302" s="1" t="n">
        <v>44364</v>
      </c>
      <c r="C302" s="1" t="n">
        <v>45961</v>
      </c>
      <c r="D302" t="inlineStr">
        <is>
          <t>VÄSTERNORRLANDS LÄN</t>
        </is>
      </c>
      <c r="E302" t="inlineStr">
        <is>
          <t>SUNDSVALL</t>
        </is>
      </c>
      <c r="G302" t="n">
        <v>1</v>
      </c>
      <c r="H302" t="n">
        <v>0</v>
      </c>
      <c r="I302" t="n">
        <v>0</v>
      </c>
      <c r="J302" t="n">
        <v>0</v>
      </c>
      <c r="K302" t="n">
        <v>0</v>
      </c>
      <c r="L302" t="n">
        <v>0</v>
      </c>
      <c r="M302" t="n">
        <v>0</v>
      </c>
      <c r="N302" t="n">
        <v>0</v>
      </c>
      <c r="O302" t="n">
        <v>0</v>
      </c>
      <c r="P302" t="n">
        <v>0</v>
      </c>
      <c r="Q302" t="n">
        <v>0</v>
      </c>
      <c r="R302" s="2" t="inlineStr"/>
    </row>
    <row r="303" ht="15" customHeight="1">
      <c r="A303" t="inlineStr">
        <is>
          <t>A 74384-2021</t>
        </is>
      </c>
      <c r="B303" s="1" t="n">
        <v>44559</v>
      </c>
      <c r="C303" s="1" t="n">
        <v>45961</v>
      </c>
      <c r="D303" t="inlineStr">
        <is>
          <t>VÄSTERNORRLANDS LÄN</t>
        </is>
      </c>
      <c r="E303" t="inlineStr">
        <is>
          <t>SUNDSVALL</t>
        </is>
      </c>
      <c r="G303" t="n">
        <v>4.2</v>
      </c>
      <c r="H303" t="n">
        <v>0</v>
      </c>
      <c r="I303" t="n">
        <v>0</v>
      </c>
      <c r="J303" t="n">
        <v>0</v>
      </c>
      <c r="K303" t="n">
        <v>0</v>
      </c>
      <c r="L303" t="n">
        <v>0</v>
      </c>
      <c r="M303" t="n">
        <v>0</v>
      </c>
      <c r="N303" t="n">
        <v>0</v>
      </c>
      <c r="O303" t="n">
        <v>0</v>
      </c>
      <c r="P303" t="n">
        <v>0</v>
      </c>
      <c r="Q303" t="n">
        <v>0</v>
      </c>
      <c r="R303" s="2" t="inlineStr"/>
    </row>
    <row r="304" ht="15" customHeight="1">
      <c r="A304" t="inlineStr">
        <is>
          <t>A 38670-2022</t>
        </is>
      </c>
      <c r="B304" s="1" t="n">
        <v>44813.94760416666</v>
      </c>
      <c r="C304" s="1" t="n">
        <v>45961</v>
      </c>
      <c r="D304" t="inlineStr">
        <is>
          <t>VÄSTERNORRLANDS LÄN</t>
        </is>
      </c>
      <c r="E304" t="inlineStr">
        <is>
          <t>SUNDSVALL</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6220-2021</t>
        </is>
      </c>
      <c r="B305" s="1" t="n">
        <v>44232</v>
      </c>
      <c r="C305" s="1" t="n">
        <v>45961</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37611-2021</t>
        </is>
      </c>
      <c r="B306" s="1" t="n">
        <v>44399</v>
      </c>
      <c r="C306" s="1" t="n">
        <v>45961</v>
      </c>
      <c r="D306" t="inlineStr">
        <is>
          <t>VÄSTERNORRLANDS LÄN</t>
        </is>
      </c>
      <c r="E306" t="inlineStr">
        <is>
          <t>SUNDSVALL</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11862-2022</t>
        </is>
      </c>
      <c r="B307" s="1" t="n">
        <v>44635.34825231481</v>
      </c>
      <c r="C307" s="1" t="n">
        <v>45961</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15598-2022</t>
        </is>
      </c>
      <c r="B308" s="1" t="n">
        <v>44662</v>
      </c>
      <c r="C308" s="1" t="n">
        <v>45961</v>
      </c>
      <c r="D308" t="inlineStr">
        <is>
          <t>VÄSTERNORRLANDS LÄN</t>
        </is>
      </c>
      <c r="E308" t="inlineStr">
        <is>
          <t>SUNDSVALL</t>
        </is>
      </c>
      <c r="G308" t="n">
        <v>0.3</v>
      </c>
      <c r="H308" t="n">
        <v>0</v>
      </c>
      <c r="I308" t="n">
        <v>0</v>
      </c>
      <c r="J308" t="n">
        <v>0</v>
      </c>
      <c r="K308" t="n">
        <v>0</v>
      </c>
      <c r="L308" t="n">
        <v>0</v>
      </c>
      <c r="M308" t="n">
        <v>0</v>
      </c>
      <c r="N308" t="n">
        <v>0</v>
      </c>
      <c r="O308" t="n">
        <v>0</v>
      </c>
      <c r="P308" t="n">
        <v>0</v>
      </c>
      <c r="Q308" t="n">
        <v>0</v>
      </c>
      <c r="R308" s="2" t="inlineStr"/>
    </row>
    <row r="309" ht="15" customHeight="1">
      <c r="A309" t="inlineStr">
        <is>
          <t>A 26453-2022</t>
        </is>
      </c>
      <c r="B309" s="1" t="n">
        <v>44739</v>
      </c>
      <c r="C309" s="1" t="n">
        <v>45961</v>
      </c>
      <c r="D309" t="inlineStr">
        <is>
          <t>VÄSTERNORRLANDS LÄN</t>
        </is>
      </c>
      <c r="E309" t="inlineStr">
        <is>
          <t>SUNDSVALL</t>
        </is>
      </c>
      <c r="G309" t="n">
        <v>0.4</v>
      </c>
      <c r="H309" t="n">
        <v>0</v>
      </c>
      <c r="I309" t="n">
        <v>0</v>
      </c>
      <c r="J309" t="n">
        <v>0</v>
      </c>
      <c r="K309" t="n">
        <v>0</v>
      </c>
      <c r="L309" t="n">
        <v>0</v>
      </c>
      <c r="M309" t="n">
        <v>0</v>
      </c>
      <c r="N309" t="n">
        <v>0</v>
      </c>
      <c r="O309" t="n">
        <v>0</v>
      </c>
      <c r="P309" t="n">
        <v>0</v>
      </c>
      <c r="Q309" t="n">
        <v>0</v>
      </c>
      <c r="R309" s="2" t="inlineStr"/>
    </row>
    <row r="310" ht="15" customHeight="1">
      <c r="A310" t="inlineStr">
        <is>
          <t>A 55345-2022</t>
        </is>
      </c>
      <c r="B310" s="1" t="n">
        <v>44882</v>
      </c>
      <c r="C310" s="1" t="n">
        <v>45961</v>
      </c>
      <c r="D310" t="inlineStr">
        <is>
          <t>VÄSTERNORRLANDS LÄN</t>
        </is>
      </c>
      <c r="E310" t="inlineStr">
        <is>
          <t>SUNDSVALL</t>
        </is>
      </c>
      <c r="G310" t="n">
        <v>0.8</v>
      </c>
      <c r="H310" t="n">
        <v>0</v>
      </c>
      <c r="I310" t="n">
        <v>0</v>
      </c>
      <c r="J310" t="n">
        <v>0</v>
      </c>
      <c r="K310" t="n">
        <v>0</v>
      </c>
      <c r="L310" t="n">
        <v>0</v>
      </c>
      <c r="M310" t="n">
        <v>0</v>
      </c>
      <c r="N310" t="n">
        <v>0</v>
      </c>
      <c r="O310" t="n">
        <v>0</v>
      </c>
      <c r="P310" t="n">
        <v>0</v>
      </c>
      <c r="Q310" t="n">
        <v>0</v>
      </c>
      <c r="R310" s="2" t="inlineStr"/>
    </row>
    <row r="311" ht="15" customHeight="1">
      <c r="A311" t="inlineStr">
        <is>
          <t>A 24313-2022</t>
        </is>
      </c>
      <c r="B311" s="1" t="n">
        <v>44725.94418981481</v>
      </c>
      <c r="C311" s="1" t="n">
        <v>45961</v>
      </c>
      <c r="D311" t="inlineStr">
        <is>
          <t>VÄSTERNORRLANDS LÄN</t>
        </is>
      </c>
      <c r="E311" t="inlineStr">
        <is>
          <t>SUNDSVALL</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44603-2022</t>
        </is>
      </c>
      <c r="B312" s="1" t="n">
        <v>44839</v>
      </c>
      <c r="C312" s="1" t="n">
        <v>45961</v>
      </c>
      <c r="D312" t="inlineStr">
        <is>
          <t>VÄSTERNORRLANDS LÄN</t>
        </is>
      </c>
      <c r="E312" t="inlineStr">
        <is>
          <t>SUNDSVALL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45961</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29535-2021</t>
        </is>
      </c>
      <c r="B314" s="1" t="n">
        <v>44361</v>
      </c>
      <c r="C314" s="1" t="n">
        <v>45961</v>
      </c>
      <c r="D314" t="inlineStr">
        <is>
          <t>VÄSTERNORRLANDS LÄN</t>
        </is>
      </c>
      <c r="E314" t="inlineStr">
        <is>
          <t>SUNDSVALL</t>
        </is>
      </c>
      <c r="G314" t="n">
        <v>1.9</v>
      </c>
      <c r="H314" t="n">
        <v>0</v>
      </c>
      <c r="I314" t="n">
        <v>0</v>
      </c>
      <c r="J314" t="n">
        <v>0</v>
      </c>
      <c r="K314" t="n">
        <v>0</v>
      </c>
      <c r="L314" t="n">
        <v>0</v>
      </c>
      <c r="M314" t="n">
        <v>0</v>
      </c>
      <c r="N314" t="n">
        <v>0</v>
      </c>
      <c r="O314" t="n">
        <v>0</v>
      </c>
      <c r="P314" t="n">
        <v>0</v>
      </c>
      <c r="Q314" t="n">
        <v>0</v>
      </c>
      <c r="R314" s="2" t="inlineStr"/>
    </row>
    <row r="315" ht="15" customHeight="1">
      <c r="A315" t="inlineStr">
        <is>
          <t>A 27948-2022</t>
        </is>
      </c>
      <c r="B315" s="1" t="n">
        <v>44743</v>
      </c>
      <c r="C315" s="1" t="n">
        <v>45961</v>
      </c>
      <c r="D315" t="inlineStr">
        <is>
          <t>VÄSTERNORRLANDS LÄN</t>
        </is>
      </c>
      <c r="E315" t="inlineStr">
        <is>
          <t>SUNDSVALL</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20698-2021</t>
        </is>
      </c>
      <c r="B316" s="1" t="n">
        <v>44316</v>
      </c>
      <c r="C316" s="1" t="n">
        <v>45961</v>
      </c>
      <c r="D316" t="inlineStr">
        <is>
          <t>VÄSTERNORRLANDS LÄN</t>
        </is>
      </c>
      <c r="E316" t="inlineStr">
        <is>
          <t>SUNDSVALL</t>
        </is>
      </c>
      <c r="G316" t="n">
        <v>5.2</v>
      </c>
      <c r="H316" t="n">
        <v>0</v>
      </c>
      <c r="I316" t="n">
        <v>0</v>
      </c>
      <c r="J316" t="n">
        <v>0</v>
      </c>
      <c r="K316" t="n">
        <v>0</v>
      </c>
      <c r="L316" t="n">
        <v>0</v>
      </c>
      <c r="M316" t="n">
        <v>0</v>
      </c>
      <c r="N316" t="n">
        <v>0</v>
      </c>
      <c r="O316" t="n">
        <v>0</v>
      </c>
      <c r="P316" t="n">
        <v>0</v>
      </c>
      <c r="Q316" t="n">
        <v>0</v>
      </c>
      <c r="R316" s="2" t="inlineStr"/>
    </row>
    <row r="317" ht="15" customHeight="1">
      <c r="A317" t="inlineStr">
        <is>
          <t>A 20713-2021</t>
        </is>
      </c>
      <c r="B317" s="1" t="n">
        <v>44316</v>
      </c>
      <c r="C317" s="1" t="n">
        <v>45961</v>
      </c>
      <c r="D317" t="inlineStr">
        <is>
          <t>VÄSTERNORRLANDS LÄN</t>
        </is>
      </c>
      <c r="E317" t="inlineStr">
        <is>
          <t>SUNDSVALL</t>
        </is>
      </c>
      <c r="G317" t="n">
        <v>3</v>
      </c>
      <c r="H317" t="n">
        <v>0</v>
      </c>
      <c r="I317" t="n">
        <v>0</v>
      </c>
      <c r="J317" t="n">
        <v>0</v>
      </c>
      <c r="K317" t="n">
        <v>0</v>
      </c>
      <c r="L317" t="n">
        <v>0</v>
      </c>
      <c r="M317" t="n">
        <v>0</v>
      </c>
      <c r="N317" t="n">
        <v>0</v>
      </c>
      <c r="O317" t="n">
        <v>0</v>
      </c>
      <c r="P317" t="n">
        <v>0</v>
      </c>
      <c r="Q317" t="n">
        <v>0</v>
      </c>
      <c r="R317" s="2" t="inlineStr"/>
    </row>
    <row r="318" ht="15" customHeight="1">
      <c r="A318" t="inlineStr">
        <is>
          <t>A 51585-2022</t>
        </is>
      </c>
      <c r="B318" s="1" t="n">
        <v>44870.95725694444</v>
      </c>
      <c r="C318" s="1" t="n">
        <v>45961</v>
      </c>
      <c r="D318" t="inlineStr">
        <is>
          <t>VÄSTERNORRLANDS LÄN</t>
        </is>
      </c>
      <c r="E318" t="inlineStr">
        <is>
          <t>SUNDSVALL</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45961</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45961</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45961</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45961</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45961</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45961</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49857-2022</t>
        </is>
      </c>
      <c r="B325" s="1" t="n">
        <v>44862</v>
      </c>
      <c r="C325" s="1" t="n">
        <v>45961</v>
      </c>
      <c r="D325" t="inlineStr">
        <is>
          <t>VÄSTERNORRLANDS LÄN</t>
        </is>
      </c>
      <c r="E325" t="inlineStr">
        <is>
          <t>SUNDSVALL</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45961</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45961</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45961</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45961</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68285-2020</t>
        </is>
      </c>
      <c r="B330" s="1" t="n">
        <v>44183</v>
      </c>
      <c r="C330" s="1" t="n">
        <v>45961</v>
      </c>
      <c r="D330" t="inlineStr">
        <is>
          <t>VÄSTERNORRLANDS LÄN</t>
        </is>
      </c>
      <c r="E330" t="inlineStr">
        <is>
          <t>SUNDSVALL</t>
        </is>
      </c>
      <c r="G330" t="n">
        <v>0.3</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45961</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45961</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45961</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45961</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72769-2021</t>
        </is>
      </c>
      <c r="B335" s="1" t="n">
        <v>44546.944375</v>
      </c>
      <c r="C335" s="1" t="n">
        <v>45961</v>
      </c>
      <c r="D335" t="inlineStr">
        <is>
          <t>VÄSTERNORRLANDS LÄN</t>
        </is>
      </c>
      <c r="E335" t="inlineStr">
        <is>
          <t>SUNDSVALL</t>
        </is>
      </c>
      <c r="F335" t="inlineStr">
        <is>
          <t>SCA</t>
        </is>
      </c>
      <c r="G335" t="n">
        <v>7.5</v>
      </c>
      <c r="H335" t="n">
        <v>0</v>
      </c>
      <c r="I335" t="n">
        <v>0</v>
      </c>
      <c r="J335" t="n">
        <v>0</v>
      </c>
      <c r="K335" t="n">
        <v>0</v>
      </c>
      <c r="L335" t="n">
        <v>0</v>
      </c>
      <c r="M335" t="n">
        <v>0</v>
      </c>
      <c r="N335" t="n">
        <v>0</v>
      </c>
      <c r="O335" t="n">
        <v>0</v>
      </c>
      <c r="P335" t="n">
        <v>0</v>
      </c>
      <c r="Q335" t="n">
        <v>0</v>
      </c>
      <c r="R335" s="2" t="inlineStr"/>
    </row>
    <row r="336" ht="15" customHeight="1">
      <c r="A336" t="inlineStr">
        <is>
          <t>A 19468-2022</t>
        </is>
      </c>
      <c r="B336" s="1" t="n">
        <v>44693</v>
      </c>
      <c r="C336" s="1" t="n">
        <v>45961</v>
      </c>
      <c r="D336" t="inlineStr">
        <is>
          <t>VÄSTERNORRLANDS LÄN</t>
        </is>
      </c>
      <c r="E336" t="inlineStr">
        <is>
          <t>SUNDSVALL</t>
        </is>
      </c>
      <c r="G336" t="n">
        <v>0.1</v>
      </c>
      <c r="H336" t="n">
        <v>0</v>
      </c>
      <c r="I336" t="n">
        <v>0</v>
      </c>
      <c r="J336" t="n">
        <v>0</v>
      </c>
      <c r="K336" t="n">
        <v>0</v>
      </c>
      <c r="L336" t="n">
        <v>0</v>
      </c>
      <c r="M336" t="n">
        <v>0</v>
      </c>
      <c r="N336" t="n">
        <v>0</v>
      </c>
      <c r="O336" t="n">
        <v>0</v>
      </c>
      <c r="P336" t="n">
        <v>0</v>
      </c>
      <c r="Q336" t="n">
        <v>0</v>
      </c>
      <c r="R336" s="2" t="inlineStr"/>
    </row>
    <row r="337" ht="15" customHeight="1">
      <c r="A337" t="inlineStr">
        <is>
          <t>A 57890-2020</t>
        </is>
      </c>
      <c r="B337" s="1" t="n">
        <v>44140</v>
      </c>
      <c r="C337" s="1" t="n">
        <v>45961</v>
      </c>
      <c r="D337" t="inlineStr">
        <is>
          <t>VÄSTERNORRLANDS LÄN</t>
        </is>
      </c>
      <c r="E337" t="inlineStr">
        <is>
          <t>SUNDSVALL</t>
        </is>
      </c>
      <c r="G337" t="n">
        <v>2.9</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45961</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44610-2022</t>
        </is>
      </c>
      <c r="B339" s="1" t="n">
        <v>44839</v>
      </c>
      <c r="C339" s="1" t="n">
        <v>45961</v>
      </c>
      <c r="D339" t="inlineStr">
        <is>
          <t>VÄSTERNORRLANDS LÄN</t>
        </is>
      </c>
      <c r="E339" t="inlineStr">
        <is>
          <t>SUNDSVALL</t>
        </is>
      </c>
      <c r="G339" t="n">
        <v>15.2</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45961</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53932-2022</t>
        </is>
      </c>
      <c r="B341" s="1" t="n">
        <v>44880.95572916666</v>
      </c>
      <c r="C341" s="1" t="n">
        <v>45961</v>
      </c>
      <c r="D341" t="inlineStr">
        <is>
          <t>VÄSTERNORRLANDS LÄN</t>
        </is>
      </c>
      <c r="E341" t="inlineStr">
        <is>
          <t>SUNDSVALL</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45961</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45961</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25539-2021</t>
        </is>
      </c>
      <c r="B344" s="1" t="n">
        <v>44343.3071875</v>
      </c>
      <c r="C344" s="1" t="n">
        <v>45961</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45961</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45961</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45961</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45961</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45961</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45961</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45961</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32183-2021</t>
        </is>
      </c>
      <c r="B352" s="1" t="n">
        <v>44371</v>
      </c>
      <c r="C352" s="1" t="n">
        <v>45961</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29468-2021</t>
        </is>
      </c>
      <c r="B353" s="1" t="n">
        <v>44361</v>
      </c>
      <c r="C353" s="1" t="n">
        <v>45961</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29576-2021</t>
        </is>
      </c>
      <c r="B354" s="1" t="n">
        <v>44361</v>
      </c>
      <c r="C354" s="1" t="n">
        <v>45961</v>
      </c>
      <c r="D354" t="inlineStr">
        <is>
          <t>VÄSTERNORRLANDS LÄN</t>
        </is>
      </c>
      <c r="E354" t="inlineStr">
        <is>
          <t>SUNDSVALL</t>
        </is>
      </c>
      <c r="G354" t="n">
        <v>2</v>
      </c>
      <c r="H354" t="n">
        <v>0</v>
      </c>
      <c r="I354" t="n">
        <v>0</v>
      </c>
      <c r="J354" t="n">
        <v>0</v>
      </c>
      <c r="K354" t="n">
        <v>0</v>
      </c>
      <c r="L354" t="n">
        <v>0</v>
      </c>
      <c r="M354" t="n">
        <v>0</v>
      </c>
      <c r="N354" t="n">
        <v>0</v>
      </c>
      <c r="O354" t="n">
        <v>0</v>
      </c>
      <c r="P354" t="n">
        <v>0</v>
      </c>
      <c r="Q354" t="n">
        <v>0</v>
      </c>
      <c r="R354" s="2" t="inlineStr"/>
    </row>
    <row r="355" ht="15" customHeight="1">
      <c r="A355" t="inlineStr">
        <is>
          <t>A 41469-2021</t>
        </is>
      </c>
      <c r="B355" s="1" t="n">
        <v>44424</v>
      </c>
      <c r="C355" s="1" t="n">
        <v>45961</v>
      </c>
      <c r="D355" t="inlineStr">
        <is>
          <t>VÄSTERNORRLANDS LÄN</t>
        </is>
      </c>
      <c r="E355" t="inlineStr">
        <is>
          <t>SUNDSVALL</t>
        </is>
      </c>
      <c r="G355" t="n">
        <v>3.3</v>
      </c>
      <c r="H355" t="n">
        <v>0</v>
      </c>
      <c r="I355" t="n">
        <v>0</v>
      </c>
      <c r="J355" t="n">
        <v>0</v>
      </c>
      <c r="K355" t="n">
        <v>0</v>
      </c>
      <c r="L355" t="n">
        <v>0</v>
      </c>
      <c r="M355" t="n">
        <v>0</v>
      </c>
      <c r="N355" t="n">
        <v>0</v>
      </c>
      <c r="O355" t="n">
        <v>0</v>
      </c>
      <c r="P355" t="n">
        <v>0</v>
      </c>
      <c r="Q355" t="n">
        <v>0</v>
      </c>
      <c r="R355" s="2" t="inlineStr"/>
    </row>
    <row r="356" ht="15" customHeight="1">
      <c r="A356" t="inlineStr">
        <is>
          <t>A 62080-2021</t>
        </is>
      </c>
      <c r="B356" s="1" t="n">
        <v>44502</v>
      </c>
      <c r="C356" s="1" t="n">
        <v>45961</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45961</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41800-2022</t>
        </is>
      </c>
      <c r="B358" s="1" t="n">
        <v>44827.9250462963</v>
      </c>
      <c r="C358" s="1" t="n">
        <v>45961</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17379-2021</t>
        </is>
      </c>
      <c r="B359" s="1" t="n">
        <v>44298</v>
      </c>
      <c r="C359" s="1" t="n">
        <v>45961</v>
      </c>
      <c r="D359" t="inlineStr">
        <is>
          <t>VÄSTERNORRLANDS LÄN</t>
        </is>
      </c>
      <c r="E359" t="inlineStr">
        <is>
          <t>SUNDSVALL</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55594-2021</t>
        </is>
      </c>
      <c r="B360" s="1" t="n">
        <v>44475</v>
      </c>
      <c r="C360" s="1" t="n">
        <v>45961</v>
      </c>
      <c r="D360" t="inlineStr">
        <is>
          <t>VÄSTERNORRLANDS LÄN</t>
        </is>
      </c>
      <c r="E360" t="inlineStr">
        <is>
          <t>SUNDSVALL</t>
        </is>
      </c>
      <c r="G360" t="n">
        <v>1.5</v>
      </c>
      <c r="H360" t="n">
        <v>0</v>
      </c>
      <c r="I360" t="n">
        <v>0</v>
      </c>
      <c r="J360" t="n">
        <v>0</v>
      </c>
      <c r="K360" t="n">
        <v>0</v>
      </c>
      <c r="L360" t="n">
        <v>0</v>
      </c>
      <c r="M360" t="n">
        <v>0</v>
      </c>
      <c r="N360" t="n">
        <v>0</v>
      </c>
      <c r="O360" t="n">
        <v>0</v>
      </c>
      <c r="P360" t="n">
        <v>0</v>
      </c>
      <c r="Q360" t="n">
        <v>0</v>
      </c>
      <c r="R360" s="2" t="inlineStr"/>
    </row>
    <row r="361" ht="15" customHeight="1">
      <c r="A361" t="inlineStr">
        <is>
          <t>A 43199-2021</t>
        </is>
      </c>
      <c r="B361" s="1" t="n">
        <v>44431.91931712963</v>
      </c>
      <c r="C361" s="1" t="n">
        <v>45961</v>
      </c>
      <c r="D361" t="inlineStr">
        <is>
          <t>VÄSTERNORRLANDS LÄN</t>
        </is>
      </c>
      <c r="E361" t="inlineStr">
        <is>
          <t>SUNDSVALL</t>
        </is>
      </c>
      <c r="G361" t="n">
        <v>0.8</v>
      </c>
      <c r="H361" t="n">
        <v>0</v>
      </c>
      <c r="I361" t="n">
        <v>0</v>
      </c>
      <c r="J361" t="n">
        <v>0</v>
      </c>
      <c r="K361" t="n">
        <v>0</v>
      </c>
      <c r="L361" t="n">
        <v>0</v>
      </c>
      <c r="M361" t="n">
        <v>0</v>
      </c>
      <c r="N361" t="n">
        <v>0</v>
      </c>
      <c r="O361" t="n">
        <v>0</v>
      </c>
      <c r="P361" t="n">
        <v>0</v>
      </c>
      <c r="Q361" t="n">
        <v>0</v>
      </c>
      <c r="R361" s="2" t="inlineStr"/>
    </row>
    <row r="362" ht="15" customHeight="1">
      <c r="A362" t="inlineStr">
        <is>
          <t>A 48705-2021</t>
        </is>
      </c>
      <c r="B362" s="1" t="n">
        <v>44452</v>
      </c>
      <c r="C362" s="1" t="n">
        <v>45961</v>
      </c>
      <c r="D362" t="inlineStr">
        <is>
          <t>VÄSTERNORRLANDS LÄN</t>
        </is>
      </c>
      <c r="E362" t="inlineStr">
        <is>
          <t>SUNDSVALL</t>
        </is>
      </c>
      <c r="G362" t="n">
        <v>3.1</v>
      </c>
      <c r="H362" t="n">
        <v>0</v>
      </c>
      <c r="I362" t="n">
        <v>0</v>
      </c>
      <c r="J362" t="n">
        <v>0</v>
      </c>
      <c r="K362" t="n">
        <v>0</v>
      </c>
      <c r="L362" t="n">
        <v>0</v>
      </c>
      <c r="M362" t="n">
        <v>0</v>
      </c>
      <c r="N362" t="n">
        <v>0</v>
      </c>
      <c r="O362" t="n">
        <v>0</v>
      </c>
      <c r="P362" t="n">
        <v>0</v>
      </c>
      <c r="Q362" t="n">
        <v>0</v>
      </c>
      <c r="R362" s="2" t="inlineStr"/>
    </row>
    <row r="363" ht="15" customHeight="1">
      <c r="A363" t="inlineStr">
        <is>
          <t>A 53289-2022</t>
        </is>
      </c>
      <c r="B363" s="1" t="n">
        <v>44876.95109953704</v>
      </c>
      <c r="C363" s="1" t="n">
        <v>45961</v>
      </c>
      <c r="D363" t="inlineStr">
        <is>
          <t>VÄSTERNORRLANDS LÄN</t>
        </is>
      </c>
      <c r="E363" t="inlineStr">
        <is>
          <t>SUNDSVALL</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54993-2022</t>
        </is>
      </c>
      <c r="B364" s="1" t="n">
        <v>44881</v>
      </c>
      <c r="C364" s="1" t="n">
        <v>45961</v>
      </c>
      <c r="D364" t="inlineStr">
        <is>
          <t>VÄSTERNORRLANDS LÄN</t>
        </is>
      </c>
      <c r="E364" t="inlineStr">
        <is>
          <t>SUNDSVALL</t>
        </is>
      </c>
      <c r="G364" t="n">
        <v>2.1</v>
      </c>
      <c r="H364" t="n">
        <v>0</v>
      </c>
      <c r="I364" t="n">
        <v>0</v>
      </c>
      <c r="J364" t="n">
        <v>0</v>
      </c>
      <c r="K364" t="n">
        <v>0</v>
      </c>
      <c r="L364" t="n">
        <v>0</v>
      </c>
      <c r="M364" t="n">
        <v>0</v>
      </c>
      <c r="N364" t="n">
        <v>0</v>
      </c>
      <c r="O364" t="n">
        <v>0</v>
      </c>
      <c r="P364" t="n">
        <v>0</v>
      </c>
      <c r="Q364" t="n">
        <v>0</v>
      </c>
      <c r="R364" s="2" t="inlineStr"/>
    </row>
    <row r="365" ht="15" customHeight="1">
      <c r="A365" t="inlineStr">
        <is>
          <t>A 25980-2021</t>
        </is>
      </c>
      <c r="B365" s="1" t="n">
        <v>44344.56225694445</v>
      </c>
      <c r="C365" s="1" t="n">
        <v>45961</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28829-2021</t>
        </is>
      </c>
      <c r="B366" s="1" t="n">
        <v>44357</v>
      </c>
      <c r="C366" s="1" t="n">
        <v>45961</v>
      </c>
      <c r="D366" t="inlineStr">
        <is>
          <t>VÄSTERNORRLANDS LÄN</t>
        </is>
      </c>
      <c r="E366" t="inlineStr">
        <is>
          <t>SUNDSVALL</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55896-2022</t>
        </is>
      </c>
      <c r="B367" s="1" t="n">
        <v>44888.95318287037</v>
      </c>
      <c r="C367" s="1" t="n">
        <v>45961</v>
      </c>
      <c r="D367" t="inlineStr">
        <is>
          <t>VÄSTERNORRLANDS LÄN</t>
        </is>
      </c>
      <c r="E367" t="inlineStr">
        <is>
          <t>SUNDSVALL</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59326-2021</t>
        </is>
      </c>
      <c r="B368" s="1" t="n">
        <v>44490.94144675926</v>
      </c>
      <c r="C368" s="1" t="n">
        <v>45961</v>
      </c>
      <c r="D368" t="inlineStr">
        <is>
          <t>VÄSTERNORRLANDS LÄN</t>
        </is>
      </c>
      <c r="E368" t="inlineStr">
        <is>
          <t>SUNDSVALL</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64394-2020</t>
        </is>
      </c>
      <c r="B369" s="1" t="n">
        <v>44168</v>
      </c>
      <c r="C369" s="1" t="n">
        <v>45961</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16147-2022</t>
        </is>
      </c>
      <c r="B370" s="1" t="n">
        <v>44665</v>
      </c>
      <c r="C370" s="1" t="n">
        <v>45961</v>
      </c>
      <c r="D370" t="inlineStr">
        <is>
          <t>VÄSTERNORRLANDS LÄN</t>
        </is>
      </c>
      <c r="E370" t="inlineStr">
        <is>
          <t>SUNDSVALL</t>
        </is>
      </c>
      <c r="F370" t="inlineStr">
        <is>
          <t>SCA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42195-2021</t>
        </is>
      </c>
      <c r="B371" s="1" t="n">
        <v>44426.69466435185</v>
      </c>
      <c r="C371" s="1" t="n">
        <v>45961</v>
      </c>
      <c r="D371" t="inlineStr">
        <is>
          <t>VÄSTERNORRLANDS LÄN</t>
        </is>
      </c>
      <c r="E371" t="inlineStr">
        <is>
          <t>SUNDSVALL</t>
        </is>
      </c>
      <c r="G371" t="n">
        <v>2.1</v>
      </c>
      <c r="H371" t="n">
        <v>0</v>
      </c>
      <c r="I371" t="n">
        <v>0</v>
      </c>
      <c r="J371" t="n">
        <v>0</v>
      </c>
      <c r="K371" t="n">
        <v>0</v>
      </c>
      <c r="L371" t="n">
        <v>0</v>
      </c>
      <c r="M371" t="n">
        <v>0</v>
      </c>
      <c r="N371" t="n">
        <v>0</v>
      </c>
      <c r="O371" t="n">
        <v>0</v>
      </c>
      <c r="P371" t="n">
        <v>0</v>
      </c>
      <c r="Q371" t="n">
        <v>0</v>
      </c>
      <c r="R371" s="2" t="inlineStr"/>
    </row>
    <row r="372" ht="15" customHeight="1">
      <c r="A372" t="inlineStr">
        <is>
          <t>A 10602-2021</t>
        </is>
      </c>
      <c r="B372" s="1" t="n">
        <v>44258</v>
      </c>
      <c r="C372" s="1" t="n">
        <v>45961</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31957-2022</t>
        </is>
      </c>
      <c r="B373" s="1" t="n">
        <v>44777</v>
      </c>
      <c r="C373" s="1" t="n">
        <v>45961</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3351-2021</t>
        </is>
      </c>
      <c r="B374" s="1" t="n">
        <v>44217</v>
      </c>
      <c r="C374" s="1" t="n">
        <v>45961</v>
      </c>
      <c r="D374" t="inlineStr">
        <is>
          <t>VÄSTERNORRLANDS LÄN</t>
        </is>
      </c>
      <c r="E374" t="inlineStr">
        <is>
          <t>SUNDSVALL</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6644-2022</t>
        </is>
      </c>
      <c r="B375" s="1" t="n">
        <v>44601.93631944444</v>
      </c>
      <c r="C375" s="1" t="n">
        <v>45961</v>
      </c>
      <c r="D375" t="inlineStr">
        <is>
          <t>VÄSTERNORRLANDS LÄN</t>
        </is>
      </c>
      <c r="E375" t="inlineStr">
        <is>
          <t>SUNDSVALL</t>
        </is>
      </c>
      <c r="G375" t="n">
        <v>2.7</v>
      </c>
      <c r="H375" t="n">
        <v>0</v>
      </c>
      <c r="I375" t="n">
        <v>0</v>
      </c>
      <c r="J375" t="n">
        <v>0</v>
      </c>
      <c r="K375" t="n">
        <v>0</v>
      </c>
      <c r="L375" t="n">
        <v>0</v>
      </c>
      <c r="M375" t="n">
        <v>0</v>
      </c>
      <c r="N375" t="n">
        <v>0</v>
      </c>
      <c r="O375" t="n">
        <v>0</v>
      </c>
      <c r="P375" t="n">
        <v>0</v>
      </c>
      <c r="Q375" t="n">
        <v>0</v>
      </c>
      <c r="R375" s="2" t="inlineStr"/>
    </row>
    <row r="376" ht="15" customHeight="1">
      <c r="A376" t="inlineStr">
        <is>
          <t>A 53934-2022</t>
        </is>
      </c>
      <c r="B376" s="1" t="n">
        <v>44880.95587962963</v>
      </c>
      <c r="C376" s="1" t="n">
        <v>45961</v>
      </c>
      <c r="D376" t="inlineStr">
        <is>
          <t>VÄSTERNORRLANDS LÄN</t>
        </is>
      </c>
      <c r="E376" t="inlineStr">
        <is>
          <t>SUNDSVALL</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23081-2022</t>
        </is>
      </c>
      <c r="B377" s="1" t="n">
        <v>44719.46951388889</v>
      </c>
      <c r="C377" s="1" t="n">
        <v>45961</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29301-2021</t>
        </is>
      </c>
      <c r="B378" s="1" t="n">
        <v>44361.40407407407</v>
      </c>
      <c r="C378" s="1" t="n">
        <v>45961</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57082-2021</t>
        </is>
      </c>
      <c r="B379" s="1" t="n">
        <v>44482</v>
      </c>
      <c r="C379" s="1" t="n">
        <v>45961</v>
      </c>
      <c r="D379" t="inlineStr">
        <is>
          <t>VÄSTERNORRLANDS LÄN</t>
        </is>
      </c>
      <c r="E379" t="inlineStr">
        <is>
          <t>SUNDSVALL</t>
        </is>
      </c>
      <c r="G379" t="n">
        <v>0.3</v>
      </c>
      <c r="H379" t="n">
        <v>0</v>
      </c>
      <c r="I379" t="n">
        <v>0</v>
      </c>
      <c r="J379" t="n">
        <v>0</v>
      </c>
      <c r="K379" t="n">
        <v>0</v>
      </c>
      <c r="L379" t="n">
        <v>0</v>
      </c>
      <c r="M379" t="n">
        <v>0</v>
      </c>
      <c r="N379" t="n">
        <v>0</v>
      </c>
      <c r="O379" t="n">
        <v>0</v>
      </c>
      <c r="P379" t="n">
        <v>0</v>
      </c>
      <c r="Q379" t="n">
        <v>0</v>
      </c>
      <c r="R379" s="2" t="inlineStr"/>
    </row>
    <row r="380" ht="15" customHeight="1">
      <c r="A380" t="inlineStr">
        <is>
          <t>A 42878-2022</t>
        </is>
      </c>
      <c r="B380" s="1" t="n">
        <v>44832.92944444445</v>
      </c>
      <c r="C380" s="1" t="n">
        <v>45961</v>
      </c>
      <c r="D380" t="inlineStr">
        <is>
          <t>VÄSTERNORRLANDS LÄN</t>
        </is>
      </c>
      <c r="E380" t="inlineStr">
        <is>
          <t>SUNDSVALL</t>
        </is>
      </c>
      <c r="G380" t="n">
        <v>1.2</v>
      </c>
      <c r="H380" t="n">
        <v>0</v>
      </c>
      <c r="I380" t="n">
        <v>0</v>
      </c>
      <c r="J380" t="n">
        <v>0</v>
      </c>
      <c r="K380" t="n">
        <v>0</v>
      </c>
      <c r="L380" t="n">
        <v>0</v>
      </c>
      <c r="M380" t="n">
        <v>0</v>
      </c>
      <c r="N380" t="n">
        <v>0</v>
      </c>
      <c r="O380" t="n">
        <v>0</v>
      </c>
      <c r="P380" t="n">
        <v>0</v>
      </c>
      <c r="Q380" t="n">
        <v>0</v>
      </c>
      <c r="R380" s="2" t="inlineStr"/>
    </row>
    <row r="381" ht="15" customHeight="1">
      <c r="A381" t="inlineStr">
        <is>
          <t>A 40827-2022</t>
        </is>
      </c>
      <c r="B381" s="1" t="n">
        <v>44824</v>
      </c>
      <c r="C381" s="1" t="n">
        <v>45961</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20510-2022</t>
        </is>
      </c>
      <c r="B382" s="1" t="n">
        <v>44699.92501157407</v>
      </c>
      <c r="C382" s="1" t="n">
        <v>45961</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20516-2022</t>
        </is>
      </c>
      <c r="B383" s="1" t="n">
        <v>44699.92626157407</v>
      </c>
      <c r="C383" s="1" t="n">
        <v>45961</v>
      </c>
      <c r="D383" t="inlineStr">
        <is>
          <t>VÄSTERNORRLANDS LÄN</t>
        </is>
      </c>
      <c r="E383" t="inlineStr">
        <is>
          <t>SUNDSVALL</t>
        </is>
      </c>
      <c r="G383" t="n">
        <v>2.6</v>
      </c>
      <c r="H383" t="n">
        <v>0</v>
      </c>
      <c r="I383" t="n">
        <v>0</v>
      </c>
      <c r="J383" t="n">
        <v>0</v>
      </c>
      <c r="K383" t="n">
        <v>0</v>
      </c>
      <c r="L383" t="n">
        <v>0</v>
      </c>
      <c r="M383" t="n">
        <v>0</v>
      </c>
      <c r="N383" t="n">
        <v>0</v>
      </c>
      <c r="O383" t="n">
        <v>0</v>
      </c>
      <c r="P383" t="n">
        <v>0</v>
      </c>
      <c r="Q383" t="n">
        <v>0</v>
      </c>
      <c r="R383" s="2" t="inlineStr"/>
    </row>
    <row r="384" ht="15" customHeight="1">
      <c r="A384" t="inlineStr">
        <is>
          <t>A 64479-2020</t>
        </is>
      </c>
      <c r="B384" s="1" t="n">
        <v>44168</v>
      </c>
      <c r="C384" s="1" t="n">
        <v>45961</v>
      </c>
      <c r="D384" t="inlineStr">
        <is>
          <t>VÄSTERNORRLANDS LÄN</t>
        </is>
      </c>
      <c r="E384" t="inlineStr">
        <is>
          <t>SUNDSVALL</t>
        </is>
      </c>
      <c r="G384" t="n">
        <v>0.8</v>
      </c>
      <c r="H384" t="n">
        <v>0</v>
      </c>
      <c r="I384" t="n">
        <v>0</v>
      </c>
      <c r="J384" t="n">
        <v>0</v>
      </c>
      <c r="K384" t="n">
        <v>0</v>
      </c>
      <c r="L384" t="n">
        <v>0</v>
      </c>
      <c r="M384" t="n">
        <v>0</v>
      </c>
      <c r="N384" t="n">
        <v>0</v>
      </c>
      <c r="O384" t="n">
        <v>0</v>
      </c>
      <c r="P384" t="n">
        <v>0</v>
      </c>
      <c r="Q384" t="n">
        <v>0</v>
      </c>
      <c r="R384" s="2" t="inlineStr"/>
    </row>
    <row r="385" ht="15" customHeight="1">
      <c r="A385" t="inlineStr">
        <is>
          <t>A 62077-2021</t>
        </is>
      </c>
      <c r="B385" s="1" t="n">
        <v>44502</v>
      </c>
      <c r="C385" s="1" t="n">
        <v>45961</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59978-2021</t>
        </is>
      </c>
      <c r="B386" s="1" t="n">
        <v>44494.93712962963</v>
      </c>
      <c r="C386" s="1" t="n">
        <v>45961</v>
      </c>
      <c r="D386" t="inlineStr">
        <is>
          <t>VÄSTERNORRLANDS LÄN</t>
        </is>
      </c>
      <c r="E386" t="inlineStr">
        <is>
          <t>SUNDSVALL</t>
        </is>
      </c>
      <c r="F386" t="inlineStr">
        <is>
          <t>SCA</t>
        </is>
      </c>
      <c r="G386" t="n">
        <v>8.1</v>
      </c>
      <c r="H386" t="n">
        <v>0</v>
      </c>
      <c r="I386" t="n">
        <v>0</v>
      </c>
      <c r="J386" t="n">
        <v>0</v>
      </c>
      <c r="K386" t="n">
        <v>0</v>
      </c>
      <c r="L386" t="n">
        <v>0</v>
      </c>
      <c r="M386" t="n">
        <v>0</v>
      </c>
      <c r="N386" t="n">
        <v>0</v>
      </c>
      <c r="O386" t="n">
        <v>0</v>
      </c>
      <c r="P386" t="n">
        <v>0</v>
      </c>
      <c r="Q386" t="n">
        <v>0</v>
      </c>
      <c r="R386" s="2" t="inlineStr"/>
    </row>
    <row r="387" ht="15" customHeight="1">
      <c r="A387" t="inlineStr">
        <is>
          <t>A 40950-2022</t>
        </is>
      </c>
      <c r="B387" s="1" t="n">
        <v>44823</v>
      </c>
      <c r="C387" s="1" t="n">
        <v>45961</v>
      </c>
      <c r="D387" t="inlineStr">
        <is>
          <t>VÄSTERNORRLANDS LÄN</t>
        </is>
      </c>
      <c r="E387" t="inlineStr">
        <is>
          <t>SUNDSVALL</t>
        </is>
      </c>
      <c r="G387" t="n">
        <v>0.1</v>
      </c>
      <c r="H387" t="n">
        <v>0</v>
      </c>
      <c r="I387" t="n">
        <v>0</v>
      </c>
      <c r="J387" t="n">
        <v>0</v>
      </c>
      <c r="K387" t="n">
        <v>0</v>
      </c>
      <c r="L387" t="n">
        <v>0</v>
      </c>
      <c r="M387" t="n">
        <v>0</v>
      </c>
      <c r="N387" t="n">
        <v>0</v>
      </c>
      <c r="O387" t="n">
        <v>0</v>
      </c>
      <c r="P387" t="n">
        <v>0</v>
      </c>
      <c r="Q387" t="n">
        <v>0</v>
      </c>
      <c r="R387" s="2" t="inlineStr"/>
    </row>
    <row r="388" ht="15" customHeight="1">
      <c r="A388" t="inlineStr">
        <is>
          <t>A 25937-2022</t>
        </is>
      </c>
      <c r="B388" s="1" t="n">
        <v>44734.39086805555</v>
      </c>
      <c r="C388" s="1" t="n">
        <v>45961</v>
      </c>
      <c r="D388" t="inlineStr">
        <is>
          <t>VÄSTERNORRLANDS LÄN</t>
        </is>
      </c>
      <c r="E388" t="inlineStr">
        <is>
          <t>SUNDSVALL</t>
        </is>
      </c>
      <c r="F388" t="inlineStr">
        <is>
          <t>Holmen skog AB</t>
        </is>
      </c>
      <c r="G388" t="n">
        <v>3.1</v>
      </c>
      <c r="H388" t="n">
        <v>0</v>
      </c>
      <c r="I388" t="n">
        <v>0</v>
      </c>
      <c r="J388" t="n">
        <v>0</v>
      </c>
      <c r="K388" t="n">
        <v>0</v>
      </c>
      <c r="L388" t="n">
        <v>0</v>
      </c>
      <c r="M388" t="n">
        <v>0</v>
      </c>
      <c r="N388" t="n">
        <v>0</v>
      </c>
      <c r="O388" t="n">
        <v>0</v>
      </c>
      <c r="P388" t="n">
        <v>0</v>
      </c>
      <c r="Q388" t="n">
        <v>0</v>
      </c>
      <c r="R388" s="2" t="inlineStr"/>
    </row>
    <row r="389" ht="15" customHeight="1">
      <c r="A389" t="inlineStr">
        <is>
          <t>A 4365-2021</t>
        </is>
      </c>
      <c r="B389" s="1" t="n">
        <v>44221</v>
      </c>
      <c r="C389" s="1" t="n">
        <v>45961</v>
      </c>
      <c r="D389" t="inlineStr">
        <is>
          <t>VÄSTERNORRLANDS LÄN</t>
        </is>
      </c>
      <c r="E389" t="inlineStr">
        <is>
          <t>SUNDSVALL</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2233-2021</t>
        </is>
      </c>
      <c r="B390" s="1" t="n">
        <v>44211</v>
      </c>
      <c r="C390" s="1" t="n">
        <v>45961</v>
      </c>
      <c r="D390" t="inlineStr">
        <is>
          <t>VÄSTERNORRLANDS LÄN</t>
        </is>
      </c>
      <c r="E390" t="inlineStr">
        <is>
          <t>SUNDSVALL</t>
        </is>
      </c>
      <c r="G390" t="n">
        <v>2.3</v>
      </c>
      <c r="H390" t="n">
        <v>0</v>
      </c>
      <c r="I390" t="n">
        <v>0</v>
      </c>
      <c r="J390" t="n">
        <v>0</v>
      </c>
      <c r="K390" t="n">
        <v>0</v>
      </c>
      <c r="L390" t="n">
        <v>0</v>
      </c>
      <c r="M390" t="n">
        <v>0</v>
      </c>
      <c r="N390" t="n">
        <v>0</v>
      </c>
      <c r="O390" t="n">
        <v>0</v>
      </c>
      <c r="P390" t="n">
        <v>0</v>
      </c>
      <c r="Q390" t="n">
        <v>0</v>
      </c>
      <c r="R390" s="2" t="inlineStr"/>
    </row>
    <row r="391" ht="15" customHeight="1">
      <c r="A391" t="inlineStr">
        <is>
          <t>A 32119-2022</t>
        </is>
      </c>
      <c r="B391" s="1" t="n">
        <v>44778.94293981481</v>
      </c>
      <c r="C391" s="1" t="n">
        <v>45961</v>
      </c>
      <c r="D391" t="inlineStr">
        <is>
          <t>VÄSTERNORRLANDS LÄN</t>
        </is>
      </c>
      <c r="E391" t="inlineStr">
        <is>
          <t>SUNDSVALL</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39169-2021</t>
        </is>
      </c>
      <c r="B392" s="1" t="n">
        <v>44412</v>
      </c>
      <c r="C392" s="1" t="n">
        <v>45961</v>
      </c>
      <c r="D392" t="inlineStr">
        <is>
          <t>VÄSTERNORRLANDS LÄN</t>
        </is>
      </c>
      <c r="E392" t="inlineStr">
        <is>
          <t>SUNDSVALL</t>
        </is>
      </c>
      <c r="G392" t="n">
        <v>3</v>
      </c>
      <c r="H392" t="n">
        <v>0</v>
      </c>
      <c r="I392" t="n">
        <v>0</v>
      </c>
      <c r="J392" t="n">
        <v>0</v>
      </c>
      <c r="K392" t="n">
        <v>0</v>
      </c>
      <c r="L392" t="n">
        <v>0</v>
      </c>
      <c r="M392" t="n">
        <v>0</v>
      </c>
      <c r="N392" t="n">
        <v>0</v>
      </c>
      <c r="O392" t="n">
        <v>0</v>
      </c>
      <c r="P392" t="n">
        <v>0</v>
      </c>
      <c r="Q392" t="n">
        <v>0</v>
      </c>
      <c r="R392" s="2" t="inlineStr"/>
    </row>
    <row r="393" ht="15" customHeight="1">
      <c r="A393" t="inlineStr">
        <is>
          <t>A 36226-2021</t>
        </is>
      </c>
      <c r="B393" s="1" t="n">
        <v>44389.92116898148</v>
      </c>
      <c r="C393" s="1" t="n">
        <v>45961</v>
      </c>
      <c r="D393" t="inlineStr">
        <is>
          <t>VÄSTERNORRLANDS LÄN</t>
        </is>
      </c>
      <c r="E393" t="inlineStr">
        <is>
          <t>SUNDSVALL</t>
        </is>
      </c>
      <c r="G393" t="n">
        <v>1.2</v>
      </c>
      <c r="H393" t="n">
        <v>0</v>
      </c>
      <c r="I393" t="n">
        <v>0</v>
      </c>
      <c r="J393" t="n">
        <v>0</v>
      </c>
      <c r="K393" t="n">
        <v>0</v>
      </c>
      <c r="L393" t="n">
        <v>0</v>
      </c>
      <c r="M393" t="n">
        <v>0</v>
      </c>
      <c r="N393" t="n">
        <v>0</v>
      </c>
      <c r="O393" t="n">
        <v>0</v>
      </c>
      <c r="P393" t="n">
        <v>0</v>
      </c>
      <c r="Q393" t="n">
        <v>0</v>
      </c>
      <c r="R393" s="2" t="inlineStr"/>
    </row>
    <row r="394" ht="15" customHeight="1">
      <c r="A394" t="inlineStr">
        <is>
          <t>A 45000-2021</t>
        </is>
      </c>
      <c r="B394" s="1" t="n">
        <v>44438.91943287037</v>
      </c>
      <c r="C394" s="1" t="n">
        <v>45961</v>
      </c>
      <c r="D394" t="inlineStr">
        <is>
          <t>VÄSTERNORRLANDS LÄN</t>
        </is>
      </c>
      <c r="E394" t="inlineStr">
        <is>
          <t>SUNDSVALL</t>
        </is>
      </c>
      <c r="G394" t="n">
        <v>4.8</v>
      </c>
      <c r="H394" t="n">
        <v>0</v>
      </c>
      <c r="I394" t="n">
        <v>0</v>
      </c>
      <c r="J394" t="n">
        <v>0</v>
      </c>
      <c r="K394" t="n">
        <v>0</v>
      </c>
      <c r="L394" t="n">
        <v>0</v>
      </c>
      <c r="M394" t="n">
        <v>0</v>
      </c>
      <c r="N394" t="n">
        <v>0</v>
      </c>
      <c r="O394" t="n">
        <v>0</v>
      </c>
      <c r="P394" t="n">
        <v>0</v>
      </c>
      <c r="Q394" t="n">
        <v>0</v>
      </c>
      <c r="R394" s="2" t="inlineStr"/>
    </row>
    <row r="395" ht="15" customHeight="1">
      <c r="A395" t="inlineStr">
        <is>
          <t>A 15698-2022</t>
        </is>
      </c>
      <c r="B395" s="1" t="n">
        <v>44663</v>
      </c>
      <c r="C395" s="1" t="n">
        <v>45961</v>
      </c>
      <c r="D395" t="inlineStr">
        <is>
          <t>VÄSTERNORRLANDS LÄN</t>
        </is>
      </c>
      <c r="E395" t="inlineStr">
        <is>
          <t>SUNDSVALL</t>
        </is>
      </c>
      <c r="G395" t="n">
        <v>1.2</v>
      </c>
      <c r="H395" t="n">
        <v>0</v>
      </c>
      <c r="I395" t="n">
        <v>0</v>
      </c>
      <c r="J395" t="n">
        <v>0</v>
      </c>
      <c r="K395" t="n">
        <v>0</v>
      </c>
      <c r="L395" t="n">
        <v>0</v>
      </c>
      <c r="M395" t="n">
        <v>0</v>
      </c>
      <c r="N395" t="n">
        <v>0</v>
      </c>
      <c r="O395" t="n">
        <v>0</v>
      </c>
      <c r="P395" t="n">
        <v>0</v>
      </c>
      <c r="Q395" t="n">
        <v>0</v>
      </c>
      <c r="R395" s="2" t="inlineStr"/>
    </row>
    <row r="396" ht="15" customHeight="1">
      <c r="A396" t="inlineStr">
        <is>
          <t>A 15733-2022</t>
        </is>
      </c>
      <c r="B396" s="1" t="n">
        <v>44663.5059837963</v>
      </c>
      <c r="C396" s="1" t="n">
        <v>45961</v>
      </c>
      <c r="D396" t="inlineStr">
        <is>
          <t>VÄSTERNORRLANDS LÄN</t>
        </is>
      </c>
      <c r="E396" t="inlineStr">
        <is>
          <t>SUNDSVALL</t>
        </is>
      </c>
      <c r="G396" t="n">
        <v>6.8</v>
      </c>
      <c r="H396" t="n">
        <v>0</v>
      </c>
      <c r="I396" t="n">
        <v>0</v>
      </c>
      <c r="J396" t="n">
        <v>0</v>
      </c>
      <c r="K396" t="n">
        <v>0</v>
      </c>
      <c r="L396" t="n">
        <v>0</v>
      </c>
      <c r="M396" t="n">
        <v>0</v>
      </c>
      <c r="N396" t="n">
        <v>0</v>
      </c>
      <c r="O396" t="n">
        <v>0</v>
      </c>
      <c r="P396" t="n">
        <v>0</v>
      </c>
      <c r="Q396" t="n">
        <v>0</v>
      </c>
      <c r="R396" s="2" t="inlineStr"/>
    </row>
    <row r="397" ht="15" customHeight="1">
      <c r="A397" t="inlineStr">
        <is>
          <t>A 34612-2021</t>
        </is>
      </c>
      <c r="B397" s="1" t="n">
        <v>44379</v>
      </c>
      <c r="C397" s="1" t="n">
        <v>45961</v>
      </c>
      <c r="D397" t="inlineStr">
        <is>
          <t>VÄSTERNORRLANDS LÄN</t>
        </is>
      </c>
      <c r="E397" t="inlineStr">
        <is>
          <t>SUNDSVALL</t>
        </is>
      </c>
      <c r="G397" t="n">
        <v>0.4</v>
      </c>
      <c r="H397" t="n">
        <v>0</v>
      </c>
      <c r="I397" t="n">
        <v>0</v>
      </c>
      <c r="J397" t="n">
        <v>0</v>
      </c>
      <c r="K397" t="n">
        <v>0</v>
      </c>
      <c r="L397" t="n">
        <v>0</v>
      </c>
      <c r="M397" t="n">
        <v>0</v>
      </c>
      <c r="N397" t="n">
        <v>0</v>
      </c>
      <c r="O397" t="n">
        <v>0</v>
      </c>
      <c r="P397" t="n">
        <v>0</v>
      </c>
      <c r="Q397" t="n">
        <v>0</v>
      </c>
      <c r="R397" s="2" t="inlineStr"/>
    </row>
    <row r="398" ht="15" customHeight="1">
      <c r="A398" t="inlineStr">
        <is>
          <t>A 34643-2021</t>
        </is>
      </c>
      <c r="B398" s="1" t="n">
        <v>44379</v>
      </c>
      <c r="C398" s="1" t="n">
        <v>45961</v>
      </c>
      <c r="D398" t="inlineStr">
        <is>
          <t>VÄSTERNORRLANDS LÄN</t>
        </is>
      </c>
      <c r="E398" t="inlineStr">
        <is>
          <t>SUNDSVALL</t>
        </is>
      </c>
      <c r="G398" t="n">
        <v>1.5</v>
      </c>
      <c r="H398" t="n">
        <v>0</v>
      </c>
      <c r="I398" t="n">
        <v>0</v>
      </c>
      <c r="J398" t="n">
        <v>0</v>
      </c>
      <c r="K398" t="n">
        <v>0</v>
      </c>
      <c r="L398" t="n">
        <v>0</v>
      </c>
      <c r="M398" t="n">
        <v>0</v>
      </c>
      <c r="N398" t="n">
        <v>0</v>
      </c>
      <c r="O398" t="n">
        <v>0</v>
      </c>
      <c r="P398" t="n">
        <v>0</v>
      </c>
      <c r="Q398" t="n">
        <v>0</v>
      </c>
      <c r="R398" s="2" t="inlineStr"/>
    </row>
    <row r="399" ht="15" customHeight="1">
      <c r="A399" t="inlineStr">
        <is>
          <t>A 45700-2022</t>
        </is>
      </c>
      <c r="B399" s="1" t="n">
        <v>44845</v>
      </c>
      <c r="C399" s="1" t="n">
        <v>45961</v>
      </c>
      <c r="D399" t="inlineStr">
        <is>
          <t>VÄSTERNORRLANDS LÄN</t>
        </is>
      </c>
      <c r="E399" t="inlineStr">
        <is>
          <t>SUNDSVALL</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45704-2022</t>
        </is>
      </c>
      <c r="B400" s="1" t="n">
        <v>44845.95418981482</v>
      </c>
      <c r="C400" s="1" t="n">
        <v>45961</v>
      </c>
      <c r="D400" t="inlineStr">
        <is>
          <t>VÄSTERNORRLANDS LÄN</t>
        </is>
      </c>
      <c r="E400" t="inlineStr">
        <is>
          <t>SUNDSVALL</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55161-2021</t>
        </is>
      </c>
      <c r="B401" s="1" t="n">
        <v>44474.92077546296</v>
      </c>
      <c r="C401" s="1" t="n">
        <v>45961</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45716-2022</t>
        </is>
      </c>
      <c r="B402" s="1" t="n">
        <v>44845</v>
      </c>
      <c r="C402" s="1" t="n">
        <v>45961</v>
      </c>
      <c r="D402" t="inlineStr">
        <is>
          <t>VÄSTERNORRLANDS LÄN</t>
        </is>
      </c>
      <c r="E402" t="inlineStr">
        <is>
          <t>SUNDSVALL</t>
        </is>
      </c>
      <c r="F402" t="inlineStr">
        <is>
          <t>Naturvårdsverket</t>
        </is>
      </c>
      <c r="G402" t="n">
        <v>1.9</v>
      </c>
      <c r="H402" t="n">
        <v>0</v>
      </c>
      <c r="I402" t="n">
        <v>0</v>
      </c>
      <c r="J402" t="n">
        <v>0</v>
      </c>
      <c r="K402" t="n">
        <v>0</v>
      </c>
      <c r="L402" t="n">
        <v>0</v>
      </c>
      <c r="M402" t="n">
        <v>0</v>
      </c>
      <c r="N402" t="n">
        <v>0</v>
      </c>
      <c r="O402" t="n">
        <v>0</v>
      </c>
      <c r="P402" t="n">
        <v>0</v>
      </c>
      <c r="Q402" t="n">
        <v>0</v>
      </c>
      <c r="R402" s="2" t="inlineStr"/>
    </row>
    <row r="403" ht="15" customHeight="1">
      <c r="A403" t="inlineStr">
        <is>
          <t>A 13987-2021</t>
        </is>
      </c>
      <c r="B403" s="1" t="n">
        <v>44277</v>
      </c>
      <c r="C403" s="1" t="n">
        <v>45961</v>
      </c>
      <c r="D403" t="inlineStr">
        <is>
          <t>VÄSTERNORRLANDS LÄN</t>
        </is>
      </c>
      <c r="E403" t="inlineStr">
        <is>
          <t>SUNDSVALL</t>
        </is>
      </c>
      <c r="G403" t="n">
        <v>2</v>
      </c>
      <c r="H403" t="n">
        <v>0</v>
      </c>
      <c r="I403" t="n">
        <v>0</v>
      </c>
      <c r="J403" t="n">
        <v>0</v>
      </c>
      <c r="K403" t="n">
        <v>0</v>
      </c>
      <c r="L403" t="n">
        <v>0</v>
      </c>
      <c r="M403" t="n">
        <v>0</v>
      </c>
      <c r="N403" t="n">
        <v>0</v>
      </c>
      <c r="O403" t="n">
        <v>0</v>
      </c>
      <c r="P403" t="n">
        <v>0</v>
      </c>
      <c r="Q403" t="n">
        <v>0</v>
      </c>
      <c r="R403" s="2" t="inlineStr"/>
    </row>
    <row r="404" ht="15" customHeight="1">
      <c r="A404" t="inlineStr">
        <is>
          <t>A 55874-2022</t>
        </is>
      </c>
      <c r="B404" s="1" t="n">
        <v>44888.92855324074</v>
      </c>
      <c r="C404" s="1" t="n">
        <v>45961</v>
      </c>
      <c r="D404" t="inlineStr">
        <is>
          <t>VÄSTERNORRLANDS LÄN</t>
        </is>
      </c>
      <c r="E404" t="inlineStr">
        <is>
          <t>SUNDSVALL</t>
        </is>
      </c>
      <c r="G404" t="n">
        <v>0.4</v>
      </c>
      <c r="H404" t="n">
        <v>0</v>
      </c>
      <c r="I404" t="n">
        <v>0</v>
      </c>
      <c r="J404" t="n">
        <v>0</v>
      </c>
      <c r="K404" t="n">
        <v>0</v>
      </c>
      <c r="L404" t="n">
        <v>0</v>
      </c>
      <c r="M404" t="n">
        <v>0</v>
      </c>
      <c r="N404" t="n">
        <v>0</v>
      </c>
      <c r="O404" t="n">
        <v>0</v>
      </c>
      <c r="P404" t="n">
        <v>0</v>
      </c>
      <c r="Q404" t="n">
        <v>0</v>
      </c>
      <c r="R404" s="2" t="inlineStr"/>
    </row>
    <row r="405" ht="15" customHeight="1">
      <c r="A405" t="inlineStr">
        <is>
          <t>A 70901-2021</t>
        </is>
      </c>
      <c r="B405" s="1" t="n">
        <v>44538</v>
      </c>
      <c r="C405" s="1" t="n">
        <v>45961</v>
      </c>
      <c r="D405" t="inlineStr">
        <is>
          <t>VÄSTERNORRLANDS LÄN</t>
        </is>
      </c>
      <c r="E405" t="inlineStr">
        <is>
          <t>SUNDSVALL</t>
        </is>
      </c>
      <c r="F405" t="inlineStr">
        <is>
          <t>Kommuner</t>
        </is>
      </c>
      <c r="G405" t="n">
        <v>2.4</v>
      </c>
      <c r="H405" t="n">
        <v>0</v>
      </c>
      <c r="I405" t="n">
        <v>0</v>
      </c>
      <c r="J405" t="n">
        <v>0</v>
      </c>
      <c r="K405" t="n">
        <v>0</v>
      </c>
      <c r="L405" t="n">
        <v>0</v>
      </c>
      <c r="M405" t="n">
        <v>0</v>
      </c>
      <c r="N405" t="n">
        <v>0</v>
      </c>
      <c r="O405" t="n">
        <v>0</v>
      </c>
      <c r="P405" t="n">
        <v>0</v>
      </c>
      <c r="Q405" t="n">
        <v>0</v>
      </c>
      <c r="R405" s="2" t="inlineStr"/>
    </row>
    <row r="406" ht="15" customHeight="1">
      <c r="A406" t="inlineStr">
        <is>
          <t>A 23052-2021</t>
        </is>
      </c>
      <c r="B406" s="1" t="n">
        <v>44329.57568287037</v>
      </c>
      <c r="C406" s="1" t="n">
        <v>45961</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47512-2022</t>
        </is>
      </c>
      <c r="B407" s="1" t="n">
        <v>44852</v>
      </c>
      <c r="C407" s="1" t="n">
        <v>45961</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52554-2021</t>
        </is>
      </c>
      <c r="B408" s="1" t="n">
        <v>44466</v>
      </c>
      <c r="C408" s="1" t="n">
        <v>45961</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19236-2021</t>
        </is>
      </c>
      <c r="B409" s="1" t="n">
        <v>44309</v>
      </c>
      <c r="C409" s="1" t="n">
        <v>45961</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59975-2021</t>
        </is>
      </c>
      <c r="B410" s="1" t="n">
        <v>44494.93675925926</v>
      </c>
      <c r="C410" s="1" t="n">
        <v>45961</v>
      </c>
      <c r="D410" t="inlineStr">
        <is>
          <t>VÄSTERNORRLANDS LÄN</t>
        </is>
      </c>
      <c r="E410" t="inlineStr">
        <is>
          <t>SUNDSVALL</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50654-2022</t>
        </is>
      </c>
      <c r="B411" s="1" t="n">
        <v>44866</v>
      </c>
      <c r="C411" s="1" t="n">
        <v>45961</v>
      </c>
      <c r="D411" t="inlineStr">
        <is>
          <t>VÄSTERNORRLANDS LÄN</t>
        </is>
      </c>
      <c r="E411" t="inlineStr">
        <is>
          <t>SUNDSVALL</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223-2022</t>
        </is>
      </c>
      <c r="B412" s="1" t="n">
        <v>44564.9027662037</v>
      </c>
      <c r="C412" s="1" t="n">
        <v>45961</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44920-2021</t>
        </is>
      </c>
      <c r="B413" s="1" t="n">
        <v>44438</v>
      </c>
      <c r="C413" s="1" t="n">
        <v>45961</v>
      </c>
      <c r="D413" t="inlineStr">
        <is>
          <t>VÄSTERNORRLANDS LÄN</t>
        </is>
      </c>
      <c r="E413" t="inlineStr">
        <is>
          <t>SUNDSVALL</t>
        </is>
      </c>
      <c r="G413" t="n">
        <v>1.4</v>
      </c>
      <c r="H413" t="n">
        <v>0</v>
      </c>
      <c r="I413" t="n">
        <v>0</v>
      </c>
      <c r="J413" t="n">
        <v>0</v>
      </c>
      <c r="K413" t="n">
        <v>0</v>
      </c>
      <c r="L413" t="n">
        <v>0</v>
      </c>
      <c r="M413" t="n">
        <v>0</v>
      </c>
      <c r="N413" t="n">
        <v>0</v>
      </c>
      <c r="O413" t="n">
        <v>0</v>
      </c>
      <c r="P413" t="n">
        <v>0</v>
      </c>
      <c r="Q413" t="n">
        <v>0</v>
      </c>
      <c r="R413" s="2" t="inlineStr"/>
    </row>
    <row r="414" ht="15" customHeight="1">
      <c r="A414" t="inlineStr">
        <is>
          <t>A 68286-2020</t>
        </is>
      </c>
      <c r="B414" s="1" t="n">
        <v>44183</v>
      </c>
      <c r="C414" s="1" t="n">
        <v>45961</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32335-2021</t>
        </is>
      </c>
      <c r="B415" s="1" t="n">
        <v>44371</v>
      </c>
      <c r="C415" s="1" t="n">
        <v>45961</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26950-2021</t>
        </is>
      </c>
      <c r="B416" s="1" t="n">
        <v>44349</v>
      </c>
      <c r="C416" s="1" t="n">
        <v>45961</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45870-2022</t>
        </is>
      </c>
      <c r="B417" s="1" t="n">
        <v>44844</v>
      </c>
      <c r="C417" s="1" t="n">
        <v>45961</v>
      </c>
      <c r="D417" t="inlineStr">
        <is>
          <t>VÄSTERNORRLANDS LÄN</t>
        </is>
      </c>
      <c r="E417" t="inlineStr">
        <is>
          <t>SUNDSVALL</t>
        </is>
      </c>
      <c r="G417" t="n">
        <v>6</v>
      </c>
      <c r="H417" t="n">
        <v>0</v>
      </c>
      <c r="I417" t="n">
        <v>0</v>
      </c>
      <c r="J417" t="n">
        <v>0</v>
      </c>
      <c r="K417" t="n">
        <v>0</v>
      </c>
      <c r="L417" t="n">
        <v>0</v>
      </c>
      <c r="M417" t="n">
        <v>0</v>
      </c>
      <c r="N417" t="n">
        <v>0</v>
      </c>
      <c r="O417" t="n">
        <v>0</v>
      </c>
      <c r="P417" t="n">
        <v>0</v>
      </c>
      <c r="Q417" t="n">
        <v>0</v>
      </c>
      <c r="R417" s="2" t="inlineStr"/>
    </row>
    <row r="418" ht="15" customHeight="1">
      <c r="A418" t="inlineStr">
        <is>
          <t>A 32203-2021</t>
        </is>
      </c>
      <c r="B418" s="1" t="n">
        <v>44371</v>
      </c>
      <c r="C418" s="1" t="n">
        <v>45961</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31956-2022</t>
        </is>
      </c>
      <c r="B419" s="1" t="n">
        <v>44777.92658564815</v>
      </c>
      <c r="C419" s="1" t="n">
        <v>45961</v>
      </c>
      <c r="D419" t="inlineStr">
        <is>
          <t>VÄSTERNORRLANDS LÄN</t>
        </is>
      </c>
      <c r="E419" t="inlineStr">
        <is>
          <t>SUNDSVALL</t>
        </is>
      </c>
      <c r="G419" t="n">
        <v>6.1</v>
      </c>
      <c r="H419" t="n">
        <v>0</v>
      </c>
      <c r="I419" t="n">
        <v>0</v>
      </c>
      <c r="J419" t="n">
        <v>0</v>
      </c>
      <c r="K419" t="n">
        <v>0</v>
      </c>
      <c r="L419" t="n">
        <v>0</v>
      </c>
      <c r="M419" t="n">
        <v>0</v>
      </c>
      <c r="N419" t="n">
        <v>0</v>
      </c>
      <c r="O419" t="n">
        <v>0</v>
      </c>
      <c r="P419" t="n">
        <v>0</v>
      </c>
      <c r="Q419" t="n">
        <v>0</v>
      </c>
      <c r="R419" s="2" t="inlineStr"/>
    </row>
    <row r="420" ht="15" customHeight="1">
      <c r="A420" t="inlineStr">
        <is>
          <t>A 49984-2022</t>
        </is>
      </c>
      <c r="B420" s="1" t="n">
        <v>44859</v>
      </c>
      <c r="C420" s="1" t="n">
        <v>45961</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30450-2021</t>
        </is>
      </c>
      <c r="B421" s="1" t="n">
        <v>44364</v>
      </c>
      <c r="C421" s="1" t="n">
        <v>45961</v>
      </c>
      <c r="D421" t="inlineStr">
        <is>
          <t>VÄSTERNORRLANDS LÄN</t>
        </is>
      </c>
      <c r="E421" t="inlineStr">
        <is>
          <t>SUNDSVALL</t>
        </is>
      </c>
      <c r="G421" t="n">
        <v>6.3</v>
      </c>
      <c r="H421" t="n">
        <v>0</v>
      </c>
      <c r="I421" t="n">
        <v>0</v>
      </c>
      <c r="J421" t="n">
        <v>0</v>
      </c>
      <c r="K421" t="n">
        <v>0</v>
      </c>
      <c r="L421" t="n">
        <v>0</v>
      </c>
      <c r="M421" t="n">
        <v>0</v>
      </c>
      <c r="N421" t="n">
        <v>0</v>
      </c>
      <c r="O421" t="n">
        <v>0</v>
      </c>
      <c r="P421" t="n">
        <v>0</v>
      </c>
      <c r="Q421" t="n">
        <v>0</v>
      </c>
      <c r="R421" s="2" t="inlineStr"/>
    </row>
    <row r="422" ht="15" customHeight="1">
      <c r="A422" t="inlineStr">
        <is>
          <t>A 15687-2022</t>
        </is>
      </c>
      <c r="B422" s="1" t="n">
        <v>44663.37660879629</v>
      </c>
      <c r="C422" s="1" t="n">
        <v>45961</v>
      </c>
      <c r="D422" t="inlineStr">
        <is>
          <t>VÄSTERNORRLANDS LÄN</t>
        </is>
      </c>
      <c r="E422" t="inlineStr">
        <is>
          <t>SUNDSVALL</t>
        </is>
      </c>
      <c r="G422" t="n">
        <v>0.8</v>
      </c>
      <c r="H422" t="n">
        <v>0</v>
      </c>
      <c r="I422" t="n">
        <v>0</v>
      </c>
      <c r="J422" t="n">
        <v>0</v>
      </c>
      <c r="K422" t="n">
        <v>0</v>
      </c>
      <c r="L422" t="n">
        <v>0</v>
      </c>
      <c r="M422" t="n">
        <v>0</v>
      </c>
      <c r="N422" t="n">
        <v>0</v>
      </c>
      <c r="O422" t="n">
        <v>0</v>
      </c>
      <c r="P422" t="n">
        <v>0</v>
      </c>
      <c r="Q422" t="n">
        <v>0</v>
      </c>
      <c r="R422" s="2" t="inlineStr"/>
    </row>
    <row r="423" ht="15" customHeight="1">
      <c r="A423" t="inlineStr">
        <is>
          <t>A 70690-2021</t>
        </is>
      </c>
      <c r="B423" s="1" t="n">
        <v>44537</v>
      </c>
      <c r="C423" s="1" t="n">
        <v>45961</v>
      </c>
      <c r="D423" t="inlineStr">
        <is>
          <t>VÄSTERNORRLANDS LÄN</t>
        </is>
      </c>
      <c r="E423" t="inlineStr">
        <is>
          <t>SUNDSVALL</t>
        </is>
      </c>
      <c r="G423" t="n">
        <v>8.1</v>
      </c>
      <c r="H423" t="n">
        <v>0</v>
      </c>
      <c r="I423" t="n">
        <v>0</v>
      </c>
      <c r="J423" t="n">
        <v>0</v>
      </c>
      <c r="K423" t="n">
        <v>0</v>
      </c>
      <c r="L423" t="n">
        <v>0</v>
      </c>
      <c r="M423" t="n">
        <v>0</v>
      </c>
      <c r="N423" t="n">
        <v>0</v>
      </c>
      <c r="O423" t="n">
        <v>0</v>
      </c>
      <c r="P423" t="n">
        <v>0</v>
      </c>
      <c r="Q423" t="n">
        <v>0</v>
      </c>
      <c r="R423" s="2" t="inlineStr"/>
    </row>
    <row r="424" ht="15" customHeight="1">
      <c r="A424" t="inlineStr">
        <is>
          <t>A 44596-2022</t>
        </is>
      </c>
      <c r="B424" s="1" t="n">
        <v>44839</v>
      </c>
      <c r="C424" s="1" t="n">
        <v>45961</v>
      </c>
      <c r="D424" t="inlineStr">
        <is>
          <t>VÄSTERNORRLANDS LÄN</t>
        </is>
      </c>
      <c r="E424" t="inlineStr">
        <is>
          <t>SUNDSVALL</t>
        </is>
      </c>
      <c r="G424" t="n">
        <v>6.9</v>
      </c>
      <c r="H424" t="n">
        <v>0</v>
      </c>
      <c r="I424" t="n">
        <v>0</v>
      </c>
      <c r="J424" t="n">
        <v>0</v>
      </c>
      <c r="K424" t="n">
        <v>0</v>
      </c>
      <c r="L424" t="n">
        <v>0</v>
      </c>
      <c r="M424" t="n">
        <v>0</v>
      </c>
      <c r="N424" t="n">
        <v>0</v>
      </c>
      <c r="O424" t="n">
        <v>0</v>
      </c>
      <c r="P424" t="n">
        <v>0</v>
      </c>
      <c r="Q424" t="n">
        <v>0</v>
      </c>
      <c r="R424" s="2" t="inlineStr"/>
    </row>
    <row r="425" ht="15" customHeight="1">
      <c r="A425" t="inlineStr">
        <is>
          <t>A 44605-2022</t>
        </is>
      </c>
      <c r="B425" s="1" t="n">
        <v>44839</v>
      </c>
      <c r="C425" s="1" t="n">
        <v>45961</v>
      </c>
      <c r="D425" t="inlineStr">
        <is>
          <t>VÄSTERNORRLANDS LÄN</t>
        </is>
      </c>
      <c r="E425" t="inlineStr">
        <is>
          <t>SUNDSVALL</t>
        </is>
      </c>
      <c r="G425" t="n">
        <v>5.9</v>
      </c>
      <c r="H425" t="n">
        <v>0</v>
      </c>
      <c r="I425" t="n">
        <v>0</v>
      </c>
      <c r="J425" t="n">
        <v>0</v>
      </c>
      <c r="K425" t="n">
        <v>0</v>
      </c>
      <c r="L425" t="n">
        <v>0</v>
      </c>
      <c r="M425" t="n">
        <v>0</v>
      </c>
      <c r="N425" t="n">
        <v>0</v>
      </c>
      <c r="O425" t="n">
        <v>0</v>
      </c>
      <c r="P425" t="n">
        <v>0</v>
      </c>
      <c r="Q425" t="n">
        <v>0</v>
      </c>
      <c r="R425" s="2" t="inlineStr"/>
    </row>
    <row r="426" ht="15" customHeight="1">
      <c r="A426" t="inlineStr">
        <is>
          <t>A 13293-2022</t>
        </is>
      </c>
      <c r="B426" s="1" t="n">
        <v>44644</v>
      </c>
      <c r="C426" s="1" t="n">
        <v>45961</v>
      </c>
      <c r="D426" t="inlineStr">
        <is>
          <t>VÄSTERNORRLANDS LÄN</t>
        </is>
      </c>
      <c r="E426" t="inlineStr">
        <is>
          <t>SUNDSVALL</t>
        </is>
      </c>
      <c r="G426" t="n">
        <v>18.5</v>
      </c>
      <c r="H426" t="n">
        <v>0</v>
      </c>
      <c r="I426" t="n">
        <v>0</v>
      </c>
      <c r="J426" t="n">
        <v>0</v>
      </c>
      <c r="K426" t="n">
        <v>0</v>
      </c>
      <c r="L426" t="n">
        <v>0</v>
      </c>
      <c r="M426" t="n">
        <v>0</v>
      </c>
      <c r="N426" t="n">
        <v>0</v>
      </c>
      <c r="O426" t="n">
        <v>0</v>
      </c>
      <c r="P426" t="n">
        <v>0</v>
      </c>
      <c r="Q426" t="n">
        <v>0</v>
      </c>
      <c r="R426" s="2" t="inlineStr"/>
    </row>
    <row r="427" ht="15" customHeight="1">
      <c r="A427" t="inlineStr">
        <is>
          <t>A 24505-2021</t>
        </is>
      </c>
      <c r="B427" s="1" t="n">
        <v>44337.92274305555</v>
      </c>
      <c r="C427" s="1" t="n">
        <v>45961</v>
      </c>
      <c r="D427" t="inlineStr">
        <is>
          <t>VÄSTERNORRLANDS LÄN</t>
        </is>
      </c>
      <c r="E427" t="inlineStr">
        <is>
          <t>SUNDSVALL</t>
        </is>
      </c>
      <c r="G427" t="n">
        <v>2.7</v>
      </c>
      <c r="H427" t="n">
        <v>0</v>
      </c>
      <c r="I427" t="n">
        <v>0</v>
      </c>
      <c r="J427" t="n">
        <v>0</v>
      </c>
      <c r="K427" t="n">
        <v>0</v>
      </c>
      <c r="L427" t="n">
        <v>0</v>
      </c>
      <c r="M427" t="n">
        <v>0</v>
      </c>
      <c r="N427" t="n">
        <v>0</v>
      </c>
      <c r="O427" t="n">
        <v>0</v>
      </c>
      <c r="P427" t="n">
        <v>0</v>
      </c>
      <c r="Q427" t="n">
        <v>0</v>
      </c>
      <c r="R427" s="2" t="inlineStr"/>
    </row>
    <row r="428" ht="15" customHeight="1">
      <c r="A428" t="inlineStr">
        <is>
          <t>A 52029-2022</t>
        </is>
      </c>
      <c r="B428" s="1" t="n">
        <v>44872.95721064815</v>
      </c>
      <c r="C428" s="1" t="n">
        <v>45961</v>
      </c>
      <c r="D428" t="inlineStr">
        <is>
          <t>VÄSTERNORRLANDS LÄN</t>
        </is>
      </c>
      <c r="E428" t="inlineStr">
        <is>
          <t>SUNDSVALL</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56894-2021</t>
        </is>
      </c>
      <c r="B429" s="1" t="n">
        <v>44481</v>
      </c>
      <c r="C429" s="1" t="n">
        <v>45961</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39933-2021</t>
        </is>
      </c>
      <c r="B430" s="1" t="n">
        <v>44417</v>
      </c>
      <c r="C430" s="1" t="n">
        <v>45961</v>
      </c>
      <c r="D430" t="inlineStr">
        <is>
          <t>VÄSTERNORRLANDS LÄN</t>
        </is>
      </c>
      <c r="E430" t="inlineStr">
        <is>
          <t>SUNDSVALL</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21427-2021</t>
        </is>
      </c>
      <c r="B431" s="1" t="n">
        <v>44320</v>
      </c>
      <c r="C431" s="1" t="n">
        <v>45961</v>
      </c>
      <c r="D431" t="inlineStr">
        <is>
          <t>VÄSTERNORRLANDS LÄN</t>
        </is>
      </c>
      <c r="E431" t="inlineStr">
        <is>
          <t>SUNDSVALL</t>
        </is>
      </c>
      <c r="G431" t="n">
        <v>0.9</v>
      </c>
      <c r="H431" t="n">
        <v>0</v>
      </c>
      <c r="I431" t="n">
        <v>0</v>
      </c>
      <c r="J431" t="n">
        <v>0</v>
      </c>
      <c r="K431" t="n">
        <v>0</v>
      </c>
      <c r="L431" t="n">
        <v>0</v>
      </c>
      <c r="M431" t="n">
        <v>0</v>
      </c>
      <c r="N431" t="n">
        <v>0</v>
      </c>
      <c r="O431" t="n">
        <v>0</v>
      </c>
      <c r="P431" t="n">
        <v>0</v>
      </c>
      <c r="Q431" t="n">
        <v>0</v>
      </c>
      <c r="R431" s="2" t="inlineStr"/>
    </row>
    <row r="432" ht="15" customHeight="1">
      <c r="A432" t="inlineStr">
        <is>
          <t>A 40141-2021</t>
        </is>
      </c>
      <c r="B432" s="1" t="n">
        <v>44418.63759259259</v>
      </c>
      <c r="C432" s="1" t="n">
        <v>45961</v>
      </c>
      <c r="D432" t="inlineStr">
        <is>
          <t>VÄSTERNORRLANDS LÄN</t>
        </is>
      </c>
      <c r="E432" t="inlineStr">
        <is>
          <t>SUNDSVALL</t>
        </is>
      </c>
      <c r="G432" t="n">
        <v>5.3</v>
      </c>
      <c r="H432" t="n">
        <v>0</v>
      </c>
      <c r="I432" t="n">
        <v>0</v>
      </c>
      <c r="J432" t="n">
        <v>0</v>
      </c>
      <c r="K432" t="n">
        <v>0</v>
      </c>
      <c r="L432" t="n">
        <v>0</v>
      </c>
      <c r="M432" t="n">
        <v>0</v>
      </c>
      <c r="N432" t="n">
        <v>0</v>
      </c>
      <c r="O432" t="n">
        <v>0</v>
      </c>
      <c r="P432" t="n">
        <v>0</v>
      </c>
      <c r="Q432" t="n">
        <v>0</v>
      </c>
      <c r="R432" s="2" t="inlineStr"/>
    </row>
    <row r="433" ht="15" customHeight="1">
      <c r="A433" t="inlineStr">
        <is>
          <t>A 29297-2022</t>
        </is>
      </c>
      <c r="B433" s="1" t="n">
        <v>44750.94342592593</v>
      </c>
      <c r="C433" s="1" t="n">
        <v>45961</v>
      </c>
      <c r="D433" t="inlineStr">
        <is>
          <t>VÄSTERNORRLANDS LÄN</t>
        </is>
      </c>
      <c r="E433" t="inlineStr">
        <is>
          <t>SUNDSVALL</t>
        </is>
      </c>
      <c r="F433" t="inlineStr">
        <is>
          <t>Naturvårdsverket</t>
        </is>
      </c>
      <c r="G433" t="n">
        <v>0.9</v>
      </c>
      <c r="H433" t="n">
        <v>0</v>
      </c>
      <c r="I433" t="n">
        <v>0</v>
      </c>
      <c r="J433" t="n">
        <v>0</v>
      </c>
      <c r="K433" t="n">
        <v>0</v>
      </c>
      <c r="L433" t="n">
        <v>0</v>
      </c>
      <c r="M433" t="n">
        <v>0</v>
      </c>
      <c r="N433" t="n">
        <v>0</v>
      </c>
      <c r="O433" t="n">
        <v>0</v>
      </c>
      <c r="P433" t="n">
        <v>0</v>
      </c>
      <c r="Q433" t="n">
        <v>0</v>
      </c>
      <c r="R433" s="2" t="inlineStr"/>
    </row>
    <row r="434" ht="15" customHeight="1">
      <c r="A434" t="inlineStr">
        <is>
          <t>A 23840-2022</t>
        </is>
      </c>
      <c r="B434" s="1" t="n">
        <v>44722</v>
      </c>
      <c r="C434" s="1" t="n">
        <v>45961</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20509-2022</t>
        </is>
      </c>
      <c r="B435" s="1" t="n">
        <v>44699.92497685185</v>
      </c>
      <c r="C435" s="1" t="n">
        <v>45961</v>
      </c>
      <c r="D435" t="inlineStr">
        <is>
          <t>VÄSTERNORRLANDS LÄN</t>
        </is>
      </c>
      <c r="E435" t="inlineStr">
        <is>
          <t>SUNDSVALL</t>
        </is>
      </c>
      <c r="G435" t="n">
        <v>1.7</v>
      </c>
      <c r="H435" t="n">
        <v>0</v>
      </c>
      <c r="I435" t="n">
        <v>0</v>
      </c>
      <c r="J435" t="n">
        <v>0</v>
      </c>
      <c r="K435" t="n">
        <v>0</v>
      </c>
      <c r="L435" t="n">
        <v>0</v>
      </c>
      <c r="M435" t="n">
        <v>0</v>
      </c>
      <c r="N435" t="n">
        <v>0</v>
      </c>
      <c r="O435" t="n">
        <v>0</v>
      </c>
      <c r="P435" t="n">
        <v>0</v>
      </c>
      <c r="Q435" t="n">
        <v>0</v>
      </c>
      <c r="R435" s="2" t="inlineStr"/>
    </row>
    <row r="436" ht="15" customHeight="1">
      <c r="A436" t="inlineStr">
        <is>
          <t>A 61407-2021</t>
        </is>
      </c>
      <c r="B436" s="1" t="n">
        <v>44500</v>
      </c>
      <c r="C436" s="1" t="n">
        <v>45961</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17060-2022</t>
        </is>
      </c>
      <c r="B437" s="1" t="n">
        <v>44676.94297453704</v>
      </c>
      <c r="C437" s="1" t="n">
        <v>45961</v>
      </c>
      <c r="D437" t="inlineStr">
        <is>
          <t>VÄSTERNORRLANDS LÄN</t>
        </is>
      </c>
      <c r="E437" t="inlineStr">
        <is>
          <t>SUNDSVALL</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32275-2021</t>
        </is>
      </c>
      <c r="B438" s="1" t="n">
        <v>44371</v>
      </c>
      <c r="C438" s="1" t="n">
        <v>45961</v>
      </c>
      <c r="D438" t="inlineStr">
        <is>
          <t>VÄSTERNORRLANDS LÄN</t>
        </is>
      </c>
      <c r="E438" t="inlineStr">
        <is>
          <t>SUNDSVALL</t>
        </is>
      </c>
      <c r="G438" t="n">
        <v>3.9</v>
      </c>
      <c r="H438" t="n">
        <v>0</v>
      </c>
      <c r="I438" t="n">
        <v>0</v>
      </c>
      <c r="J438" t="n">
        <v>0</v>
      </c>
      <c r="K438" t="n">
        <v>0</v>
      </c>
      <c r="L438" t="n">
        <v>0</v>
      </c>
      <c r="M438" t="n">
        <v>0</v>
      </c>
      <c r="N438" t="n">
        <v>0</v>
      </c>
      <c r="O438" t="n">
        <v>0</v>
      </c>
      <c r="P438" t="n">
        <v>0</v>
      </c>
      <c r="Q438" t="n">
        <v>0</v>
      </c>
      <c r="R438" s="2" t="inlineStr"/>
    </row>
    <row r="439" ht="15" customHeight="1">
      <c r="A439" t="inlineStr">
        <is>
          <t>A 30019-2021</t>
        </is>
      </c>
      <c r="B439" s="1" t="n">
        <v>44363.42795138889</v>
      </c>
      <c r="C439" s="1" t="n">
        <v>45961</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59146-2021</t>
        </is>
      </c>
      <c r="B440" s="1" t="n">
        <v>44490</v>
      </c>
      <c r="C440" s="1" t="n">
        <v>45961</v>
      </c>
      <c r="D440" t="inlineStr">
        <is>
          <t>VÄSTERNORRLANDS LÄN</t>
        </is>
      </c>
      <c r="E440" t="inlineStr">
        <is>
          <t>SUNDSVALL</t>
        </is>
      </c>
      <c r="G440" t="n">
        <v>4</v>
      </c>
      <c r="H440" t="n">
        <v>0</v>
      </c>
      <c r="I440" t="n">
        <v>0</v>
      </c>
      <c r="J440" t="n">
        <v>0</v>
      </c>
      <c r="K440" t="n">
        <v>0</v>
      </c>
      <c r="L440" t="n">
        <v>0</v>
      </c>
      <c r="M440" t="n">
        <v>0</v>
      </c>
      <c r="N440" t="n">
        <v>0</v>
      </c>
      <c r="O440" t="n">
        <v>0</v>
      </c>
      <c r="P440" t="n">
        <v>0</v>
      </c>
      <c r="Q440" t="n">
        <v>0</v>
      </c>
      <c r="R440" s="2" t="inlineStr"/>
    </row>
    <row r="441" ht="15" customHeight="1">
      <c r="A441" t="inlineStr">
        <is>
          <t>A 29298-2022</t>
        </is>
      </c>
      <c r="B441" s="1" t="n">
        <v>44750.94349537037</v>
      </c>
      <c r="C441" s="1" t="n">
        <v>45961</v>
      </c>
      <c r="D441" t="inlineStr">
        <is>
          <t>VÄSTERNORRLANDS LÄN</t>
        </is>
      </c>
      <c r="E441" t="inlineStr">
        <is>
          <t>SUNDSVALL</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7436-2022</t>
        </is>
      </c>
      <c r="B442" s="1" t="n">
        <v>44606</v>
      </c>
      <c r="C442" s="1" t="n">
        <v>45961</v>
      </c>
      <c r="D442" t="inlineStr">
        <is>
          <t>VÄSTERNORRLANDS LÄN</t>
        </is>
      </c>
      <c r="E442" t="inlineStr">
        <is>
          <t>SUNDSVALL</t>
        </is>
      </c>
      <c r="G442" t="n">
        <v>2.1</v>
      </c>
      <c r="H442" t="n">
        <v>0</v>
      </c>
      <c r="I442" t="n">
        <v>0</v>
      </c>
      <c r="J442" t="n">
        <v>0</v>
      </c>
      <c r="K442" t="n">
        <v>0</v>
      </c>
      <c r="L442" t="n">
        <v>0</v>
      </c>
      <c r="M442" t="n">
        <v>0</v>
      </c>
      <c r="N442" t="n">
        <v>0</v>
      </c>
      <c r="O442" t="n">
        <v>0</v>
      </c>
      <c r="P442" t="n">
        <v>0</v>
      </c>
      <c r="Q442" t="n">
        <v>0</v>
      </c>
      <c r="R442" s="2" t="inlineStr"/>
    </row>
    <row r="443" ht="15" customHeight="1">
      <c r="A443" t="inlineStr">
        <is>
          <t>A 66016-2020</t>
        </is>
      </c>
      <c r="B443" s="1" t="n">
        <v>44175</v>
      </c>
      <c r="C443" s="1" t="n">
        <v>45961</v>
      </c>
      <c r="D443" t="inlineStr">
        <is>
          <t>VÄSTERNORRLANDS LÄN</t>
        </is>
      </c>
      <c r="E443" t="inlineStr">
        <is>
          <t>SUNDSVALL</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67098-2021</t>
        </is>
      </c>
      <c r="B444" s="1" t="n">
        <v>44522.94567129629</v>
      </c>
      <c r="C444" s="1" t="n">
        <v>45961</v>
      </c>
      <c r="D444" t="inlineStr">
        <is>
          <t>VÄSTERNORRLANDS LÄN</t>
        </is>
      </c>
      <c r="E444" t="inlineStr">
        <is>
          <t>SUNDSVALL</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72499-2021</t>
        </is>
      </c>
      <c r="B445" s="1" t="n">
        <v>44545.94166666667</v>
      </c>
      <c r="C445" s="1" t="n">
        <v>45961</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33498-2022</t>
        </is>
      </c>
      <c r="B446" s="1" t="n">
        <v>44788.9269212963</v>
      </c>
      <c r="C446" s="1" t="n">
        <v>45961</v>
      </c>
      <c r="D446" t="inlineStr">
        <is>
          <t>VÄSTERNORRLANDS LÄN</t>
        </is>
      </c>
      <c r="E446" t="inlineStr">
        <is>
          <t>SUNDSVALL</t>
        </is>
      </c>
      <c r="G446" t="n">
        <v>1</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44502.59737268519</v>
      </c>
      <c r="C447" s="1" t="n">
        <v>45961</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3811-2021</t>
        </is>
      </c>
      <c r="B448" s="1" t="n">
        <v>44221</v>
      </c>
      <c r="C448" s="1" t="n">
        <v>45961</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14537-2024</t>
        </is>
      </c>
      <c r="B449" s="1" t="n">
        <v>45394</v>
      </c>
      <c r="C449" s="1" t="n">
        <v>45961</v>
      </c>
      <c r="D449" t="inlineStr">
        <is>
          <t>VÄSTERNORRLANDS LÄN</t>
        </is>
      </c>
      <c r="E449" t="inlineStr">
        <is>
          <t>SUNDSVALL</t>
        </is>
      </c>
      <c r="G449" t="n">
        <v>2.6</v>
      </c>
      <c r="H449" t="n">
        <v>0</v>
      </c>
      <c r="I449" t="n">
        <v>0</v>
      </c>
      <c r="J449" t="n">
        <v>0</v>
      </c>
      <c r="K449" t="n">
        <v>0</v>
      </c>
      <c r="L449" t="n">
        <v>0</v>
      </c>
      <c r="M449" t="n">
        <v>0</v>
      </c>
      <c r="N449" t="n">
        <v>0</v>
      </c>
      <c r="O449" t="n">
        <v>0</v>
      </c>
      <c r="P449" t="n">
        <v>0</v>
      </c>
      <c r="Q449" t="n">
        <v>0</v>
      </c>
      <c r="R449" s="2" t="inlineStr"/>
    </row>
    <row r="450" ht="15" customHeight="1">
      <c r="A450" t="inlineStr">
        <is>
          <t>A 26089-2021</t>
        </is>
      </c>
      <c r="B450" s="1" t="n">
        <v>44344</v>
      </c>
      <c r="C450" s="1" t="n">
        <v>45961</v>
      </c>
      <c r="D450" t="inlineStr">
        <is>
          <t>VÄSTERNORRLANDS LÄN</t>
        </is>
      </c>
      <c r="E450" t="inlineStr">
        <is>
          <t>SUNDSVALL</t>
        </is>
      </c>
      <c r="G450" t="n">
        <v>0.8</v>
      </c>
      <c r="H450" t="n">
        <v>0</v>
      </c>
      <c r="I450" t="n">
        <v>0</v>
      </c>
      <c r="J450" t="n">
        <v>0</v>
      </c>
      <c r="K450" t="n">
        <v>0</v>
      </c>
      <c r="L450" t="n">
        <v>0</v>
      </c>
      <c r="M450" t="n">
        <v>0</v>
      </c>
      <c r="N450" t="n">
        <v>0</v>
      </c>
      <c r="O450" t="n">
        <v>0</v>
      </c>
      <c r="P450" t="n">
        <v>0</v>
      </c>
      <c r="Q450" t="n">
        <v>0</v>
      </c>
      <c r="R450" s="2" t="inlineStr"/>
    </row>
    <row r="451" ht="15" customHeight="1">
      <c r="A451" t="inlineStr">
        <is>
          <t>A 65597-2021</t>
        </is>
      </c>
      <c r="B451" s="1" t="n">
        <v>44516</v>
      </c>
      <c r="C451" s="1" t="n">
        <v>45961</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60650-2022</t>
        </is>
      </c>
      <c r="B452" s="1" t="n">
        <v>44911</v>
      </c>
      <c r="C452" s="1" t="n">
        <v>45961</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29577-2021</t>
        </is>
      </c>
      <c r="B453" s="1" t="n">
        <v>44361</v>
      </c>
      <c r="C453" s="1" t="n">
        <v>45961</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38303-2024</t>
        </is>
      </c>
      <c r="B454" s="1" t="n">
        <v>45545.63769675926</v>
      </c>
      <c r="C454" s="1" t="n">
        <v>45961</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7434-2022</t>
        </is>
      </c>
      <c r="B455" s="1" t="n">
        <v>44606.93344907407</v>
      </c>
      <c r="C455" s="1" t="n">
        <v>45961</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33041-2023</t>
        </is>
      </c>
      <c r="B456" s="1" t="n">
        <v>45125</v>
      </c>
      <c r="C456" s="1" t="n">
        <v>45961</v>
      </c>
      <c r="D456" t="inlineStr">
        <is>
          <t>VÄSTERNORRLANDS LÄN</t>
        </is>
      </c>
      <c r="E456" t="inlineStr">
        <is>
          <t>SUNDSVALL</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33044-2023</t>
        </is>
      </c>
      <c r="B457" s="1" t="n">
        <v>45125</v>
      </c>
      <c r="C457" s="1" t="n">
        <v>45961</v>
      </c>
      <c r="D457" t="inlineStr">
        <is>
          <t>VÄSTERNORRLANDS LÄN</t>
        </is>
      </c>
      <c r="E457" t="inlineStr">
        <is>
          <t>SUNDSVALL</t>
        </is>
      </c>
      <c r="F457" t="inlineStr">
        <is>
          <t>SCA</t>
        </is>
      </c>
      <c r="G457" t="n">
        <v>7.3</v>
      </c>
      <c r="H457" t="n">
        <v>0</v>
      </c>
      <c r="I457" t="n">
        <v>0</v>
      </c>
      <c r="J457" t="n">
        <v>0</v>
      </c>
      <c r="K457" t="n">
        <v>0</v>
      </c>
      <c r="L457" t="n">
        <v>0</v>
      </c>
      <c r="M457" t="n">
        <v>0</v>
      </c>
      <c r="N457" t="n">
        <v>0</v>
      </c>
      <c r="O457" t="n">
        <v>0</v>
      </c>
      <c r="P457" t="n">
        <v>0</v>
      </c>
      <c r="Q457" t="n">
        <v>0</v>
      </c>
      <c r="R457" s="2" t="inlineStr"/>
    </row>
    <row r="458" ht="15" customHeight="1">
      <c r="A458" t="inlineStr">
        <is>
          <t>A 20134-2025</t>
        </is>
      </c>
      <c r="B458" s="1" t="n">
        <v>45772.51105324074</v>
      </c>
      <c r="C458" s="1" t="n">
        <v>45961</v>
      </c>
      <c r="D458" t="inlineStr">
        <is>
          <t>VÄSTERNORRLANDS LÄN</t>
        </is>
      </c>
      <c r="E458" t="inlineStr">
        <is>
          <t>SUNDSVALL</t>
        </is>
      </c>
      <c r="F458" t="inlineStr">
        <is>
          <t>Naturvårdsverket</t>
        </is>
      </c>
      <c r="G458" t="n">
        <v>9.5</v>
      </c>
      <c r="H458" t="n">
        <v>0</v>
      </c>
      <c r="I458" t="n">
        <v>0</v>
      </c>
      <c r="J458" t="n">
        <v>0</v>
      </c>
      <c r="K458" t="n">
        <v>0</v>
      </c>
      <c r="L458" t="n">
        <v>0</v>
      </c>
      <c r="M458" t="n">
        <v>0</v>
      </c>
      <c r="N458" t="n">
        <v>0</v>
      </c>
      <c r="O458" t="n">
        <v>0</v>
      </c>
      <c r="P458" t="n">
        <v>0</v>
      </c>
      <c r="Q458" t="n">
        <v>0</v>
      </c>
      <c r="R458" s="2" t="inlineStr"/>
    </row>
    <row r="459" ht="15" customHeight="1">
      <c r="A459" t="inlineStr">
        <is>
          <t>A 44022-2023</t>
        </is>
      </c>
      <c r="B459" s="1" t="n">
        <v>45188.34800925926</v>
      </c>
      <c r="C459" s="1" t="n">
        <v>45961</v>
      </c>
      <c r="D459" t="inlineStr">
        <is>
          <t>VÄSTERNORRLANDS LÄN</t>
        </is>
      </c>
      <c r="E459" t="inlineStr">
        <is>
          <t>SUNDSVALL</t>
        </is>
      </c>
      <c r="G459" t="n">
        <v>3.3</v>
      </c>
      <c r="H459" t="n">
        <v>0</v>
      </c>
      <c r="I459" t="n">
        <v>0</v>
      </c>
      <c r="J459" t="n">
        <v>0</v>
      </c>
      <c r="K459" t="n">
        <v>0</v>
      </c>
      <c r="L459" t="n">
        <v>0</v>
      </c>
      <c r="M459" t="n">
        <v>0</v>
      </c>
      <c r="N459" t="n">
        <v>0</v>
      </c>
      <c r="O459" t="n">
        <v>0</v>
      </c>
      <c r="P459" t="n">
        <v>0</v>
      </c>
      <c r="Q459" t="n">
        <v>0</v>
      </c>
      <c r="R459" s="2" t="inlineStr"/>
    </row>
    <row r="460" ht="15" customHeight="1">
      <c r="A460" t="inlineStr">
        <is>
          <t>A 22139-2023</t>
        </is>
      </c>
      <c r="B460" s="1" t="n">
        <v>45068</v>
      </c>
      <c r="C460" s="1" t="n">
        <v>45961</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14468-2022</t>
        </is>
      </c>
      <c r="B461" s="1" t="n">
        <v>44654.67935185185</v>
      </c>
      <c r="C461" s="1" t="n">
        <v>45961</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58290-2022</t>
        </is>
      </c>
      <c r="B462" s="1" t="n">
        <v>44901.50284722223</v>
      </c>
      <c r="C462" s="1" t="n">
        <v>45961</v>
      </c>
      <c r="D462" t="inlineStr">
        <is>
          <t>VÄSTERNORRLANDS LÄN</t>
        </is>
      </c>
      <c r="E462" t="inlineStr">
        <is>
          <t>SUNDSVALL</t>
        </is>
      </c>
      <c r="G462" t="n">
        <v>2.4</v>
      </c>
      <c r="H462" t="n">
        <v>0</v>
      </c>
      <c r="I462" t="n">
        <v>0</v>
      </c>
      <c r="J462" t="n">
        <v>0</v>
      </c>
      <c r="K462" t="n">
        <v>0</v>
      </c>
      <c r="L462" t="n">
        <v>0</v>
      </c>
      <c r="M462" t="n">
        <v>0</v>
      </c>
      <c r="N462" t="n">
        <v>0</v>
      </c>
      <c r="O462" t="n">
        <v>0</v>
      </c>
      <c r="P462" t="n">
        <v>0</v>
      </c>
      <c r="Q462" t="n">
        <v>0</v>
      </c>
      <c r="R462" s="2" t="inlineStr"/>
    </row>
    <row r="463" ht="15" customHeight="1">
      <c r="A463" t="inlineStr">
        <is>
          <t>A 51599-2021</t>
        </is>
      </c>
      <c r="B463" s="1" t="n">
        <v>44461</v>
      </c>
      <c r="C463" s="1" t="n">
        <v>45961</v>
      </c>
      <c r="D463" t="inlineStr">
        <is>
          <t>VÄSTERNORRLANDS LÄN</t>
        </is>
      </c>
      <c r="E463" t="inlineStr">
        <is>
          <t>SUNDSVALL</t>
        </is>
      </c>
      <c r="G463" t="n">
        <v>3.2</v>
      </c>
      <c r="H463" t="n">
        <v>0</v>
      </c>
      <c r="I463" t="n">
        <v>0</v>
      </c>
      <c r="J463" t="n">
        <v>0</v>
      </c>
      <c r="K463" t="n">
        <v>0</v>
      </c>
      <c r="L463" t="n">
        <v>0</v>
      </c>
      <c r="M463" t="n">
        <v>0</v>
      </c>
      <c r="N463" t="n">
        <v>0</v>
      </c>
      <c r="O463" t="n">
        <v>0</v>
      </c>
      <c r="P463" t="n">
        <v>0</v>
      </c>
      <c r="Q463" t="n">
        <v>0</v>
      </c>
      <c r="R463" s="2" t="inlineStr"/>
    </row>
    <row r="464" ht="15" customHeight="1">
      <c r="A464" t="inlineStr">
        <is>
          <t>A 66191-2021</t>
        </is>
      </c>
      <c r="B464" s="1" t="n">
        <v>44517</v>
      </c>
      <c r="C464" s="1" t="n">
        <v>45961</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21899-2024</t>
        </is>
      </c>
      <c r="B465" s="1" t="n">
        <v>45443</v>
      </c>
      <c r="C465" s="1" t="n">
        <v>45961</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52109-2023</t>
        </is>
      </c>
      <c r="B466" s="1" t="n">
        <v>45223</v>
      </c>
      <c r="C466" s="1" t="n">
        <v>45961</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52110-2023</t>
        </is>
      </c>
      <c r="B467" s="1" t="n">
        <v>45223</v>
      </c>
      <c r="C467" s="1" t="n">
        <v>45961</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37962-2021</t>
        </is>
      </c>
      <c r="B468" s="1" t="n">
        <v>44403.94012731482</v>
      </c>
      <c r="C468" s="1" t="n">
        <v>45961</v>
      </c>
      <c r="D468" t="inlineStr">
        <is>
          <t>VÄSTERNORRLANDS LÄN</t>
        </is>
      </c>
      <c r="E468" t="inlineStr">
        <is>
          <t>SUNDSVALL</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25407-2023</t>
        </is>
      </c>
      <c r="B469" s="1" t="n">
        <v>45089.37394675926</v>
      </c>
      <c r="C469" s="1" t="n">
        <v>45961</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62083-2021</t>
        </is>
      </c>
      <c r="B470" s="1" t="n">
        <v>44502.60898148148</v>
      </c>
      <c r="C470" s="1" t="n">
        <v>45961</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15633-2025</t>
        </is>
      </c>
      <c r="B471" s="1" t="n">
        <v>45748.37162037037</v>
      </c>
      <c r="C471" s="1" t="n">
        <v>45961</v>
      </c>
      <c r="D471" t="inlineStr">
        <is>
          <t>VÄSTERNORRLANDS LÄN</t>
        </is>
      </c>
      <c r="E471" t="inlineStr">
        <is>
          <t>SUNDSVALL</t>
        </is>
      </c>
      <c r="G471" t="n">
        <v>7.6</v>
      </c>
      <c r="H471" t="n">
        <v>0</v>
      </c>
      <c r="I471" t="n">
        <v>0</v>
      </c>
      <c r="J471" t="n">
        <v>0</v>
      </c>
      <c r="K471" t="n">
        <v>0</v>
      </c>
      <c r="L471" t="n">
        <v>0</v>
      </c>
      <c r="M471" t="n">
        <v>0</v>
      </c>
      <c r="N471" t="n">
        <v>0</v>
      </c>
      <c r="O471" t="n">
        <v>0</v>
      </c>
      <c r="P471" t="n">
        <v>0</v>
      </c>
      <c r="Q471" t="n">
        <v>0</v>
      </c>
      <c r="R471" s="2" t="inlineStr"/>
    </row>
    <row r="472" ht="15" customHeight="1">
      <c r="A472" t="inlineStr">
        <is>
          <t>A 58037-2021</t>
        </is>
      </c>
      <c r="B472" s="1" t="n">
        <v>44487</v>
      </c>
      <c r="C472" s="1" t="n">
        <v>45961</v>
      </c>
      <c r="D472" t="inlineStr">
        <is>
          <t>VÄSTERNORRLANDS LÄN</t>
        </is>
      </c>
      <c r="E472" t="inlineStr">
        <is>
          <t>SUNDSVALL</t>
        </is>
      </c>
      <c r="G472" t="n">
        <v>2</v>
      </c>
      <c r="H472" t="n">
        <v>0</v>
      </c>
      <c r="I472" t="n">
        <v>0</v>
      </c>
      <c r="J472" t="n">
        <v>0</v>
      </c>
      <c r="K472" t="n">
        <v>0</v>
      </c>
      <c r="L472" t="n">
        <v>0</v>
      </c>
      <c r="M472" t="n">
        <v>0</v>
      </c>
      <c r="N472" t="n">
        <v>0</v>
      </c>
      <c r="O472" t="n">
        <v>0</v>
      </c>
      <c r="P472" t="n">
        <v>0</v>
      </c>
      <c r="Q472" t="n">
        <v>0</v>
      </c>
      <c r="R472" s="2" t="inlineStr"/>
    </row>
    <row r="473" ht="15" customHeight="1">
      <c r="A473" t="inlineStr">
        <is>
          <t>A 45739-2021</t>
        </is>
      </c>
      <c r="B473" s="1" t="n">
        <v>44441</v>
      </c>
      <c r="C473" s="1" t="n">
        <v>45961</v>
      </c>
      <c r="D473" t="inlineStr">
        <is>
          <t>VÄSTERNORRLANDS LÄN</t>
        </is>
      </c>
      <c r="E473" t="inlineStr">
        <is>
          <t>SUNDSVALL</t>
        </is>
      </c>
      <c r="G473" t="n">
        <v>14.8</v>
      </c>
      <c r="H473" t="n">
        <v>0</v>
      </c>
      <c r="I473" t="n">
        <v>0</v>
      </c>
      <c r="J473" t="n">
        <v>0</v>
      </c>
      <c r="K473" t="n">
        <v>0</v>
      </c>
      <c r="L473" t="n">
        <v>0</v>
      </c>
      <c r="M473" t="n">
        <v>0</v>
      </c>
      <c r="N473" t="n">
        <v>0</v>
      </c>
      <c r="O473" t="n">
        <v>0</v>
      </c>
      <c r="P473" t="n">
        <v>0</v>
      </c>
      <c r="Q473" t="n">
        <v>0</v>
      </c>
      <c r="R473" s="2" t="inlineStr"/>
    </row>
    <row r="474" ht="15" customHeight="1">
      <c r="A474" t="inlineStr">
        <is>
          <t>A 44404-2022</t>
        </is>
      </c>
      <c r="B474" s="1" t="n">
        <v>44838</v>
      </c>
      <c r="C474" s="1" t="n">
        <v>45961</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44405-2022</t>
        </is>
      </c>
      <c r="B475" s="1" t="n">
        <v>44838</v>
      </c>
      <c r="C475" s="1" t="n">
        <v>45961</v>
      </c>
      <c r="D475" t="inlineStr">
        <is>
          <t>VÄSTERNORRLANDS LÄN</t>
        </is>
      </c>
      <c r="E475" t="inlineStr">
        <is>
          <t>SUNDSVALL</t>
        </is>
      </c>
      <c r="G475" t="n">
        <v>0.2</v>
      </c>
      <c r="H475" t="n">
        <v>0</v>
      </c>
      <c r="I475" t="n">
        <v>0</v>
      </c>
      <c r="J475" t="n">
        <v>0</v>
      </c>
      <c r="K475" t="n">
        <v>0</v>
      </c>
      <c r="L475" t="n">
        <v>0</v>
      </c>
      <c r="M475" t="n">
        <v>0</v>
      </c>
      <c r="N475" t="n">
        <v>0</v>
      </c>
      <c r="O475" t="n">
        <v>0</v>
      </c>
      <c r="P475" t="n">
        <v>0</v>
      </c>
      <c r="Q475" t="n">
        <v>0</v>
      </c>
      <c r="R475" s="2" t="inlineStr"/>
    </row>
    <row r="476" ht="15" customHeight="1">
      <c r="A476" t="inlineStr">
        <is>
          <t>A 44409-2022</t>
        </is>
      </c>
      <c r="B476" s="1" t="n">
        <v>44839.88365740741</v>
      </c>
      <c r="C476" s="1" t="n">
        <v>45961</v>
      </c>
      <c r="D476" t="inlineStr">
        <is>
          <t>VÄSTERNORRLANDS LÄN</t>
        </is>
      </c>
      <c r="E476" t="inlineStr">
        <is>
          <t>SUNDSVALL</t>
        </is>
      </c>
      <c r="G476" t="n">
        <v>1.5</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45961</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58352-2022</t>
        </is>
      </c>
      <c r="B478" s="1" t="n">
        <v>44901.60188657408</v>
      </c>
      <c r="C478" s="1" t="n">
        <v>45961</v>
      </c>
      <c r="D478" t="inlineStr">
        <is>
          <t>VÄSTERNORRLANDS LÄN</t>
        </is>
      </c>
      <c r="E478" t="inlineStr">
        <is>
          <t>SUNDSVALL</t>
        </is>
      </c>
      <c r="G478" t="n">
        <v>3</v>
      </c>
      <c r="H478" t="n">
        <v>0</v>
      </c>
      <c r="I478" t="n">
        <v>0</v>
      </c>
      <c r="J478" t="n">
        <v>0</v>
      </c>
      <c r="K478" t="n">
        <v>0</v>
      </c>
      <c r="L478" t="n">
        <v>0</v>
      </c>
      <c r="M478" t="n">
        <v>0</v>
      </c>
      <c r="N478" t="n">
        <v>0</v>
      </c>
      <c r="O478" t="n">
        <v>0</v>
      </c>
      <c r="P478" t="n">
        <v>0</v>
      </c>
      <c r="Q478" t="n">
        <v>0</v>
      </c>
      <c r="R478" s="2" t="inlineStr"/>
    </row>
    <row r="479" ht="15" customHeight="1">
      <c r="A479" t="inlineStr">
        <is>
          <t>A 59440-2021</t>
        </is>
      </c>
      <c r="B479" s="1" t="n">
        <v>44491</v>
      </c>
      <c r="C479" s="1" t="n">
        <v>45961</v>
      </c>
      <c r="D479" t="inlineStr">
        <is>
          <t>VÄSTERNORRLANDS LÄN</t>
        </is>
      </c>
      <c r="E479" t="inlineStr">
        <is>
          <t>SUNDSVALL</t>
        </is>
      </c>
      <c r="G479" t="n">
        <v>4.9</v>
      </c>
      <c r="H479" t="n">
        <v>0</v>
      </c>
      <c r="I479" t="n">
        <v>0</v>
      </c>
      <c r="J479" t="n">
        <v>0</v>
      </c>
      <c r="K479" t="n">
        <v>0</v>
      </c>
      <c r="L479" t="n">
        <v>0</v>
      </c>
      <c r="M479" t="n">
        <v>0</v>
      </c>
      <c r="N479" t="n">
        <v>0</v>
      </c>
      <c r="O479" t="n">
        <v>0</v>
      </c>
      <c r="P479" t="n">
        <v>0</v>
      </c>
      <c r="Q479" t="n">
        <v>0</v>
      </c>
      <c r="R479" s="2" t="inlineStr"/>
    </row>
    <row r="480" ht="15" customHeight="1">
      <c r="A480" t="inlineStr">
        <is>
          <t>A 11724-2025</t>
        </is>
      </c>
      <c r="B480" s="1" t="n">
        <v>45727.61490740741</v>
      </c>
      <c r="C480" s="1" t="n">
        <v>45961</v>
      </c>
      <c r="D480" t="inlineStr">
        <is>
          <t>VÄSTERNORRLANDS LÄN</t>
        </is>
      </c>
      <c r="E480" t="inlineStr">
        <is>
          <t>SUNDSVALL</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29322-2021</t>
        </is>
      </c>
      <c r="B481" s="1" t="n">
        <v>44361.42559027778</v>
      </c>
      <c r="C481" s="1" t="n">
        <v>45961</v>
      </c>
      <c r="D481" t="inlineStr">
        <is>
          <t>VÄSTERNORRLANDS LÄN</t>
        </is>
      </c>
      <c r="E481" t="inlineStr">
        <is>
          <t>SUNDSVALL</t>
        </is>
      </c>
      <c r="G481" t="n">
        <v>7.2</v>
      </c>
      <c r="H481" t="n">
        <v>0</v>
      </c>
      <c r="I481" t="n">
        <v>0</v>
      </c>
      <c r="J481" t="n">
        <v>0</v>
      </c>
      <c r="K481" t="n">
        <v>0</v>
      </c>
      <c r="L481" t="n">
        <v>0</v>
      </c>
      <c r="M481" t="n">
        <v>0</v>
      </c>
      <c r="N481" t="n">
        <v>0</v>
      </c>
      <c r="O481" t="n">
        <v>0</v>
      </c>
      <c r="P481" t="n">
        <v>0</v>
      </c>
      <c r="Q481" t="n">
        <v>0</v>
      </c>
      <c r="R481" s="2" t="inlineStr"/>
    </row>
    <row r="482" ht="15" customHeight="1">
      <c r="A482" t="inlineStr">
        <is>
          <t>A 56231-2023</t>
        </is>
      </c>
      <c r="B482" s="1" t="n">
        <v>45240.92366898148</v>
      </c>
      <c r="C482" s="1" t="n">
        <v>45961</v>
      </c>
      <c r="D482" t="inlineStr">
        <is>
          <t>VÄSTERNORRLANDS LÄN</t>
        </is>
      </c>
      <c r="E482" t="inlineStr">
        <is>
          <t>SUNDSVALL</t>
        </is>
      </c>
      <c r="G482" t="n">
        <v>18.4</v>
      </c>
      <c r="H482" t="n">
        <v>0</v>
      </c>
      <c r="I482" t="n">
        <v>0</v>
      </c>
      <c r="J482" t="n">
        <v>0</v>
      </c>
      <c r="K482" t="n">
        <v>0</v>
      </c>
      <c r="L482" t="n">
        <v>0</v>
      </c>
      <c r="M482" t="n">
        <v>0</v>
      </c>
      <c r="N482" t="n">
        <v>0</v>
      </c>
      <c r="O482" t="n">
        <v>0</v>
      </c>
      <c r="P482" t="n">
        <v>0</v>
      </c>
      <c r="Q482" t="n">
        <v>0</v>
      </c>
      <c r="R482" s="2" t="inlineStr"/>
    </row>
    <row r="483" ht="15" customHeight="1">
      <c r="A483" t="inlineStr">
        <is>
          <t>A 12803-2024</t>
        </is>
      </c>
      <c r="B483" s="1" t="n">
        <v>45384</v>
      </c>
      <c r="C483" s="1" t="n">
        <v>45961</v>
      </c>
      <c r="D483" t="inlineStr">
        <is>
          <t>VÄSTERNORRLANDS LÄN</t>
        </is>
      </c>
      <c r="E483" t="inlineStr">
        <is>
          <t>SUNDSVALL</t>
        </is>
      </c>
      <c r="G483" t="n">
        <v>1.4</v>
      </c>
      <c r="H483" t="n">
        <v>0</v>
      </c>
      <c r="I483" t="n">
        <v>0</v>
      </c>
      <c r="J483" t="n">
        <v>0</v>
      </c>
      <c r="K483" t="n">
        <v>0</v>
      </c>
      <c r="L483" t="n">
        <v>0</v>
      </c>
      <c r="M483" t="n">
        <v>0</v>
      </c>
      <c r="N483" t="n">
        <v>0</v>
      </c>
      <c r="O483" t="n">
        <v>0</v>
      </c>
      <c r="P483" t="n">
        <v>0</v>
      </c>
      <c r="Q483" t="n">
        <v>0</v>
      </c>
      <c r="R483" s="2" t="inlineStr"/>
    </row>
    <row r="484" ht="15" customHeight="1">
      <c r="A484" t="inlineStr">
        <is>
          <t>A 39676-2021</t>
        </is>
      </c>
      <c r="B484" s="1" t="n">
        <v>44414</v>
      </c>
      <c r="C484" s="1" t="n">
        <v>45961</v>
      </c>
      <c r="D484" t="inlineStr">
        <is>
          <t>VÄSTERNORRLANDS LÄN</t>
        </is>
      </c>
      <c r="E484" t="inlineStr">
        <is>
          <t>SUNDSVALL</t>
        </is>
      </c>
      <c r="G484" t="n">
        <v>2.8</v>
      </c>
      <c r="H484" t="n">
        <v>0</v>
      </c>
      <c r="I484" t="n">
        <v>0</v>
      </c>
      <c r="J484" t="n">
        <v>0</v>
      </c>
      <c r="K484" t="n">
        <v>0</v>
      </c>
      <c r="L484" t="n">
        <v>0</v>
      </c>
      <c r="M484" t="n">
        <v>0</v>
      </c>
      <c r="N484" t="n">
        <v>0</v>
      </c>
      <c r="O484" t="n">
        <v>0</v>
      </c>
      <c r="P484" t="n">
        <v>0</v>
      </c>
      <c r="Q484" t="n">
        <v>0</v>
      </c>
      <c r="R484" s="2" t="inlineStr"/>
    </row>
    <row r="485" ht="15" customHeight="1">
      <c r="A485" t="inlineStr">
        <is>
          <t>A 53645-2022</t>
        </is>
      </c>
      <c r="B485" s="1" t="n">
        <v>44879</v>
      </c>
      <c r="C485" s="1" t="n">
        <v>45961</v>
      </c>
      <c r="D485" t="inlineStr">
        <is>
          <t>VÄSTERNORRLANDS LÄN</t>
        </is>
      </c>
      <c r="E485" t="inlineStr">
        <is>
          <t>SUNDSVALL</t>
        </is>
      </c>
      <c r="G485" t="n">
        <v>0.2</v>
      </c>
      <c r="H485" t="n">
        <v>0</v>
      </c>
      <c r="I485" t="n">
        <v>0</v>
      </c>
      <c r="J485" t="n">
        <v>0</v>
      </c>
      <c r="K485" t="n">
        <v>0</v>
      </c>
      <c r="L485" t="n">
        <v>0</v>
      </c>
      <c r="M485" t="n">
        <v>0</v>
      </c>
      <c r="N485" t="n">
        <v>0</v>
      </c>
      <c r="O485" t="n">
        <v>0</v>
      </c>
      <c r="P485" t="n">
        <v>0</v>
      </c>
      <c r="Q485" t="n">
        <v>0</v>
      </c>
      <c r="R485" s="2" t="inlineStr"/>
    </row>
    <row r="486" ht="15" customHeight="1">
      <c r="A486" t="inlineStr">
        <is>
          <t>A 58185-2022</t>
        </is>
      </c>
      <c r="B486" s="1" t="n">
        <v>44900</v>
      </c>
      <c r="C486" s="1" t="n">
        <v>45961</v>
      </c>
      <c r="D486" t="inlineStr">
        <is>
          <t>VÄSTERNORRLANDS LÄN</t>
        </is>
      </c>
      <c r="E486" t="inlineStr">
        <is>
          <t>SUNDSVALL</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17586-2022</t>
        </is>
      </c>
      <c r="B487" s="1" t="n">
        <v>44679.94385416667</v>
      </c>
      <c r="C487" s="1" t="n">
        <v>45961</v>
      </c>
      <c r="D487" t="inlineStr">
        <is>
          <t>VÄSTERNORRLANDS LÄN</t>
        </is>
      </c>
      <c r="E487" t="inlineStr">
        <is>
          <t>SUNDSVALL</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10201-2024</t>
        </is>
      </c>
      <c r="B488" s="1" t="n">
        <v>45364.92842592593</v>
      </c>
      <c r="C488" s="1" t="n">
        <v>45961</v>
      </c>
      <c r="D488" t="inlineStr">
        <is>
          <t>VÄSTERNORRLANDS LÄN</t>
        </is>
      </c>
      <c r="E488" t="inlineStr">
        <is>
          <t>SUNDSVALL</t>
        </is>
      </c>
      <c r="G488" t="n">
        <v>3.7</v>
      </c>
      <c r="H488" t="n">
        <v>0</v>
      </c>
      <c r="I488" t="n">
        <v>0</v>
      </c>
      <c r="J488" t="n">
        <v>0</v>
      </c>
      <c r="K488" t="n">
        <v>0</v>
      </c>
      <c r="L488" t="n">
        <v>0</v>
      </c>
      <c r="M488" t="n">
        <v>0</v>
      </c>
      <c r="N488" t="n">
        <v>0</v>
      </c>
      <c r="O488" t="n">
        <v>0</v>
      </c>
      <c r="P488" t="n">
        <v>0</v>
      </c>
      <c r="Q488" t="n">
        <v>0</v>
      </c>
      <c r="R488" s="2" t="inlineStr"/>
    </row>
    <row r="489" ht="15" customHeight="1">
      <c r="A489" t="inlineStr">
        <is>
          <t>A 45150-2023</t>
        </is>
      </c>
      <c r="B489" s="1" t="n">
        <v>45191</v>
      </c>
      <c r="C489" s="1" t="n">
        <v>45961</v>
      </c>
      <c r="D489" t="inlineStr">
        <is>
          <t>VÄSTERNORRLANDS LÄN</t>
        </is>
      </c>
      <c r="E489" t="inlineStr">
        <is>
          <t>SUNDSVALL</t>
        </is>
      </c>
      <c r="G489" t="n">
        <v>1.9</v>
      </c>
      <c r="H489" t="n">
        <v>0</v>
      </c>
      <c r="I489" t="n">
        <v>0</v>
      </c>
      <c r="J489" t="n">
        <v>0</v>
      </c>
      <c r="K489" t="n">
        <v>0</v>
      </c>
      <c r="L489" t="n">
        <v>0</v>
      </c>
      <c r="M489" t="n">
        <v>0</v>
      </c>
      <c r="N489" t="n">
        <v>0</v>
      </c>
      <c r="O489" t="n">
        <v>0</v>
      </c>
      <c r="P489" t="n">
        <v>0</v>
      </c>
      <c r="Q489" t="n">
        <v>0</v>
      </c>
      <c r="R489" s="2" t="inlineStr"/>
    </row>
    <row r="490" ht="15" customHeight="1">
      <c r="A490" t="inlineStr">
        <is>
          <t>A 52939-2023</t>
        </is>
      </c>
      <c r="B490" s="1" t="n">
        <v>45222</v>
      </c>
      <c r="C490" s="1" t="n">
        <v>45961</v>
      </c>
      <c r="D490" t="inlineStr">
        <is>
          <t>VÄSTERNORRLANDS LÄN</t>
        </is>
      </c>
      <c r="E490" t="inlineStr">
        <is>
          <t>SUNDSVALL</t>
        </is>
      </c>
      <c r="G490" t="n">
        <v>0.2</v>
      </c>
      <c r="H490" t="n">
        <v>0</v>
      </c>
      <c r="I490" t="n">
        <v>0</v>
      </c>
      <c r="J490" t="n">
        <v>0</v>
      </c>
      <c r="K490" t="n">
        <v>0</v>
      </c>
      <c r="L490" t="n">
        <v>0</v>
      </c>
      <c r="M490" t="n">
        <v>0</v>
      </c>
      <c r="N490" t="n">
        <v>0</v>
      </c>
      <c r="O490" t="n">
        <v>0</v>
      </c>
      <c r="P490" t="n">
        <v>0</v>
      </c>
      <c r="Q490" t="n">
        <v>0</v>
      </c>
      <c r="R490" s="2" t="inlineStr"/>
    </row>
    <row r="491" ht="15" customHeight="1">
      <c r="A491" t="inlineStr">
        <is>
          <t>A 18513-2025</t>
        </is>
      </c>
      <c r="B491" s="1" t="n">
        <v>45763.38469907407</v>
      </c>
      <c r="C491" s="1" t="n">
        <v>45961</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45357-2024</t>
        </is>
      </c>
      <c r="B492" s="1" t="n">
        <v>45576.48070601852</v>
      </c>
      <c r="C492" s="1" t="n">
        <v>45961</v>
      </c>
      <c r="D492" t="inlineStr">
        <is>
          <t>VÄSTERNORRLANDS LÄN</t>
        </is>
      </c>
      <c r="E492" t="inlineStr">
        <is>
          <t>SUNDSVALL</t>
        </is>
      </c>
      <c r="G492" t="n">
        <v>18.2</v>
      </c>
      <c r="H492" t="n">
        <v>0</v>
      </c>
      <c r="I492" t="n">
        <v>0</v>
      </c>
      <c r="J492" t="n">
        <v>0</v>
      </c>
      <c r="K492" t="n">
        <v>0</v>
      </c>
      <c r="L492" t="n">
        <v>0</v>
      </c>
      <c r="M492" t="n">
        <v>0</v>
      </c>
      <c r="N492" t="n">
        <v>0</v>
      </c>
      <c r="O492" t="n">
        <v>0</v>
      </c>
      <c r="P492" t="n">
        <v>0</v>
      </c>
      <c r="Q492" t="n">
        <v>0</v>
      </c>
      <c r="R492" s="2" t="inlineStr"/>
    </row>
    <row r="493" ht="15" customHeight="1">
      <c r="A493" t="inlineStr">
        <is>
          <t>A 9310-2024</t>
        </is>
      </c>
      <c r="B493" s="1" t="n">
        <v>45358</v>
      </c>
      <c r="C493" s="1" t="n">
        <v>45961</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4912-2023</t>
        </is>
      </c>
      <c r="B494" s="1" t="n">
        <v>44956</v>
      </c>
      <c r="C494" s="1" t="n">
        <v>45961</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45961</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14154-2024</t>
        </is>
      </c>
      <c r="B496" s="1" t="n">
        <v>45392.92877314815</v>
      </c>
      <c r="C496" s="1" t="n">
        <v>45961</v>
      </c>
      <c r="D496" t="inlineStr">
        <is>
          <t>VÄSTERNORRLANDS LÄN</t>
        </is>
      </c>
      <c r="E496" t="inlineStr">
        <is>
          <t>SUNDSVALL</t>
        </is>
      </c>
      <c r="G496" t="n">
        <v>0.5</v>
      </c>
      <c r="H496" t="n">
        <v>0</v>
      </c>
      <c r="I496" t="n">
        <v>0</v>
      </c>
      <c r="J496" t="n">
        <v>0</v>
      </c>
      <c r="K496" t="n">
        <v>0</v>
      </c>
      <c r="L496" t="n">
        <v>0</v>
      </c>
      <c r="M496" t="n">
        <v>0</v>
      </c>
      <c r="N496" t="n">
        <v>0</v>
      </c>
      <c r="O496" t="n">
        <v>0</v>
      </c>
      <c r="P496" t="n">
        <v>0</v>
      </c>
      <c r="Q496" t="n">
        <v>0</v>
      </c>
      <c r="R496" s="2" t="inlineStr"/>
    </row>
    <row r="497" ht="15" customHeight="1">
      <c r="A497" t="inlineStr">
        <is>
          <t>A 29629-2023</t>
        </is>
      </c>
      <c r="B497" s="1" t="n">
        <v>45106.94587962963</v>
      </c>
      <c r="C497" s="1" t="n">
        <v>45961</v>
      </c>
      <c r="D497" t="inlineStr">
        <is>
          <t>VÄSTERNORRLANDS LÄN</t>
        </is>
      </c>
      <c r="E497" t="inlineStr">
        <is>
          <t>SUNDSVALL</t>
        </is>
      </c>
      <c r="F497" t="inlineStr">
        <is>
          <t>SCA</t>
        </is>
      </c>
      <c r="G497" t="n">
        <v>5.1</v>
      </c>
      <c r="H497" t="n">
        <v>0</v>
      </c>
      <c r="I497" t="n">
        <v>0</v>
      </c>
      <c r="J497" t="n">
        <v>0</v>
      </c>
      <c r="K497" t="n">
        <v>0</v>
      </c>
      <c r="L497" t="n">
        <v>0</v>
      </c>
      <c r="M497" t="n">
        <v>0</v>
      </c>
      <c r="N497" t="n">
        <v>0</v>
      </c>
      <c r="O497" t="n">
        <v>0</v>
      </c>
      <c r="P497" t="n">
        <v>0</v>
      </c>
      <c r="Q497" t="n">
        <v>0</v>
      </c>
      <c r="R497" s="2" t="inlineStr"/>
    </row>
    <row r="498" ht="15" customHeight="1">
      <c r="A498" t="inlineStr">
        <is>
          <t>A 10242-2025</t>
        </is>
      </c>
      <c r="B498" s="1" t="n">
        <v>45720.34821759259</v>
      </c>
      <c r="C498" s="1" t="n">
        <v>45961</v>
      </c>
      <c r="D498" t="inlineStr">
        <is>
          <t>VÄSTERNORRLANDS LÄN</t>
        </is>
      </c>
      <c r="E498" t="inlineStr">
        <is>
          <t>SUNDSVALL</t>
        </is>
      </c>
      <c r="G498" t="n">
        <v>4.5</v>
      </c>
      <c r="H498" t="n">
        <v>0</v>
      </c>
      <c r="I498" t="n">
        <v>0</v>
      </c>
      <c r="J498" t="n">
        <v>0</v>
      </c>
      <c r="K498" t="n">
        <v>0</v>
      </c>
      <c r="L498" t="n">
        <v>0</v>
      </c>
      <c r="M498" t="n">
        <v>0</v>
      </c>
      <c r="N498" t="n">
        <v>0</v>
      </c>
      <c r="O498" t="n">
        <v>0</v>
      </c>
      <c r="P498" t="n">
        <v>0</v>
      </c>
      <c r="Q498" t="n">
        <v>0</v>
      </c>
      <c r="R498" s="2" t="inlineStr"/>
    </row>
    <row r="499" ht="15" customHeight="1">
      <c r="A499" t="inlineStr">
        <is>
          <t>A 63163-2021</t>
        </is>
      </c>
      <c r="B499" s="1" t="n">
        <v>44505</v>
      </c>
      <c r="C499" s="1" t="n">
        <v>45961</v>
      </c>
      <c r="D499" t="inlineStr">
        <is>
          <t>VÄSTERNORRLANDS LÄN</t>
        </is>
      </c>
      <c r="E499" t="inlineStr">
        <is>
          <t>SUNDSVALL</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58453-2023</t>
        </is>
      </c>
      <c r="B500" s="1" t="n">
        <v>45250.93866898148</v>
      </c>
      <c r="C500" s="1" t="n">
        <v>45961</v>
      </c>
      <c r="D500" t="inlineStr">
        <is>
          <t>VÄSTERNORRLANDS LÄN</t>
        </is>
      </c>
      <c r="E500" t="inlineStr">
        <is>
          <t>SUNDSVALL</t>
        </is>
      </c>
      <c r="G500" t="n">
        <v>1.2</v>
      </c>
      <c r="H500" t="n">
        <v>0</v>
      </c>
      <c r="I500" t="n">
        <v>0</v>
      </c>
      <c r="J500" t="n">
        <v>0</v>
      </c>
      <c r="K500" t="n">
        <v>0</v>
      </c>
      <c r="L500" t="n">
        <v>0</v>
      </c>
      <c r="M500" t="n">
        <v>0</v>
      </c>
      <c r="N500" t="n">
        <v>0</v>
      </c>
      <c r="O500" t="n">
        <v>0</v>
      </c>
      <c r="P500" t="n">
        <v>0</v>
      </c>
      <c r="Q500" t="n">
        <v>0</v>
      </c>
      <c r="R500" s="2" t="inlineStr"/>
    </row>
    <row r="501" ht="15" customHeight="1">
      <c r="A501" t="inlineStr">
        <is>
          <t>A 55528-2022</t>
        </is>
      </c>
      <c r="B501" s="1" t="n">
        <v>44887</v>
      </c>
      <c r="C501" s="1" t="n">
        <v>45961</v>
      </c>
      <c r="D501" t="inlineStr">
        <is>
          <t>VÄSTERNORRLANDS LÄN</t>
        </is>
      </c>
      <c r="E501" t="inlineStr">
        <is>
          <t>SUNDSVALL</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7463-2025</t>
        </is>
      </c>
      <c r="B502" s="1" t="n">
        <v>45705.44458333333</v>
      </c>
      <c r="C502" s="1" t="n">
        <v>45961</v>
      </c>
      <c r="D502" t="inlineStr">
        <is>
          <t>VÄSTERNORRLANDS LÄN</t>
        </is>
      </c>
      <c r="E502" t="inlineStr">
        <is>
          <t>SUNDSVALL</t>
        </is>
      </c>
      <c r="G502" t="n">
        <v>3.4</v>
      </c>
      <c r="H502" t="n">
        <v>0</v>
      </c>
      <c r="I502" t="n">
        <v>0</v>
      </c>
      <c r="J502" t="n">
        <v>0</v>
      </c>
      <c r="K502" t="n">
        <v>0</v>
      </c>
      <c r="L502" t="n">
        <v>0</v>
      </c>
      <c r="M502" t="n">
        <v>0</v>
      </c>
      <c r="N502" t="n">
        <v>0</v>
      </c>
      <c r="O502" t="n">
        <v>0</v>
      </c>
      <c r="P502" t="n">
        <v>0</v>
      </c>
      <c r="Q502" t="n">
        <v>0</v>
      </c>
      <c r="R502" s="2" t="inlineStr"/>
    </row>
    <row r="503" ht="15" customHeight="1">
      <c r="A503" t="inlineStr">
        <is>
          <t>A 59928-2023</t>
        </is>
      </c>
      <c r="B503" s="1" t="n">
        <v>45254</v>
      </c>
      <c r="C503" s="1" t="n">
        <v>45961</v>
      </c>
      <c r="D503" t="inlineStr">
        <is>
          <t>VÄSTERNORRLANDS LÄN</t>
        </is>
      </c>
      <c r="E503" t="inlineStr">
        <is>
          <t>SUNDSVALL</t>
        </is>
      </c>
      <c r="G503" t="n">
        <v>1.1</v>
      </c>
      <c r="H503" t="n">
        <v>0</v>
      </c>
      <c r="I503" t="n">
        <v>0</v>
      </c>
      <c r="J503" t="n">
        <v>0</v>
      </c>
      <c r="K503" t="n">
        <v>0</v>
      </c>
      <c r="L503" t="n">
        <v>0</v>
      </c>
      <c r="M503" t="n">
        <v>0</v>
      </c>
      <c r="N503" t="n">
        <v>0</v>
      </c>
      <c r="O503" t="n">
        <v>0</v>
      </c>
      <c r="P503" t="n">
        <v>0</v>
      </c>
      <c r="Q503" t="n">
        <v>0</v>
      </c>
      <c r="R503" s="2" t="inlineStr"/>
    </row>
    <row r="504" ht="15" customHeight="1">
      <c r="A504" t="inlineStr">
        <is>
          <t>A 8440-2025</t>
        </is>
      </c>
      <c r="B504" s="1" t="n">
        <v>45709.44836805556</v>
      </c>
      <c r="C504" s="1" t="n">
        <v>45961</v>
      </c>
      <c r="D504" t="inlineStr">
        <is>
          <t>VÄSTERNORRLANDS LÄN</t>
        </is>
      </c>
      <c r="E504" t="inlineStr">
        <is>
          <t>SUNDSVALL</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50651-2022</t>
        </is>
      </c>
      <c r="B505" s="1" t="n">
        <v>44866</v>
      </c>
      <c r="C505" s="1" t="n">
        <v>45961</v>
      </c>
      <c r="D505" t="inlineStr">
        <is>
          <t>VÄSTERNORRLANDS LÄN</t>
        </is>
      </c>
      <c r="E505" t="inlineStr">
        <is>
          <t>SUNDSVALL</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795-2023</t>
        </is>
      </c>
      <c r="B506" s="1" t="n">
        <v>44928</v>
      </c>
      <c r="C506" s="1" t="n">
        <v>45961</v>
      </c>
      <c r="D506" t="inlineStr">
        <is>
          <t>VÄSTERNORRLANDS LÄN</t>
        </is>
      </c>
      <c r="E506" t="inlineStr">
        <is>
          <t>SUNDSVALL</t>
        </is>
      </c>
      <c r="G506" t="n">
        <v>1.5</v>
      </c>
      <c r="H506" t="n">
        <v>0</v>
      </c>
      <c r="I506" t="n">
        <v>0</v>
      </c>
      <c r="J506" t="n">
        <v>0</v>
      </c>
      <c r="K506" t="n">
        <v>0</v>
      </c>
      <c r="L506" t="n">
        <v>0</v>
      </c>
      <c r="M506" t="n">
        <v>0</v>
      </c>
      <c r="N506" t="n">
        <v>0</v>
      </c>
      <c r="O506" t="n">
        <v>0</v>
      </c>
      <c r="P506" t="n">
        <v>0</v>
      </c>
      <c r="Q506" t="n">
        <v>0</v>
      </c>
      <c r="R506" s="2" t="inlineStr"/>
    </row>
    <row r="507" ht="15" customHeight="1">
      <c r="A507" t="inlineStr">
        <is>
          <t>A 44688-2023</t>
        </is>
      </c>
      <c r="B507" s="1" t="n">
        <v>45189.92204861111</v>
      </c>
      <c r="C507" s="1" t="n">
        <v>45961</v>
      </c>
      <c r="D507" t="inlineStr">
        <is>
          <t>VÄSTERNORRLANDS LÄN</t>
        </is>
      </c>
      <c r="E507" t="inlineStr">
        <is>
          <t>SUNDSVALL</t>
        </is>
      </c>
      <c r="G507" t="n">
        <v>3</v>
      </c>
      <c r="H507" t="n">
        <v>0</v>
      </c>
      <c r="I507" t="n">
        <v>0</v>
      </c>
      <c r="J507" t="n">
        <v>0</v>
      </c>
      <c r="K507" t="n">
        <v>0</v>
      </c>
      <c r="L507" t="n">
        <v>0</v>
      </c>
      <c r="M507" t="n">
        <v>0</v>
      </c>
      <c r="N507" t="n">
        <v>0</v>
      </c>
      <c r="O507" t="n">
        <v>0</v>
      </c>
      <c r="P507" t="n">
        <v>0</v>
      </c>
      <c r="Q507" t="n">
        <v>0</v>
      </c>
      <c r="R507" s="2" t="inlineStr"/>
    </row>
    <row r="508" ht="15" customHeight="1">
      <c r="A508" t="inlineStr">
        <is>
          <t>A 19724-2025</t>
        </is>
      </c>
      <c r="B508" s="1" t="n">
        <v>45771.3650462963</v>
      </c>
      <c r="C508" s="1" t="n">
        <v>45961</v>
      </c>
      <c r="D508" t="inlineStr">
        <is>
          <t>VÄSTERNORRLANDS LÄN</t>
        </is>
      </c>
      <c r="E508" t="inlineStr">
        <is>
          <t>SUNDSVALL</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44506-2022</t>
        </is>
      </c>
      <c r="B509" s="1" t="n">
        <v>44840</v>
      </c>
      <c r="C509" s="1" t="n">
        <v>45961</v>
      </c>
      <c r="D509" t="inlineStr">
        <is>
          <t>VÄSTERNORRLANDS LÄN</t>
        </is>
      </c>
      <c r="E509" t="inlineStr">
        <is>
          <t>SUNDSVALL</t>
        </is>
      </c>
      <c r="G509" t="n">
        <v>4.2</v>
      </c>
      <c r="H509" t="n">
        <v>0</v>
      </c>
      <c r="I509" t="n">
        <v>0</v>
      </c>
      <c r="J509" t="n">
        <v>0</v>
      </c>
      <c r="K509" t="n">
        <v>0</v>
      </c>
      <c r="L509" t="n">
        <v>0</v>
      </c>
      <c r="M509" t="n">
        <v>0</v>
      </c>
      <c r="N509" t="n">
        <v>0</v>
      </c>
      <c r="O509" t="n">
        <v>0</v>
      </c>
      <c r="P509" t="n">
        <v>0</v>
      </c>
      <c r="Q509" t="n">
        <v>0</v>
      </c>
      <c r="R509" s="2" t="inlineStr"/>
    </row>
    <row r="510" ht="15" customHeight="1">
      <c r="A510" t="inlineStr">
        <is>
          <t>A 61860-2023</t>
        </is>
      </c>
      <c r="B510" s="1" t="n">
        <v>45264</v>
      </c>
      <c r="C510" s="1" t="n">
        <v>45961</v>
      </c>
      <c r="D510" t="inlineStr">
        <is>
          <t>VÄSTERNORRLANDS LÄN</t>
        </is>
      </c>
      <c r="E510" t="inlineStr">
        <is>
          <t>SUNDSVALL</t>
        </is>
      </c>
      <c r="G510" t="n">
        <v>5.9</v>
      </c>
      <c r="H510" t="n">
        <v>0</v>
      </c>
      <c r="I510" t="n">
        <v>0</v>
      </c>
      <c r="J510" t="n">
        <v>0</v>
      </c>
      <c r="K510" t="n">
        <v>0</v>
      </c>
      <c r="L510" t="n">
        <v>0</v>
      </c>
      <c r="M510" t="n">
        <v>0</v>
      </c>
      <c r="N510" t="n">
        <v>0</v>
      </c>
      <c r="O510" t="n">
        <v>0</v>
      </c>
      <c r="P510" t="n">
        <v>0</v>
      </c>
      <c r="Q510" t="n">
        <v>0</v>
      </c>
      <c r="R510" s="2" t="inlineStr"/>
    </row>
    <row r="511" ht="15" customHeight="1">
      <c r="A511" t="inlineStr">
        <is>
          <t>A 9149-2025</t>
        </is>
      </c>
      <c r="B511" s="1" t="n">
        <v>45714</v>
      </c>
      <c r="C511" s="1" t="n">
        <v>45961</v>
      </c>
      <c r="D511" t="inlineStr">
        <is>
          <t>VÄSTERNORRLANDS LÄN</t>
        </is>
      </c>
      <c r="E511" t="inlineStr">
        <is>
          <t>SUNDSVALL</t>
        </is>
      </c>
      <c r="F511" t="inlineStr">
        <is>
          <t>SCA</t>
        </is>
      </c>
      <c r="G511" t="n">
        <v>15.5</v>
      </c>
      <c r="H511" t="n">
        <v>0</v>
      </c>
      <c r="I511" t="n">
        <v>0</v>
      </c>
      <c r="J511" t="n">
        <v>0</v>
      </c>
      <c r="K511" t="n">
        <v>0</v>
      </c>
      <c r="L511" t="n">
        <v>0</v>
      </c>
      <c r="M511" t="n">
        <v>0</v>
      </c>
      <c r="N511" t="n">
        <v>0</v>
      </c>
      <c r="O511" t="n">
        <v>0</v>
      </c>
      <c r="P511" t="n">
        <v>0</v>
      </c>
      <c r="Q511" t="n">
        <v>0</v>
      </c>
      <c r="R511" s="2" t="inlineStr"/>
    </row>
    <row r="512" ht="15" customHeight="1">
      <c r="A512" t="inlineStr">
        <is>
          <t>A 2620-2024</t>
        </is>
      </c>
      <c r="B512" s="1" t="n">
        <v>45313.92673611111</v>
      </c>
      <c r="C512" s="1" t="n">
        <v>45961</v>
      </c>
      <c r="D512" t="inlineStr">
        <is>
          <t>VÄSTERNORRLANDS LÄN</t>
        </is>
      </c>
      <c r="E512" t="inlineStr">
        <is>
          <t>SUNDSVALL</t>
        </is>
      </c>
      <c r="G512" t="n">
        <v>2.8</v>
      </c>
      <c r="H512" t="n">
        <v>0</v>
      </c>
      <c r="I512" t="n">
        <v>0</v>
      </c>
      <c r="J512" t="n">
        <v>0</v>
      </c>
      <c r="K512" t="n">
        <v>0</v>
      </c>
      <c r="L512" t="n">
        <v>0</v>
      </c>
      <c r="M512" t="n">
        <v>0</v>
      </c>
      <c r="N512" t="n">
        <v>0</v>
      </c>
      <c r="O512" t="n">
        <v>0</v>
      </c>
      <c r="P512" t="n">
        <v>0</v>
      </c>
      <c r="Q512" t="n">
        <v>0</v>
      </c>
      <c r="R512" s="2" t="inlineStr"/>
    </row>
    <row r="513" ht="15" customHeight="1">
      <c r="A513" t="inlineStr">
        <is>
          <t>A 25982-2024</t>
        </is>
      </c>
      <c r="B513" s="1" t="n">
        <v>45467</v>
      </c>
      <c r="C513" s="1" t="n">
        <v>45961</v>
      </c>
      <c r="D513" t="inlineStr">
        <is>
          <t>VÄSTERNORRLANDS LÄN</t>
        </is>
      </c>
      <c r="E513" t="inlineStr">
        <is>
          <t>SUNDSVALL</t>
        </is>
      </c>
      <c r="G513" t="n">
        <v>1.5</v>
      </c>
      <c r="H513" t="n">
        <v>0</v>
      </c>
      <c r="I513" t="n">
        <v>0</v>
      </c>
      <c r="J513" t="n">
        <v>0</v>
      </c>
      <c r="K513" t="n">
        <v>0</v>
      </c>
      <c r="L513" t="n">
        <v>0</v>
      </c>
      <c r="M513" t="n">
        <v>0</v>
      </c>
      <c r="N513" t="n">
        <v>0</v>
      </c>
      <c r="O513" t="n">
        <v>0</v>
      </c>
      <c r="P513" t="n">
        <v>0</v>
      </c>
      <c r="Q513" t="n">
        <v>0</v>
      </c>
      <c r="R513" s="2" t="inlineStr"/>
    </row>
    <row r="514" ht="15" customHeight="1">
      <c r="A514" t="inlineStr">
        <is>
          <t>A 28155-2024</t>
        </is>
      </c>
      <c r="B514" s="1" t="n">
        <v>45476</v>
      </c>
      <c r="C514" s="1" t="n">
        <v>45961</v>
      </c>
      <c r="D514" t="inlineStr">
        <is>
          <t>VÄSTERNORRLANDS LÄN</t>
        </is>
      </c>
      <c r="E514" t="inlineStr">
        <is>
          <t>SUNDSVALL</t>
        </is>
      </c>
      <c r="G514" t="n">
        <v>8</v>
      </c>
      <c r="H514" t="n">
        <v>0</v>
      </c>
      <c r="I514" t="n">
        <v>0</v>
      </c>
      <c r="J514" t="n">
        <v>0</v>
      </c>
      <c r="K514" t="n">
        <v>0</v>
      </c>
      <c r="L514" t="n">
        <v>0</v>
      </c>
      <c r="M514" t="n">
        <v>0</v>
      </c>
      <c r="N514" t="n">
        <v>0</v>
      </c>
      <c r="O514" t="n">
        <v>0</v>
      </c>
      <c r="P514" t="n">
        <v>0</v>
      </c>
      <c r="Q514" t="n">
        <v>0</v>
      </c>
      <c r="R514" s="2" t="inlineStr"/>
    </row>
    <row r="515" ht="15" customHeight="1">
      <c r="A515" t="inlineStr">
        <is>
          <t>A 62283-2023</t>
        </is>
      </c>
      <c r="B515" s="1" t="n">
        <v>45266</v>
      </c>
      <c r="C515" s="1" t="n">
        <v>45961</v>
      </c>
      <c r="D515" t="inlineStr">
        <is>
          <t>VÄSTERNORRLANDS LÄN</t>
        </is>
      </c>
      <c r="E515" t="inlineStr">
        <is>
          <t>SUNDSVALL</t>
        </is>
      </c>
      <c r="G515" t="n">
        <v>6.4</v>
      </c>
      <c r="H515" t="n">
        <v>0</v>
      </c>
      <c r="I515" t="n">
        <v>0</v>
      </c>
      <c r="J515" t="n">
        <v>0</v>
      </c>
      <c r="K515" t="n">
        <v>0</v>
      </c>
      <c r="L515" t="n">
        <v>0</v>
      </c>
      <c r="M515" t="n">
        <v>0</v>
      </c>
      <c r="N515" t="n">
        <v>0</v>
      </c>
      <c r="O515" t="n">
        <v>0</v>
      </c>
      <c r="P515" t="n">
        <v>0</v>
      </c>
      <c r="Q515" t="n">
        <v>0</v>
      </c>
      <c r="R515" s="2" t="inlineStr"/>
    </row>
    <row r="516" ht="15" customHeight="1">
      <c r="A516" t="inlineStr">
        <is>
          <t>A 59576-2023</t>
        </is>
      </c>
      <c r="B516" s="1" t="n">
        <v>45253</v>
      </c>
      <c r="C516" s="1" t="n">
        <v>45961</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60613-2022</t>
        </is>
      </c>
      <c r="B517" s="1" t="n">
        <v>44911</v>
      </c>
      <c r="C517" s="1" t="n">
        <v>45961</v>
      </c>
      <c r="D517" t="inlineStr">
        <is>
          <t>VÄSTERNORRLANDS LÄN</t>
        </is>
      </c>
      <c r="E517" t="inlineStr">
        <is>
          <t>SUNDSVALL</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53450-2023</t>
        </is>
      </c>
      <c r="B518" s="1" t="n">
        <v>45229.96534722222</v>
      </c>
      <c r="C518" s="1" t="n">
        <v>45961</v>
      </c>
      <c r="D518" t="inlineStr">
        <is>
          <t>VÄSTERNORRLANDS LÄN</t>
        </is>
      </c>
      <c r="E518" t="inlineStr">
        <is>
          <t>SUNDSVALL</t>
        </is>
      </c>
      <c r="F518" t="inlineStr">
        <is>
          <t>SCA</t>
        </is>
      </c>
      <c r="G518" t="n">
        <v>5.9</v>
      </c>
      <c r="H518" t="n">
        <v>0</v>
      </c>
      <c r="I518" t="n">
        <v>0</v>
      </c>
      <c r="J518" t="n">
        <v>0</v>
      </c>
      <c r="K518" t="n">
        <v>0</v>
      </c>
      <c r="L518" t="n">
        <v>0</v>
      </c>
      <c r="M518" t="n">
        <v>0</v>
      </c>
      <c r="N518" t="n">
        <v>0</v>
      </c>
      <c r="O518" t="n">
        <v>0</v>
      </c>
      <c r="P518" t="n">
        <v>0</v>
      </c>
      <c r="Q518" t="n">
        <v>0</v>
      </c>
      <c r="R518" s="2" t="inlineStr"/>
    </row>
    <row r="519" ht="15" customHeight="1">
      <c r="A519" t="inlineStr">
        <is>
          <t>A 14040-2024</t>
        </is>
      </c>
      <c r="B519" s="1" t="n">
        <v>45392.53799768518</v>
      </c>
      <c r="C519" s="1" t="n">
        <v>45961</v>
      </c>
      <c r="D519" t="inlineStr">
        <is>
          <t>VÄSTERNORRLANDS LÄN</t>
        </is>
      </c>
      <c r="E519" t="inlineStr">
        <is>
          <t>SUNDSVALL</t>
        </is>
      </c>
      <c r="F519" t="inlineStr">
        <is>
          <t>Holmen skog AB</t>
        </is>
      </c>
      <c r="G519" t="n">
        <v>1.7</v>
      </c>
      <c r="H519" t="n">
        <v>0</v>
      </c>
      <c r="I519" t="n">
        <v>0</v>
      </c>
      <c r="J519" t="n">
        <v>0</v>
      </c>
      <c r="K519" t="n">
        <v>0</v>
      </c>
      <c r="L519" t="n">
        <v>0</v>
      </c>
      <c r="M519" t="n">
        <v>0</v>
      </c>
      <c r="N519" t="n">
        <v>0</v>
      </c>
      <c r="O519" t="n">
        <v>0</v>
      </c>
      <c r="P519" t="n">
        <v>0</v>
      </c>
      <c r="Q519" t="n">
        <v>0</v>
      </c>
      <c r="R519" s="2" t="inlineStr"/>
    </row>
    <row r="520" ht="15" customHeight="1">
      <c r="A520" t="inlineStr">
        <is>
          <t>A 29926-2021</t>
        </is>
      </c>
      <c r="B520" s="1" t="n">
        <v>44362.93724537037</v>
      </c>
      <c r="C520" s="1" t="n">
        <v>45961</v>
      </c>
      <c r="D520" t="inlineStr">
        <is>
          <t>VÄSTERNORRLANDS LÄN</t>
        </is>
      </c>
      <c r="E520" t="inlineStr">
        <is>
          <t>SUNDSVALL</t>
        </is>
      </c>
      <c r="G520" t="n">
        <v>3.3</v>
      </c>
      <c r="H520" t="n">
        <v>0</v>
      </c>
      <c r="I520" t="n">
        <v>0</v>
      </c>
      <c r="J520" t="n">
        <v>0</v>
      </c>
      <c r="K520" t="n">
        <v>0</v>
      </c>
      <c r="L520" t="n">
        <v>0</v>
      </c>
      <c r="M520" t="n">
        <v>0</v>
      </c>
      <c r="N520" t="n">
        <v>0</v>
      </c>
      <c r="O520" t="n">
        <v>0</v>
      </c>
      <c r="P520" t="n">
        <v>0</v>
      </c>
      <c r="Q520" t="n">
        <v>0</v>
      </c>
      <c r="R520" s="2" t="inlineStr"/>
    </row>
    <row r="521" ht="15" customHeight="1">
      <c r="A521" t="inlineStr">
        <is>
          <t>A 42700-2021</t>
        </is>
      </c>
      <c r="B521" s="1" t="n">
        <v>44428</v>
      </c>
      <c r="C521" s="1" t="n">
        <v>45961</v>
      </c>
      <c r="D521" t="inlineStr">
        <is>
          <t>VÄSTERNORRLANDS LÄN</t>
        </is>
      </c>
      <c r="E521" t="inlineStr">
        <is>
          <t>SUNDSVALL</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46247-2022</t>
        </is>
      </c>
      <c r="B522" s="1" t="n">
        <v>44846</v>
      </c>
      <c r="C522" s="1" t="n">
        <v>45961</v>
      </c>
      <c r="D522" t="inlineStr">
        <is>
          <t>VÄSTERNORRLANDS LÄN</t>
        </is>
      </c>
      <c r="E522" t="inlineStr">
        <is>
          <t>SUNDSVALL</t>
        </is>
      </c>
      <c r="G522" t="n">
        <v>2.4</v>
      </c>
      <c r="H522" t="n">
        <v>0</v>
      </c>
      <c r="I522" t="n">
        <v>0</v>
      </c>
      <c r="J522" t="n">
        <v>0</v>
      </c>
      <c r="K522" t="n">
        <v>0</v>
      </c>
      <c r="L522" t="n">
        <v>0</v>
      </c>
      <c r="M522" t="n">
        <v>0</v>
      </c>
      <c r="N522" t="n">
        <v>0</v>
      </c>
      <c r="O522" t="n">
        <v>0</v>
      </c>
      <c r="P522" t="n">
        <v>0</v>
      </c>
      <c r="Q522" t="n">
        <v>0</v>
      </c>
      <c r="R522" s="2" t="inlineStr"/>
    </row>
    <row r="523" ht="15" customHeight="1">
      <c r="A523" t="inlineStr">
        <is>
          <t>A 4045-2024</t>
        </is>
      </c>
      <c r="B523" s="1" t="n">
        <v>45323.46451388889</v>
      </c>
      <c r="C523" s="1" t="n">
        <v>45961</v>
      </c>
      <c r="D523" t="inlineStr">
        <is>
          <t>VÄSTERNORRLANDS LÄN</t>
        </is>
      </c>
      <c r="E523" t="inlineStr">
        <is>
          <t>SUNDSVALL</t>
        </is>
      </c>
      <c r="F523" t="inlineStr">
        <is>
          <t>Kommuner</t>
        </is>
      </c>
      <c r="G523" t="n">
        <v>6.9</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45961</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32128-2023</t>
        </is>
      </c>
      <c r="B525" s="1" t="n">
        <v>45107</v>
      </c>
      <c r="C525" s="1" t="n">
        <v>45961</v>
      </c>
      <c r="D525" t="inlineStr">
        <is>
          <t>VÄSTERNORRLANDS LÄN</t>
        </is>
      </c>
      <c r="E525" t="inlineStr">
        <is>
          <t>SUNDSVALL</t>
        </is>
      </c>
      <c r="G525" t="n">
        <v>13.3</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45961</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49319-2023</t>
        </is>
      </c>
      <c r="B527" s="1" t="n">
        <v>45210.94841435185</v>
      </c>
      <c r="C527" s="1" t="n">
        <v>45961</v>
      </c>
      <c r="D527" t="inlineStr">
        <is>
          <t>VÄSTERNORRLANDS LÄN</t>
        </is>
      </c>
      <c r="E527" t="inlineStr">
        <is>
          <t>SUNDSVALL</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66027-2021</t>
        </is>
      </c>
      <c r="B528" s="1" t="n">
        <v>44517</v>
      </c>
      <c r="C528" s="1" t="n">
        <v>45961</v>
      </c>
      <c r="D528" t="inlineStr">
        <is>
          <t>VÄSTERNORRLANDS LÄN</t>
        </is>
      </c>
      <c r="E528" t="inlineStr">
        <is>
          <t>SUNDSVALL</t>
        </is>
      </c>
      <c r="G528" t="n">
        <v>1.7</v>
      </c>
      <c r="H528" t="n">
        <v>0</v>
      </c>
      <c r="I528" t="n">
        <v>0</v>
      </c>
      <c r="J528" t="n">
        <v>0</v>
      </c>
      <c r="K528" t="n">
        <v>0</v>
      </c>
      <c r="L528" t="n">
        <v>0</v>
      </c>
      <c r="M528" t="n">
        <v>0</v>
      </c>
      <c r="N528" t="n">
        <v>0</v>
      </c>
      <c r="O528" t="n">
        <v>0</v>
      </c>
      <c r="P528" t="n">
        <v>0</v>
      </c>
      <c r="Q528" t="n">
        <v>0</v>
      </c>
      <c r="R528" s="2" t="inlineStr"/>
    </row>
    <row r="529" ht="15" customHeight="1">
      <c r="A529" t="inlineStr">
        <is>
          <t>A 17690-2021</t>
        </is>
      </c>
      <c r="B529" s="1" t="n">
        <v>44300</v>
      </c>
      <c r="C529" s="1" t="n">
        <v>45961</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23558-2024</t>
        </is>
      </c>
      <c r="B530" s="1" t="n">
        <v>45453.95451388889</v>
      </c>
      <c r="C530" s="1" t="n">
        <v>45961</v>
      </c>
      <c r="D530" t="inlineStr">
        <is>
          <t>VÄSTERNORRLANDS LÄN</t>
        </is>
      </c>
      <c r="E530" t="inlineStr">
        <is>
          <t>SUNDSVALL</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14804-2024</t>
        </is>
      </c>
      <c r="B531" s="1" t="n">
        <v>45397</v>
      </c>
      <c r="C531" s="1" t="n">
        <v>45961</v>
      </c>
      <c r="D531" t="inlineStr">
        <is>
          <t>VÄSTERNORRLANDS LÄN</t>
        </is>
      </c>
      <c r="E531" t="inlineStr">
        <is>
          <t>SUNDSVALL</t>
        </is>
      </c>
      <c r="G531" t="n">
        <v>7.4</v>
      </c>
      <c r="H531" t="n">
        <v>0</v>
      </c>
      <c r="I531" t="n">
        <v>0</v>
      </c>
      <c r="J531" t="n">
        <v>0</v>
      </c>
      <c r="K531" t="n">
        <v>0</v>
      </c>
      <c r="L531" t="n">
        <v>0</v>
      </c>
      <c r="M531" t="n">
        <v>0</v>
      </c>
      <c r="N531" t="n">
        <v>0</v>
      </c>
      <c r="O531" t="n">
        <v>0</v>
      </c>
      <c r="P531" t="n">
        <v>0</v>
      </c>
      <c r="Q531" t="n">
        <v>0</v>
      </c>
      <c r="R531" s="2" t="inlineStr"/>
    </row>
    <row r="532" ht="15" customHeight="1">
      <c r="A532" t="inlineStr">
        <is>
          <t>A 63978-2023</t>
        </is>
      </c>
      <c r="B532" s="1" t="n">
        <v>45278</v>
      </c>
      <c r="C532" s="1" t="n">
        <v>45961</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57784-2023</t>
        </is>
      </c>
      <c r="B533" s="1" t="n">
        <v>45246</v>
      </c>
      <c r="C533" s="1" t="n">
        <v>45961</v>
      </c>
      <c r="D533" t="inlineStr">
        <is>
          <t>VÄSTERNORRLANDS LÄN</t>
        </is>
      </c>
      <c r="E533" t="inlineStr">
        <is>
          <t>SUNDSVALL</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44350-2022</t>
        </is>
      </c>
      <c r="B534" s="1" t="n">
        <v>44839.68814814815</v>
      </c>
      <c r="C534" s="1" t="n">
        <v>45961</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532-2025</t>
        </is>
      </c>
      <c r="B535" s="1" t="n">
        <v>45664</v>
      </c>
      <c r="C535" s="1" t="n">
        <v>45961</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4056-2024</t>
        </is>
      </c>
      <c r="B536" s="1" t="n">
        <v>45323</v>
      </c>
      <c r="C536" s="1" t="n">
        <v>45961</v>
      </c>
      <c r="D536" t="inlineStr">
        <is>
          <t>VÄSTERNORRLANDS LÄN</t>
        </is>
      </c>
      <c r="E536" t="inlineStr">
        <is>
          <t>SUNDSVALL</t>
        </is>
      </c>
      <c r="F536" t="inlineStr">
        <is>
          <t>Kommuner</t>
        </is>
      </c>
      <c r="G536" t="n">
        <v>0.7</v>
      </c>
      <c r="H536" t="n">
        <v>0</v>
      </c>
      <c r="I536" t="n">
        <v>0</v>
      </c>
      <c r="J536" t="n">
        <v>0</v>
      </c>
      <c r="K536" t="n">
        <v>0</v>
      </c>
      <c r="L536" t="n">
        <v>0</v>
      </c>
      <c r="M536" t="n">
        <v>0</v>
      </c>
      <c r="N536" t="n">
        <v>0</v>
      </c>
      <c r="O536" t="n">
        <v>0</v>
      </c>
      <c r="P536" t="n">
        <v>0</v>
      </c>
      <c r="Q536" t="n">
        <v>0</v>
      </c>
      <c r="R536" s="2" t="inlineStr"/>
    </row>
    <row r="537" ht="15" customHeight="1">
      <c r="A537" t="inlineStr">
        <is>
          <t>A 22759-2023</t>
        </is>
      </c>
      <c r="B537" s="1" t="n">
        <v>45071.94153935185</v>
      </c>
      <c r="C537" s="1" t="n">
        <v>45961</v>
      </c>
      <c r="D537" t="inlineStr">
        <is>
          <t>VÄSTERNORRLANDS LÄN</t>
        </is>
      </c>
      <c r="E537" t="inlineStr">
        <is>
          <t>SUNDSVALL</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40160-2021</t>
        </is>
      </c>
      <c r="B538" s="1" t="n">
        <v>44418.6568287037</v>
      </c>
      <c r="C538" s="1" t="n">
        <v>45961</v>
      </c>
      <c r="D538" t="inlineStr">
        <is>
          <t>VÄSTERNORRLANDS LÄN</t>
        </is>
      </c>
      <c r="E538" t="inlineStr">
        <is>
          <t>SUNDSVALL</t>
        </is>
      </c>
      <c r="G538" t="n">
        <v>1.6</v>
      </c>
      <c r="H538" t="n">
        <v>0</v>
      </c>
      <c r="I538" t="n">
        <v>0</v>
      </c>
      <c r="J538" t="n">
        <v>0</v>
      </c>
      <c r="K538" t="n">
        <v>0</v>
      </c>
      <c r="L538" t="n">
        <v>0</v>
      </c>
      <c r="M538" t="n">
        <v>0</v>
      </c>
      <c r="N538" t="n">
        <v>0</v>
      </c>
      <c r="O538" t="n">
        <v>0</v>
      </c>
      <c r="P538" t="n">
        <v>0</v>
      </c>
      <c r="Q538" t="n">
        <v>0</v>
      </c>
      <c r="R538" s="2" t="inlineStr"/>
    </row>
    <row r="539" ht="15" customHeight="1">
      <c r="A539" t="inlineStr">
        <is>
          <t>A 45959-2021</t>
        </is>
      </c>
      <c r="B539" s="1" t="n">
        <v>44441</v>
      </c>
      <c r="C539" s="1" t="n">
        <v>45961</v>
      </c>
      <c r="D539" t="inlineStr">
        <is>
          <t>VÄSTERNORRLANDS LÄN</t>
        </is>
      </c>
      <c r="E539" t="inlineStr">
        <is>
          <t>SUNDSVALL</t>
        </is>
      </c>
      <c r="G539" t="n">
        <v>1.2</v>
      </c>
      <c r="H539" t="n">
        <v>0</v>
      </c>
      <c r="I539" t="n">
        <v>0</v>
      </c>
      <c r="J539" t="n">
        <v>0</v>
      </c>
      <c r="K539" t="n">
        <v>0</v>
      </c>
      <c r="L539" t="n">
        <v>0</v>
      </c>
      <c r="M539" t="n">
        <v>0</v>
      </c>
      <c r="N539" t="n">
        <v>0</v>
      </c>
      <c r="O539" t="n">
        <v>0</v>
      </c>
      <c r="P539" t="n">
        <v>0</v>
      </c>
      <c r="Q539" t="n">
        <v>0</v>
      </c>
      <c r="R539" s="2" t="inlineStr"/>
    </row>
    <row r="540" ht="15" customHeight="1">
      <c r="A540" t="inlineStr">
        <is>
          <t>A 31507-2024</t>
        </is>
      </c>
      <c r="B540" s="1" t="n">
        <v>45505</v>
      </c>
      <c r="C540" s="1" t="n">
        <v>45961</v>
      </c>
      <c r="D540" t="inlineStr">
        <is>
          <t>VÄSTERNORRLANDS LÄN</t>
        </is>
      </c>
      <c r="E540" t="inlineStr">
        <is>
          <t>SUNDSVALL</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35389-2024</t>
        </is>
      </c>
      <c r="B541" s="1" t="n">
        <v>45531.40188657407</v>
      </c>
      <c r="C541" s="1" t="n">
        <v>45961</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25362-2024</t>
        </is>
      </c>
      <c r="B542" s="1" t="n">
        <v>45462.95824074074</v>
      </c>
      <c r="C542" s="1" t="n">
        <v>45961</v>
      </c>
      <c r="D542" t="inlineStr">
        <is>
          <t>VÄSTERNORRLANDS LÄN</t>
        </is>
      </c>
      <c r="E542" t="inlineStr">
        <is>
          <t>SUNDSVALL</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6270-2024</t>
        </is>
      </c>
      <c r="B543" s="1" t="n">
        <v>45337</v>
      </c>
      <c r="C543" s="1" t="n">
        <v>45961</v>
      </c>
      <c r="D543" t="inlineStr">
        <is>
          <t>VÄSTERNORRLANDS LÄN</t>
        </is>
      </c>
      <c r="E543" t="inlineStr">
        <is>
          <t>SUNDSVALL</t>
        </is>
      </c>
      <c r="G543" t="n">
        <v>9.5</v>
      </c>
      <c r="H543" t="n">
        <v>0</v>
      </c>
      <c r="I543" t="n">
        <v>0</v>
      </c>
      <c r="J543" t="n">
        <v>0</v>
      </c>
      <c r="K543" t="n">
        <v>0</v>
      </c>
      <c r="L543" t="n">
        <v>0</v>
      </c>
      <c r="M543" t="n">
        <v>0</v>
      </c>
      <c r="N543" t="n">
        <v>0</v>
      </c>
      <c r="O543" t="n">
        <v>0</v>
      </c>
      <c r="P543" t="n">
        <v>0</v>
      </c>
      <c r="Q543" t="n">
        <v>0</v>
      </c>
      <c r="R543" s="2" t="inlineStr"/>
    </row>
    <row r="544" ht="15" customHeight="1">
      <c r="A544" t="inlineStr">
        <is>
          <t>A 25148-2021</t>
        </is>
      </c>
      <c r="B544" s="1" t="n">
        <v>44341</v>
      </c>
      <c r="C544" s="1" t="n">
        <v>45961</v>
      </c>
      <c r="D544" t="inlineStr">
        <is>
          <t>VÄSTERNORRLANDS LÄN</t>
        </is>
      </c>
      <c r="E544" t="inlineStr">
        <is>
          <t>SUNDSVALL</t>
        </is>
      </c>
      <c r="G544" t="n">
        <v>0.6</v>
      </c>
      <c r="H544" t="n">
        <v>0</v>
      </c>
      <c r="I544" t="n">
        <v>0</v>
      </c>
      <c r="J544" t="n">
        <v>0</v>
      </c>
      <c r="K544" t="n">
        <v>0</v>
      </c>
      <c r="L544" t="n">
        <v>0</v>
      </c>
      <c r="M544" t="n">
        <v>0</v>
      </c>
      <c r="N544" t="n">
        <v>0</v>
      </c>
      <c r="O544" t="n">
        <v>0</v>
      </c>
      <c r="P544" t="n">
        <v>0</v>
      </c>
      <c r="Q544" t="n">
        <v>0</v>
      </c>
      <c r="R544" s="2" t="inlineStr"/>
    </row>
    <row r="545" ht="15" customHeight="1">
      <c r="A545" t="inlineStr">
        <is>
          <t>A 44730-2024</t>
        </is>
      </c>
      <c r="B545" s="1" t="n">
        <v>45574.58511574074</v>
      </c>
      <c r="C545" s="1" t="n">
        <v>45961</v>
      </c>
      <c r="D545" t="inlineStr">
        <is>
          <t>VÄSTERNORRLANDS LÄN</t>
        </is>
      </c>
      <c r="E545" t="inlineStr">
        <is>
          <t>SUNDSVALL</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21196-2023</t>
        </is>
      </c>
      <c r="B546" s="1" t="n">
        <v>45062.48819444444</v>
      </c>
      <c r="C546" s="1" t="n">
        <v>45961</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28302-2024</t>
        </is>
      </c>
      <c r="B547" s="1" t="n">
        <v>45477</v>
      </c>
      <c r="C547" s="1" t="n">
        <v>45961</v>
      </c>
      <c r="D547" t="inlineStr">
        <is>
          <t>VÄSTERNORRLANDS LÄN</t>
        </is>
      </c>
      <c r="E547" t="inlineStr">
        <is>
          <t>SUNDSVALL</t>
        </is>
      </c>
      <c r="F547" t="inlineStr">
        <is>
          <t>Holmen skog AB</t>
        </is>
      </c>
      <c r="G547" t="n">
        <v>4</v>
      </c>
      <c r="H547" t="n">
        <v>0</v>
      </c>
      <c r="I547" t="n">
        <v>0</v>
      </c>
      <c r="J547" t="n">
        <v>0</v>
      </c>
      <c r="K547" t="n">
        <v>0</v>
      </c>
      <c r="L547" t="n">
        <v>0</v>
      </c>
      <c r="M547" t="n">
        <v>0</v>
      </c>
      <c r="N547" t="n">
        <v>0</v>
      </c>
      <c r="O547" t="n">
        <v>0</v>
      </c>
      <c r="P547" t="n">
        <v>0</v>
      </c>
      <c r="Q547" t="n">
        <v>0</v>
      </c>
      <c r="R547" s="2" t="inlineStr"/>
    </row>
    <row r="548" ht="15" customHeight="1">
      <c r="A548" t="inlineStr">
        <is>
          <t>A 39821-2023</t>
        </is>
      </c>
      <c r="B548" s="1" t="n">
        <v>45167.96028935185</v>
      </c>
      <c r="C548" s="1" t="n">
        <v>45961</v>
      </c>
      <c r="D548" t="inlineStr">
        <is>
          <t>VÄSTERNORRLANDS LÄN</t>
        </is>
      </c>
      <c r="E548" t="inlineStr">
        <is>
          <t>SUNDSVALL</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27304-2024</t>
        </is>
      </c>
      <c r="B549" s="1" t="n">
        <v>45471.94401620371</v>
      </c>
      <c r="C549" s="1" t="n">
        <v>45961</v>
      </c>
      <c r="D549" t="inlineStr">
        <is>
          <t>VÄSTERNORRLANDS LÄN</t>
        </is>
      </c>
      <c r="E549" t="inlineStr">
        <is>
          <t>SUNDSVALL</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58652-2023</t>
        </is>
      </c>
      <c r="B550" s="1" t="n">
        <v>45251.60342592592</v>
      </c>
      <c r="C550" s="1" t="n">
        <v>45961</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3941-2024</t>
        </is>
      </c>
      <c r="B551" s="1" t="n">
        <v>45322</v>
      </c>
      <c r="C551" s="1" t="n">
        <v>45961</v>
      </c>
      <c r="D551" t="inlineStr">
        <is>
          <t>VÄSTERNORRLANDS LÄN</t>
        </is>
      </c>
      <c r="E551" t="inlineStr">
        <is>
          <t>SUNDSVALL</t>
        </is>
      </c>
      <c r="G551" t="n">
        <v>1.3</v>
      </c>
      <c r="H551" t="n">
        <v>0</v>
      </c>
      <c r="I551" t="n">
        <v>0</v>
      </c>
      <c r="J551" t="n">
        <v>0</v>
      </c>
      <c r="K551" t="n">
        <v>0</v>
      </c>
      <c r="L551" t="n">
        <v>0</v>
      </c>
      <c r="M551" t="n">
        <v>0</v>
      </c>
      <c r="N551" t="n">
        <v>0</v>
      </c>
      <c r="O551" t="n">
        <v>0</v>
      </c>
      <c r="P551" t="n">
        <v>0</v>
      </c>
      <c r="Q551" t="n">
        <v>0</v>
      </c>
      <c r="R551" s="2" t="inlineStr"/>
    </row>
    <row r="552" ht="15" customHeight="1">
      <c r="A552" t="inlineStr">
        <is>
          <t>A 5316-2024</t>
        </is>
      </c>
      <c r="B552" s="1" t="n">
        <v>45331</v>
      </c>
      <c r="C552" s="1" t="n">
        <v>45961</v>
      </c>
      <c r="D552" t="inlineStr">
        <is>
          <t>VÄSTERNORRLANDS LÄN</t>
        </is>
      </c>
      <c r="E552" t="inlineStr">
        <is>
          <t>SUNDSVALL</t>
        </is>
      </c>
      <c r="G552" t="n">
        <v>12.9</v>
      </c>
      <c r="H552" t="n">
        <v>0</v>
      </c>
      <c r="I552" t="n">
        <v>0</v>
      </c>
      <c r="J552" t="n">
        <v>0</v>
      </c>
      <c r="K552" t="n">
        <v>0</v>
      </c>
      <c r="L552" t="n">
        <v>0</v>
      </c>
      <c r="M552" t="n">
        <v>0</v>
      </c>
      <c r="N552" t="n">
        <v>0</v>
      </c>
      <c r="O552" t="n">
        <v>0</v>
      </c>
      <c r="P552" t="n">
        <v>0</v>
      </c>
      <c r="Q552" t="n">
        <v>0</v>
      </c>
      <c r="R552" s="2" t="inlineStr"/>
    </row>
    <row r="553" ht="15" customHeight="1">
      <c r="A553" t="inlineStr">
        <is>
          <t>A 70879-2021</t>
        </is>
      </c>
      <c r="B553" s="1" t="n">
        <v>44538</v>
      </c>
      <c r="C553" s="1" t="n">
        <v>45961</v>
      </c>
      <c r="D553" t="inlineStr">
        <is>
          <t>VÄSTERNORRLANDS LÄN</t>
        </is>
      </c>
      <c r="E553" t="inlineStr">
        <is>
          <t>SUNDSVALL</t>
        </is>
      </c>
      <c r="G553" t="n">
        <v>3.6</v>
      </c>
      <c r="H553" t="n">
        <v>0</v>
      </c>
      <c r="I553" t="n">
        <v>0</v>
      </c>
      <c r="J553" t="n">
        <v>0</v>
      </c>
      <c r="K553" t="n">
        <v>0</v>
      </c>
      <c r="L553" t="n">
        <v>0</v>
      </c>
      <c r="M553" t="n">
        <v>0</v>
      </c>
      <c r="N553" t="n">
        <v>0</v>
      </c>
      <c r="O553" t="n">
        <v>0</v>
      </c>
      <c r="P553" t="n">
        <v>0</v>
      </c>
      <c r="Q553" t="n">
        <v>0</v>
      </c>
      <c r="R553" s="2" t="inlineStr"/>
    </row>
    <row r="554" ht="15" customHeight="1">
      <c r="A554" t="inlineStr">
        <is>
          <t>A 11083-2025</t>
        </is>
      </c>
      <c r="B554" s="1" t="n">
        <v>45723.56657407407</v>
      </c>
      <c r="C554" s="1" t="n">
        <v>45961</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19178-2022</t>
        </is>
      </c>
      <c r="B555" s="1" t="n">
        <v>44691</v>
      </c>
      <c r="C555" s="1" t="n">
        <v>45961</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35682-2024</t>
        </is>
      </c>
      <c r="B556" s="1" t="n">
        <v>45532.40609953704</v>
      </c>
      <c r="C556" s="1" t="n">
        <v>45961</v>
      </c>
      <c r="D556" t="inlineStr">
        <is>
          <t>VÄSTERNORRLANDS LÄN</t>
        </is>
      </c>
      <c r="E556" t="inlineStr">
        <is>
          <t>SUNDSVALL</t>
        </is>
      </c>
      <c r="G556" t="n">
        <v>1.3</v>
      </c>
      <c r="H556" t="n">
        <v>0</v>
      </c>
      <c r="I556" t="n">
        <v>0</v>
      </c>
      <c r="J556" t="n">
        <v>0</v>
      </c>
      <c r="K556" t="n">
        <v>0</v>
      </c>
      <c r="L556" t="n">
        <v>0</v>
      </c>
      <c r="M556" t="n">
        <v>0</v>
      </c>
      <c r="N556" t="n">
        <v>0</v>
      </c>
      <c r="O556" t="n">
        <v>0</v>
      </c>
      <c r="P556" t="n">
        <v>0</v>
      </c>
      <c r="Q556" t="n">
        <v>0</v>
      </c>
      <c r="R556" s="2" t="inlineStr"/>
    </row>
    <row r="557" ht="15" customHeight="1">
      <c r="A557" t="inlineStr">
        <is>
          <t>A 58129-2023</t>
        </is>
      </c>
      <c r="B557" s="1" t="n">
        <v>45249</v>
      </c>
      <c r="C557" s="1" t="n">
        <v>45961</v>
      </c>
      <c r="D557" t="inlineStr">
        <is>
          <t>VÄSTERNORRLANDS LÄN</t>
        </is>
      </c>
      <c r="E557" t="inlineStr">
        <is>
          <t>SUNDSVALL</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28594-2021</t>
        </is>
      </c>
      <c r="B558" s="1" t="n">
        <v>44356</v>
      </c>
      <c r="C558" s="1" t="n">
        <v>45961</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9102-2025</t>
        </is>
      </c>
      <c r="B559" s="1" t="n">
        <v>45713.6914699074</v>
      </c>
      <c r="C559" s="1" t="n">
        <v>45961</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14113-2021</t>
        </is>
      </c>
      <c r="B560" s="1" t="n">
        <v>44277</v>
      </c>
      <c r="C560" s="1" t="n">
        <v>45961</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60119-2023</t>
        </is>
      </c>
      <c r="B561" s="1" t="n">
        <v>45258.47869212963</v>
      </c>
      <c r="C561" s="1" t="n">
        <v>45961</v>
      </c>
      <c r="D561" t="inlineStr">
        <is>
          <t>VÄSTERNORRLANDS LÄN</t>
        </is>
      </c>
      <c r="E561" t="inlineStr">
        <is>
          <t>SUNDSVALL</t>
        </is>
      </c>
      <c r="G561" t="n">
        <v>3.2</v>
      </c>
      <c r="H561" t="n">
        <v>0</v>
      </c>
      <c r="I561" t="n">
        <v>0</v>
      </c>
      <c r="J561" t="n">
        <v>0</v>
      </c>
      <c r="K561" t="n">
        <v>0</v>
      </c>
      <c r="L561" t="n">
        <v>0</v>
      </c>
      <c r="M561" t="n">
        <v>0</v>
      </c>
      <c r="N561" t="n">
        <v>0</v>
      </c>
      <c r="O561" t="n">
        <v>0</v>
      </c>
      <c r="P561" t="n">
        <v>0</v>
      </c>
      <c r="Q561" t="n">
        <v>0</v>
      </c>
      <c r="R561" s="2" t="inlineStr"/>
    </row>
    <row r="562" ht="15" customHeight="1">
      <c r="A562" t="inlineStr">
        <is>
          <t>A 70174-2021</t>
        </is>
      </c>
      <c r="B562" s="1" t="n">
        <v>44533</v>
      </c>
      <c r="C562" s="1" t="n">
        <v>45961</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20076-2025</t>
        </is>
      </c>
      <c r="B563" s="1" t="n">
        <v>45772.4487037037</v>
      </c>
      <c r="C563" s="1" t="n">
        <v>45961</v>
      </c>
      <c r="D563" t="inlineStr">
        <is>
          <t>VÄSTERNORRLANDS LÄN</t>
        </is>
      </c>
      <c r="E563" t="inlineStr">
        <is>
          <t>SUNDSVALL</t>
        </is>
      </c>
      <c r="F563" t="inlineStr">
        <is>
          <t>Naturvårdsverket</t>
        </is>
      </c>
      <c r="G563" t="n">
        <v>6</v>
      </c>
      <c r="H563" t="n">
        <v>0</v>
      </c>
      <c r="I563" t="n">
        <v>0</v>
      </c>
      <c r="J563" t="n">
        <v>0</v>
      </c>
      <c r="K563" t="n">
        <v>0</v>
      </c>
      <c r="L563" t="n">
        <v>0</v>
      </c>
      <c r="M563" t="n">
        <v>0</v>
      </c>
      <c r="N563" t="n">
        <v>0</v>
      </c>
      <c r="O563" t="n">
        <v>0</v>
      </c>
      <c r="P563" t="n">
        <v>0</v>
      </c>
      <c r="Q563" t="n">
        <v>0</v>
      </c>
      <c r="R563" s="2" t="inlineStr"/>
    </row>
    <row r="564" ht="15" customHeight="1">
      <c r="A564" t="inlineStr">
        <is>
          <t>A 15780-2024</t>
        </is>
      </c>
      <c r="B564" s="1" t="n">
        <v>45404</v>
      </c>
      <c r="C564" s="1" t="n">
        <v>45961</v>
      </c>
      <c r="D564" t="inlineStr">
        <is>
          <t>VÄSTERNORRLANDS LÄN</t>
        </is>
      </c>
      <c r="E564" t="inlineStr">
        <is>
          <t>SUNDSVALL</t>
        </is>
      </c>
      <c r="G564" t="n">
        <v>1.8</v>
      </c>
      <c r="H564" t="n">
        <v>0</v>
      </c>
      <c r="I564" t="n">
        <v>0</v>
      </c>
      <c r="J564" t="n">
        <v>0</v>
      </c>
      <c r="K564" t="n">
        <v>0</v>
      </c>
      <c r="L564" t="n">
        <v>0</v>
      </c>
      <c r="M564" t="n">
        <v>0</v>
      </c>
      <c r="N564" t="n">
        <v>0</v>
      </c>
      <c r="O564" t="n">
        <v>0</v>
      </c>
      <c r="P564" t="n">
        <v>0</v>
      </c>
      <c r="Q564" t="n">
        <v>0</v>
      </c>
      <c r="R564" s="2" t="inlineStr"/>
    </row>
    <row r="565" ht="15" customHeight="1">
      <c r="A565" t="inlineStr">
        <is>
          <t>A 27640-2023</t>
        </is>
      </c>
      <c r="B565" s="1" t="n">
        <v>45097</v>
      </c>
      <c r="C565" s="1" t="n">
        <v>45961</v>
      </c>
      <c r="D565" t="inlineStr">
        <is>
          <t>VÄSTERNORRLANDS LÄN</t>
        </is>
      </c>
      <c r="E565" t="inlineStr">
        <is>
          <t>SUNDSVALL</t>
        </is>
      </c>
      <c r="G565" t="n">
        <v>2.6</v>
      </c>
      <c r="H565" t="n">
        <v>0</v>
      </c>
      <c r="I565" t="n">
        <v>0</v>
      </c>
      <c r="J565" t="n">
        <v>0</v>
      </c>
      <c r="K565" t="n">
        <v>0</v>
      </c>
      <c r="L565" t="n">
        <v>0</v>
      </c>
      <c r="M565" t="n">
        <v>0</v>
      </c>
      <c r="N565" t="n">
        <v>0</v>
      </c>
      <c r="O565" t="n">
        <v>0</v>
      </c>
      <c r="P565" t="n">
        <v>0</v>
      </c>
      <c r="Q565" t="n">
        <v>0</v>
      </c>
      <c r="R565" s="2" t="inlineStr"/>
    </row>
    <row r="566" ht="15" customHeight="1">
      <c r="A566" t="inlineStr">
        <is>
          <t>A 21998-2023</t>
        </is>
      </c>
      <c r="B566" s="1" t="n">
        <v>45068</v>
      </c>
      <c r="C566" s="1" t="n">
        <v>45961</v>
      </c>
      <c r="D566" t="inlineStr">
        <is>
          <t>VÄSTERNORRLANDS LÄN</t>
        </is>
      </c>
      <c r="E566" t="inlineStr">
        <is>
          <t>SUNDSVALL</t>
        </is>
      </c>
      <c r="G566" t="n">
        <v>1.7</v>
      </c>
      <c r="H566" t="n">
        <v>0</v>
      </c>
      <c r="I566" t="n">
        <v>0</v>
      </c>
      <c r="J566" t="n">
        <v>0</v>
      </c>
      <c r="K566" t="n">
        <v>0</v>
      </c>
      <c r="L566" t="n">
        <v>0</v>
      </c>
      <c r="M566" t="n">
        <v>0</v>
      </c>
      <c r="N566" t="n">
        <v>0</v>
      </c>
      <c r="O566" t="n">
        <v>0</v>
      </c>
      <c r="P566" t="n">
        <v>0</v>
      </c>
      <c r="Q566" t="n">
        <v>0</v>
      </c>
      <c r="R566" s="2" t="inlineStr"/>
    </row>
    <row r="567" ht="15" customHeight="1">
      <c r="A567" t="inlineStr">
        <is>
          <t>A 2347-2022</t>
        </is>
      </c>
      <c r="B567" s="1" t="n">
        <v>44578</v>
      </c>
      <c r="C567" s="1" t="n">
        <v>45961</v>
      </c>
      <c r="D567" t="inlineStr">
        <is>
          <t>VÄSTERNORRLANDS LÄN</t>
        </is>
      </c>
      <c r="E567" t="inlineStr">
        <is>
          <t>SUNDSVALL</t>
        </is>
      </c>
      <c r="G567" t="n">
        <v>3.3</v>
      </c>
      <c r="H567" t="n">
        <v>0</v>
      </c>
      <c r="I567" t="n">
        <v>0</v>
      </c>
      <c r="J567" t="n">
        <v>0</v>
      </c>
      <c r="K567" t="n">
        <v>0</v>
      </c>
      <c r="L567" t="n">
        <v>0</v>
      </c>
      <c r="M567" t="n">
        <v>0</v>
      </c>
      <c r="N567" t="n">
        <v>0</v>
      </c>
      <c r="O567" t="n">
        <v>0</v>
      </c>
      <c r="P567" t="n">
        <v>0</v>
      </c>
      <c r="Q567" t="n">
        <v>0</v>
      </c>
      <c r="R567" s="2" t="inlineStr"/>
    </row>
    <row r="568" ht="15" customHeight="1">
      <c r="A568" t="inlineStr">
        <is>
          <t>A 27639-2023</t>
        </is>
      </c>
      <c r="B568" s="1" t="n">
        <v>45097</v>
      </c>
      <c r="C568" s="1" t="n">
        <v>45961</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15673-2024</t>
        </is>
      </c>
      <c r="B569" s="1" t="n">
        <v>45404.40168981482</v>
      </c>
      <c r="C569" s="1" t="n">
        <v>45961</v>
      </c>
      <c r="D569" t="inlineStr">
        <is>
          <t>VÄSTERNORRLANDS LÄN</t>
        </is>
      </c>
      <c r="E569" t="inlineStr">
        <is>
          <t>SUNDSVALL</t>
        </is>
      </c>
      <c r="G569" t="n">
        <v>2.3</v>
      </c>
      <c r="H569" t="n">
        <v>0</v>
      </c>
      <c r="I569" t="n">
        <v>0</v>
      </c>
      <c r="J569" t="n">
        <v>0</v>
      </c>
      <c r="K569" t="n">
        <v>0</v>
      </c>
      <c r="L569" t="n">
        <v>0</v>
      </c>
      <c r="M569" t="n">
        <v>0</v>
      </c>
      <c r="N569" t="n">
        <v>0</v>
      </c>
      <c r="O569" t="n">
        <v>0</v>
      </c>
      <c r="P569" t="n">
        <v>0</v>
      </c>
      <c r="Q569" t="n">
        <v>0</v>
      </c>
      <c r="R569" s="2" t="inlineStr"/>
    </row>
    <row r="570" ht="15" customHeight="1">
      <c r="A570" t="inlineStr">
        <is>
          <t>A 52898-2024</t>
        </is>
      </c>
      <c r="B570" s="1" t="n">
        <v>45610.67748842593</v>
      </c>
      <c r="C570" s="1" t="n">
        <v>45961</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20011-2021</t>
        </is>
      </c>
      <c r="B571" s="1" t="n">
        <v>44313</v>
      </c>
      <c r="C571" s="1" t="n">
        <v>45961</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39711-2024</t>
        </is>
      </c>
      <c r="B572" s="1" t="n">
        <v>45552</v>
      </c>
      <c r="C572" s="1" t="n">
        <v>45961</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30298-2024</t>
        </is>
      </c>
      <c r="B573" s="1" t="n">
        <v>45490</v>
      </c>
      <c r="C573" s="1" t="n">
        <v>45961</v>
      </c>
      <c r="D573" t="inlineStr">
        <is>
          <t>VÄSTERNORRLANDS LÄN</t>
        </is>
      </c>
      <c r="E573" t="inlineStr">
        <is>
          <t>SUNDSVALL</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49994-2023</t>
        </is>
      </c>
      <c r="B574" s="1" t="n">
        <v>45215</v>
      </c>
      <c r="C574" s="1" t="n">
        <v>45961</v>
      </c>
      <c r="D574" t="inlineStr">
        <is>
          <t>VÄSTERNORRLANDS LÄN</t>
        </is>
      </c>
      <c r="E574" t="inlineStr">
        <is>
          <t>SUNDSVALL</t>
        </is>
      </c>
      <c r="G574" t="n">
        <v>2.3</v>
      </c>
      <c r="H574" t="n">
        <v>0</v>
      </c>
      <c r="I574" t="n">
        <v>0</v>
      </c>
      <c r="J574" t="n">
        <v>0</v>
      </c>
      <c r="K574" t="n">
        <v>0</v>
      </c>
      <c r="L574" t="n">
        <v>0</v>
      </c>
      <c r="M574" t="n">
        <v>0</v>
      </c>
      <c r="N574" t="n">
        <v>0</v>
      </c>
      <c r="O574" t="n">
        <v>0</v>
      </c>
      <c r="P574" t="n">
        <v>0</v>
      </c>
      <c r="Q574" t="n">
        <v>0</v>
      </c>
      <c r="R574" s="2" t="inlineStr"/>
    </row>
    <row r="575" ht="15" customHeight="1">
      <c r="A575" t="inlineStr">
        <is>
          <t>A 53764-2023</t>
        </is>
      </c>
      <c r="B575" s="1" t="n">
        <v>45230.96416666666</v>
      </c>
      <c r="C575" s="1" t="n">
        <v>45961</v>
      </c>
      <c r="D575" t="inlineStr">
        <is>
          <t>VÄSTERNORRLANDS LÄN</t>
        </is>
      </c>
      <c r="E575" t="inlineStr">
        <is>
          <t>SUNDSVALL</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34554-2022</t>
        </is>
      </c>
      <c r="B576" s="1" t="n">
        <v>44794</v>
      </c>
      <c r="C576" s="1" t="n">
        <v>45961</v>
      </c>
      <c r="D576" t="inlineStr">
        <is>
          <t>VÄSTERNORRLANDS LÄN</t>
        </is>
      </c>
      <c r="E576" t="inlineStr">
        <is>
          <t>SUNDSVALL</t>
        </is>
      </c>
      <c r="G576" t="n">
        <v>3.1</v>
      </c>
      <c r="H576" t="n">
        <v>0</v>
      </c>
      <c r="I576" t="n">
        <v>0</v>
      </c>
      <c r="J576" t="n">
        <v>0</v>
      </c>
      <c r="K576" t="n">
        <v>0</v>
      </c>
      <c r="L576" t="n">
        <v>0</v>
      </c>
      <c r="M576" t="n">
        <v>0</v>
      </c>
      <c r="N576" t="n">
        <v>0</v>
      </c>
      <c r="O576" t="n">
        <v>0</v>
      </c>
      <c r="P576" t="n">
        <v>0</v>
      </c>
      <c r="Q576" t="n">
        <v>0</v>
      </c>
      <c r="R576" s="2" t="inlineStr"/>
    </row>
    <row r="577" ht="15" customHeight="1">
      <c r="A577" t="inlineStr">
        <is>
          <t>A 32391-2024</t>
        </is>
      </c>
      <c r="B577" s="1" t="n">
        <v>45512.64163194445</v>
      </c>
      <c r="C577" s="1" t="n">
        <v>45961</v>
      </c>
      <c r="D577" t="inlineStr">
        <is>
          <t>VÄSTERNORRLANDS LÄN</t>
        </is>
      </c>
      <c r="E577" t="inlineStr">
        <is>
          <t>SUNDSVALL</t>
        </is>
      </c>
      <c r="G577" t="n">
        <v>2.6</v>
      </c>
      <c r="H577" t="n">
        <v>0</v>
      </c>
      <c r="I577" t="n">
        <v>0</v>
      </c>
      <c r="J577" t="n">
        <v>0</v>
      </c>
      <c r="K577" t="n">
        <v>0</v>
      </c>
      <c r="L577" t="n">
        <v>0</v>
      </c>
      <c r="M577" t="n">
        <v>0</v>
      </c>
      <c r="N577" t="n">
        <v>0</v>
      </c>
      <c r="O577" t="n">
        <v>0</v>
      </c>
      <c r="P577" t="n">
        <v>0</v>
      </c>
      <c r="Q577" t="n">
        <v>0</v>
      </c>
      <c r="R577" s="2" t="inlineStr"/>
    </row>
    <row r="578" ht="15" customHeight="1">
      <c r="A578" t="inlineStr">
        <is>
          <t>A 26030-2024</t>
        </is>
      </c>
      <c r="B578" s="1" t="n">
        <v>45467.96278935186</v>
      </c>
      <c r="C578" s="1" t="n">
        <v>45961</v>
      </c>
      <c r="D578" t="inlineStr">
        <is>
          <t>VÄSTERNORRLANDS LÄN</t>
        </is>
      </c>
      <c r="E578" t="inlineStr">
        <is>
          <t>SUNDSVALL</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26031-2024</t>
        </is>
      </c>
      <c r="B579" s="1" t="n">
        <v>45467</v>
      </c>
      <c r="C579" s="1" t="n">
        <v>45961</v>
      </c>
      <c r="D579" t="inlineStr">
        <is>
          <t>VÄSTERNORRLANDS LÄN</t>
        </is>
      </c>
      <c r="E579" t="inlineStr">
        <is>
          <t>SUNDSVALL</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16056-2024</t>
        </is>
      </c>
      <c r="B580" s="1" t="n">
        <v>45406.04898148148</v>
      </c>
      <c r="C580" s="1" t="n">
        <v>45961</v>
      </c>
      <c r="D580" t="inlineStr">
        <is>
          <t>VÄSTERNORRLANDS LÄN</t>
        </is>
      </c>
      <c r="E580" t="inlineStr">
        <is>
          <t>SUNDSVALL</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16251-2024</t>
        </is>
      </c>
      <c r="B581" s="1" t="n">
        <v>45407</v>
      </c>
      <c r="C581" s="1" t="n">
        <v>45961</v>
      </c>
      <c r="D581" t="inlineStr">
        <is>
          <t>VÄSTERNORRLANDS LÄN</t>
        </is>
      </c>
      <c r="E581" t="inlineStr">
        <is>
          <t>SUNDSVALL</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25022-2024</t>
        </is>
      </c>
      <c r="B582" s="1" t="n">
        <v>45461.9628125</v>
      </c>
      <c r="C582" s="1" t="n">
        <v>45961</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54053-2023</t>
        </is>
      </c>
      <c r="B583" s="1" t="n">
        <v>45231.96831018518</v>
      </c>
      <c r="C583" s="1" t="n">
        <v>45961</v>
      </c>
      <c r="D583" t="inlineStr">
        <is>
          <t>VÄSTERNORRLANDS LÄN</t>
        </is>
      </c>
      <c r="E583" t="inlineStr">
        <is>
          <t>SUNDSVALL</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59654-2022</t>
        </is>
      </c>
      <c r="B584" s="1" t="n">
        <v>44907.96673611111</v>
      </c>
      <c r="C584" s="1" t="n">
        <v>45961</v>
      </c>
      <c r="D584" t="inlineStr">
        <is>
          <t>VÄSTERNORRLANDS LÄN</t>
        </is>
      </c>
      <c r="E584" t="inlineStr">
        <is>
          <t>SUNDSVALL</t>
        </is>
      </c>
      <c r="F584" t="inlineStr">
        <is>
          <t>Naturvårdsverket</t>
        </is>
      </c>
      <c r="G584" t="n">
        <v>3.6</v>
      </c>
      <c r="H584" t="n">
        <v>0</v>
      </c>
      <c r="I584" t="n">
        <v>0</v>
      </c>
      <c r="J584" t="n">
        <v>0</v>
      </c>
      <c r="K584" t="n">
        <v>0</v>
      </c>
      <c r="L584" t="n">
        <v>0</v>
      </c>
      <c r="M584" t="n">
        <v>0</v>
      </c>
      <c r="N584" t="n">
        <v>0</v>
      </c>
      <c r="O584" t="n">
        <v>0</v>
      </c>
      <c r="P584" t="n">
        <v>0</v>
      </c>
      <c r="Q584" t="n">
        <v>0</v>
      </c>
      <c r="R584" s="2" t="inlineStr"/>
    </row>
    <row r="585" ht="15" customHeight="1">
      <c r="A585" t="inlineStr">
        <is>
          <t>A 22126-2024</t>
        </is>
      </c>
      <c r="B585" s="1" t="n">
        <v>45443.95326388889</v>
      </c>
      <c r="C585" s="1" t="n">
        <v>45961</v>
      </c>
      <c r="D585" t="inlineStr">
        <is>
          <t>VÄSTERNORRLANDS LÄN</t>
        </is>
      </c>
      <c r="E585" t="inlineStr">
        <is>
          <t>SUNDSVALL</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44080-2024</t>
        </is>
      </c>
      <c r="B586" s="1" t="n">
        <v>45572.61517361111</v>
      </c>
      <c r="C586" s="1" t="n">
        <v>45961</v>
      </c>
      <c r="D586" t="inlineStr">
        <is>
          <t>VÄSTERNORRLANDS LÄN</t>
        </is>
      </c>
      <c r="E586" t="inlineStr">
        <is>
          <t>SUNDSVALL</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22249-2022</t>
        </is>
      </c>
      <c r="B587" s="1" t="n">
        <v>44712.60636574074</v>
      </c>
      <c r="C587" s="1" t="n">
        <v>45961</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44098-2024</t>
        </is>
      </c>
      <c r="B588" s="1" t="n">
        <v>45572.625625</v>
      </c>
      <c r="C588" s="1" t="n">
        <v>45961</v>
      </c>
      <c r="D588" t="inlineStr">
        <is>
          <t>VÄSTERNORRLANDS LÄN</t>
        </is>
      </c>
      <c r="E588" t="inlineStr">
        <is>
          <t>SUNDSVALL</t>
        </is>
      </c>
      <c r="G588" t="n">
        <v>1.1</v>
      </c>
      <c r="H588" t="n">
        <v>0</v>
      </c>
      <c r="I588" t="n">
        <v>0</v>
      </c>
      <c r="J588" t="n">
        <v>0</v>
      </c>
      <c r="K588" t="n">
        <v>0</v>
      </c>
      <c r="L588" t="n">
        <v>0</v>
      </c>
      <c r="M588" t="n">
        <v>0</v>
      </c>
      <c r="N588" t="n">
        <v>0</v>
      </c>
      <c r="O588" t="n">
        <v>0</v>
      </c>
      <c r="P588" t="n">
        <v>0</v>
      </c>
      <c r="Q588" t="n">
        <v>0</v>
      </c>
      <c r="R588" s="2" t="inlineStr"/>
    </row>
    <row r="589" ht="15" customHeight="1">
      <c r="A589" t="inlineStr">
        <is>
          <t>A 48011-2023</t>
        </is>
      </c>
      <c r="B589" s="1" t="n">
        <v>45198</v>
      </c>
      <c r="C589" s="1" t="n">
        <v>45961</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16558-2023</t>
        </is>
      </c>
      <c r="B590" s="1" t="n">
        <v>45029</v>
      </c>
      <c r="C590" s="1" t="n">
        <v>45961</v>
      </c>
      <c r="D590" t="inlineStr">
        <is>
          <t>VÄSTERNORRLANDS LÄN</t>
        </is>
      </c>
      <c r="E590" t="inlineStr">
        <is>
          <t>SUNDSVALL</t>
        </is>
      </c>
      <c r="G590" t="n">
        <v>1.9</v>
      </c>
      <c r="H590" t="n">
        <v>0</v>
      </c>
      <c r="I590" t="n">
        <v>0</v>
      </c>
      <c r="J590" t="n">
        <v>0</v>
      </c>
      <c r="K590" t="n">
        <v>0</v>
      </c>
      <c r="L590" t="n">
        <v>0</v>
      </c>
      <c r="M590" t="n">
        <v>0</v>
      </c>
      <c r="N590" t="n">
        <v>0</v>
      </c>
      <c r="O590" t="n">
        <v>0</v>
      </c>
      <c r="P590" t="n">
        <v>0</v>
      </c>
      <c r="Q590" t="n">
        <v>0</v>
      </c>
      <c r="R590" s="2" t="inlineStr"/>
    </row>
    <row r="591" ht="15" customHeight="1">
      <c r="A591" t="inlineStr">
        <is>
          <t>A 14152-2024</t>
        </is>
      </c>
      <c r="B591" s="1" t="n">
        <v>45392</v>
      </c>
      <c r="C591" s="1" t="n">
        <v>45961</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49186-2022</t>
        </is>
      </c>
      <c r="B592" s="1" t="n">
        <v>44860</v>
      </c>
      <c r="C592" s="1" t="n">
        <v>45961</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1335-2022</t>
        </is>
      </c>
      <c r="B593" s="1" t="n">
        <v>44572.92060185185</v>
      </c>
      <c r="C593" s="1" t="n">
        <v>45961</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27928-2024</t>
        </is>
      </c>
      <c r="B594" s="1" t="n">
        <v>45475</v>
      </c>
      <c r="C594" s="1" t="n">
        <v>45961</v>
      </c>
      <c r="D594" t="inlineStr">
        <is>
          <t>VÄSTERNORRLANDS LÄN</t>
        </is>
      </c>
      <c r="E594" t="inlineStr">
        <is>
          <t>SUNDSVALL</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44578-2024</t>
        </is>
      </c>
      <c r="B595" s="1" t="n">
        <v>45574.48479166667</v>
      </c>
      <c r="C595" s="1" t="n">
        <v>45961</v>
      </c>
      <c r="D595" t="inlineStr">
        <is>
          <t>VÄSTERNORRLANDS LÄN</t>
        </is>
      </c>
      <c r="E595" t="inlineStr">
        <is>
          <t>SUNDSVALL</t>
        </is>
      </c>
      <c r="G595" t="n">
        <v>3.1</v>
      </c>
      <c r="H595" t="n">
        <v>0</v>
      </c>
      <c r="I595" t="n">
        <v>0</v>
      </c>
      <c r="J595" t="n">
        <v>0</v>
      </c>
      <c r="K595" t="n">
        <v>0</v>
      </c>
      <c r="L595" t="n">
        <v>0</v>
      </c>
      <c r="M595" t="n">
        <v>0</v>
      </c>
      <c r="N595" t="n">
        <v>0</v>
      </c>
      <c r="O595" t="n">
        <v>0</v>
      </c>
      <c r="P595" t="n">
        <v>0</v>
      </c>
      <c r="Q595" t="n">
        <v>0</v>
      </c>
      <c r="R595" s="2" t="inlineStr"/>
    </row>
    <row r="596" ht="15" customHeight="1">
      <c r="A596" t="inlineStr">
        <is>
          <t>A 36885-2023</t>
        </is>
      </c>
      <c r="B596" s="1" t="n">
        <v>45154</v>
      </c>
      <c r="C596" s="1" t="n">
        <v>45961</v>
      </c>
      <c r="D596" t="inlineStr">
        <is>
          <t>VÄSTERNORRLANDS LÄN</t>
        </is>
      </c>
      <c r="E596" t="inlineStr">
        <is>
          <t>SUNDSVALL</t>
        </is>
      </c>
      <c r="G596" t="n">
        <v>0.8</v>
      </c>
      <c r="H596" t="n">
        <v>0</v>
      </c>
      <c r="I596" t="n">
        <v>0</v>
      </c>
      <c r="J596" t="n">
        <v>0</v>
      </c>
      <c r="K596" t="n">
        <v>0</v>
      </c>
      <c r="L596" t="n">
        <v>0</v>
      </c>
      <c r="M596" t="n">
        <v>0</v>
      </c>
      <c r="N596" t="n">
        <v>0</v>
      </c>
      <c r="O596" t="n">
        <v>0</v>
      </c>
      <c r="P596" t="n">
        <v>0</v>
      </c>
      <c r="Q596" t="n">
        <v>0</v>
      </c>
      <c r="R596" s="2" t="inlineStr"/>
    </row>
    <row r="597" ht="15" customHeight="1">
      <c r="A597" t="inlineStr">
        <is>
          <t>A 39922-2024</t>
        </is>
      </c>
      <c r="B597" s="1" t="n">
        <v>45553</v>
      </c>
      <c r="C597" s="1" t="n">
        <v>45961</v>
      </c>
      <c r="D597" t="inlineStr">
        <is>
          <t>VÄSTERNORRLANDS LÄN</t>
        </is>
      </c>
      <c r="E597" t="inlineStr">
        <is>
          <t>SUNDSVALL</t>
        </is>
      </c>
      <c r="G597" t="n">
        <v>4.2</v>
      </c>
      <c r="H597" t="n">
        <v>0</v>
      </c>
      <c r="I597" t="n">
        <v>0</v>
      </c>
      <c r="J597" t="n">
        <v>0</v>
      </c>
      <c r="K597" t="n">
        <v>0</v>
      </c>
      <c r="L597" t="n">
        <v>0</v>
      </c>
      <c r="M597" t="n">
        <v>0</v>
      </c>
      <c r="N597" t="n">
        <v>0</v>
      </c>
      <c r="O597" t="n">
        <v>0</v>
      </c>
      <c r="P597" t="n">
        <v>0</v>
      </c>
      <c r="Q597" t="n">
        <v>0</v>
      </c>
      <c r="R597" s="2" t="inlineStr"/>
    </row>
    <row r="598" ht="15" customHeight="1">
      <c r="A598" t="inlineStr">
        <is>
          <t>A 3348-2024</t>
        </is>
      </c>
      <c r="B598" s="1" t="n">
        <v>45317</v>
      </c>
      <c r="C598" s="1" t="n">
        <v>45961</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15411-2025</t>
        </is>
      </c>
      <c r="B599" s="1" t="n">
        <v>45747.45125</v>
      </c>
      <c r="C599" s="1" t="n">
        <v>45961</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37887-2024</t>
        </is>
      </c>
      <c r="B600" s="1" t="n">
        <v>45544</v>
      </c>
      <c r="C600" s="1" t="n">
        <v>45961</v>
      </c>
      <c r="D600" t="inlineStr">
        <is>
          <t>VÄSTERNORRLANDS LÄN</t>
        </is>
      </c>
      <c r="E600" t="inlineStr">
        <is>
          <t>SUNDSVALL</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9336-2024</t>
        </is>
      </c>
      <c r="B601" s="1" t="n">
        <v>45358</v>
      </c>
      <c r="C601" s="1" t="n">
        <v>45961</v>
      </c>
      <c r="D601" t="inlineStr">
        <is>
          <t>VÄSTERNORRLANDS LÄN</t>
        </is>
      </c>
      <c r="E601" t="inlineStr">
        <is>
          <t>SUNDSVALL</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58032-2021</t>
        </is>
      </c>
      <c r="B602" s="1" t="n">
        <v>44487</v>
      </c>
      <c r="C602" s="1" t="n">
        <v>45961</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100-2024</t>
        </is>
      </c>
      <c r="B603" s="1" t="n">
        <v>45293.92984953704</v>
      </c>
      <c r="C603" s="1" t="n">
        <v>45961</v>
      </c>
      <c r="D603" t="inlineStr">
        <is>
          <t>VÄSTERNORRLANDS LÄN</t>
        </is>
      </c>
      <c r="E603" t="inlineStr">
        <is>
          <t>SUNDSVALL</t>
        </is>
      </c>
      <c r="G603" t="n">
        <v>2.2</v>
      </c>
      <c r="H603" t="n">
        <v>0</v>
      </c>
      <c r="I603" t="n">
        <v>0</v>
      </c>
      <c r="J603" t="n">
        <v>0</v>
      </c>
      <c r="K603" t="n">
        <v>0</v>
      </c>
      <c r="L603" t="n">
        <v>0</v>
      </c>
      <c r="M603" t="n">
        <v>0</v>
      </c>
      <c r="N603" t="n">
        <v>0</v>
      </c>
      <c r="O603" t="n">
        <v>0</v>
      </c>
      <c r="P603" t="n">
        <v>0</v>
      </c>
      <c r="Q603" t="n">
        <v>0</v>
      </c>
      <c r="R603" s="2" t="inlineStr"/>
    </row>
    <row r="604" ht="15" customHeight="1">
      <c r="A604" t="inlineStr">
        <is>
          <t>A 37408-2023</t>
        </is>
      </c>
      <c r="B604" s="1" t="n">
        <v>45156</v>
      </c>
      <c r="C604" s="1" t="n">
        <v>45961</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36971-2023</t>
        </is>
      </c>
      <c r="B605" s="1" t="n">
        <v>45154</v>
      </c>
      <c r="C605" s="1" t="n">
        <v>45961</v>
      </c>
      <c r="D605" t="inlineStr">
        <is>
          <t>VÄSTERNORRLANDS LÄN</t>
        </is>
      </c>
      <c r="E605" t="inlineStr">
        <is>
          <t>SUNDSVALL</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28497-2024</t>
        </is>
      </c>
      <c r="B606" s="1" t="n">
        <v>45477.9271875</v>
      </c>
      <c r="C606" s="1" t="n">
        <v>45961</v>
      </c>
      <c r="D606" t="inlineStr">
        <is>
          <t>VÄSTERNORRLANDS LÄN</t>
        </is>
      </c>
      <c r="E606" t="inlineStr">
        <is>
          <t>SUNDSVALL</t>
        </is>
      </c>
      <c r="G606" t="n">
        <v>13.9</v>
      </c>
      <c r="H606" t="n">
        <v>0</v>
      </c>
      <c r="I606" t="n">
        <v>0</v>
      </c>
      <c r="J606" t="n">
        <v>0</v>
      </c>
      <c r="K606" t="n">
        <v>0</v>
      </c>
      <c r="L606" t="n">
        <v>0</v>
      </c>
      <c r="M606" t="n">
        <v>0</v>
      </c>
      <c r="N606" t="n">
        <v>0</v>
      </c>
      <c r="O606" t="n">
        <v>0</v>
      </c>
      <c r="P606" t="n">
        <v>0</v>
      </c>
      <c r="Q606" t="n">
        <v>0</v>
      </c>
      <c r="R606" s="2" t="inlineStr"/>
    </row>
    <row r="607" ht="15" customHeight="1">
      <c r="A607" t="inlineStr">
        <is>
          <t>A 59579-2021</t>
        </is>
      </c>
      <c r="B607" s="1" t="n">
        <v>44491</v>
      </c>
      <c r="C607" s="1" t="n">
        <v>45961</v>
      </c>
      <c r="D607" t="inlineStr">
        <is>
          <t>VÄSTERNORRLANDS LÄN</t>
        </is>
      </c>
      <c r="E607" t="inlineStr">
        <is>
          <t>SUNDSVALL</t>
        </is>
      </c>
      <c r="G607" t="n">
        <v>5.3</v>
      </c>
      <c r="H607" t="n">
        <v>0</v>
      </c>
      <c r="I607" t="n">
        <v>0</v>
      </c>
      <c r="J607" t="n">
        <v>0</v>
      </c>
      <c r="K607" t="n">
        <v>0</v>
      </c>
      <c r="L607" t="n">
        <v>0</v>
      </c>
      <c r="M607" t="n">
        <v>0</v>
      </c>
      <c r="N607" t="n">
        <v>0</v>
      </c>
      <c r="O607" t="n">
        <v>0</v>
      </c>
      <c r="P607" t="n">
        <v>0</v>
      </c>
      <c r="Q607" t="n">
        <v>0</v>
      </c>
      <c r="R607" s="2" t="inlineStr"/>
    </row>
    <row r="608" ht="15" customHeight="1">
      <c r="A608" t="inlineStr">
        <is>
          <t>A 51754-2023</t>
        </is>
      </c>
      <c r="B608" s="1" t="n">
        <v>45222</v>
      </c>
      <c r="C608" s="1" t="n">
        <v>45961</v>
      </c>
      <c r="D608" t="inlineStr">
        <is>
          <t>VÄSTERNORRLANDS LÄN</t>
        </is>
      </c>
      <c r="E608" t="inlineStr">
        <is>
          <t>SUNDSVALL</t>
        </is>
      </c>
      <c r="F608" t="inlineStr">
        <is>
          <t>Kommuner</t>
        </is>
      </c>
      <c r="G608" t="n">
        <v>5.2</v>
      </c>
      <c r="H608" t="n">
        <v>0</v>
      </c>
      <c r="I608" t="n">
        <v>0</v>
      </c>
      <c r="J608" t="n">
        <v>0</v>
      </c>
      <c r="K608" t="n">
        <v>0</v>
      </c>
      <c r="L608" t="n">
        <v>0</v>
      </c>
      <c r="M608" t="n">
        <v>0</v>
      </c>
      <c r="N608" t="n">
        <v>0</v>
      </c>
      <c r="O608" t="n">
        <v>0</v>
      </c>
      <c r="P608" t="n">
        <v>0</v>
      </c>
      <c r="Q608" t="n">
        <v>0</v>
      </c>
      <c r="R608" s="2" t="inlineStr"/>
    </row>
    <row r="609" ht="15" customHeight="1">
      <c r="A609" t="inlineStr">
        <is>
          <t>A 14398-2025</t>
        </is>
      </c>
      <c r="B609" s="1" t="n">
        <v>45741</v>
      </c>
      <c r="C609" s="1" t="n">
        <v>45961</v>
      </c>
      <c r="D609" t="inlineStr">
        <is>
          <t>VÄSTERNORRLANDS LÄN</t>
        </is>
      </c>
      <c r="E609" t="inlineStr">
        <is>
          <t>SUNDSVALL</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28611-2024</t>
        </is>
      </c>
      <c r="B610" s="1" t="n">
        <v>45478</v>
      </c>
      <c r="C610" s="1" t="n">
        <v>45961</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4800-2023</t>
        </is>
      </c>
      <c r="B611" s="1" t="n">
        <v>44952</v>
      </c>
      <c r="C611" s="1" t="n">
        <v>45961</v>
      </c>
      <c r="D611" t="inlineStr">
        <is>
          <t>VÄSTERNORRLANDS LÄN</t>
        </is>
      </c>
      <c r="E611" t="inlineStr">
        <is>
          <t>SUNDSVALL</t>
        </is>
      </c>
      <c r="G611" t="n">
        <v>0.3</v>
      </c>
      <c r="H611" t="n">
        <v>0</v>
      </c>
      <c r="I611" t="n">
        <v>0</v>
      </c>
      <c r="J611" t="n">
        <v>0</v>
      </c>
      <c r="K611" t="n">
        <v>0</v>
      </c>
      <c r="L611" t="n">
        <v>0</v>
      </c>
      <c r="M611" t="n">
        <v>0</v>
      </c>
      <c r="N611" t="n">
        <v>0</v>
      </c>
      <c r="O611" t="n">
        <v>0</v>
      </c>
      <c r="P611" t="n">
        <v>0</v>
      </c>
      <c r="Q611" t="n">
        <v>0</v>
      </c>
      <c r="R611" s="2" t="inlineStr"/>
    </row>
    <row r="612" ht="15" customHeight="1">
      <c r="A612" t="inlineStr">
        <is>
          <t>A 36007-2021</t>
        </is>
      </c>
      <c r="B612" s="1" t="n">
        <v>44389.37854166667</v>
      </c>
      <c r="C612" s="1" t="n">
        <v>45961</v>
      </c>
      <c r="D612" t="inlineStr">
        <is>
          <t>VÄSTERNORRLANDS LÄN</t>
        </is>
      </c>
      <c r="E612" t="inlineStr">
        <is>
          <t>SUNDSVALL</t>
        </is>
      </c>
      <c r="G612" t="n">
        <v>6.4</v>
      </c>
      <c r="H612" t="n">
        <v>0</v>
      </c>
      <c r="I612" t="n">
        <v>0</v>
      </c>
      <c r="J612" t="n">
        <v>0</v>
      </c>
      <c r="K612" t="n">
        <v>0</v>
      </c>
      <c r="L612" t="n">
        <v>0</v>
      </c>
      <c r="M612" t="n">
        <v>0</v>
      </c>
      <c r="N612" t="n">
        <v>0</v>
      </c>
      <c r="O612" t="n">
        <v>0</v>
      </c>
      <c r="P612" t="n">
        <v>0</v>
      </c>
      <c r="Q612" t="n">
        <v>0</v>
      </c>
      <c r="R612" s="2" t="inlineStr"/>
    </row>
    <row r="613" ht="15" customHeight="1">
      <c r="A613" t="inlineStr">
        <is>
          <t>A 32562-2023</t>
        </is>
      </c>
      <c r="B613" s="1" t="n">
        <v>45111</v>
      </c>
      <c r="C613" s="1" t="n">
        <v>45961</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39899-2024</t>
        </is>
      </c>
      <c r="B614" s="1" t="n">
        <v>45553.48993055556</v>
      </c>
      <c r="C614" s="1" t="n">
        <v>45961</v>
      </c>
      <c r="D614" t="inlineStr">
        <is>
          <t>VÄSTERNORRLANDS LÄN</t>
        </is>
      </c>
      <c r="E614" t="inlineStr">
        <is>
          <t>SUNDSVALL</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39900-2024</t>
        </is>
      </c>
      <c r="B615" s="1" t="n">
        <v>45553.49010416667</v>
      </c>
      <c r="C615" s="1" t="n">
        <v>45961</v>
      </c>
      <c r="D615" t="inlineStr">
        <is>
          <t>VÄSTERNORRLANDS LÄN</t>
        </is>
      </c>
      <c r="E615" t="inlineStr">
        <is>
          <t>SUNDSVALL</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52706-2022</t>
        </is>
      </c>
      <c r="B616" s="1" t="n">
        <v>44874</v>
      </c>
      <c r="C616" s="1" t="n">
        <v>45961</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52740-2022</t>
        </is>
      </c>
      <c r="B617" s="1" t="n">
        <v>44874</v>
      </c>
      <c r="C617" s="1" t="n">
        <v>45961</v>
      </c>
      <c r="D617" t="inlineStr">
        <is>
          <t>VÄSTERNORRLANDS LÄN</t>
        </is>
      </c>
      <c r="E617" t="inlineStr">
        <is>
          <t>SUNDSVALL</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65192-2023</t>
        </is>
      </c>
      <c r="B618" s="1" t="n">
        <v>45288</v>
      </c>
      <c r="C618" s="1" t="n">
        <v>45961</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65193-2023</t>
        </is>
      </c>
      <c r="B619" s="1" t="n">
        <v>45288</v>
      </c>
      <c r="C619" s="1" t="n">
        <v>45961</v>
      </c>
      <c r="D619" t="inlineStr">
        <is>
          <t>VÄSTERNORRLANDS LÄN</t>
        </is>
      </c>
      <c r="E619" t="inlineStr">
        <is>
          <t>SUNDSVALL</t>
        </is>
      </c>
      <c r="G619" t="n">
        <v>0.8</v>
      </c>
      <c r="H619" t="n">
        <v>0</v>
      </c>
      <c r="I619" t="n">
        <v>0</v>
      </c>
      <c r="J619" t="n">
        <v>0</v>
      </c>
      <c r="K619" t="n">
        <v>0</v>
      </c>
      <c r="L619" t="n">
        <v>0</v>
      </c>
      <c r="M619" t="n">
        <v>0</v>
      </c>
      <c r="N619" t="n">
        <v>0</v>
      </c>
      <c r="O619" t="n">
        <v>0</v>
      </c>
      <c r="P619" t="n">
        <v>0</v>
      </c>
      <c r="Q619" t="n">
        <v>0</v>
      </c>
      <c r="R619" s="2" t="inlineStr"/>
    </row>
    <row r="620" ht="15" customHeight="1">
      <c r="A620" t="inlineStr">
        <is>
          <t>A 17437-2023</t>
        </is>
      </c>
      <c r="B620" s="1" t="n">
        <v>45035.92703703704</v>
      </c>
      <c r="C620" s="1" t="n">
        <v>45961</v>
      </c>
      <c r="D620" t="inlineStr">
        <is>
          <t>VÄSTERNORRLANDS LÄN</t>
        </is>
      </c>
      <c r="E620" t="inlineStr">
        <is>
          <t>SUNDSVALL</t>
        </is>
      </c>
      <c r="G620" t="n">
        <v>13.7</v>
      </c>
      <c r="H620" t="n">
        <v>0</v>
      </c>
      <c r="I620" t="n">
        <v>0</v>
      </c>
      <c r="J620" t="n">
        <v>0</v>
      </c>
      <c r="K620" t="n">
        <v>0</v>
      </c>
      <c r="L620" t="n">
        <v>0</v>
      </c>
      <c r="M620" t="n">
        <v>0</v>
      </c>
      <c r="N620" t="n">
        <v>0</v>
      </c>
      <c r="O620" t="n">
        <v>0</v>
      </c>
      <c r="P620" t="n">
        <v>0</v>
      </c>
      <c r="Q620" t="n">
        <v>0</v>
      </c>
      <c r="R620" s="2" t="inlineStr"/>
    </row>
    <row r="621" ht="15" customHeight="1">
      <c r="A621" t="inlineStr">
        <is>
          <t>A 17190-2024</t>
        </is>
      </c>
      <c r="B621" s="1" t="n">
        <v>45412</v>
      </c>
      <c r="C621" s="1" t="n">
        <v>45961</v>
      </c>
      <c r="D621" t="inlineStr">
        <is>
          <t>VÄSTERNORRLANDS LÄN</t>
        </is>
      </c>
      <c r="E621" t="inlineStr">
        <is>
          <t>SUNDSVALL</t>
        </is>
      </c>
      <c r="G621" t="n">
        <v>4.1</v>
      </c>
      <c r="H621" t="n">
        <v>0</v>
      </c>
      <c r="I621" t="n">
        <v>0</v>
      </c>
      <c r="J621" t="n">
        <v>0</v>
      </c>
      <c r="K621" t="n">
        <v>0</v>
      </c>
      <c r="L621" t="n">
        <v>0</v>
      </c>
      <c r="M621" t="n">
        <v>0</v>
      </c>
      <c r="N621" t="n">
        <v>0</v>
      </c>
      <c r="O621" t="n">
        <v>0</v>
      </c>
      <c r="P621" t="n">
        <v>0</v>
      </c>
      <c r="Q621" t="n">
        <v>0</v>
      </c>
      <c r="R621" s="2" t="inlineStr"/>
    </row>
    <row r="622" ht="15" customHeight="1">
      <c r="A622" t="inlineStr">
        <is>
          <t>A 62294-2020</t>
        </is>
      </c>
      <c r="B622" s="1" t="n">
        <v>44160</v>
      </c>
      <c r="C622" s="1" t="n">
        <v>45961</v>
      </c>
      <c r="D622" t="inlineStr">
        <is>
          <t>VÄSTERNORRLANDS LÄN</t>
        </is>
      </c>
      <c r="E622" t="inlineStr">
        <is>
          <t>SUNDSVALL</t>
        </is>
      </c>
      <c r="G622" t="n">
        <v>2</v>
      </c>
      <c r="H622" t="n">
        <v>0</v>
      </c>
      <c r="I622" t="n">
        <v>0</v>
      </c>
      <c r="J622" t="n">
        <v>0</v>
      </c>
      <c r="K622" t="n">
        <v>0</v>
      </c>
      <c r="L622" t="n">
        <v>0</v>
      </c>
      <c r="M622" t="n">
        <v>0</v>
      </c>
      <c r="N622" t="n">
        <v>0</v>
      </c>
      <c r="O622" t="n">
        <v>0</v>
      </c>
      <c r="P622" t="n">
        <v>0</v>
      </c>
      <c r="Q622" t="n">
        <v>0</v>
      </c>
      <c r="R622" s="2" t="inlineStr"/>
    </row>
    <row r="623" ht="15" customHeight="1">
      <c r="A623" t="inlineStr">
        <is>
          <t>A 51370-2022</t>
        </is>
      </c>
      <c r="B623" s="1" t="n">
        <v>44869</v>
      </c>
      <c r="C623" s="1" t="n">
        <v>45961</v>
      </c>
      <c r="D623" t="inlineStr">
        <is>
          <t>VÄSTERNORRLANDS LÄN</t>
        </is>
      </c>
      <c r="E623" t="inlineStr">
        <is>
          <t>SUNDSVALL</t>
        </is>
      </c>
      <c r="G623" t="n">
        <v>18.7</v>
      </c>
      <c r="H623" t="n">
        <v>0</v>
      </c>
      <c r="I623" t="n">
        <v>0</v>
      </c>
      <c r="J623" t="n">
        <v>0</v>
      </c>
      <c r="K623" t="n">
        <v>0</v>
      </c>
      <c r="L623" t="n">
        <v>0</v>
      </c>
      <c r="M623" t="n">
        <v>0</v>
      </c>
      <c r="N623" t="n">
        <v>0</v>
      </c>
      <c r="O623" t="n">
        <v>0</v>
      </c>
      <c r="P623" t="n">
        <v>0</v>
      </c>
      <c r="Q623" t="n">
        <v>0</v>
      </c>
      <c r="R623" s="2" t="inlineStr"/>
    </row>
    <row r="624" ht="15" customHeight="1">
      <c r="A624" t="inlineStr">
        <is>
          <t>A 47714-2024</t>
        </is>
      </c>
      <c r="B624" s="1" t="n">
        <v>45588.48163194444</v>
      </c>
      <c r="C624" s="1" t="n">
        <v>45961</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64917-2021</t>
        </is>
      </c>
      <c r="B625" s="1" t="n">
        <v>44512</v>
      </c>
      <c r="C625" s="1" t="n">
        <v>45961</v>
      </c>
      <c r="D625" t="inlineStr">
        <is>
          <t>VÄSTERNORRLANDS LÄN</t>
        </is>
      </c>
      <c r="E625" t="inlineStr">
        <is>
          <t>SUNDSVALL</t>
        </is>
      </c>
      <c r="F625" t="inlineStr">
        <is>
          <t>Kommuner</t>
        </is>
      </c>
      <c r="G625" t="n">
        <v>4.1</v>
      </c>
      <c r="H625" t="n">
        <v>0</v>
      </c>
      <c r="I625" t="n">
        <v>0</v>
      </c>
      <c r="J625" t="n">
        <v>0</v>
      </c>
      <c r="K625" t="n">
        <v>0</v>
      </c>
      <c r="L625" t="n">
        <v>0</v>
      </c>
      <c r="M625" t="n">
        <v>0</v>
      </c>
      <c r="N625" t="n">
        <v>0</v>
      </c>
      <c r="O625" t="n">
        <v>0</v>
      </c>
      <c r="P625" t="n">
        <v>0</v>
      </c>
      <c r="Q625" t="n">
        <v>0</v>
      </c>
      <c r="R625" s="2" t="inlineStr"/>
    </row>
    <row r="626" ht="15" customHeight="1">
      <c r="A626" t="inlineStr">
        <is>
          <t>A 20183-2024</t>
        </is>
      </c>
      <c r="B626" s="1" t="n">
        <v>45434</v>
      </c>
      <c r="C626" s="1" t="n">
        <v>45961</v>
      </c>
      <c r="D626" t="inlineStr">
        <is>
          <t>VÄSTERNORRLANDS LÄN</t>
        </is>
      </c>
      <c r="E626" t="inlineStr">
        <is>
          <t>SUNDSVALL</t>
        </is>
      </c>
      <c r="G626" t="n">
        <v>5.4</v>
      </c>
      <c r="H626" t="n">
        <v>0</v>
      </c>
      <c r="I626" t="n">
        <v>0</v>
      </c>
      <c r="J626" t="n">
        <v>0</v>
      </c>
      <c r="K626" t="n">
        <v>0</v>
      </c>
      <c r="L626" t="n">
        <v>0</v>
      </c>
      <c r="M626" t="n">
        <v>0</v>
      </c>
      <c r="N626" t="n">
        <v>0</v>
      </c>
      <c r="O626" t="n">
        <v>0</v>
      </c>
      <c r="P626" t="n">
        <v>0</v>
      </c>
      <c r="Q626" t="n">
        <v>0</v>
      </c>
      <c r="R626" s="2" t="inlineStr"/>
    </row>
    <row r="627" ht="15" customHeight="1">
      <c r="A627" t="inlineStr">
        <is>
          <t>A 26234-2024</t>
        </is>
      </c>
      <c r="B627" s="1" t="n">
        <v>45468</v>
      </c>
      <c r="C627" s="1" t="n">
        <v>45961</v>
      </c>
      <c r="D627" t="inlineStr">
        <is>
          <t>VÄSTERNORRLANDS LÄN</t>
        </is>
      </c>
      <c r="E627" t="inlineStr">
        <is>
          <t>SUNDSVALL</t>
        </is>
      </c>
      <c r="G627" t="n">
        <v>4.2</v>
      </c>
      <c r="H627" t="n">
        <v>0</v>
      </c>
      <c r="I627" t="n">
        <v>0</v>
      </c>
      <c r="J627" t="n">
        <v>0</v>
      </c>
      <c r="K627" t="n">
        <v>0</v>
      </c>
      <c r="L627" t="n">
        <v>0</v>
      </c>
      <c r="M627" t="n">
        <v>0</v>
      </c>
      <c r="N627" t="n">
        <v>0</v>
      </c>
      <c r="O627" t="n">
        <v>0</v>
      </c>
      <c r="P627" t="n">
        <v>0</v>
      </c>
      <c r="Q627" t="n">
        <v>0</v>
      </c>
      <c r="R627" s="2" t="inlineStr"/>
    </row>
    <row r="628" ht="15" customHeight="1">
      <c r="A628" t="inlineStr">
        <is>
          <t>A 61492-2023</t>
        </is>
      </c>
      <c r="B628" s="1" t="n">
        <v>45264</v>
      </c>
      <c r="C628" s="1" t="n">
        <v>45961</v>
      </c>
      <c r="D628" t="inlineStr">
        <is>
          <t>VÄSTERNORRLANDS LÄN</t>
        </is>
      </c>
      <c r="E628" t="inlineStr">
        <is>
          <t>SUNDSVALL</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43001-2024</t>
        </is>
      </c>
      <c r="B629" s="1" t="n">
        <v>45567.37609953704</v>
      </c>
      <c r="C629" s="1" t="n">
        <v>45961</v>
      </c>
      <c r="D629" t="inlineStr">
        <is>
          <t>VÄSTERNORRLANDS LÄN</t>
        </is>
      </c>
      <c r="E629" t="inlineStr">
        <is>
          <t>SUNDSVALL</t>
        </is>
      </c>
      <c r="G629" t="n">
        <v>0.4</v>
      </c>
      <c r="H629" t="n">
        <v>0</v>
      </c>
      <c r="I629" t="n">
        <v>0</v>
      </c>
      <c r="J629" t="n">
        <v>0</v>
      </c>
      <c r="K629" t="n">
        <v>0</v>
      </c>
      <c r="L629" t="n">
        <v>0</v>
      </c>
      <c r="M629" t="n">
        <v>0</v>
      </c>
      <c r="N629" t="n">
        <v>0</v>
      </c>
      <c r="O629" t="n">
        <v>0</v>
      </c>
      <c r="P629" t="n">
        <v>0</v>
      </c>
      <c r="Q629" t="n">
        <v>0</v>
      </c>
      <c r="R629" s="2" t="inlineStr"/>
    </row>
    <row r="630" ht="15" customHeight="1">
      <c r="A630" t="inlineStr">
        <is>
          <t>A 5721-2024</t>
        </is>
      </c>
      <c r="B630" s="1" t="n">
        <v>45334</v>
      </c>
      <c r="C630" s="1" t="n">
        <v>45961</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42879-2022</t>
        </is>
      </c>
      <c r="B631" s="1" t="n">
        <v>44832</v>
      </c>
      <c r="C631" s="1" t="n">
        <v>45961</v>
      </c>
      <c r="D631" t="inlineStr">
        <is>
          <t>VÄSTERNORRLANDS LÄN</t>
        </is>
      </c>
      <c r="E631" t="inlineStr">
        <is>
          <t>SUNDSVALL</t>
        </is>
      </c>
      <c r="G631" t="n">
        <v>1.8</v>
      </c>
      <c r="H631" t="n">
        <v>0</v>
      </c>
      <c r="I631" t="n">
        <v>0</v>
      </c>
      <c r="J631" t="n">
        <v>0</v>
      </c>
      <c r="K631" t="n">
        <v>0</v>
      </c>
      <c r="L631" t="n">
        <v>0</v>
      </c>
      <c r="M631" t="n">
        <v>0</v>
      </c>
      <c r="N631" t="n">
        <v>0</v>
      </c>
      <c r="O631" t="n">
        <v>0</v>
      </c>
      <c r="P631" t="n">
        <v>0</v>
      </c>
      <c r="Q631" t="n">
        <v>0</v>
      </c>
      <c r="R631" s="2" t="inlineStr"/>
    </row>
    <row r="632" ht="15" customHeight="1">
      <c r="A632" t="inlineStr">
        <is>
          <t>A 27673-2024</t>
        </is>
      </c>
      <c r="B632" s="1" t="n">
        <v>45474.9560300926</v>
      </c>
      <c r="C632" s="1" t="n">
        <v>45961</v>
      </c>
      <c r="D632" t="inlineStr">
        <is>
          <t>VÄSTERNORRLANDS LÄN</t>
        </is>
      </c>
      <c r="E632" t="inlineStr">
        <is>
          <t>SUNDSVALL</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7293-2025</t>
        </is>
      </c>
      <c r="B633" s="1" t="n">
        <v>45702</v>
      </c>
      <c r="C633" s="1" t="n">
        <v>45961</v>
      </c>
      <c r="D633" t="inlineStr">
        <is>
          <t>VÄSTERNORRLANDS LÄN</t>
        </is>
      </c>
      <c r="E633" t="inlineStr">
        <is>
          <t>SUNDSVALL</t>
        </is>
      </c>
      <c r="G633" t="n">
        <v>0.3</v>
      </c>
      <c r="H633" t="n">
        <v>0</v>
      </c>
      <c r="I633" t="n">
        <v>0</v>
      </c>
      <c r="J633" t="n">
        <v>0</v>
      </c>
      <c r="K633" t="n">
        <v>0</v>
      </c>
      <c r="L633" t="n">
        <v>0</v>
      </c>
      <c r="M633" t="n">
        <v>0</v>
      </c>
      <c r="N633" t="n">
        <v>0</v>
      </c>
      <c r="O633" t="n">
        <v>0</v>
      </c>
      <c r="P633" t="n">
        <v>0</v>
      </c>
      <c r="Q633" t="n">
        <v>0</v>
      </c>
      <c r="R633" s="2" t="inlineStr"/>
    </row>
    <row r="634" ht="15" customHeight="1">
      <c r="A634" t="inlineStr">
        <is>
          <t>A 26661-2024</t>
        </is>
      </c>
      <c r="B634" s="1" t="n">
        <v>45469</v>
      </c>
      <c r="C634" s="1" t="n">
        <v>45961</v>
      </c>
      <c r="D634" t="inlineStr">
        <is>
          <t>VÄSTERNORRLANDS LÄN</t>
        </is>
      </c>
      <c r="E634" t="inlineStr">
        <is>
          <t>SUNDSVALL</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27895-2024</t>
        </is>
      </c>
      <c r="B635" s="1" t="n">
        <v>45475.92822916667</v>
      </c>
      <c r="C635" s="1" t="n">
        <v>45961</v>
      </c>
      <c r="D635" t="inlineStr">
        <is>
          <t>VÄSTERNORRLANDS LÄN</t>
        </is>
      </c>
      <c r="E635" t="inlineStr">
        <is>
          <t>SUNDSVALL</t>
        </is>
      </c>
      <c r="G635" t="n">
        <v>2.5</v>
      </c>
      <c r="H635" t="n">
        <v>0</v>
      </c>
      <c r="I635" t="n">
        <v>0</v>
      </c>
      <c r="J635" t="n">
        <v>0</v>
      </c>
      <c r="K635" t="n">
        <v>0</v>
      </c>
      <c r="L635" t="n">
        <v>0</v>
      </c>
      <c r="M635" t="n">
        <v>0</v>
      </c>
      <c r="N635" t="n">
        <v>0</v>
      </c>
      <c r="O635" t="n">
        <v>0</v>
      </c>
      <c r="P635" t="n">
        <v>0</v>
      </c>
      <c r="Q635" t="n">
        <v>0</v>
      </c>
      <c r="R635" s="2" t="inlineStr"/>
    </row>
    <row r="636" ht="15" customHeight="1">
      <c r="A636" t="inlineStr">
        <is>
          <t>A 200-2023</t>
        </is>
      </c>
      <c r="B636" s="1" t="n">
        <v>44928</v>
      </c>
      <c r="C636" s="1" t="n">
        <v>45961</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13937-2024</t>
        </is>
      </c>
      <c r="B637" s="1" t="n">
        <v>45391</v>
      </c>
      <c r="C637" s="1" t="n">
        <v>45961</v>
      </c>
      <c r="D637" t="inlineStr">
        <is>
          <t>VÄSTERNORRLANDS LÄN</t>
        </is>
      </c>
      <c r="E637" t="inlineStr">
        <is>
          <t>SUNDSVALL</t>
        </is>
      </c>
      <c r="F637" t="inlineStr">
        <is>
          <t>SCA</t>
        </is>
      </c>
      <c r="G637" t="n">
        <v>13.5</v>
      </c>
      <c r="H637" t="n">
        <v>0</v>
      </c>
      <c r="I637" t="n">
        <v>0</v>
      </c>
      <c r="J637" t="n">
        <v>0</v>
      </c>
      <c r="K637" t="n">
        <v>0</v>
      </c>
      <c r="L637" t="n">
        <v>0</v>
      </c>
      <c r="M637" t="n">
        <v>0</v>
      </c>
      <c r="N637" t="n">
        <v>0</v>
      </c>
      <c r="O637" t="n">
        <v>0</v>
      </c>
      <c r="P637" t="n">
        <v>0</v>
      </c>
      <c r="Q637" t="n">
        <v>0</v>
      </c>
      <c r="R637" s="2" t="inlineStr"/>
    </row>
    <row r="638" ht="15" customHeight="1">
      <c r="A638" t="inlineStr">
        <is>
          <t>A 70173-2021</t>
        </is>
      </c>
      <c r="B638" s="1" t="n">
        <v>44533</v>
      </c>
      <c r="C638" s="1" t="n">
        <v>45961</v>
      </c>
      <c r="D638" t="inlineStr">
        <is>
          <t>VÄSTERNORRLANDS LÄN</t>
        </is>
      </c>
      <c r="E638" t="inlineStr">
        <is>
          <t>SUNDSVALL</t>
        </is>
      </c>
      <c r="G638" t="n">
        <v>2.3</v>
      </c>
      <c r="H638" t="n">
        <v>0</v>
      </c>
      <c r="I638" t="n">
        <v>0</v>
      </c>
      <c r="J638" t="n">
        <v>0</v>
      </c>
      <c r="K638" t="n">
        <v>0</v>
      </c>
      <c r="L638" t="n">
        <v>0</v>
      </c>
      <c r="M638" t="n">
        <v>0</v>
      </c>
      <c r="N638" t="n">
        <v>0</v>
      </c>
      <c r="O638" t="n">
        <v>0</v>
      </c>
      <c r="P638" t="n">
        <v>0</v>
      </c>
      <c r="Q638" t="n">
        <v>0</v>
      </c>
      <c r="R638" s="2" t="inlineStr"/>
    </row>
    <row r="639" ht="15" customHeight="1">
      <c r="A639" t="inlineStr">
        <is>
          <t>A 18153-2023</t>
        </is>
      </c>
      <c r="B639" s="1" t="n">
        <v>45040</v>
      </c>
      <c r="C639" s="1" t="n">
        <v>45961</v>
      </c>
      <c r="D639" t="inlineStr">
        <is>
          <t>VÄSTERNORRLANDS LÄN</t>
        </is>
      </c>
      <c r="E639" t="inlineStr">
        <is>
          <t>SUNDSVALL</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58781-2022</t>
        </is>
      </c>
      <c r="B640" s="1" t="n">
        <v>44903</v>
      </c>
      <c r="C640" s="1" t="n">
        <v>45961</v>
      </c>
      <c r="D640" t="inlineStr">
        <is>
          <t>VÄSTERNORRLANDS LÄN</t>
        </is>
      </c>
      <c r="E640" t="inlineStr">
        <is>
          <t>SUNDSVALL</t>
        </is>
      </c>
      <c r="F640" t="inlineStr">
        <is>
          <t>Holmen skog AB</t>
        </is>
      </c>
      <c r="G640" t="n">
        <v>16.3</v>
      </c>
      <c r="H640" t="n">
        <v>0</v>
      </c>
      <c r="I640" t="n">
        <v>0</v>
      </c>
      <c r="J640" t="n">
        <v>0</v>
      </c>
      <c r="K640" t="n">
        <v>0</v>
      </c>
      <c r="L640" t="n">
        <v>0</v>
      </c>
      <c r="M640" t="n">
        <v>0</v>
      </c>
      <c r="N640" t="n">
        <v>0</v>
      </c>
      <c r="O640" t="n">
        <v>0</v>
      </c>
      <c r="P640" t="n">
        <v>0</v>
      </c>
      <c r="Q640" t="n">
        <v>0</v>
      </c>
      <c r="R640" s="2" t="inlineStr"/>
    </row>
    <row r="641" ht="15" customHeight="1">
      <c r="A641" t="inlineStr">
        <is>
          <t>A 38131-2023</t>
        </is>
      </c>
      <c r="B641" s="1" t="n">
        <v>45160</v>
      </c>
      <c r="C641" s="1" t="n">
        <v>45961</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40846-2022</t>
        </is>
      </c>
      <c r="B642" s="1" t="n">
        <v>44824.94766203704</v>
      </c>
      <c r="C642" s="1" t="n">
        <v>45961</v>
      </c>
      <c r="D642" t="inlineStr">
        <is>
          <t>VÄSTERNORRLANDS LÄN</t>
        </is>
      </c>
      <c r="E642" t="inlineStr">
        <is>
          <t>SUNDSVALL</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16249-2024</t>
        </is>
      </c>
      <c r="B643" s="1" t="n">
        <v>45407</v>
      </c>
      <c r="C643" s="1" t="n">
        <v>45961</v>
      </c>
      <c r="D643" t="inlineStr">
        <is>
          <t>VÄSTERNORRLANDS LÄN</t>
        </is>
      </c>
      <c r="E643" t="inlineStr">
        <is>
          <t>SUNDSVALL</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1417-2023</t>
        </is>
      </c>
      <c r="B644" s="1" t="n">
        <v>44936</v>
      </c>
      <c r="C644" s="1" t="n">
        <v>45961</v>
      </c>
      <c r="D644" t="inlineStr">
        <is>
          <t>VÄSTERNORRLANDS LÄN</t>
        </is>
      </c>
      <c r="E644" t="inlineStr">
        <is>
          <t>SUNDSVALL</t>
        </is>
      </c>
      <c r="G644" t="n">
        <v>0.7</v>
      </c>
      <c r="H644" t="n">
        <v>0</v>
      </c>
      <c r="I644" t="n">
        <v>0</v>
      </c>
      <c r="J644" t="n">
        <v>0</v>
      </c>
      <c r="K644" t="n">
        <v>0</v>
      </c>
      <c r="L644" t="n">
        <v>0</v>
      </c>
      <c r="M644" t="n">
        <v>0</v>
      </c>
      <c r="N644" t="n">
        <v>0</v>
      </c>
      <c r="O644" t="n">
        <v>0</v>
      </c>
      <c r="P644" t="n">
        <v>0</v>
      </c>
      <c r="Q644" t="n">
        <v>0</v>
      </c>
      <c r="R644" s="2" t="inlineStr"/>
    </row>
    <row r="645" ht="15" customHeight="1">
      <c r="A645" t="inlineStr">
        <is>
          <t>A 28771-2024</t>
        </is>
      </c>
      <c r="B645" s="1" t="n">
        <v>45478</v>
      </c>
      <c r="C645" s="1" t="n">
        <v>45961</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20418-2024</t>
        </is>
      </c>
      <c r="B646" s="1" t="n">
        <v>45435</v>
      </c>
      <c r="C646" s="1" t="n">
        <v>45961</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57400-2023</t>
        </is>
      </c>
      <c r="B647" s="1" t="n">
        <v>45245.96820601852</v>
      </c>
      <c r="C647" s="1" t="n">
        <v>45961</v>
      </c>
      <c r="D647" t="inlineStr">
        <is>
          <t>VÄSTERNORRLANDS LÄN</t>
        </is>
      </c>
      <c r="E647" t="inlineStr">
        <is>
          <t>SUNDSVALL</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57404-2023</t>
        </is>
      </c>
      <c r="B648" s="1" t="n">
        <v>45245.96857638889</v>
      </c>
      <c r="C648" s="1" t="n">
        <v>45961</v>
      </c>
      <c r="D648" t="inlineStr">
        <is>
          <t>VÄSTERNORRLANDS LÄN</t>
        </is>
      </c>
      <c r="E648" t="inlineStr">
        <is>
          <t>SUNDSVALL</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51110-2023</t>
        </is>
      </c>
      <c r="B649" s="1" t="n">
        <v>45218</v>
      </c>
      <c r="C649" s="1" t="n">
        <v>45961</v>
      </c>
      <c r="D649" t="inlineStr">
        <is>
          <t>VÄSTERNORRLANDS LÄN</t>
        </is>
      </c>
      <c r="E649" t="inlineStr">
        <is>
          <t>SUNDSVALL</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39503-2021</t>
        </is>
      </c>
      <c r="B650" s="1" t="n">
        <v>44414</v>
      </c>
      <c r="C650" s="1" t="n">
        <v>45961</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30084-2022</t>
        </is>
      </c>
      <c r="B651" s="1" t="n">
        <v>44757.3788425926</v>
      </c>
      <c r="C651" s="1" t="n">
        <v>45961</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73980-2021</t>
        </is>
      </c>
      <c r="B652" s="1" t="n">
        <v>44554</v>
      </c>
      <c r="C652" s="1" t="n">
        <v>45961</v>
      </c>
      <c r="D652" t="inlineStr">
        <is>
          <t>VÄSTERNORRLANDS LÄN</t>
        </is>
      </c>
      <c r="E652" t="inlineStr">
        <is>
          <t>SUNDSVALL</t>
        </is>
      </c>
      <c r="G652" t="n">
        <v>0.5</v>
      </c>
      <c r="H652" t="n">
        <v>0</v>
      </c>
      <c r="I652" t="n">
        <v>0</v>
      </c>
      <c r="J652" t="n">
        <v>0</v>
      </c>
      <c r="K652" t="n">
        <v>0</v>
      </c>
      <c r="L652" t="n">
        <v>0</v>
      </c>
      <c r="M652" t="n">
        <v>0</v>
      </c>
      <c r="N652" t="n">
        <v>0</v>
      </c>
      <c r="O652" t="n">
        <v>0</v>
      </c>
      <c r="P652" t="n">
        <v>0</v>
      </c>
      <c r="Q652" t="n">
        <v>0</v>
      </c>
      <c r="R652" s="2" t="inlineStr"/>
    </row>
    <row r="653" ht="15" customHeight="1">
      <c r="A653" t="inlineStr">
        <is>
          <t>A 59973-2021</t>
        </is>
      </c>
      <c r="B653" s="1" t="n">
        <v>44494.93664351852</v>
      </c>
      <c r="C653" s="1" t="n">
        <v>45961</v>
      </c>
      <c r="D653" t="inlineStr">
        <is>
          <t>VÄSTERNORRLANDS LÄN</t>
        </is>
      </c>
      <c r="E653" t="inlineStr">
        <is>
          <t>SUNDSVALL</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47914-2021</t>
        </is>
      </c>
      <c r="B654" s="1" t="n">
        <v>44448.92056712963</v>
      </c>
      <c r="C654" s="1" t="n">
        <v>45961</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4583-2024</t>
        </is>
      </c>
      <c r="B655" s="1" t="n">
        <v>45327.92802083334</v>
      </c>
      <c r="C655" s="1" t="n">
        <v>45961</v>
      </c>
      <c r="D655" t="inlineStr">
        <is>
          <t>VÄSTERNORRLANDS LÄN</t>
        </is>
      </c>
      <c r="E655" t="inlineStr">
        <is>
          <t>SUNDSVALL</t>
        </is>
      </c>
      <c r="G655" t="n">
        <v>1</v>
      </c>
      <c r="H655" t="n">
        <v>0</v>
      </c>
      <c r="I655" t="n">
        <v>0</v>
      </c>
      <c r="J655" t="n">
        <v>0</v>
      </c>
      <c r="K655" t="n">
        <v>0</v>
      </c>
      <c r="L655" t="n">
        <v>0</v>
      </c>
      <c r="M655" t="n">
        <v>0</v>
      </c>
      <c r="N655" t="n">
        <v>0</v>
      </c>
      <c r="O655" t="n">
        <v>0</v>
      </c>
      <c r="P655" t="n">
        <v>0</v>
      </c>
      <c r="Q655" t="n">
        <v>0</v>
      </c>
      <c r="R655" s="2" t="inlineStr"/>
    </row>
    <row r="656" ht="15" customHeight="1">
      <c r="A656" t="inlineStr">
        <is>
          <t>A 5650-2022</t>
        </is>
      </c>
      <c r="B656" s="1" t="n">
        <v>44595</v>
      </c>
      <c r="C656" s="1" t="n">
        <v>45961</v>
      </c>
      <c r="D656" t="inlineStr">
        <is>
          <t>VÄSTERNORRLANDS LÄN</t>
        </is>
      </c>
      <c r="E656" t="inlineStr">
        <is>
          <t>SUNDSVALL</t>
        </is>
      </c>
      <c r="G656" t="n">
        <v>1.3</v>
      </c>
      <c r="H656" t="n">
        <v>0</v>
      </c>
      <c r="I656" t="n">
        <v>0</v>
      </c>
      <c r="J656" t="n">
        <v>0</v>
      </c>
      <c r="K656" t="n">
        <v>0</v>
      </c>
      <c r="L656" t="n">
        <v>0</v>
      </c>
      <c r="M656" t="n">
        <v>0</v>
      </c>
      <c r="N656" t="n">
        <v>0</v>
      </c>
      <c r="O656" t="n">
        <v>0</v>
      </c>
      <c r="P656" t="n">
        <v>0</v>
      </c>
      <c r="Q656" t="n">
        <v>0</v>
      </c>
      <c r="R656" s="2" t="inlineStr"/>
    </row>
    <row r="657" ht="15" customHeight="1">
      <c r="A657" t="inlineStr">
        <is>
          <t>A 23404-2023</t>
        </is>
      </c>
      <c r="B657" s="1" t="n">
        <v>45076.48101851852</v>
      </c>
      <c r="C657" s="1" t="n">
        <v>45961</v>
      </c>
      <c r="D657" t="inlineStr">
        <is>
          <t>VÄSTERNORRLANDS LÄN</t>
        </is>
      </c>
      <c r="E657" t="inlineStr">
        <is>
          <t>SUNDSVALL</t>
        </is>
      </c>
      <c r="G657" t="n">
        <v>2</v>
      </c>
      <c r="H657" t="n">
        <v>0</v>
      </c>
      <c r="I657" t="n">
        <v>0</v>
      </c>
      <c r="J657" t="n">
        <v>0</v>
      </c>
      <c r="K657" t="n">
        <v>0</v>
      </c>
      <c r="L657" t="n">
        <v>0</v>
      </c>
      <c r="M657" t="n">
        <v>0</v>
      </c>
      <c r="N657" t="n">
        <v>0</v>
      </c>
      <c r="O657" t="n">
        <v>0</v>
      </c>
      <c r="P657" t="n">
        <v>0</v>
      </c>
      <c r="Q657" t="n">
        <v>0</v>
      </c>
      <c r="R657" s="2" t="inlineStr"/>
    </row>
    <row r="658" ht="15" customHeight="1">
      <c r="A658" t="inlineStr">
        <is>
          <t>A 28784-2024</t>
        </is>
      </c>
      <c r="B658" s="1" t="n">
        <v>45478.60880787037</v>
      </c>
      <c r="C658" s="1" t="n">
        <v>45961</v>
      </c>
      <c r="D658" t="inlineStr">
        <is>
          <t>VÄSTERNORRLANDS LÄN</t>
        </is>
      </c>
      <c r="E658" t="inlineStr">
        <is>
          <t>SUNDSVALL</t>
        </is>
      </c>
      <c r="G658" t="n">
        <v>2.7</v>
      </c>
      <c r="H658" t="n">
        <v>0</v>
      </c>
      <c r="I658" t="n">
        <v>0</v>
      </c>
      <c r="J658" t="n">
        <v>0</v>
      </c>
      <c r="K658" t="n">
        <v>0</v>
      </c>
      <c r="L658" t="n">
        <v>0</v>
      </c>
      <c r="M658" t="n">
        <v>0</v>
      </c>
      <c r="N658" t="n">
        <v>0</v>
      </c>
      <c r="O658" t="n">
        <v>0</v>
      </c>
      <c r="P658" t="n">
        <v>0</v>
      </c>
      <c r="Q658" t="n">
        <v>0</v>
      </c>
      <c r="R658" s="2" t="inlineStr"/>
    </row>
    <row r="659" ht="15" customHeight="1">
      <c r="A659" t="inlineStr">
        <is>
          <t>A 28785-2024</t>
        </is>
      </c>
      <c r="B659" s="1" t="n">
        <v>45478</v>
      </c>
      <c r="C659" s="1" t="n">
        <v>45961</v>
      </c>
      <c r="D659" t="inlineStr">
        <is>
          <t>VÄSTERNORRLANDS LÄN</t>
        </is>
      </c>
      <c r="E659" t="inlineStr">
        <is>
          <t>SUNDSVALL</t>
        </is>
      </c>
      <c r="G659" t="n">
        <v>1.5</v>
      </c>
      <c r="H659" t="n">
        <v>0</v>
      </c>
      <c r="I659" t="n">
        <v>0</v>
      </c>
      <c r="J659" t="n">
        <v>0</v>
      </c>
      <c r="K659" t="n">
        <v>0</v>
      </c>
      <c r="L659" t="n">
        <v>0</v>
      </c>
      <c r="M659" t="n">
        <v>0</v>
      </c>
      <c r="N659" t="n">
        <v>0</v>
      </c>
      <c r="O659" t="n">
        <v>0</v>
      </c>
      <c r="P659" t="n">
        <v>0</v>
      </c>
      <c r="Q659" t="n">
        <v>0</v>
      </c>
      <c r="R659" s="2" t="inlineStr"/>
    </row>
    <row r="660" ht="15" customHeight="1">
      <c r="A660" t="inlineStr">
        <is>
          <t>A 47886-2024</t>
        </is>
      </c>
      <c r="B660" s="1" t="n">
        <v>45588.82175925926</v>
      </c>
      <c r="C660" s="1" t="n">
        <v>45961</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53451-2023</t>
        </is>
      </c>
      <c r="B661" s="1" t="n">
        <v>45229.96545138889</v>
      </c>
      <c r="C661" s="1" t="n">
        <v>45961</v>
      </c>
      <c r="D661" t="inlineStr">
        <is>
          <t>VÄSTERNORRLANDS LÄN</t>
        </is>
      </c>
      <c r="E661" t="inlineStr">
        <is>
          <t>SUNDSVALL</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43571-2024</t>
        </is>
      </c>
      <c r="B662" s="1" t="n">
        <v>45569</v>
      </c>
      <c r="C662" s="1" t="n">
        <v>45961</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10200-2024</t>
        </is>
      </c>
      <c r="B663" s="1" t="n">
        <v>45364.92836805555</v>
      </c>
      <c r="C663" s="1" t="n">
        <v>45961</v>
      </c>
      <c r="D663" t="inlineStr">
        <is>
          <t>VÄSTERNORRLANDS LÄN</t>
        </is>
      </c>
      <c r="E663" t="inlineStr">
        <is>
          <t>SUNDSVALL</t>
        </is>
      </c>
      <c r="G663" t="n">
        <v>1.6</v>
      </c>
      <c r="H663" t="n">
        <v>0</v>
      </c>
      <c r="I663" t="n">
        <v>0</v>
      </c>
      <c r="J663" t="n">
        <v>0</v>
      </c>
      <c r="K663" t="n">
        <v>0</v>
      </c>
      <c r="L663" t="n">
        <v>0</v>
      </c>
      <c r="M663" t="n">
        <v>0</v>
      </c>
      <c r="N663" t="n">
        <v>0</v>
      </c>
      <c r="O663" t="n">
        <v>0</v>
      </c>
      <c r="P663" t="n">
        <v>0</v>
      </c>
      <c r="Q663" t="n">
        <v>0</v>
      </c>
      <c r="R663" s="2" t="inlineStr"/>
    </row>
    <row r="664" ht="15" customHeight="1">
      <c r="A664" t="inlineStr">
        <is>
          <t>A 13445-2025</t>
        </is>
      </c>
      <c r="B664" s="1" t="n">
        <v>45736.34521990741</v>
      </c>
      <c r="C664" s="1" t="n">
        <v>45961</v>
      </c>
      <c r="D664" t="inlineStr">
        <is>
          <t>VÄSTERNORRLANDS LÄN</t>
        </is>
      </c>
      <c r="E664" t="inlineStr">
        <is>
          <t>SUNDSVALL</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13479-2025</t>
        </is>
      </c>
      <c r="B665" s="1" t="n">
        <v>45736.41797453703</v>
      </c>
      <c r="C665" s="1" t="n">
        <v>45961</v>
      </c>
      <c r="D665" t="inlineStr">
        <is>
          <t>VÄSTERNORRLANDS LÄN</t>
        </is>
      </c>
      <c r="E665" t="inlineStr">
        <is>
          <t>SUNDSVALL</t>
        </is>
      </c>
      <c r="G665" t="n">
        <v>1.3</v>
      </c>
      <c r="H665" t="n">
        <v>0</v>
      </c>
      <c r="I665" t="n">
        <v>0</v>
      </c>
      <c r="J665" t="n">
        <v>0</v>
      </c>
      <c r="K665" t="n">
        <v>0</v>
      </c>
      <c r="L665" t="n">
        <v>0</v>
      </c>
      <c r="M665" t="n">
        <v>0</v>
      </c>
      <c r="N665" t="n">
        <v>0</v>
      </c>
      <c r="O665" t="n">
        <v>0</v>
      </c>
      <c r="P665" t="n">
        <v>0</v>
      </c>
      <c r="Q665" t="n">
        <v>0</v>
      </c>
      <c r="R665" s="2" t="inlineStr"/>
    </row>
    <row r="666" ht="15" customHeight="1">
      <c r="A666" t="inlineStr">
        <is>
          <t>A 5421-2024</t>
        </is>
      </c>
      <c r="B666" s="1" t="n">
        <v>45331</v>
      </c>
      <c r="C666" s="1" t="n">
        <v>45961</v>
      </c>
      <c r="D666" t="inlineStr">
        <is>
          <t>VÄSTERNORRLANDS LÄN</t>
        </is>
      </c>
      <c r="E666" t="inlineStr">
        <is>
          <t>SUNDSVALL</t>
        </is>
      </c>
      <c r="G666" t="n">
        <v>3.2</v>
      </c>
      <c r="H666" t="n">
        <v>0</v>
      </c>
      <c r="I666" t="n">
        <v>0</v>
      </c>
      <c r="J666" t="n">
        <v>0</v>
      </c>
      <c r="K666" t="n">
        <v>0</v>
      </c>
      <c r="L666" t="n">
        <v>0</v>
      </c>
      <c r="M666" t="n">
        <v>0</v>
      </c>
      <c r="N666" t="n">
        <v>0</v>
      </c>
      <c r="O666" t="n">
        <v>0</v>
      </c>
      <c r="P666" t="n">
        <v>0</v>
      </c>
      <c r="Q666" t="n">
        <v>0</v>
      </c>
      <c r="R666" s="2" t="inlineStr"/>
    </row>
    <row r="667" ht="15" customHeight="1">
      <c r="A667" t="inlineStr">
        <is>
          <t>A 9393-2022</t>
        </is>
      </c>
      <c r="B667" s="1" t="n">
        <v>44616.64576388889</v>
      </c>
      <c r="C667" s="1" t="n">
        <v>45961</v>
      </c>
      <c r="D667" t="inlineStr">
        <is>
          <t>VÄSTERNORRLANDS LÄN</t>
        </is>
      </c>
      <c r="E667" t="inlineStr">
        <is>
          <t>SUNDSVALL</t>
        </is>
      </c>
      <c r="G667" t="n">
        <v>4.4</v>
      </c>
      <c r="H667" t="n">
        <v>0</v>
      </c>
      <c r="I667" t="n">
        <v>0</v>
      </c>
      <c r="J667" t="n">
        <v>0</v>
      </c>
      <c r="K667" t="n">
        <v>0</v>
      </c>
      <c r="L667" t="n">
        <v>0</v>
      </c>
      <c r="M667" t="n">
        <v>0</v>
      </c>
      <c r="N667" t="n">
        <v>0</v>
      </c>
      <c r="O667" t="n">
        <v>0</v>
      </c>
      <c r="P667" t="n">
        <v>0</v>
      </c>
      <c r="Q667" t="n">
        <v>0</v>
      </c>
      <c r="R667" s="2" t="inlineStr"/>
    </row>
    <row r="668" ht="15" customHeight="1">
      <c r="A668" t="inlineStr">
        <is>
          <t>A 63598-2020</t>
        </is>
      </c>
      <c r="B668" s="1" t="n">
        <v>44165</v>
      </c>
      <c r="C668" s="1" t="n">
        <v>45961</v>
      </c>
      <c r="D668" t="inlineStr">
        <is>
          <t>VÄSTERNORRLANDS LÄN</t>
        </is>
      </c>
      <c r="E668" t="inlineStr">
        <is>
          <t>SUNDSVALL</t>
        </is>
      </c>
      <c r="G668" t="n">
        <v>1</v>
      </c>
      <c r="H668" t="n">
        <v>0</v>
      </c>
      <c r="I668" t="n">
        <v>0</v>
      </c>
      <c r="J668" t="n">
        <v>0</v>
      </c>
      <c r="K668" t="n">
        <v>0</v>
      </c>
      <c r="L668" t="n">
        <v>0</v>
      </c>
      <c r="M668" t="n">
        <v>0</v>
      </c>
      <c r="N668" t="n">
        <v>0</v>
      </c>
      <c r="O668" t="n">
        <v>0</v>
      </c>
      <c r="P668" t="n">
        <v>0</v>
      </c>
      <c r="Q668" t="n">
        <v>0</v>
      </c>
      <c r="R668" s="2" t="inlineStr"/>
    </row>
    <row r="669" ht="15" customHeight="1">
      <c r="A669" t="inlineStr">
        <is>
          <t>A 61267-2023</t>
        </is>
      </c>
      <c r="B669" s="1" t="n">
        <v>45264</v>
      </c>
      <c r="C669" s="1" t="n">
        <v>45961</v>
      </c>
      <c r="D669" t="inlineStr">
        <is>
          <t>VÄSTERNORRLANDS LÄN</t>
        </is>
      </c>
      <c r="E669" t="inlineStr">
        <is>
          <t>SUNDSVALL</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24152-2023</t>
        </is>
      </c>
      <c r="B670" s="1" t="n">
        <v>45076</v>
      </c>
      <c r="C670" s="1" t="n">
        <v>45961</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13674-2024</t>
        </is>
      </c>
      <c r="B671" s="1" t="n">
        <v>45390</v>
      </c>
      <c r="C671" s="1" t="n">
        <v>45961</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47172-2024</t>
        </is>
      </c>
      <c r="B672" s="1" t="n">
        <v>45586.61501157407</v>
      </c>
      <c r="C672" s="1" t="n">
        <v>45961</v>
      </c>
      <c r="D672" t="inlineStr">
        <is>
          <t>VÄSTERNORRLANDS LÄN</t>
        </is>
      </c>
      <c r="E672" t="inlineStr">
        <is>
          <t>SUNDSVALL</t>
        </is>
      </c>
      <c r="F672" t="inlineStr">
        <is>
          <t>SCA</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9561-2024</t>
        </is>
      </c>
      <c r="B673" s="1" t="n">
        <v>45360</v>
      </c>
      <c r="C673" s="1" t="n">
        <v>45961</v>
      </c>
      <c r="D673" t="inlineStr">
        <is>
          <t>VÄSTERNORRLANDS LÄN</t>
        </is>
      </c>
      <c r="E673" t="inlineStr">
        <is>
          <t>SUNDSVALL</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54560-2022</t>
        </is>
      </c>
      <c r="B674" s="1" t="n">
        <v>44882</v>
      </c>
      <c r="C674" s="1" t="n">
        <v>45961</v>
      </c>
      <c r="D674" t="inlineStr">
        <is>
          <t>VÄSTERNORRLANDS LÄN</t>
        </is>
      </c>
      <c r="E674" t="inlineStr">
        <is>
          <t>SUNDSVALL</t>
        </is>
      </c>
      <c r="G674" t="n">
        <v>1.6</v>
      </c>
      <c r="H674" t="n">
        <v>0</v>
      </c>
      <c r="I674" t="n">
        <v>0</v>
      </c>
      <c r="J674" t="n">
        <v>0</v>
      </c>
      <c r="K674" t="n">
        <v>0</v>
      </c>
      <c r="L674" t="n">
        <v>0</v>
      </c>
      <c r="M674" t="n">
        <v>0</v>
      </c>
      <c r="N674" t="n">
        <v>0</v>
      </c>
      <c r="O674" t="n">
        <v>0</v>
      </c>
      <c r="P674" t="n">
        <v>0</v>
      </c>
      <c r="Q674" t="n">
        <v>0</v>
      </c>
      <c r="R674" s="2" t="inlineStr"/>
    </row>
    <row r="675" ht="15" customHeight="1">
      <c r="A675" t="inlineStr">
        <is>
          <t>A 15520-2024</t>
        </is>
      </c>
      <c r="B675" s="1" t="n">
        <v>45400</v>
      </c>
      <c r="C675" s="1" t="n">
        <v>45961</v>
      </c>
      <c r="D675" t="inlineStr">
        <is>
          <t>VÄSTERNORRLANDS LÄN</t>
        </is>
      </c>
      <c r="E675" t="inlineStr">
        <is>
          <t>SUNDSVALL</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53949-2022</t>
        </is>
      </c>
      <c r="B676" s="1" t="n">
        <v>44880</v>
      </c>
      <c r="C676" s="1" t="n">
        <v>45961</v>
      </c>
      <c r="D676" t="inlineStr">
        <is>
          <t>VÄSTERNORRLANDS LÄN</t>
        </is>
      </c>
      <c r="E676" t="inlineStr">
        <is>
          <t>SUNDSVALL</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63048-2023</t>
        </is>
      </c>
      <c r="B677" s="1" t="n">
        <v>45272</v>
      </c>
      <c r="C677" s="1" t="n">
        <v>45961</v>
      </c>
      <c r="D677" t="inlineStr">
        <is>
          <t>VÄSTERNORRLANDS LÄN</t>
        </is>
      </c>
      <c r="E677" t="inlineStr">
        <is>
          <t>SUNDSVALL</t>
        </is>
      </c>
      <c r="G677" t="n">
        <v>1.9</v>
      </c>
      <c r="H677" t="n">
        <v>0</v>
      </c>
      <c r="I677" t="n">
        <v>0</v>
      </c>
      <c r="J677" t="n">
        <v>0</v>
      </c>
      <c r="K677" t="n">
        <v>0</v>
      </c>
      <c r="L677" t="n">
        <v>0</v>
      </c>
      <c r="M677" t="n">
        <v>0</v>
      </c>
      <c r="N677" t="n">
        <v>0</v>
      </c>
      <c r="O677" t="n">
        <v>0</v>
      </c>
      <c r="P677" t="n">
        <v>0</v>
      </c>
      <c r="Q677" t="n">
        <v>0</v>
      </c>
      <c r="R677" s="2" t="inlineStr"/>
    </row>
    <row r="678" ht="15" customHeight="1">
      <c r="A678" t="inlineStr">
        <is>
          <t>A 58606-2023</t>
        </is>
      </c>
      <c r="B678" s="1" t="n">
        <v>45251.49158564815</v>
      </c>
      <c r="C678" s="1" t="n">
        <v>45961</v>
      </c>
      <c r="D678" t="inlineStr">
        <is>
          <t>VÄSTERNORRLANDS LÄN</t>
        </is>
      </c>
      <c r="E678" t="inlineStr">
        <is>
          <t>SUNDSVALL</t>
        </is>
      </c>
      <c r="G678" t="n">
        <v>7.2</v>
      </c>
      <c r="H678" t="n">
        <v>0</v>
      </c>
      <c r="I678" t="n">
        <v>0</v>
      </c>
      <c r="J678" t="n">
        <v>0</v>
      </c>
      <c r="K678" t="n">
        <v>0</v>
      </c>
      <c r="L678" t="n">
        <v>0</v>
      </c>
      <c r="M678" t="n">
        <v>0</v>
      </c>
      <c r="N678" t="n">
        <v>0</v>
      </c>
      <c r="O678" t="n">
        <v>0</v>
      </c>
      <c r="P678" t="n">
        <v>0</v>
      </c>
      <c r="Q678" t="n">
        <v>0</v>
      </c>
      <c r="R678" s="2" t="inlineStr"/>
    </row>
    <row r="679" ht="15" customHeight="1">
      <c r="A679" t="inlineStr">
        <is>
          <t>A 965-2025</t>
        </is>
      </c>
      <c r="B679" s="1" t="n">
        <v>45666.38577546296</v>
      </c>
      <c r="C679" s="1" t="n">
        <v>45961</v>
      </c>
      <c r="D679" t="inlineStr">
        <is>
          <t>VÄSTERNORRLANDS LÄN</t>
        </is>
      </c>
      <c r="E679" t="inlineStr">
        <is>
          <t>SUNDSVALL</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46970-2022</t>
        </is>
      </c>
      <c r="B680" s="1" t="n">
        <v>44851.95304398148</v>
      </c>
      <c r="C680" s="1" t="n">
        <v>45961</v>
      </c>
      <c r="D680" t="inlineStr">
        <is>
          <t>VÄSTERNORRLANDS LÄN</t>
        </is>
      </c>
      <c r="E680" t="inlineStr">
        <is>
          <t>SUNDSVALL</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63665-2021</t>
        </is>
      </c>
      <c r="B681" s="1" t="n">
        <v>44508</v>
      </c>
      <c r="C681" s="1" t="n">
        <v>45961</v>
      </c>
      <c r="D681" t="inlineStr">
        <is>
          <t>VÄSTERNORRLANDS LÄN</t>
        </is>
      </c>
      <c r="E681" t="inlineStr">
        <is>
          <t>SUNDSVALL</t>
        </is>
      </c>
      <c r="G681" t="n">
        <v>0.7</v>
      </c>
      <c r="H681" t="n">
        <v>0</v>
      </c>
      <c r="I681" t="n">
        <v>0</v>
      </c>
      <c r="J681" t="n">
        <v>0</v>
      </c>
      <c r="K681" t="n">
        <v>0</v>
      </c>
      <c r="L681" t="n">
        <v>0</v>
      </c>
      <c r="M681" t="n">
        <v>0</v>
      </c>
      <c r="N681" t="n">
        <v>0</v>
      </c>
      <c r="O681" t="n">
        <v>0</v>
      </c>
      <c r="P681" t="n">
        <v>0</v>
      </c>
      <c r="Q681" t="n">
        <v>0</v>
      </c>
      <c r="R681" s="2" t="inlineStr"/>
    </row>
    <row r="682" ht="15" customHeight="1">
      <c r="A682" t="inlineStr">
        <is>
          <t>A 19334-2024</t>
        </is>
      </c>
      <c r="B682" s="1" t="n">
        <v>45428.97018518519</v>
      </c>
      <c r="C682" s="1" t="n">
        <v>45961</v>
      </c>
      <c r="D682" t="inlineStr">
        <is>
          <t>VÄSTERNORRLANDS LÄN</t>
        </is>
      </c>
      <c r="E682" t="inlineStr">
        <is>
          <t>SUNDSVALL</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44602-2024</t>
        </is>
      </c>
      <c r="B683" s="1" t="n">
        <v>45574.51142361111</v>
      </c>
      <c r="C683" s="1" t="n">
        <v>45961</v>
      </c>
      <c r="D683" t="inlineStr">
        <is>
          <t>VÄSTERNORRLANDS LÄN</t>
        </is>
      </c>
      <c r="E683" t="inlineStr">
        <is>
          <t>SUNDSVALL</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64649-2021</t>
        </is>
      </c>
      <c r="B684" s="1" t="n">
        <v>44511.94659722222</v>
      </c>
      <c r="C684" s="1" t="n">
        <v>45961</v>
      </c>
      <c r="D684" t="inlineStr">
        <is>
          <t>VÄSTERNORRLANDS LÄN</t>
        </is>
      </c>
      <c r="E684" t="inlineStr">
        <is>
          <t>SUNDSVALL</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2881-2025</t>
        </is>
      </c>
      <c r="B685" s="1" t="n">
        <v>45677.69859953703</v>
      </c>
      <c r="C685" s="1" t="n">
        <v>45961</v>
      </c>
      <c r="D685" t="inlineStr">
        <is>
          <t>VÄSTERNORRLANDS LÄN</t>
        </is>
      </c>
      <c r="E685" t="inlineStr">
        <is>
          <t>SUNDSVALL</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57163-2024</t>
        </is>
      </c>
      <c r="B686" s="1" t="n">
        <v>45629.41179398148</v>
      </c>
      <c r="C686" s="1" t="n">
        <v>45961</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18563-2023</t>
        </is>
      </c>
      <c r="B687" s="1" t="n">
        <v>45042</v>
      </c>
      <c r="C687" s="1" t="n">
        <v>45961</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54580-2024</t>
        </is>
      </c>
      <c r="B688" s="1" t="n">
        <v>45617.65657407408</v>
      </c>
      <c r="C688" s="1" t="n">
        <v>45961</v>
      </c>
      <c r="D688" t="inlineStr">
        <is>
          <t>VÄSTERNORRLANDS LÄN</t>
        </is>
      </c>
      <c r="E688" t="inlineStr">
        <is>
          <t>SUNDSVALL</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50012-2024</t>
        </is>
      </c>
      <c r="B689" s="1" t="n">
        <v>45598.8578125</v>
      </c>
      <c r="C689" s="1" t="n">
        <v>45961</v>
      </c>
      <c r="D689" t="inlineStr">
        <is>
          <t>VÄSTERNORRLANDS LÄN</t>
        </is>
      </c>
      <c r="E689" t="inlineStr">
        <is>
          <t>SUNDSVALL</t>
        </is>
      </c>
      <c r="G689" t="n">
        <v>2</v>
      </c>
      <c r="H689" t="n">
        <v>0</v>
      </c>
      <c r="I689" t="n">
        <v>0</v>
      </c>
      <c r="J689" t="n">
        <v>0</v>
      </c>
      <c r="K689" t="n">
        <v>0</v>
      </c>
      <c r="L689" t="n">
        <v>0</v>
      </c>
      <c r="M689" t="n">
        <v>0</v>
      </c>
      <c r="N689" t="n">
        <v>0</v>
      </c>
      <c r="O689" t="n">
        <v>0</v>
      </c>
      <c r="P689" t="n">
        <v>0</v>
      </c>
      <c r="Q689" t="n">
        <v>0</v>
      </c>
      <c r="R689" s="2" t="inlineStr"/>
    </row>
    <row r="690" ht="15" customHeight="1">
      <c r="A690" t="inlineStr">
        <is>
          <t>A 12986-2025</t>
        </is>
      </c>
      <c r="B690" s="1" t="n">
        <v>45734.46916666667</v>
      </c>
      <c r="C690" s="1" t="n">
        <v>45961</v>
      </c>
      <c r="D690" t="inlineStr">
        <is>
          <t>VÄSTERNORRLANDS LÄN</t>
        </is>
      </c>
      <c r="E690" t="inlineStr">
        <is>
          <t>SUNDSVALL</t>
        </is>
      </c>
      <c r="F690" t="inlineStr">
        <is>
          <t>SCA</t>
        </is>
      </c>
      <c r="G690" t="n">
        <v>29.3</v>
      </c>
      <c r="H690" t="n">
        <v>0</v>
      </c>
      <c r="I690" t="n">
        <v>0</v>
      </c>
      <c r="J690" t="n">
        <v>0</v>
      </c>
      <c r="K690" t="n">
        <v>0</v>
      </c>
      <c r="L690" t="n">
        <v>0</v>
      </c>
      <c r="M690" t="n">
        <v>0</v>
      </c>
      <c r="N690" t="n">
        <v>0</v>
      </c>
      <c r="O690" t="n">
        <v>0</v>
      </c>
      <c r="P690" t="n">
        <v>0</v>
      </c>
      <c r="Q690" t="n">
        <v>0</v>
      </c>
      <c r="R690" s="2" t="inlineStr"/>
    </row>
    <row r="691" ht="15" customHeight="1">
      <c r="A691" t="inlineStr">
        <is>
          <t>A 61021-2023</t>
        </is>
      </c>
      <c r="B691" s="1" t="n">
        <v>45261</v>
      </c>
      <c r="C691" s="1" t="n">
        <v>45961</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61476-2023</t>
        </is>
      </c>
      <c r="B692" s="1" t="n">
        <v>45264.92694444444</v>
      </c>
      <c r="C692" s="1" t="n">
        <v>45961</v>
      </c>
      <c r="D692" t="inlineStr">
        <is>
          <t>VÄSTERNORRLANDS LÄN</t>
        </is>
      </c>
      <c r="E692" t="inlineStr">
        <is>
          <t>SUNDSVALL</t>
        </is>
      </c>
      <c r="G692" t="n">
        <v>0.6</v>
      </c>
      <c r="H692" t="n">
        <v>0</v>
      </c>
      <c r="I692" t="n">
        <v>0</v>
      </c>
      <c r="J692" t="n">
        <v>0</v>
      </c>
      <c r="K692" t="n">
        <v>0</v>
      </c>
      <c r="L692" t="n">
        <v>0</v>
      </c>
      <c r="M692" t="n">
        <v>0</v>
      </c>
      <c r="N692" t="n">
        <v>0</v>
      </c>
      <c r="O692" t="n">
        <v>0</v>
      </c>
      <c r="P692" t="n">
        <v>0</v>
      </c>
      <c r="Q692" t="n">
        <v>0</v>
      </c>
      <c r="R692" s="2" t="inlineStr"/>
    </row>
    <row r="693" ht="15" customHeight="1">
      <c r="A693" t="inlineStr">
        <is>
          <t>A 58720-2024</t>
        </is>
      </c>
      <c r="B693" s="1" t="n">
        <v>45635.66298611111</v>
      </c>
      <c r="C693" s="1" t="n">
        <v>45961</v>
      </c>
      <c r="D693" t="inlineStr">
        <is>
          <t>VÄSTERNORRLANDS LÄN</t>
        </is>
      </c>
      <c r="E693" t="inlineStr">
        <is>
          <t>SUNDSVALL</t>
        </is>
      </c>
      <c r="G693" t="n">
        <v>1.5</v>
      </c>
      <c r="H693" t="n">
        <v>0</v>
      </c>
      <c r="I693" t="n">
        <v>0</v>
      </c>
      <c r="J693" t="n">
        <v>0</v>
      </c>
      <c r="K693" t="n">
        <v>0</v>
      </c>
      <c r="L693" t="n">
        <v>0</v>
      </c>
      <c r="M693" t="n">
        <v>0</v>
      </c>
      <c r="N693" t="n">
        <v>0</v>
      </c>
      <c r="O693" t="n">
        <v>0</v>
      </c>
      <c r="P693" t="n">
        <v>0</v>
      </c>
      <c r="Q693" t="n">
        <v>0</v>
      </c>
      <c r="R693" s="2" t="inlineStr"/>
    </row>
    <row r="694" ht="15" customHeight="1">
      <c r="A694" t="inlineStr">
        <is>
          <t>A 2330-2022</t>
        </is>
      </c>
      <c r="B694" s="1" t="n">
        <v>44578</v>
      </c>
      <c r="C694" s="1" t="n">
        <v>45961</v>
      </c>
      <c r="D694" t="inlineStr">
        <is>
          <t>VÄSTERNORRLANDS LÄN</t>
        </is>
      </c>
      <c r="E694" t="inlineStr">
        <is>
          <t>SUNDSVALL</t>
        </is>
      </c>
      <c r="G694" t="n">
        <v>6</v>
      </c>
      <c r="H694" t="n">
        <v>0</v>
      </c>
      <c r="I694" t="n">
        <v>0</v>
      </c>
      <c r="J694" t="n">
        <v>0</v>
      </c>
      <c r="K694" t="n">
        <v>0</v>
      </c>
      <c r="L694" t="n">
        <v>0</v>
      </c>
      <c r="M694" t="n">
        <v>0</v>
      </c>
      <c r="N694" t="n">
        <v>0</v>
      </c>
      <c r="O694" t="n">
        <v>0</v>
      </c>
      <c r="P694" t="n">
        <v>0</v>
      </c>
      <c r="Q694" t="n">
        <v>0</v>
      </c>
      <c r="R694" s="2" t="inlineStr"/>
    </row>
    <row r="695" ht="15" customHeight="1">
      <c r="A695" t="inlineStr">
        <is>
          <t>A 42517-2023</t>
        </is>
      </c>
      <c r="B695" s="1" t="n">
        <v>45180</v>
      </c>
      <c r="C695" s="1" t="n">
        <v>45961</v>
      </c>
      <c r="D695" t="inlineStr">
        <is>
          <t>VÄSTERNORRLANDS LÄN</t>
        </is>
      </c>
      <c r="E695" t="inlineStr">
        <is>
          <t>SUNDSVALL</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6228-2023</t>
        </is>
      </c>
      <c r="B696" s="1" t="n">
        <v>44964</v>
      </c>
      <c r="C696" s="1" t="n">
        <v>45961</v>
      </c>
      <c r="D696" t="inlineStr">
        <is>
          <t>VÄSTERNORRLANDS LÄN</t>
        </is>
      </c>
      <c r="E696" t="inlineStr">
        <is>
          <t>SUNDSVALL</t>
        </is>
      </c>
      <c r="G696" t="n">
        <v>6.5</v>
      </c>
      <c r="H696" t="n">
        <v>0</v>
      </c>
      <c r="I696" t="n">
        <v>0</v>
      </c>
      <c r="J696" t="n">
        <v>0</v>
      </c>
      <c r="K696" t="n">
        <v>0</v>
      </c>
      <c r="L696" t="n">
        <v>0</v>
      </c>
      <c r="M696" t="n">
        <v>0</v>
      </c>
      <c r="N696" t="n">
        <v>0</v>
      </c>
      <c r="O696" t="n">
        <v>0</v>
      </c>
      <c r="P696" t="n">
        <v>0</v>
      </c>
      <c r="Q696" t="n">
        <v>0</v>
      </c>
      <c r="R696" s="2" t="inlineStr"/>
    </row>
    <row r="697" ht="15" customHeight="1">
      <c r="A697" t="inlineStr">
        <is>
          <t>A 6777-2025</t>
        </is>
      </c>
      <c r="B697" s="1" t="n">
        <v>45700</v>
      </c>
      <c r="C697" s="1" t="n">
        <v>45961</v>
      </c>
      <c r="D697" t="inlineStr">
        <is>
          <t>VÄSTERNORRLANDS LÄN</t>
        </is>
      </c>
      <c r="E697" t="inlineStr">
        <is>
          <t>SUNDSVALL</t>
        </is>
      </c>
      <c r="G697" t="n">
        <v>3.1</v>
      </c>
      <c r="H697" t="n">
        <v>0</v>
      </c>
      <c r="I697" t="n">
        <v>0</v>
      </c>
      <c r="J697" t="n">
        <v>0</v>
      </c>
      <c r="K697" t="n">
        <v>0</v>
      </c>
      <c r="L697" t="n">
        <v>0</v>
      </c>
      <c r="M697" t="n">
        <v>0</v>
      </c>
      <c r="N697" t="n">
        <v>0</v>
      </c>
      <c r="O697" t="n">
        <v>0</v>
      </c>
      <c r="P697" t="n">
        <v>0</v>
      </c>
      <c r="Q697" t="n">
        <v>0</v>
      </c>
      <c r="R697" s="2" t="inlineStr"/>
    </row>
    <row r="698" ht="15" customHeight="1">
      <c r="A698" t="inlineStr">
        <is>
          <t>A 42114-2024</t>
        </is>
      </c>
      <c r="B698" s="1" t="n">
        <v>45562</v>
      </c>
      <c r="C698" s="1" t="n">
        <v>45961</v>
      </c>
      <c r="D698" t="inlineStr">
        <is>
          <t>VÄSTERNORRLANDS LÄN</t>
        </is>
      </c>
      <c r="E698" t="inlineStr">
        <is>
          <t>SUNDSVALL</t>
        </is>
      </c>
      <c r="G698" t="n">
        <v>0.3</v>
      </c>
      <c r="H698" t="n">
        <v>0</v>
      </c>
      <c r="I698" t="n">
        <v>0</v>
      </c>
      <c r="J698" t="n">
        <v>0</v>
      </c>
      <c r="K698" t="n">
        <v>0</v>
      </c>
      <c r="L698" t="n">
        <v>0</v>
      </c>
      <c r="M698" t="n">
        <v>0</v>
      </c>
      <c r="N698" t="n">
        <v>0</v>
      </c>
      <c r="O698" t="n">
        <v>0</v>
      </c>
      <c r="P698" t="n">
        <v>0</v>
      </c>
      <c r="Q698" t="n">
        <v>0</v>
      </c>
      <c r="R698" s="2" t="inlineStr"/>
    </row>
    <row r="699" ht="15" customHeight="1">
      <c r="A699" t="inlineStr">
        <is>
          <t>A 43002-2024</t>
        </is>
      </c>
      <c r="B699" s="1" t="n">
        <v>45567.37609953704</v>
      </c>
      <c r="C699" s="1" t="n">
        <v>45961</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64318-2023</t>
        </is>
      </c>
      <c r="B700" s="1" t="n">
        <v>45279</v>
      </c>
      <c r="C700" s="1" t="n">
        <v>45961</v>
      </c>
      <c r="D700" t="inlineStr">
        <is>
          <t>VÄSTERNORRLANDS LÄN</t>
        </is>
      </c>
      <c r="E700" t="inlineStr">
        <is>
          <t>SUNDSVALL</t>
        </is>
      </c>
      <c r="G700" t="n">
        <v>6</v>
      </c>
      <c r="H700" t="n">
        <v>0</v>
      </c>
      <c r="I700" t="n">
        <v>0</v>
      </c>
      <c r="J700" t="n">
        <v>0</v>
      </c>
      <c r="K700" t="n">
        <v>0</v>
      </c>
      <c r="L700" t="n">
        <v>0</v>
      </c>
      <c r="M700" t="n">
        <v>0</v>
      </c>
      <c r="N700" t="n">
        <v>0</v>
      </c>
      <c r="O700" t="n">
        <v>0</v>
      </c>
      <c r="P700" t="n">
        <v>0</v>
      </c>
      <c r="Q700" t="n">
        <v>0</v>
      </c>
      <c r="R700" s="2" t="inlineStr"/>
    </row>
    <row r="701" ht="15" customHeight="1">
      <c r="A701" t="inlineStr">
        <is>
          <t>A 50824-2022</t>
        </is>
      </c>
      <c r="B701" s="1" t="n">
        <v>44862</v>
      </c>
      <c r="C701" s="1" t="n">
        <v>45961</v>
      </c>
      <c r="D701" t="inlineStr">
        <is>
          <t>VÄSTERNORRLANDS LÄN</t>
        </is>
      </c>
      <c r="E701" t="inlineStr">
        <is>
          <t>SUNDSVALL</t>
        </is>
      </c>
      <c r="G701" t="n">
        <v>0.8</v>
      </c>
      <c r="H701" t="n">
        <v>0</v>
      </c>
      <c r="I701" t="n">
        <v>0</v>
      </c>
      <c r="J701" t="n">
        <v>0</v>
      </c>
      <c r="K701" t="n">
        <v>0</v>
      </c>
      <c r="L701" t="n">
        <v>0</v>
      </c>
      <c r="M701" t="n">
        <v>0</v>
      </c>
      <c r="N701" t="n">
        <v>0</v>
      </c>
      <c r="O701" t="n">
        <v>0</v>
      </c>
      <c r="P701" t="n">
        <v>0</v>
      </c>
      <c r="Q701" t="n">
        <v>0</v>
      </c>
      <c r="R701" s="2" t="inlineStr"/>
    </row>
    <row r="702" ht="15" customHeight="1">
      <c r="A702" t="inlineStr">
        <is>
          <t>A 39754-2024</t>
        </is>
      </c>
      <c r="B702" s="1" t="n">
        <v>45552.67739583334</v>
      </c>
      <c r="C702" s="1" t="n">
        <v>45961</v>
      </c>
      <c r="D702" t="inlineStr">
        <is>
          <t>VÄSTERNORRLANDS LÄN</t>
        </is>
      </c>
      <c r="E702" t="inlineStr">
        <is>
          <t>SUNDSVALL</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47788-2024</t>
        </is>
      </c>
      <c r="B703" s="1" t="n">
        <v>45588.59452546296</v>
      </c>
      <c r="C703" s="1" t="n">
        <v>45961</v>
      </c>
      <c r="D703" t="inlineStr">
        <is>
          <t>VÄSTERNORRLANDS LÄN</t>
        </is>
      </c>
      <c r="E703" t="inlineStr">
        <is>
          <t>SUNDSVALL</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41753-2024</t>
        </is>
      </c>
      <c r="B704" s="1" t="n">
        <v>45561.34413194445</v>
      </c>
      <c r="C704" s="1" t="n">
        <v>45961</v>
      </c>
      <c r="D704" t="inlineStr">
        <is>
          <t>VÄSTERNORRLANDS LÄN</t>
        </is>
      </c>
      <c r="E704" t="inlineStr">
        <is>
          <t>SUNDSVALL</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54799-2024</t>
        </is>
      </c>
      <c r="B705" s="1" t="n">
        <v>45618.50144675926</v>
      </c>
      <c r="C705" s="1" t="n">
        <v>45961</v>
      </c>
      <c r="D705" t="inlineStr">
        <is>
          <t>VÄSTERNORRLANDS LÄN</t>
        </is>
      </c>
      <c r="E705" t="inlineStr">
        <is>
          <t>SUNDSVALL</t>
        </is>
      </c>
      <c r="G705" t="n">
        <v>0.9</v>
      </c>
      <c r="H705" t="n">
        <v>0</v>
      </c>
      <c r="I705" t="n">
        <v>0</v>
      </c>
      <c r="J705" t="n">
        <v>0</v>
      </c>
      <c r="K705" t="n">
        <v>0</v>
      </c>
      <c r="L705" t="n">
        <v>0</v>
      </c>
      <c r="M705" t="n">
        <v>0</v>
      </c>
      <c r="N705" t="n">
        <v>0</v>
      </c>
      <c r="O705" t="n">
        <v>0</v>
      </c>
      <c r="P705" t="n">
        <v>0</v>
      </c>
      <c r="Q705" t="n">
        <v>0</v>
      </c>
      <c r="R705" s="2" t="inlineStr"/>
    </row>
    <row r="706" ht="15" customHeight="1">
      <c r="A706" t="inlineStr">
        <is>
          <t>A 54801-2024</t>
        </is>
      </c>
      <c r="B706" s="1" t="n">
        <v>45618.50481481481</v>
      </c>
      <c r="C706" s="1" t="n">
        <v>45961</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54578-2022</t>
        </is>
      </c>
      <c r="B707" s="1" t="n">
        <v>44882</v>
      </c>
      <c r="C707" s="1" t="n">
        <v>45961</v>
      </c>
      <c r="D707" t="inlineStr">
        <is>
          <t>VÄSTERNORRLANDS LÄN</t>
        </is>
      </c>
      <c r="E707" t="inlineStr">
        <is>
          <t>SUNDSVALL</t>
        </is>
      </c>
      <c r="G707" t="n">
        <v>2.8</v>
      </c>
      <c r="H707" t="n">
        <v>0</v>
      </c>
      <c r="I707" t="n">
        <v>0</v>
      </c>
      <c r="J707" t="n">
        <v>0</v>
      </c>
      <c r="K707" t="n">
        <v>0</v>
      </c>
      <c r="L707" t="n">
        <v>0</v>
      </c>
      <c r="M707" t="n">
        <v>0</v>
      </c>
      <c r="N707" t="n">
        <v>0</v>
      </c>
      <c r="O707" t="n">
        <v>0</v>
      </c>
      <c r="P707" t="n">
        <v>0</v>
      </c>
      <c r="Q707" t="n">
        <v>0</v>
      </c>
      <c r="R707" s="2" t="inlineStr"/>
    </row>
    <row r="708" ht="15" customHeight="1">
      <c r="A708" t="inlineStr">
        <is>
          <t>A 13507-2023</t>
        </is>
      </c>
      <c r="B708" s="1" t="n">
        <v>45006</v>
      </c>
      <c r="C708" s="1" t="n">
        <v>45961</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23284-2023</t>
        </is>
      </c>
      <c r="B709" s="1" t="n">
        <v>45075</v>
      </c>
      <c r="C709" s="1" t="n">
        <v>45961</v>
      </c>
      <c r="D709" t="inlineStr">
        <is>
          <t>VÄSTERNORRLANDS LÄN</t>
        </is>
      </c>
      <c r="E709" t="inlineStr">
        <is>
          <t>SUNDSVALL</t>
        </is>
      </c>
      <c r="G709" t="n">
        <v>1.1</v>
      </c>
      <c r="H709" t="n">
        <v>0</v>
      </c>
      <c r="I709" t="n">
        <v>0</v>
      </c>
      <c r="J709" t="n">
        <v>0</v>
      </c>
      <c r="K709" t="n">
        <v>0</v>
      </c>
      <c r="L709" t="n">
        <v>0</v>
      </c>
      <c r="M709" t="n">
        <v>0</v>
      </c>
      <c r="N709" t="n">
        <v>0</v>
      </c>
      <c r="O709" t="n">
        <v>0</v>
      </c>
      <c r="P709" t="n">
        <v>0</v>
      </c>
      <c r="Q709" t="n">
        <v>0</v>
      </c>
      <c r="R709" s="2" t="inlineStr"/>
    </row>
    <row r="710" ht="15" customHeight="1">
      <c r="A710" t="inlineStr">
        <is>
          <t>A 35818-2023</t>
        </is>
      </c>
      <c r="B710" s="1" t="n">
        <v>45147</v>
      </c>
      <c r="C710" s="1" t="n">
        <v>45961</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13033-2025</t>
        </is>
      </c>
      <c r="B711" s="1" t="n">
        <v>45734.57334490741</v>
      </c>
      <c r="C711" s="1" t="n">
        <v>45961</v>
      </c>
      <c r="D711" t="inlineStr">
        <is>
          <t>VÄSTERNORRLANDS LÄN</t>
        </is>
      </c>
      <c r="E711" t="inlineStr">
        <is>
          <t>SUNDSVALL</t>
        </is>
      </c>
      <c r="F711" t="inlineStr">
        <is>
          <t>SCA</t>
        </is>
      </c>
      <c r="G711" t="n">
        <v>2.4</v>
      </c>
      <c r="H711" t="n">
        <v>0</v>
      </c>
      <c r="I711" t="n">
        <v>0</v>
      </c>
      <c r="J711" t="n">
        <v>0</v>
      </c>
      <c r="K711" t="n">
        <v>0</v>
      </c>
      <c r="L711" t="n">
        <v>0</v>
      </c>
      <c r="M711" t="n">
        <v>0</v>
      </c>
      <c r="N711" t="n">
        <v>0</v>
      </c>
      <c r="O711" t="n">
        <v>0</v>
      </c>
      <c r="P711" t="n">
        <v>0</v>
      </c>
      <c r="Q711" t="n">
        <v>0</v>
      </c>
      <c r="R711" s="2" t="inlineStr"/>
      <c r="U711">
        <f>HYPERLINK("https://klasma.github.io/Logging_2281/knärot/A 13033-2025 karta knärot.png", "A 13033-2025")</f>
        <v/>
      </c>
      <c r="V711">
        <f>HYPERLINK("https://klasma.github.io/Logging_2281/klagomål/A 13033-2025 FSC-klagomål.docx", "A 13033-2025")</f>
        <v/>
      </c>
      <c r="W711">
        <f>HYPERLINK("https://klasma.github.io/Logging_2281/klagomålsmail/A 13033-2025 FSC-klagomål mail.docx", "A 13033-2025")</f>
        <v/>
      </c>
      <c r="X711">
        <f>HYPERLINK("https://klasma.github.io/Logging_2281/tillsyn/A 13033-2025 tillsynsbegäran.docx", "A 13033-2025")</f>
        <v/>
      </c>
      <c r="Y711">
        <f>HYPERLINK("https://klasma.github.io/Logging_2281/tillsynsmail/A 13033-2025 tillsynsbegäran mail.docx", "A 13033-2025")</f>
        <v/>
      </c>
    </row>
    <row r="712" ht="15" customHeight="1">
      <c r="A712" t="inlineStr">
        <is>
          <t>A 38365-2023</t>
        </is>
      </c>
      <c r="B712" s="1" t="n">
        <v>45161.94349537037</v>
      </c>
      <c r="C712" s="1" t="n">
        <v>45961</v>
      </c>
      <c r="D712" t="inlineStr">
        <is>
          <t>VÄSTERNORRLANDS LÄN</t>
        </is>
      </c>
      <c r="E712" t="inlineStr">
        <is>
          <t>SUNDSVALL</t>
        </is>
      </c>
      <c r="F712" t="inlineStr">
        <is>
          <t>SCA</t>
        </is>
      </c>
      <c r="G712" t="n">
        <v>21.8</v>
      </c>
      <c r="H712" t="n">
        <v>0</v>
      </c>
      <c r="I712" t="n">
        <v>0</v>
      </c>
      <c r="J712" t="n">
        <v>0</v>
      </c>
      <c r="K712" t="n">
        <v>0</v>
      </c>
      <c r="L712" t="n">
        <v>0</v>
      </c>
      <c r="M712" t="n">
        <v>0</v>
      </c>
      <c r="N712" t="n">
        <v>0</v>
      </c>
      <c r="O712" t="n">
        <v>0</v>
      </c>
      <c r="P712" t="n">
        <v>0</v>
      </c>
      <c r="Q712" t="n">
        <v>0</v>
      </c>
      <c r="R712" s="2" t="inlineStr"/>
    </row>
    <row r="713" ht="15" customHeight="1">
      <c r="A713" t="inlineStr">
        <is>
          <t>A 18347-2023</t>
        </is>
      </c>
      <c r="B713" s="1" t="n">
        <v>45040</v>
      </c>
      <c r="C713" s="1" t="n">
        <v>45961</v>
      </c>
      <c r="D713" t="inlineStr">
        <is>
          <t>VÄSTERNORRLANDS LÄN</t>
        </is>
      </c>
      <c r="E713" t="inlineStr">
        <is>
          <t>SUNDSVALL</t>
        </is>
      </c>
      <c r="G713" t="n">
        <v>16.7</v>
      </c>
      <c r="H713" t="n">
        <v>0</v>
      </c>
      <c r="I713" t="n">
        <v>0</v>
      </c>
      <c r="J713" t="n">
        <v>0</v>
      </c>
      <c r="K713" t="n">
        <v>0</v>
      </c>
      <c r="L713" t="n">
        <v>0</v>
      </c>
      <c r="M713" t="n">
        <v>0</v>
      </c>
      <c r="N713" t="n">
        <v>0</v>
      </c>
      <c r="O713" t="n">
        <v>0</v>
      </c>
      <c r="P713" t="n">
        <v>0</v>
      </c>
      <c r="Q713" t="n">
        <v>0</v>
      </c>
      <c r="R713" s="2" t="inlineStr"/>
    </row>
    <row r="714" ht="15" customHeight="1">
      <c r="A714" t="inlineStr">
        <is>
          <t>A 50220-2024</t>
        </is>
      </c>
      <c r="B714" s="1" t="n">
        <v>45600.53408564815</v>
      </c>
      <c r="C714" s="1" t="n">
        <v>45961</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10528-2022</t>
        </is>
      </c>
      <c r="B715" s="1" t="n">
        <v>44623.92115740741</v>
      </c>
      <c r="C715" s="1" t="n">
        <v>45961</v>
      </c>
      <c r="D715" t="inlineStr">
        <is>
          <t>VÄSTERNORRLANDS LÄN</t>
        </is>
      </c>
      <c r="E715" t="inlineStr">
        <is>
          <t>SUNDSVALL</t>
        </is>
      </c>
      <c r="G715" t="n">
        <v>4.5</v>
      </c>
      <c r="H715" t="n">
        <v>0</v>
      </c>
      <c r="I715" t="n">
        <v>0</v>
      </c>
      <c r="J715" t="n">
        <v>0</v>
      </c>
      <c r="K715" t="n">
        <v>0</v>
      </c>
      <c r="L715" t="n">
        <v>0</v>
      </c>
      <c r="M715" t="n">
        <v>0</v>
      </c>
      <c r="N715" t="n">
        <v>0</v>
      </c>
      <c r="O715" t="n">
        <v>0</v>
      </c>
      <c r="P715" t="n">
        <v>0</v>
      </c>
      <c r="Q715" t="n">
        <v>0</v>
      </c>
      <c r="R715" s="2" t="inlineStr"/>
    </row>
    <row r="716" ht="15" customHeight="1">
      <c r="A716" t="inlineStr">
        <is>
          <t>A 64254-2023</t>
        </is>
      </c>
      <c r="B716" s="1" t="n">
        <v>45279</v>
      </c>
      <c r="C716" s="1" t="n">
        <v>45961</v>
      </c>
      <c r="D716" t="inlineStr">
        <is>
          <t>VÄSTERNORRLANDS LÄN</t>
        </is>
      </c>
      <c r="E716" t="inlineStr">
        <is>
          <t>SUNDSVALL</t>
        </is>
      </c>
      <c r="G716" t="n">
        <v>2.4</v>
      </c>
      <c r="H716" t="n">
        <v>0</v>
      </c>
      <c r="I716" t="n">
        <v>0</v>
      </c>
      <c r="J716" t="n">
        <v>0</v>
      </c>
      <c r="K716" t="n">
        <v>0</v>
      </c>
      <c r="L716" t="n">
        <v>0</v>
      </c>
      <c r="M716" t="n">
        <v>0</v>
      </c>
      <c r="N716" t="n">
        <v>0</v>
      </c>
      <c r="O716" t="n">
        <v>0</v>
      </c>
      <c r="P716" t="n">
        <v>0</v>
      </c>
      <c r="Q716" t="n">
        <v>0</v>
      </c>
      <c r="R716" s="2" t="inlineStr"/>
    </row>
    <row r="717" ht="15" customHeight="1">
      <c r="A717" t="inlineStr">
        <is>
          <t>A 52404-2024</t>
        </is>
      </c>
      <c r="B717" s="1" t="n">
        <v>45609</v>
      </c>
      <c r="C717" s="1" t="n">
        <v>45961</v>
      </c>
      <c r="D717" t="inlineStr">
        <is>
          <t>VÄSTERNORRLANDS LÄN</t>
        </is>
      </c>
      <c r="E717" t="inlineStr">
        <is>
          <t>SUNDSVALL</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55568-2024</t>
        </is>
      </c>
      <c r="B718" s="1" t="n">
        <v>45622.54879629629</v>
      </c>
      <c r="C718" s="1" t="n">
        <v>45961</v>
      </c>
      <c r="D718" t="inlineStr">
        <is>
          <t>VÄSTERNORRLANDS LÄN</t>
        </is>
      </c>
      <c r="E718" t="inlineStr">
        <is>
          <t>SUNDSVALL</t>
        </is>
      </c>
      <c r="F718" t="inlineStr">
        <is>
          <t>Holmen skog AB</t>
        </is>
      </c>
      <c r="G718" t="n">
        <v>2.1</v>
      </c>
      <c r="H718" t="n">
        <v>0</v>
      </c>
      <c r="I718" t="n">
        <v>0</v>
      </c>
      <c r="J718" t="n">
        <v>0</v>
      </c>
      <c r="K718" t="n">
        <v>0</v>
      </c>
      <c r="L718" t="n">
        <v>0</v>
      </c>
      <c r="M718" t="n">
        <v>0</v>
      </c>
      <c r="N718" t="n">
        <v>0</v>
      </c>
      <c r="O718" t="n">
        <v>0</v>
      </c>
      <c r="P718" t="n">
        <v>0</v>
      </c>
      <c r="Q718" t="n">
        <v>0</v>
      </c>
      <c r="R718" s="2" t="inlineStr"/>
    </row>
    <row r="719" ht="15" customHeight="1">
      <c r="A719" t="inlineStr">
        <is>
          <t>A 8491-2024</t>
        </is>
      </c>
      <c r="B719" s="1" t="n">
        <v>45355</v>
      </c>
      <c r="C719" s="1" t="n">
        <v>45961</v>
      </c>
      <c r="D719" t="inlineStr">
        <is>
          <t>VÄSTERNORRLANDS LÄN</t>
        </is>
      </c>
      <c r="E719" t="inlineStr">
        <is>
          <t>SUNDSVALL</t>
        </is>
      </c>
      <c r="G719" t="n">
        <v>3.5</v>
      </c>
      <c r="H719" t="n">
        <v>0</v>
      </c>
      <c r="I719" t="n">
        <v>0</v>
      </c>
      <c r="J719" t="n">
        <v>0</v>
      </c>
      <c r="K719" t="n">
        <v>0</v>
      </c>
      <c r="L719" t="n">
        <v>0</v>
      </c>
      <c r="M719" t="n">
        <v>0</v>
      </c>
      <c r="N719" t="n">
        <v>0</v>
      </c>
      <c r="O719" t="n">
        <v>0</v>
      </c>
      <c r="P719" t="n">
        <v>0</v>
      </c>
      <c r="Q719" t="n">
        <v>0</v>
      </c>
      <c r="R719" s="2" t="inlineStr"/>
    </row>
    <row r="720" ht="15" customHeight="1">
      <c r="A720" t="inlineStr">
        <is>
          <t>A 31436-2024</t>
        </is>
      </c>
      <c r="B720" s="1" t="n">
        <v>45505</v>
      </c>
      <c r="C720" s="1" t="n">
        <v>45961</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20947-2022</t>
        </is>
      </c>
      <c r="B721" s="1" t="n">
        <v>44701.93956018519</v>
      </c>
      <c r="C721" s="1" t="n">
        <v>45961</v>
      </c>
      <c r="D721" t="inlineStr">
        <is>
          <t>VÄSTERNORRLANDS LÄN</t>
        </is>
      </c>
      <c r="E721" t="inlineStr">
        <is>
          <t>SUNDSVALL</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32904-2023</t>
        </is>
      </c>
      <c r="B722" s="1" t="n">
        <v>45124.95121527778</v>
      </c>
      <c r="C722" s="1" t="n">
        <v>45961</v>
      </c>
      <c r="D722" t="inlineStr">
        <is>
          <t>VÄSTERNORRLANDS LÄN</t>
        </is>
      </c>
      <c r="E722" t="inlineStr">
        <is>
          <t>SUNDSVALL</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32953-2023</t>
        </is>
      </c>
      <c r="B723" s="1" t="n">
        <v>45113</v>
      </c>
      <c r="C723" s="1" t="n">
        <v>45961</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32970-2023</t>
        </is>
      </c>
      <c r="B724" s="1" t="n">
        <v>45113</v>
      </c>
      <c r="C724" s="1" t="n">
        <v>45961</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6239-2022</t>
        </is>
      </c>
      <c r="B725" s="1" t="n">
        <v>44599</v>
      </c>
      <c r="C725" s="1" t="n">
        <v>45961</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54460-2024</t>
        </is>
      </c>
      <c r="B726" s="1" t="n">
        <v>45617.5328125</v>
      </c>
      <c r="C726" s="1" t="n">
        <v>45961</v>
      </c>
      <c r="D726" t="inlineStr">
        <is>
          <t>VÄSTERNORRLANDS LÄN</t>
        </is>
      </c>
      <c r="E726" t="inlineStr">
        <is>
          <t>SUNDSVALL</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21102-2021</t>
        </is>
      </c>
      <c r="B727" s="1" t="n">
        <v>44319</v>
      </c>
      <c r="C727" s="1" t="n">
        <v>45961</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49862-2023</t>
        </is>
      </c>
      <c r="B728" s="1" t="n">
        <v>45212</v>
      </c>
      <c r="C728" s="1" t="n">
        <v>45961</v>
      </c>
      <c r="D728" t="inlineStr">
        <is>
          <t>VÄSTERNORRLANDS LÄN</t>
        </is>
      </c>
      <c r="E728" t="inlineStr">
        <is>
          <t>SUNDSVALL</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7925-2025</t>
        </is>
      </c>
      <c r="B729" s="1" t="n">
        <v>45707.36540509259</v>
      </c>
      <c r="C729" s="1" t="n">
        <v>45961</v>
      </c>
      <c r="D729" t="inlineStr">
        <is>
          <t>VÄSTERNORRLANDS LÄN</t>
        </is>
      </c>
      <c r="E729" t="inlineStr">
        <is>
          <t>SUNDSVALL</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3236-2024</t>
        </is>
      </c>
      <c r="B730" s="1" t="n">
        <v>45316.94725694445</v>
      </c>
      <c r="C730" s="1" t="n">
        <v>45961</v>
      </c>
      <c r="D730" t="inlineStr">
        <is>
          <t>VÄSTERNORRLANDS LÄN</t>
        </is>
      </c>
      <c r="E730" t="inlineStr">
        <is>
          <t>SUNDSVALL</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10525-2023</t>
        </is>
      </c>
      <c r="B731" s="1" t="n">
        <v>44987.92320601852</v>
      </c>
      <c r="C731" s="1" t="n">
        <v>45961</v>
      </c>
      <c r="D731" t="inlineStr">
        <is>
          <t>VÄSTERNORRLANDS LÄN</t>
        </is>
      </c>
      <c r="E731" t="inlineStr">
        <is>
          <t>SUNDSVALL</t>
        </is>
      </c>
      <c r="G731" t="n">
        <v>7.2</v>
      </c>
      <c r="H731" t="n">
        <v>0</v>
      </c>
      <c r="I731" t="n">
        <v>0</v>
      </c>
      <c r="J731" t="n">
        <v>0</v>
      </c>
      <c r="K731" t="n">
        <v>0</v>
      </c>
      <c r="L731" t="n">
        <v>0</v>
      </c>
      <c r="M731" t="n">
        <v>0</v>
      </c>
      <c r="N731" t="n">
        <v>0</v>
      </c>
      <c r="O731" t="n">
        <v>0</v>
      </c>
      <c r="P731" t="n">
        <v>0</v>
      </c>
      <c r="Q731" t="n">
        <v>0</v>
      </c>
      <c r="R731" s="2" t="inlineStr"/>
    </row>
    <row r="732" ht="15" customHeight="1">
      <c r="A732" t="inlineStr">
        <is>
          <t>A 32032-2024</t>
        </is>
      </c>
      <c r="B732" s="1" t="n">
        <v>45510</v>
      </c>
      <c r="C732" s="1" t="n">
        <v>45961</v>
      </c>
      <c r="D732" t="inlineStr">
        <is>
          <t>VÄSTERNORRLANDS LÄN</t>
        </is>
      </c>
      <c r="E732" t="inlineStr">
        <is>
          <t>SUNDSVALL</t>
        </is>
      </c>
      <c r="G732" t="n">
        <v>10.8</v>
      </c>
      <c r="H732" t="n">
        <v>0</v>
      </c>
      <c r="I732" t="n">
        <v>0</v>
      </c>
      <c r="J732" t="n">
        <v>0</v>
      </c>
      <c r="K732" t="n">
        <v>0</v>
      </c>
      <c r="L732" t="n">
        <v>0</v>
      </c>
      <c r="M732" t="n">
        <v>0</v>
      </c>
      <c r="N732" t="n">
        <v>0</v>
      </c>
      <c r="O732" t="n">
        <v>0</v>
      </c>
      <c r="P732" t="n">
        <v>0</v>
      </c>
      <c r="Q732" t="n">
        <v>0</v>
      </c>
      <c r="R732" s="2" t="inlineStr"/>
    </row>
    <row r="733" ht="15" customHeight="1">
      <c r="A733" t="inlineStr">
        <is>
          <t>A 51834-2023</t>
        </is>
      </c>
      <c r="B733" s="1" t="n">
        <v>45222.96862268518</v>
      </c>
      <c r="C733" s="1" t="n">
        <v>45961</v>
      </c>
      <c r="D733" t="inlineStr">
        <is>
          <t>VÄSTERNORRLANDS LÄN</t>
        </is>
      </c>
      <c r="E733" t="inlineStr">
        <is>
          <t>SUNDSVALL</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47157-2023</t>
        </is>
      </c>
      <c r="B734" s="1" t="n">
        <v>45201</v>
      </c>
      <c r="C734" s="1" t="n">
        <v>45961</v>
      </c>
      <c r="D734" t="inlineStr">
        <is>
          <t>VÄSTERNORRLANDS LÄN</t>
        </is>
      </c>
      <c r="E734" t="inlineStr">
        <is>
          <t>SUNDSVALL</t>
        </is>
      </c>
      <c r="G734" t="n">
        <v>3.9</v>
      </c>
      <c r="H734" t="n">
        <v>0</v>
      </c>
      <c r="I734" t="n">
        <v>0</v>
      </c>
      <c r="J734" t="n">
        <v>0</v>
      </c>
      <c r="K734" t="n">
        <v>0</v>
      </c>
      <c r="L734" t="n">
        <v>0</v>
      </c>
      <c r="M734" t="n">
        <v>0</v>
      </c>
      <c r="N734" t="n">
        <v>0</v>
      </c>
      <c r="O734" t="n">
        <v>0</v>
      </c>
      <c r="P734" t="n">
        <v>0</v>
      </c>
      <c r="Q734" t="n">
        <v>0</v>
      </c>
      <c r="R734" s="2" t="inlineStr"/>
    </row>
    <row r="735" ht="15" customHeight="1">
      <c r="A735" t="inlineStr">
        <is>
          <t>A 8945-2024</t>
        </is>
      </c>
      <c r="B735" s="1" t="n">
        <v>45357</v>
      </c>
      <c r="C735" s="1" t="n">
        <v>45961</v>
      </c>
      <c r="D735" t="inlineStr">
        <is>
          <t>VÄSTERNORRLANDS LÄN</t>
        </is>
      </c>
      <c r="E735" t="inlineStr">
        <is>
          <t>SUNDSVALL</t>
        </is>
      </c>
      <c r="G735" t="n">
        <v>2.9</v>
      </c>
      <c r="H735" t="n">
        <v>0</v>
      </c>
      <c r="I735" t="n">
        <v>0</v>
      </c>
      <c r="J735" t="n">
        <v>0</v>
      </c>
      <c r="K735" t="n">
        <v>0</v>
      </c>
      <c r="L735" t="n">
        <v>0</v>
      </c>
      <c r="M735" t="n">
        <v>0</v>
      </c>
      <c r="N735" t="n">
        <v>0</v>
      </c>
      <c r="O735" t="n">
        <v>0</v>
      </c>
      <c r="P735" t="n">
        <v>0</v>
      </c>
      <c r="Q735" t="n">
        <v>0</v>
      </c>
      <c r="R735" s="2" t="inlineStr"/>
    </row>
    <row r="736" ht="15" customHeight="1">
      <c r="A736" t="inlineStr">
        <is>
          <t>A 73979-2021</t>
        </is>
      </c>
      <c r="B736" s="1" t="n">
        <v>44554</v>
      </c>
      <c r="C736" s="1" t="n">
        <v>45961</v>
      </c>
      <c r="D736" t="inlineStr">
        <is>
          <t>VÄSTERNORRLANDS LÄN</t>
        </is>
      </c>
      <c r="E736" t="inlineStr">
        <is>
          <t>SUNDSVALL</t>
        </is>
      </c>
      <c r="G736" t="n">
        <v>0.5</v>
      </c>
      <c r="H736" t="n">
        <v>0</v>
      </c>
      <c r="I736" t="n">
        <v>0</v>
      </c>
      <c r="J736" t="n">
        <v>0</v>
      </c>
      <c r="K736" t="n">
        <v>0</v>
      </c>
      <c r="L736" t="n">
        <v>0</v>
      </c>
      <c r="M736" t="n">
        <v>0</v>
      </c>
      <c r="N736" t="n">
        <v>0</v>
      </c>
      <c r="O736" t="n">
        <v>0</v>
      </c>
      <c r="P736" t="n">
        <v>0</v>
      </c>
      <c r="Q736" t="n">
        <v>0</v>
      </c>
      <c r="R736" s="2" t="inlineStr"/>
    </row>
    <row r="737" ht="15" customHeight="1">
      <c r="A737" t="inlineStr">
        <is>
          <t>A 29465-2024</t>
        </is>
      </c>
      <c r="B737" s="1" t="n">
        <v>45483.97027777778</v>
      </c>
      <c r="C737" s="1" t="n">
        <v>45961</v>
      </c>
      <c r="D737" t="inlineStr">
        <is>
          <t>VÄSTERNORRLANDS LÄN</t>
        </is>
      </c>
      <c r="E737" t="inlineStr">
        <is>
          <t>SUNDSVALL</t>
        </is>
      </c>
      <c r="F737" t="inlineStr">
        <is>
          <t>Naturvårdsverket</t>
        </is>
      </c>
      <c r="G737" t="n">
        <v>3.6</v>
      </c>
      <c r="H737" t="n">
        <v>0</v>
      </c>
      <c r="I737" t="n">
        <v>0</v>
      </c>
      <c r="J737" t="n">
        <v>0</v>
      </c>
      <c r="K737" t="n">
        <v>0</v>
      </c>
      <c r="L737" t="n">
        <v>0</v>
      </c>
      <c r="M737" t="n">
        <v>0</v>
      </c>
      <c r="N737" t="n">
        <v>0</v>
      </c>
      <c r="O737" t="n">
        <v>0</v>
      </c>
      <c r="P737" t="n">
        <v>0</v>
      </c>
      <c r="Q737" t="n">
        <v>0</v>
      </c>
      <c r="R737" s="2" t="inlineStr"/>
    </row>
    <row r="738" ht="15" customHeight="1">
      <c r="A738" t="inlineStr">
        <is>
          <t>A 8708-2025</t>
        </is>
      </c>
      <c r="B738" s="1" t="n">
        <v>45712.490625</v>
      </c>
      <c r="C738" s="1" t="n">
        <v>45961</v>
      </c>
      <c r="D738" t="inlineStr">
        <is>
          <t>VÄSTERNORRLANDS LÄN</t>
        </is>
      </c>
      <c r="E738" t="inlineStr">
        <is>
          <t>SUNDSVALL</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9598-2025</t>
        </is>
      </c>
      <c r="B739" s="1" t="n">
        <v>45715</v>
      </c>
      <c r="C739" s="1" t="n">
        <v>45961</v>
      </c>
      <c r="D739" t="inlineStr">
        <is>
          <t>VÄSTERNORRLANDS LÄN</t>
        </is>
      </c>
      <c r="E739" t="inlineStr">
        <is>
          <t>SUNDSVALL</t>
        </is>
      </c>
      <c r="G739" t="n">
        <v>1.9</v>
      </c>
      <c r="H739" t="n">
        <v>0</v>
      </c>
      <c r="I739" t="n">
        <v>0</v>
      </c>
      <c r="J739" t="n">
        <v>0</v>
      </c>
      <c r="K739" t="n">
        <v>0</v>
      </c>
      <c r="L739" t="n">
        <v>0</v>
      </c>
      <c r="M739" t="n">
        <v>0</v>
      </c>
      <c r="N739" t="n">
        <v>0</v>
      </c>
      <c r="O739" t="n">
        <v>0</v>
      </c>
      <c r="P739" t="n">
        <v>0</v>
      </c>
      <c r="Q739" t="n">
        <v>0</v>
      </c>
      <c r="R739" s="2" t="inlineStr"/>
    </row>
    <row r="740" ht="15" customHeight="1">
      <c r="A740" t="inlineStr">
        <is>
          <t>A 13638-2025</t>
        </is>
      </c>
      <c r="B740" s="1" t="n">
        <v>45736.65696759259</v>
      </c>
      <c r="C740" s="1" t="n">
        <v>45961</v>
      </c>
      <c r="D740" t="inlineStr">
        <is>
          <t>VÄSTERNORRLANDS LÄN</t>
        </is>
      </c>
      <c r="E740" t="inlineStr">
        <is>
          <t>SUNDSVALL</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57077-2024</t>
        </is>
      </c>
      <c r="B741" s="1" t="n">
        <v>45629.35503472222</v>
      </c>
      <c r="C741" s="1" t="n">
        <v>45961</v>
      </c>
      <c r="D741" t="inlineStr">
        <is>
          <t>VÄSTERNORRLANDS LÄN</t>
        </is>
      </c>
      <c r="E741" t="inlineStr">
        <is>
          <t>SUNDSVALL</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22624-2024</t>
        </is>
      </c>
      <c r="B742" s="1" t="n">
        <v>45447</v>
      </c>
      <c r="C742" s="1" t="n">
        <v>45961</v>
      </c>
      <c r="D742" t="inlineStr">
        <is>
          <t>VÄSTERNORRLANDS LÄN</t>
        </is>
      </c>
      <c r="E742" t="inlineStr">
        <is>
          <t>SUNDSVALL</t>
        </is>
      </c>
      <c r="G742" t="n">
        <v>3.3</v>
      </c>
      <c r="H742" t="n">
        <v>0</v>
      </c>
      <c r="I742" t="n">
        <v>0</v>
      </c>
      <c r="J742" t="n">
        <v>0</v>
      </c>
      <c r="K742" t="n">
        <v>0</v>
      </c>
      <c r="L742" t="n">
        <v>0</v>
      </c>
      <c r="M742" t="n">
        <v>0</v>
      </c>
      <c r="N742" t="n">
        <v>0</v>
      </c>
      <c r="O742" t="n">
        <v>0</v>
      </c>
      <c r="P742" t="n">
        <v>0</v>
      </c>
      <c r="Q742" t="n">
        <v>0</v>
      </c>
      <c r="R742" s="2" t="inlineStr"/>
    </row>
    <row r="743" ht="15" customHeight="1">
      <c r="A743" t="inlineStr">
        <is>
          <t>A 22627-2024</t>
        </is>
      </c>
      <c r="B743" s="1" t="n">
        <v>45447.6671412037</v>
      </c>
      <c r="C743" s="1" t="n">
        <v>45961</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28229-2024</t>
        </is>
      </c>
      <c r="B744" s="1" t="n">
        <v>45477.3791087963</v>
      </c>
      <c r="C744" s="1" t="n">
        <v>45961</v>
      </c>
      <c r="D744" t="inlineStr">
        <is>
          <t>VÄSTERNORRLANDS LÄN</t>
        </is>
      </c>
      <c r="E744" t="inlineStr">
        <is>
          <t>SUNDSVALL</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28244-2024</t>
        </is>
      </c>
      <c r="B745" s="1" t="n">
        <v>45477.40596064815</v>
      </c>
      <c r="C745" s="1" t="n">
        <v>45961</v>
      </c>
      <c r="D745" t="inlineStr">
        <is>
          <t>VÄSTERNORRLANDS LÄN</t>
        </is>
      </c>
      <c r="E745" t="inlineStr">
        <is>
          <t>SUNDSVALL</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10986-2022</t>
        </is>
      </c>
      <c r="B746" s="1" t="n">
        <v>44628</v>
      </c>
      <c r="C746" s="1" t="n">
        <v>45961</v>
      </c>
      <c r="D746" t="inlineStr">
        <is>
          <t>VÄSTERNORRLANDS LÄN</t>
        </is>
      </c>
      <c r="E746" t="inlineStr">
        <is>
          <t>SUNDSVALL</t>
        </is>
      </c>
      <c r="G746" t="n">
        <v>4</v>
      </c>
      <c r="H746" t="n">
        <v>0</v>
      </c>
      <c r="I746" t="n">
        <v>0</v>
      </c>
      <c r="J746" t="n">
        <v>0</v>
      </c>
      <c r="K746" t="n">
        <v>0</v>
      </c>
      <c r="L746" t="n">
        <v>0</v>
      </c>
      <c r="M746" t="n">
        <v>0</v>
      </c>
      <c r="N746" t="n">
        <v>0</v>
      </c>
      <c r="O746" t="n">
        <v>0</v>
      </c>
      <c r="P746" t="n">
        <v>0</v>
      </c>
      <c r="Q746" t="n">
        <v>0</v>
      </c>
      <c r="R746" s="2" t="inlineStr"/>
    </row>
    <row r="747" ht="15" customHeight="1">
      <c r="A747" t="inlineStr">
        <is>
          <t>A 64641-2021</t>
        </is>
      </c>
      <c r="B747" s="1" t="n">
        <v>44511</v>
      </c>
      <c r="C747" s="1" t="n">
        <v>45961</v>
      </c>
      <c r="D747" t="inlineStr">
        <is>
          <t>VÄSTERNORRLANDS LÄN</t>
        </is>
      </c>
      <c r="E747" t="inlineStr">
        <is>
          <t>SUNDSVALL</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21377-2023</t>
        </is>
      </c>
      <c r="B748" s="1" t="n">
        <v>45063</v>
      </c>
      <c r="C748" s="1" t="n">
        <v>45961</v>
      </c>
      <c r="D748" t="inlineStr">
        <is>
          <t>VÄSTERNORRLANDS LÄN</t>
        </is>
      </c>
      <c r="E748" t="inlineStr">
        <is>
          <t>SUNDSVALL</t>
        </is>
      </c>
      <c r="G748" t="n">
        <v>0.4</v>
      </c>
      <c r="H748" t="n">
        <v>0</v>
      </c>
      <c r="I748" t="n">
        <v>0</v>
      </c>
      <c r="J748" t="n">
        <v>0</v>
      </c>
      <c r="K748" t="n">
        <v>0</v>
      </c>
      <c r="L748" t="n">
        <v>0</v>
      </c>
      <c r="M748" t="n">
        <v>0</v>
      </c>
      <c r="N748" t="n">
        <v>0</v>
      </c>
      <c r="O748" t="n">
        <v>0</v>
      </c>
      <c r="P748" t="n">
        <v>0</v>
      </c>
      <c r="Q748" t="n">
        <v>0</v>
      </c>
      <c r="R748" s="2" t="inlineStr"/>
    </row>
    <row r="749" ht="15" customHeight="1">
      <c r="A749" t="inlineStr">
        <is>
          <t>A 21600-2023</t>
        </is>
      </c>
      <c r="B749" s="1" t="n">
        <v>45062</v>
      </c>
      <c r="C749" s="1" t="n">
        <v>45961</v>
      </c>
      <c r="D749" t="inlineStr">
        <is>
          <t>VÄSTERNORRLANDS LÄN</t>
        </is>
      </c>
      <c r="E749" t="inlineStr">
        <is>
          <t>SUNDSVALL</t>
        </is>
      </c>
      <c r="G749" t="n">
        <v>3.4</v>
      </c>
      <c r="H749" t="n">
        <v>0</v>
      </c>
      <c r="I749" t="n">
        <v>0</v>
      </c>
      <c r="J749" t="n">
        <v>0</v>
      </c>
      <c r="K749" t="n">
        <v>0</v>
      </c>
      <c r="L749" t="n">
        <v>0</v>
      </c>
      <c r="M749" t="n">
        <v>0</v>
      </c>
      <c r="N749" t="n">
        <v>0</v>
      </c>
      <c r="O749" t="n">
        <v>0</v>
      </c>
      <c r="P749" t="n">
        <v>0</v>
      </c>
      <c r="Q749" t="n">
        <v>0</v>
      </c>
      <c r="R749" s="2" t="inlineStr"/>
    </row>
    <row r="750" ht="15" customHeight="1">
      <c r="A750" t="inlineStr">
        <is>
          <t>A 42833-2024</t>
        </is>
      </c>
      <c r="B750" s="1" t="n">
        <v>45566.6171875</v>
      </c>
      <c r="C750" s="1" t="n">
        <v>45961</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27844-2023</t>
        </is>
      </c>
      <c r="B751" s="1" t="n">
        <v>45098.55303240741</v>
      </c>
      <c r="C751" s="1" t="n">
        <v>45961</v>
      </c>
      <c r="D751" t="inlineStr">
        <is>
          <t>VÄSTERNORRLANDS LÄN</t>
        </is>
      </c>
      <c r="E751" t="inlineStr">
        <is>
          <t>SUNDSVALL</t>
        </is>
      </c>
      <c r="G751" t="n">
        <v>4.6</v>
      </c>
      <c r="H751" t="n">
        <v>0</v>
      </c>
      <c r="I751" t="n">
        <v>0</v>
      </c>
      <c r="J751" t="n">
        <v>0</v>
      </c>
      <c r="K751" t="n">
        <v>0</v>
      </c>
      <c r="L751" t="n">
        <v>0</v>
      </c>
      <c r="M751" t="n">
        <v>0</v>
      </c>
      <c r="N751" t="n">
        <v>0</v>
      </c>
      <c r="O751" t="n">
        <v>0</v>
      </c>
      <c r="P751" t="n">
        <v>0</v>
      </c>
      <c r="Q751" t="n">
        <v>0</v>
      </c>
      <c r="R751" s="2" t="inlineStr"/>
    </row>
    <row r="752" ht="15" customHeight="1">
      <c r="A752" t="inlineStr">
        <is>
          <t>A 2589-2025</t>
        </is>
      </c>
      <c r="B752" s="1" t="n">
        <v>45674.6950462963</v>
      </c>
      <c r="C752" s="1" t="n">
        <v>45961</v>
      </c>
      <c r="D752" t="inlineStr">
        <is>
          <t>VÄSTERNORRLANDS LÄN</t>
        </is>
      </c>
      <c r="E752" t="inlineStr">
        <is>
          <t>SUNDSVALL</t>
        </is>
      </c>
      <c r="G752" t="n">
        <v>1.2</v>
      </c>
      <c r="H752" t="n">
        <v>0</v>
      </c>
      <c r="I752" t="n">
        <v>0</v>
      </c>
      <c r="J752" t="n">
        <v>0</v>
      </c>
      <c r="K752" t="n">
        <v>0</v>
      </c>
      <c r="L752" t="n">
        <v>0</v>
      </c>
      <c r="M752" t="n">
        <v>0</v>
      </c>
      <c r="N752" t="n">
        <v>0</v>
      </c>
      <c r="O752" t="n">
        <v>0</v>
      </c>
      <c r="P752" t="n">
        <v>0</v>
      </c>
      <c r="Q752" t="n">
        <v>0</v>
      </c>
      <c r="R752" s="2" t="inlineStr"/>
    </row>
    <row r="753" ht="15" customHeight="1">
      <c r="A753" t="inlineStr">
        <is>
          <t>A 50737-2024</t>
        </is>
      </c>
      <c r="B753" s="1" t="n">
        <v>45602.39856481482</v>
      </c>
      <c r="C753" s="1" t="n">
        <v>45961</v>
      </c>
      <c r="D753" t="inlineStr">
        <is>
          <t>VÄSTERNORRLANDS LÄN</t>
        </is>
      </c>
      <c r="E753" t="inlineStr">
        <is>
          <t>SUNDSVALL</t>
        </is>
      </c>
      <c r="G753" t="n">
        <v>2.8</v>
      </c>
      <c r="H753" t="n">
        <v>0</v>
      </c>
      <c r="I753" t="n">
        <v>0</v>
      </c>
      <c r="J753" t="n">
        <v>0</v>
      </c>
      <c r="K753" t="n">
        <v>0</v>
      </c>
      <c r="L753" t="n">
        <v>0</v>
      </c>
      <c r="M753" t="n">
        <v>0</v>
      </c>
      <c r="N753" t="n">
        <v>0</v>
      </c>
      <c r="O753" t="n">
        <v>0</v>
      </c>
      <c r="P753" t="n">
        <v>0</v>
      </c>
      <c r="Q753" t="n">
        <v>0</v>
      </c>
      <c r="R753" s="2" t="inlineStr"/>
    </row>
    <row r="754" ht="15" customHeight="1">
      <c r="A754" t="inlineStr">
        <is>
          <t>A 50205-2023</t>
        </is>
      </c>
      <c r="B754" s="1" t="n">
        <v>45215.92600694444</v>
      </c>
      <c r="C754" s="1" t="n">
        <v>45961</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2880-2025</t>
        </is>
      </c>
      <c r="B755" s="1" t="n">
        <v>45677</v>
      </c>
      <c r="C755" s="1" t="n">
        <v>45961</v>
      </c>
      <c r="D755" t="inlineStr">
        <is>
          <t>VÄSTERNORRLANDS LÄN</t>
        </is>
      </c>
      <c r="E755" t="inlineStr">
        <is>
          <t>SUNDSVALL</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2959-2025</t>
        </is>
      </c>
      <c r="B756" s="1" t="n">
        <v>45678.44880787037</v>
      </c>
      <c r="C756" s="1" t="n">
        <v>45961</v>
      </c>
      <c r="D756" t="inlineStr">
        <is>
          <t>VÄSTERNORRLANDS LÄN</t>
        </is>
      </c>
      <c r="E756" t="inlineStr">
        <is>
          <t>SUNDSVALL</t>
        </is>
      </c>
      <c r="F756" t="inlineStr">
        <is>
          <t>SCA</t>
        </is>
      </c>
      <c r="G756" t="n">
        <v>21.5</v>
      </c>
      <c r="H756" t="n">
        <v>0</v>
      </c>
      <c r="I756" t="n">
        <v>0</v>
      </c>
      <c r="J756" t="n">
        <v>0</v>
      </c>
      <c r="K756" t="n">
        <v>0</v>
      </c>
      <c r="L756" t="n">
        <v>0</v>
      </c>
      <c r="M756" t="n">
        <v>0</v>
      </c>
      <c r="N756" t="n">
        <v>0</v>
      </c>
      <c r="O756" t="n">
        <v>0</v>
      </c>
      <c r="P756" t="n">
        <v>0</v>
      </c>
      <c r="Q756" t="n">
        <v>0</v>
      </c>
      <c r="R756" s="2" t="inlineStr"/>
    </row>
    <row r="757" ht="15" customHeight="1">
      <c r="A757" t="inlineStr">
        <is>
          <t>A 24360-2023</t>
        </is>
      </c>
      <c r="B757" s="1" t="n">
        <v>45082</v>
      </c>
      <c r="C757" s="1" t="n">
        <v>45961</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47158-2023</t>
        </is>
      </c>
      <c r="B758" s="1" t="n">
        <v>45201</v>
      </c>
      <c r="C758" s="1" t="n">
        <v>45961</v>
      </c>
      <c r="D758" t="inlineStr">
        <is>
          <t>VÄSTERNORRLANDS LÄN</t>
        </is>
      </c>
      <c r="E758" t="inlineStr">
        <is>
          <t>SUNDSVALL</t>
        </is>
      </c>
      <c r="G758" t="n">
        <v>6.7</v>
      </c>
      <c r="H758" t="n">
        <v>0</v>
      </c>
      <c r="I758" t="n">
        <v>0</v>
      </c>
      <c r="J758" t="n">
        <v>0</v>
      </c>
      <c r="K758" t="n">
        <v>0</v>
      </c>
      <c r="L758" t="n">
        <v>0</v>
      </c>
      <c r="M758" t="n">
        <v>0</v>
      </c>
      <c r="N758" t="n">
        <v>0</v>
      </c>
      <c r="O758" t="n">
        <v>0</v>
      </c>
      <c r="P758" t="n">
        <v>0</v>
      </c>
      <c r="Q758" t="n">
        <v>0</v>
      </c>
      <c r="R758" s="2" t="inlineStr"/>
    </row>
    <row r="759" ht="15" customHeight="1">
      <c r="A759" t="inlineStr">
        <is>
          <t>A 7384-2024</t>
        </is>
      </c>
      <c r="B759" s="1" t="n">
        <v>45345</v>
      </c>
      <c r="C759" s="1" t="n">
        <v>45961</v>
      </c>
      <c r="D759" t="inlineStr">
        <is>
          <t>VÄSTERNORRLANDS LÄN</t>
        </is>
      </c>
      <c r="E759" t="inlineStr">
        <is>
          <t>SUNDSVALL</t>
        </is>
      </c>
      <c r="G759" t="n">
        <v>1.4</v>
      </c>
      <c r="H759" t="n">
        <v>0</v>
      </c>
      <c r="I759" t="n">
        <v>0</v>
      </c>
      <c r="J759" t="n">
        <v>0</v>
      </c>
      <c r="K759" t="n">
        <v>0</v>
      </c>
      <c r="L759" t="n">
        <v>0</v>
      </c>
      <c r="M759" t="n">
        <v>0</v>
      </c>
      <c r="N759" t="n">
        <v>0</v>
      </c>
      <c r="O759" t="n">
        <v>0</v>
      </c>
      <c r="P759" t="n">
        <v>0</v>
      </c>
      <c r="Q759" t="n">
        <v>0</v>
      </c>
      <c r="R759" s="2" t="inlineStr"/>
    </row>
    <row r="760" ht="15" customHeight="1">
      <c r="A760" t="inlineStr">
        <is>
          <t>A 13234-2024</t>
        </is>
      </c>
      <c r="B760" s="1" t="n">
        <v>45386</v>
      </c>
      <c r="C760" s="1" t="n">
        <v>45961</v>
      </c>
      <c r="D760" t="inlineStr">
        <is>
          <t>VÄSTERNORRLANDS LÄN</t>
        </is>
      </c>
      <c r="E760" t="inlineStr">
        <is>
          <t>SUNDSVALL</t>
        </is>
      </c>
      <c r="F760" t="inlineStr">
        <is>
          <t>Kommuner</t>
        </is>
      </c>
      <c r="G760" t="n">
        <v>5.8</v>
      </c>
      <c r="H760" t="n">
        <v>0</v>
      </c>
      <c r="I760" t="n">
        <v>0</v>
      </c>
      <c r="J760" t="n">
        <v>0</v>
      </c>
      <c r="K760" t="n">
        <v>0</v>
      </c>
      <c r="L760" t="n">
        <v>0</v>
      </c>
      <c r="M760" t="n">
        <v>0</v>
      </c>
      <c r="N760" t="n">
        <v>0</v>
      </c>
      <c r="O760" t="n">
        <v>0</v>
      </c>
      <c r="P760" t="n">
        <v>0</v>
      </c>
      <c r="Q760" t="n">
        <v>0</v>
      </c>
      <c r="R760" s="2" t="inlineStr"/>
    </row>
    <row r="761" ht="15" customHeight="1">
      <c r="A761" t="inlineStr">
        <is>
          <t>A 27960-2023</t>
        </is>
      </c>
      <c r="B761" s="1" t="n">
        <v>45098.68864583333</v>
      </c>
      <c r="C761" s="1" t="n">
        <v>45961</v>
      </c>
      <c r="D761" t="inlineStr">
        <is>
          <t>VÄSTERNORRLANDS LÄN</t>
        </is>
      </c>
      <c r="E761" t="inlineStr">
        <is>
          <t>SUNDSVALL</t>
        </is>
      </c>
      <c r="G761" t="n">
        <v>4.1</v>
      </c>
      <c r="H761" t="n">
        <v>0</v>
      </c>
      <c r="I761" t="n">
        <v>0</v>
      </c>
      <c r="J761" t="n">
        <v>0</v>
      </c>
      <c r="K761" t="n">
        <v>0</v>
      </c>
      <c r="L761" t="n">
        <v>0</v>
      </c>
      <c r="M761" t="n">
        <v>0</v>
      </c>
      <c r="N761" t="n">
        <v>0</v>
      </c>
      <c r="O761" t="n">
        <v>0</v>
      </c>
      <c r="P761" t="n">
        <v>0</v>
      </c>
      <c r="Q761" t="n">
        <v>0</v>
      </c>
      <c r="R761" s="2" t="inlineStr"/>
    </row>
    <row r="762" ht="15" customHeight="1">
      <c r="A762" t="inlineStr">
        <is>
          <t>A 5949-2023</t>
        </is>
      </c>
      <c r="B762" s="1" t="n">
        <v>44963</v>
      </c>
      <c r="C762" s="1" t="n">
        <v>45961</v>
      </c>
      <c r="D762" t="inlineStr">
        <is>
          <t>VÄSTERNORRLANDS LÄN</t>
        </is>
      </c>
      <c r="E762" t="inlineStr">
        <is>
          <t>SUNDSVALL</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7365-2024</t>
        </is>
      </c>
      <c r="B763" s="1" t="n">
        <v>45345</v>
      </c>
      <c r="C763" s="1" t="n">
        <v>45961</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33004-2024</t>
        </is>
      </c>
      <c r="B764" s="1" t="n">
        <v>45517</v>
      </c>
      <c r="C764" s="1" t="n">
        <v>45961</v>
      </c>
      <c r="D764" t="inlineStr">
        <is>
          <t>VÄSTERNORRLANDS LÄN</t>
        </is>
      </c>
      <c r="E764" t="inlineStr">
        <is>
          <t>SUNDSVALL</t>
        </is>
      </c>
      <c r="G764" t="n">
        <v>1.4</v>
      </c>
      <c r="H764" t="n">
        <v>0</v>
      </c>
      <c r="I764" t="n">
        <v>0</v>
      </c>
      <c r="J764" t="n">
        <v>0</v>
      </c>
      <c r="K764" t="n">
        <v>0</v>
      </c>
      <c r="L764" t="n">
        <v>0</v>
      </c>
      <c r="M764" t="n">
        <v>0</v>
      </c>
      <c r="N764" t="n">
        <v>0</v>
      </c>
      <c r="O764" t="n">
        <v>0</v>
      </c>
      <c r="P764" t="n">
        <v>0</v>
      </c>
      <c r="Q764" t="n">
        <v>0</v>
      </c>
      <c r="R764" s="2" t="inlineStr"/>
    </row>
    <row r="765" ht="15" customHeight="1">
      <c r="A765" t="inlineStr">
        <is>
          <t>A 33042-2024</t>
        </is>
      </c>
      <c r="B765" s="1" t="n">
        <v>45517.61229166666</v>
      </c>
      <c r="C765" s="1" t="n">
        <v>45961</v>
      </c>
      <c r="D765" t="inlineStr">
        <is>
          <t>VÄSTERNORRLANDS LÄN</t>
        </is>
      </c>
      <c r="E765" t="inlineStr">
        <is>
          <t>SUNDSVALL</t>
        </is>
      </c>
      <c r="G765" t="n">
        <v>1.8</v>
      </c>
      <c r="H765" t="n">
        <v>0</v>
      </c>
      <c r="I765" t="n">
        <v>0</v>
      </c>
      <c r="J765" t="n">
        <v>0</v>
      </c>
      <c r="K765" t="n">
        <v>0</v>
      </c>
      <c r="L765" t="n">
        <v>0</v>
      </c>
      <c r="M765" t="n">
        <v>0</v>
      </c>
      <c r="N765" t="n">
        <v>0</v>
      </c>
      <c r="O765" t="n">
        <v>0</v>
      </c>
      <c r="P765" t="n">
        <v>0</v>
      </c>
      <c r="Q765" t="n">
        <v>0</v>
      </c>
      <c r="R765" s="2" t="inlineStr"/>
    </row>
    <row r="766" ht="15" customHeight="1">
      <c r="A766" t="inlineStr">
        <is>
          <t>A 34296-2024</t>
        </is>
      </c>
      <c r="B766" s="1" t="n">
        <v>45524</v>
      </c>
      <c r="C766" s="1" t="n">
        <v>45961</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35218-2024</t>
        </is>
      </c>
      <c r="B767" s="1" t="n">
        <v>45530.49400462963</v>
      </c>
      <c r="C767" s="1" t="n">
        <v>45961</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30944-2024</t>
        </is>
      </c>
      <c r="B768" s="1" t="n">
        <v>45499.35756944444</v>
      </c>
      <c r="C768" s="1" t="n">
        <v>45961</v>
      </c>
      <c r="D768" t="inlineStr">
        <is>
          <t>VÄSTERNORRLANDS LÄN</t>
        </is>
      </c>
      <c r="E768" t="inlineStr">
        <is>
          <t>SUNDSVALL</t>
        </is>
      </c>
      <c r="G768" t="n">
        <v>2.6</v>
      </c>
      <c r="H768" t="n">
        <v>0</v>
      </c>
      <c r="I768" t="n">
        <v>0</v>
      </c>
      <c r="J768" t="n">
        <v>0</v>
      </c>
      <c r="K768" t="n">
        <v>0</v>
      </c>
      <c r="L768" t="n">
        <v>0</v>
      </c>
      <c r="M768" t="n">
        <v>0</v>
      </c>
      <c r="N768" t="n">
        <v>0</v>
      </c>
      <c r="O768" t="n">
        <v>0</v>
      </c>
      <c r="P768" t="n">
        <v>0</v>
      </c>
      <c r="Q768" t="n">
        <v>0</v>
      </c>
      <c r="R768" s="2" t="inlineStr"/>
    </row>
    <row r="769" ht="15" customHeight="1">
      <c r="A769" t="inlineStr">
        <is>
          <t>A 37416-2024</t>
        </is>
      </c>
      <c r="B769" s="1" t="n">
        <v>45540.63575231482</v>
      </c>
      <c r="C769" s="1" t="n">
        <v>45961</v>
      </c>
      <c r="D769" t="inlineStr">
        <is>
          <t>VÄSTERNORRLANDS LÄN</t>
        </is>
      </c>
      <c r="E769" t="inlineStr">
        <is>
          <t>SUNDSVALL</t>
        </is>
      </c>
      <c r="G769" t="n">
        <v>7.3</v>
      </c>
      <c r="H769" t="n">
        <v>0</v>
      </c>
      <c r="I769" t="n">
        <v>0</v>
      </c>
      <c r="J769" t="n">
        <v>0</v>
      </c>
      <c r="K769" t="n">
        <v>0</v>
      </c>
      <c r="L769" t="n">
        <v>0</v>
      </c>
      <c r="M769" t="n">
        <v>0</v>
      </c>
      <c r="N769" t="n">
        <v>0</v>
      </c>
      <c r="O769" t="n">
        <v>0</v>
      </c>
      <c r="P769" t="n">
        <v>0</v>
      </c>
      <c r="Q769" t="n">
        <v>0</v>
      </c>
      <c r="R769" s="2" t="inlineStr"/>
    </row>
    <row r="770" ht="15" customHeight="1">
      <c r="A770" t="inlineStr">
        <is>
          <t>A 8230-2024</t>
        </is>
      </c>
      <c r="B770" s="1" t="n">
        <v>45351.92850694444</v>
      </c>
      <c r="C770" s="1" t="n">
        <v>45961</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62530-2023</t>
        </is>
      </c>
      <c r="B771" s="1" t="n">
        <v>45268</v>
      </c>
      <c r="C771" s="1" t="n">
        <v>45961</v>
      </c>
      <c r="D771" t="inlineStr">
        <is>
          <t>VÄSTERNORRLANDS LÄN</t>
        </is>
      </c>
      <c r="E771" t="inlineStr">
        <is>
          <t>SUNDSVALL</t>
        </is>
      </c>
      <c r="G771" t="n">
        <v>0.6</v>
      </c>
      <c r="H771" t="n">
        <v>0</v>
      </c>
      <c r="I771" t="n">
        <v>0</v>
      </c>
      <c r="J771" t="n">
        <v>0</v>
      </c>
      <c r="K771" t="n">
        <v>0</v>
      </c>
      <c r="L771" t="n">
        <v>0</v>
      </c>
      <c r="M771" t="n">
        <v>0</v>
      </c>
      <c r="N771" t="n">
        <v>0</v>
      </c>
      <c r="O771" t="n">
        <v>0</v>
      </c>
      <c r="P771" t="n">
        <v>0</v>
      </c>
      <c r="Q771" t="n">
        <v>0</v>
      </c>
      <c r="R771" s="2" t="inlineStr"/>
    </row>
    <row r="772" ht="15" customHeight="1">
      <c r="A772" t="inlineStr">
        <is>
          <t>A 41600-2023</t>
        </is>
      </c>
      <c r="B772" s="1" t="n">
        <v>45175</v>
      </c>
      <c r="C772" s="1" t="n">
        <v>45961</v>
      </c>
      <c r="D772" t="inlineStr">
        <is>
          <t>VÄSTERNORRLANDS LÄN</t>
        </is>
      </c>
      <c r="E772" t="inlineStr">
        <is>
          <t>SUNDSVALL</t>
        </is>
      </c>
      <c r="G772" t="n">
        <v>6.5</v>
      </c>
      <c r="H772" t="n">
        <v>0</v>
      </c>
      <c r="I772" t="n">
        <v>0</v>
      </c>
      <c r="J772" t="n">
        <v>0</v>
      </c>
      <c r="K772" t="n">
        <v>0</v>
      </c>
      <c r="L772" t="n">
        <v>0</v>
      </c>
      <c r="M772" t="n">
        <v>0</v>
      </c>
      <c r="N772" t="n">
        <v>0</v>
      </c>
      <c r="O772" t="n">
        <v>0</v>
      </c>
      <c r="P772" t="n">
        <v>0</v>
      </c>
      <c r="Q772" t="n">
        <v>0</v>
      </c>
      <c r="R772" s="2" t="inlineStr"/>
    </row>
    <row r="773" ht="15" customHeight="1">
      <c r="A773" t="inlineStr">
        <is>
          <t>A 47518-2023</t>
        </is>
      </c>
      <c r="B773" s="1" t="n">
        <v>45203.32945601852</v>
      </c>
      <c r="C773" s="1" t="n">
        <v>45961</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57830-2022</t>
        </is>
      </c>
      <c r="B774" s="1" t="n">
        <v>44897</v>
      </c>
      <c r="C774" s="1" t="n">
        <v>45961</v>
      </c>
      <c r="D774" t="inlineStr">
        <is>
          <t>VÄSTERNORRLANDS LÄN</t>
        </is>
      </c>
      <c r="E774" t="inlineStr">
        <is>
          <t>SUNDSVALL</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48568-2023</t>
        </is>
      </c>
      <c r="B775" s="1" t="n">
        <v>45208</v>
      </c>
      <c r="C775" s="1" t="n">
        <v>45961</v>
      </c>
      <c r="D775" t="inlineStr">
        <is>
          <t>VÄSTERNORRLANDS LÄN</t>
        </is>
      </c>
      <c r="E775" t="inlineStr">
        <is>
          <t>SUNDSVALL</t>
        </is>
      </c>
      <c r="G775" t="n">
        <v>29.2</v>
      </c>
      <c r="H775" t="n">
        <v>0</v>
      </c>
      <c r="I775" t="n">
        <v>0</v>
      </c>
      <c r="J775" t="n">
        <v>0</v>
      </c>
      <c r="K775" t="n">
        <v>0</v>
      </c>
      <c r="L775" t="n">
        <v>0</v>
      </c>
      <c r="M775" t="n">
        <v>0</v>
      </c>
      <c r="N775" t="n">
        <v>0</v>
      </c>
      <c r="O775" t="n">
        <v>0</v>
      </c>
      <c r="P775" t="n">
        <v>0</v>
      </c>
      <c r="Q775" t="n">
        <v>0</v>
      </c>
      <c r="R775" s="2" t="inlineStr"/>
    </row>
    <row r="776" ht="15" customHeight="1">
      <c r="A776" t="inlineStr">
        <is>
          <t>A 21088-2024</t>
        </is>
      </c>
      <c r="B776" s="1" t="n">
        <v>45439</v>
      </c>
      <c r="C776" s="1" t="n">
        <v>45961</v>
      </c>
      <c r="D776" t="inlineStr">
        <is>
          <t>VÄSTERNORRLANDS LÄN</t>
        </is>
      </c>
      <c r="E776" t="inlineStr">
        <is>
          <t>SUNDSVALL</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13291-2022</t>
        </is>
      </c>
      <c r="B777" s="1" t="n">
        <v>44644.92293981482</v>
      </c>
      <c r="C777" s="1" t="n">
        <v>45961</v>
      </c>
      <c r="D777" t="inlineStr">
        <is>
          <t>VÄSTERNORRLANDS LÄN</t>
        </is>
      </c>
      <c r="E777" t="inlineStr">
        <is>
          <t>SUNDSVALL</t>
        </is>
      </c>
      <c r="G777" t="n">
        <v>3.6</v>
      </c>
      <c r="H777" t="n">
        <v>0</v>
      </c>
      <c r="I777" t="n">
        <v>0</v>
      </c>
      <c r="J777" t="n">
        <v>0</v>
      </c>
      <c r="K777" t="n">
        <v>0</v>
      </c>
      <c r="L777" t="n">
        <v>0</v>
      </c>
      <c r="M777" t="n">
        <v>0</v>
      </c>
      <c r="N777" t="n">
        <v>0</v>
      </c>
      <c r="O777" t="n">
        <v>0</v>
      </c>
      <c r="P777" t="n">
        <v>0</v>
      </c>
      <c r="Q777" t="n">
        <v>0</v>
      </c>
      <c r="R777" s="2" t="inlineStr"/>
    </row>
    <row r="778" ht="15" customHeight="1">
      <c r="A778" t="inlineStr">
        <is>
          <t>A 21010-2023</t>
        </is>
      </c>
      <c r="B778" s="1" t="n">
        <v>45061</v>
      </c>
      <c r="C778" s="1" t="n">
        <v>45961</v>
      </c>
      <c r="D778" t="inlineStr">
        <is>
          <t>VÄSTERNORRLANDS LÄN</t>
        </is>
      </c>
      <c r="E778" t="inlineStr">
        <is>
          <t>SUNDSVALL</t>
        </is>
      </c>
      <c r="G778" t="n">
        <v>4.9</v>
      </c>
      <c r="H778" t="n">
        <v>0</v>
      </c>
      <c r="I778" t="n">
        <v>0</v>
      </c>
      <c r="J778" t="n">
        <v>0</v>
      </c>
      <c r="K778" t="n">
        <v>0</v>
      </c>
      <c r="L778" t="n">
        <v>0</v>
      </c>
      <c r="M778" t="n">
        <v>0</v>
      </c>
      <c r="N778" t="n">
        <v>0</v>
      </c>
      <c r="O778" t="n">
        <v>0</v>
      </c>
      <c r="P778" t="n">
        <v>0</v>
      </c>
      <c r="Q778" t="n">
        <v>0</v>
      </c>
      <c r="R778" s="2" t="inlineStr"/>
    </row>
    <row r="779" ht="15" customHeight="1">
      <c r="A779" t="inlineStr">
        <is>
          <t>A 44610-2024</t>
        </is>
      </c>
      <c r="B779" s="1" t="n">
        <v>45574.5122337963</v>
      </c>
      <c r="C779" s="1" t="n">
        <v>45961</v>
      </c>
      <c r="D779" t="inlineStr">
        <is>
          <t>VÄSTERNORRLANDS LÄN</t>
        </is>
      </c>
      <c r="E779" t="inlineStr">
        <is>
          <t>SUNDSVALL</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56892-2021</t>
        </is>
      </c>
      <c r="B780" s="1" t="n">
        <v>44481</v>
      </c>
      <c r="C780" s="1" t="n">
        <v>45961</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54584-2024</t>
        </is>
      </c>
      <c r="B781" s="1" t="n">
        <v>45617.65747685185</v>
      </c>
      <c r="C781" s="1" t="n">
        <v>45961</v>
      </c>
      <c r="D781" t="inlineStr">
        <is>
          <t>VÄSTERNORRLANDS LÄN</t>
        </is>
      </c>
      <c r="E781" t="inlineStr">
        <is>
          <t>SUNDSVALL</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30180-2024</t>
        </is>
      </c>
      <c r="B782" s="1" t="n">
        <v>45489.92724537037</v>
      </c>
      <c r="C782" s="1" t="n">
        <v>45961</v>
      </c>
      <c r="D782" t="inlineStr">
        <is>
          <t>VÄSTERNORRLANDS LÄN</t>
        </is>
      </c>
      <c r="E782" t="inlineStr">
        <is>
          <t>SUNDSVALL</t>
        </is>
      </c>
      <c r="F782" t="inlineStr">
        <is>
          <t>Kyrkan</t>
        </is>
      </c>
      <c r="G782" t="n">
        <v>52.1</v>
      </c>
      <c r="H782" t="n">
        <v>0</v>
      </c>
      <c r="I782" t="n">
        <v>0</v>
      </c>
      <c r="J782" t="n">
        <v>0</v>
      </c>
      <c r="K782" t="n">
        <v>0</v>
      </c>
      <c r="L782" t="n">
        <v>0</v>
      </c>
      <c r="M782" t="n">
        <v>0</v>
      </c>
      <c r="N782" t="n">
        <v>0</v>
      </c>
      <c r="O782" t="n">
        <v>0</v>
      </c>
      <c r="P782" t="n">
        <v>0</v>
      </c>
      <c r="Q782" t="n">
        <v>0</v>
      </c>
      <c r="R782" s="2" t="inlineStr"/>
    </row>
    <row r="783" ht="15" customHeight="1">
      <c r="A783" t="inlineStr">
        <is>
          <t>A 51431-2024</t>
        </is>
      </c>
      <c r="B783" s="1" t="n">
        <v>45604</v>
      </c>
      <c r="C783" s="1" t="n">
        <v>45961</v>
      </c>
      <c r="D783" t="inlineStr">
        <is>
          <t>VÄSTERNORRLANDS LÄN</t>
        </is>
      </c>
      <c r="E783" t="inlineStr">
        <is>
          <t>SUNDSVALL</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51433-2024</t>
        </is>
      </c>
      <c r="B784" s="1" t="n">
        <v>45604</v>
      </c>
      <c r="C784" s="1" t="n">
        <v>45961</v>
      </c>
      <c r="D784" t="inlineStr">
        <is>
          <t>VÄSTERNORRLANDS LÄN</t>
        </is>
      </c>
      <c r="E784" t="inlineStr">
        <is>
          <t>SUNDSVALL</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5362-2025</t>
        </is>
      </c>
      <c r="B785" s="1" t="n">
        <v>45692.57824074074</v>
      </c>
      <c r="C785" s="1" t="n">
        <v>45961</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39347-2024</t>
        </is>
      </c>
      <c r="B786" s="1" t="n">
        <v>45551.44858796296</v>
      </c>
      <c r="C786" s="1" t="n">
        <v>45961</v>
      </c>
      <c r="D786" t="inlineStr">
        <is>
          <t>VÄSTERNORRLANDS LÄN</t>
        </is>
      </c>
      <c r="E786" t="inlineStr">
        <is>
          <t>SUNDSVALL</t>
        </is>
      </c>
      <c r="G786" t="n">
        <v>1.8</v>
      </c>
      <c r="H786" t="n">
        <v>0</v>
      </c>
      <c r="I786" t="n">
        <v>0</v>
      </c>
      <c r="J786" t="n">
        <v>0</v>
      </c>
      <c r="K786" t="n">
        <v>0</v>
      </c>
      <c r="L786" t="n">
        <v>0</v>
      </c>
      <c r="M786" t="n">
        <v>0</v>
      </c>
      <c r="N786" t="n">
        <v>0</v>
      </c>
      <c r="O786" t="n">
        <v>0</v>
      </c>
      <c r="P786" t="n">
        <v>0</v>
      </c>
      <c r="Q786" t="n">
        <v>0</v>
      </c>
      <c r="R786" s="2" t="inlineStr"/>
    </row>
    <row r="787" ht="15" customHeight="1">
      <c r="A787" t="inlineStr">
        <is>
          <t>A 381-2025</t>
        </is>
      </c>
      <c r="B787" s="1" t="n">
        <v>45662.4591087963</v>
      </c>
      <c r="C787" s="1" t="n">
        <v>45961</v>
      </c>
      <c r="D787" t="inlineStr">
        <is>
          <t>VÄSTERNORRLANDS LÄN</t>
        </is>
      </c>
      <c r="E787" t="inlineStr">
        <is>
          <t>SUNDSVALL</t>
        </is>
      </c>
      <c r="G787" t="n">
        <v>6.5</v>
      </c>
      <c r="H787" t="n">
        <v>0</v>
      </c>
      <c r="I787" t="n">
        <v>0</v>
      </c>
      <c r="J787" t="n">
        <v>0</v>
      </c>
      <c r="K787" t="n">
        <v>0</v>
      </c>
      <c r="L787" t="n">
        <v>0</v>
      </c>
      <c r="M787" t="n">
        <v>0</v>
      </c>
      <c r="N787" t="n">
        <v>0</v>
      </c>
      <c r="O787" t="n">
        <v>0</v>
      </c>
      <c r="P787" t="n">
        <v>0</v>
      </c>
      <c r="Q787" t="n">
        <v>0</v>
      </c>
      <c r="R787" s="2" t="inlineStr"/>
    </row>
    <row r="788" ht="15" customHeight="1">
      <c r="A788" t="inlineStr">
        <is>
          <t>A 382-2025</t>
        </is>
      </c>
      <c r="B788" s="1" t="n">
        <v>45662.46572916667</v>
      </c>
      <c r="C788" s="1" t="n">
        <v>45961</v>
      </c>
      <c r="D788" t="inlineStr">
        <is>
          <t>VÄSTERNORRLANDS LÄN</t>
        </is>
      </c>
      <c r="E788" t="inlineStr">
        <is>
          <t>SUNDSVALL</t>
        </is>
      </c>
      <c r="G788" t="n">
        <v>2.4</v>
      </c>
      <c r="H788" t="n">
        <v>0</v>
      </c>
      <c r="I788" t="n">
        <v>0</v>
      </c>
      <c r="J788" t="n">
        <v>0</v>
      </c>
      <c r="K788" t="n">
        <v>0</v>
      </c>
      <c r="L788" t="n">
        <v>0</v>
      </c>
      <c r="M788" t="n">
        <v>0</v>
      </c>
      <c r="N788" t="n">
        <v>0</v>
      </c>
      <c r="O788" t="n">
        <v>0</v>
      </c>
      <c r="P788" t="n">
        <v>0</v>
      </c>
      <c r="Q788" t="n">
        <v>0</v>
      </c>
      <c r="R788" s="2" t="inlineStr"/>
    </row>
    <row r="789" ht="15" customHeight="1">
      <c r="A789" t="inlineStr">
        <is>
          <t>A 61562-2021</t>
        </is>
      </c>
      <c r="B789" s="1" t="n">
        <v>44501</v>
      </c>
      <c r="C789" s="1" t="n">
        <v>45961</v>
      </c>
      <c r="D789" t="inlineStr">
        <is>
          <t>VÄSTERNORRLANDS LÄN</t>
        </is>
      </c>
      <c r="E789" t="inlineStr">
        <is>
          <t>SUNDSVALL</t>
        </is>
      </c>
      <c r="G789" t="n">
        <v>6</v>
      </c>
      <c r="H789" t="n">
        <v>0</v>
      </c>
      <c r="I789" t="n">
        <v>0</v>
      </c>
      <c r="J789" t="n">
        <v>0</v>
      </c>
      <c r="K789" t="n">
        <v>0</v>
      </c>
      <c r="L789" t="n">
        <v>0</v>
      </c>
      <c r="M789" t="n">
        <v>0</v>
      </c>
      <c r="N789" t="n">
        <v>0</v>
      </c>
      <c r="O789" t="n">
        <v>0</v>
      </c>
      <c r="P789" t="n">
        <v>0</v>
      </c>
      <c r="Q789" t="n">
        <v>0</v>
      </c>
      <c r="R789" s="2" t="inlineStr"/>
    </row>
    <row r="790" ht="15" customHeight="1">
      <c r="A790" t="inlineStr">
        <is>
          <t>A 43190-2023</t>
        </is>
      </c>
      <c r="B790" s="1" t="n">
        <v>45180</v>
      </c>
      <c r="C790" s="1" t="n">
        <v>45961</v>
      </c>
      <c r="D790" t="inlineStr">
        <is>
          <t>VÄSTERNORRLANDS LÄN</t>
        </is>
      </c>
      <c r="E790" t="inlineStr">
        <is>
          <t>SUNDSVALL</t>
        </is>
      </c>
      <c r="G790" t="n">
        <v>4.2</v>
      </c>
      <c r="H790" t="n">
        <v>0</v>
      </c>
      <c r="I790" t="n">
        <v>0</v>
      </c>
      <c r="J790" t="n">
        <v>0</v>
      </c>
      <c r="K790" t="n">
        <v>0</v>
      </c>
      <c r="L790" t="n">
        <v>0</v>
      </c>
      <c r="M790" t="n">
        <v>0</v>
      </c>
      <c r="N790" t="n">
        <v>0</v>
      </c>
      <c r="O790" t="n">
        <v>0</v>
      </c>
      <c r="P790" t="n">
        <v>0</v>
      </c>
      <c r="Q790" t="n">
        <v>0</v>
      </c>
      <c r="R790" s="2" t="inlineStr"/>
    </row>
    <row r="791" ht="15" customHeight="1">
      <c r="A791" t="inlineStr">
        <is>
          <t>A 19713-2025</t>
        </is>
      </c>
      <c r="B791" s="1" t="n">
        <v>45771.34842592593</v>
      </c>
      <c r="C791" s="1" t="n">
        <v>45961</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6468-2024</t>
        </is>
      </c>
      <c r="B792" s="1" t="n">
        <v>45338</v>
      </c>
      <c r="C792" s="1" t="n">
        <v>45961</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27735-2024</t>
        </is>
      </c>
      <c r="B793" s="1" t="n">
        <v>45475</v>
      </c>
      <c r="C793" s="1" t="n">
        <v>45961</v>
      </c>
      <c r="D793" t="inlineStr">
        <is>
          <t>VÄSTERNORRLANDS LÄN</t>
        </is>
      </c>
      <c r="E793" t="inlineStr">
        <is>
          <t>SUNDSVALL</t>
        </is>
      </c>
      <c r="G793" t="n">
        <v>5.1</v>
      </c>
      <c r="H793" t="n">
        <v>0</v>
      </c>
      <c r="I793" t="n">
        <v>0</v>
      </c>
      <c r="J793" t="n">
        <v>0</v>
      </c>
      <c r="K793" t="n">
        <v>0</v>
      </c>
      <c r="L793" t="n">
        <v>0</v>
      </c>
      <c r="M793" t="n">
        <v>0</v>
      </c>
      <c r="N793" t="n">
        <v>0</v>
      </c>
      <c r="O793" t="n">
        <v>0</v>
      </c>
      <c r="P793" t="n">
        <v>0</v>
      </c>
      <c r="Q793" t="n">
        <v>0</v>
      </c>
      <c r="R793" s="2" t="inlineStr"/>
    </row>
    <row r="794" ht="15" customHeight="1">
      <c r="A794" t="inlineStr">
        <is>
          <t>A 27319-2024</t>
        </is>
      </c>
      <c r="B794" s="1" t="n">
        <v>45471</v>
      </c>
      <c r="C794" s="1" t="n">
        <v>45961</v>
      </c>
      <c r="D794" t="inlineStr">
        <is>
          <t>VÄSTERNORRLANDS LÄN</t>
        </is>
      </c>
      <c r="E794" t="inlineStr">
        <is>
          <t>SUNDSVALL</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30560-2024</t>
        </is>
      </c>
      <c r="B795" s="1" t="n">
        <v>45492.92827546296</v>
      </c>
      <c r="C795" s="1" t="n">
        <v>45961</v>
      </c>
      <c r="D795" t="inlineStr">
        <is>
          <t>VÄSTERNORRLANDS LÄN</t>
        </is>
      </c>
      <c r="E795" t="inlineStr">
        <is>
          <t>SUNDSVALL</t>
        </is>
      </c>
      <c r="G795" t="n">
        <v>0.6</v>
      </c>
      <c r="H795" t="n">
        <v>0</v>
      </c>
      <c r="I795" t="n">
        <v>0</v>
      </c>
      <c r="J795" t="n">
        <v>0</v>
      </c>
      <c r="K795" t="n">
        <v>0</v>
      </c>
      <c r="L795" t="n">
        <v>0</v>
      </c>
      <c r="M795" t="n">
        <v>0</v>
      </c>
      <c r="N795" t="n">
        <v>0</v>
      </c>
      <c r="O795" t="n">
        <v>0</v>
      </c>
      <c r="P795" t="n">
        <v>0</v>
      </c>
      <c r="Q795" t="n">
        <v>0</v>
      </c>
      <c r="R795" s="2" t="inlineStr"/>
    </row>
    <row r="796" ht="15" customHeight="1">
      <c r="A796" t="inlineStr">
        <is>
          <t>A 49789-2024</t>
        </is>
      </c>
      <c r="B796" s="1" t="n">
        <v>45597.36646990741</v>
      </c>
      <c r="C796" s="1" t="n">
        <v>45961</v>
      </c>
      <c r="D796" t="inlineStr">
        <is>
          <t>VÄSTERNORRLANDS LÄN</t>
        </is>
      </c>
      <c r="E796" t="inlineStr">
        <is>
          <t>SUNDSVALL</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37238-2022</t>
        </is>
      </c>
      <c r="B797" s="1" t="n">
        <v>44806</v>
      </c>
      <c r="C797" s="1" t="n">
        <v>45961</v>
      </c>
      <c r="D797" t="inlineStr">
        <is>
          <t>VÄSTERNORRLANDS LÄN</t>
        </is>
      </c>
      <c r="E797" t="inlineStr">
        <is>
          <t>SUNDSVALL</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22642-2023</t>
        </is>
      </c>
      <c r="B798" s="1" t="n">
        <v>45071</v>
      </c>
      <c r="C798" s="1" t="n">
        <v>45961</v>
      </c>
      <c r="D798" t="inlineStr">
        <is>
          <t>VÄSTERNORRLANDS LÄN</t>
        </is>
      </c>
      <c r="E798" t="inlineStr">
        <is>
          <t>SUNDSVALL</t>
        </is>
      </c>
      <c r="F798" t="inlineStr">
        <is>
          <t>Holmen skog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59896-2024</t>
        </is>
      </c>
      <c r="B799" s="1" t="n">
        <v>45641</v>
      </c>
      <c r="C799" s="1" t="n">
        <v>45961</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57499-2024</t>
        </is>
      </c>
      <c r="B800" s="1" t="n">
        <v>45630.37629629629</v>
      </c>
      <c r="C800" s="1" t="n">
        <v>45961</v>
      </c>
      <c r="D800" t="inlineStr">
        <is>
          <t>VÄSTERNORRLANDS LÄN</t>
        </is>
      </c>
      <c r="E800" t="inlineStr">
        <is>
          <t>SUNDSVALL</t>
        </is>
      </c>
      <c r="G800" t="n">
        <v>5.6</v>
      </c>
      <c r="H800" t="n">
        <v>0</v>
      </c>
      <c r="I800" t="n">
        <v>0</v>
      </c>
      <c r="J800" t="n">
        <v>0</v>
      </c>
      <c r="K800" t="n">
        <v>0</v>
      </c>
      <c r="L800" t="n">
        <v>0</v>
      </c>
      <c r="M800" t="n">
        <v>0</v>
      </c>
      <c r="N800" t="n">
        <v>0</v>
      </c>
      <c r="O800" t="n">
        <v>0</v>
      </c>
      <c r="P800" t="n">
        <v>0</v>
      </c>
      <c r="Q800" t="n">
        <v>0</v>
      </c>
      <c r="R800" s="2" t="inlineStr"/>
    </row>
    <row r="801" ht="15" customHeight="1">
      <c r="A801" t="inlineStr">
        <is>
          <t>A 58583-2024</t>
        </is>
      </c>
      <c r="B801" s="1" t="n">
        <v>45635</v>
      </c>
      <c r="C801" s="1" t="n">
        <v>45961</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32652-2024</t>
        </is>
      </c>
      <c r="B802" s="1" t="n">
        <v>45513</v>
      </c>
      <c r="C802" s="1" t="n">
        <v>45961</v>
      </c>
      <c r="D802" t="inlineStr">
        <is>
          <t>VÄSTERNORRLANDS LÄN</t>
        </is>
      </c>
      <c r="E802" t="inlineStr">
        <is>
          <t>SUNDSVALL</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4116-2024</t>
        </is>
      </c>
      <c r="B803" s="1" t="n">
        <v>45323</v>
      </c>
      <c r="C803" s="1" t="n">
        <v>45961</v>
      </c>
      <c r="D803" t="inlineStr">
        <is>
          <t>VÄSTERNORRLANDS LÄN</t>
        </is>
      </c>
      <c r="E803" t="inlineStr">
        <is>
          <t>SUNDSVALL</t>
        </is>
      </c>
      <c r="F803" t="inlineStr">
        <is>
          <t>Kommuner</t>
        </is>
      </c>
      <c r="G803" t="n">
        <v>2.4</v>
      </c>
      <c r="H803" t="n">
        <v>0</v>
      </c>
      <c r="I803" t="n">
        <v>0</v>
      </c>
      <c r="J803" t="n">
        <v>0</v>
      </c>
      <c r="K803" t="n">
        <v>0</v>
      </c>
      <c r="L803" t="n">
        <v>0</v>
      </c>
      <c r="M803" t="n">
        <v>0</v>
      </c>
      <c r="N803" t="n">
        <v>0</v>
      </c>
      <c r="O803" t="n">
        <v>0</v>
      </c>
      <c r="P803" t="n">
        <v>0</v>
      </c>
      <c r="Q803" t="n">
        <v>0</v>
      </c>
      <c r="R803" s="2" t="inlineStr"/>
    </row>
    <row r="804" ht="15" customHeight="1">
      <c r="A804" t="inlineStr">
        <is>
          <t>A 61995-2024</t>
        </is>
      </c>
      <c r="B804" s="1" t="n">
        <v>45653.73643518519</v>
      </c>
      <c r="C804" s="1" t="n">
        <v>45961</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52035-2024</t>
        </is>
      </c>
      <c r="B805" s="1" t="n">
        <v>45608.30585648148</v>
      </c>
      <c r="C805" s="1" t="n">
        <v>45961</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63840-2020</t>
        </is>
      </c>
      <c r="B806" s="1" t="n">
        <v>44166</v>
      </c>
      <c r="C806" s="1" t="n">
        <v>45961</v>
      </c>
      <c r="D806" t="inlineStr">
        <is>
          <t>VÄSTERNORRLANDS LÄN</t>
        </is>
      </c>
      <c r="E806" t="inlineStr">
        <is>
          <t>SUNDSVALL</t>
        </is>
      </c>
      <c r="G806" t="n">
        <v>0.2</v>
      </c>
      <c r="H806" t="n">
        <v>0</v>
      </c>
      <c r="I806" t="n">
        <v>0</v>
      </c>
      <c r="J806" t="n">
        <v>0</v>
      </c>
      <c r="K806" t="n">
        <v>0</v>
      </c>
      <c r="L806" t="n">
        <v>0</v>
      </c>
      <c r="M806" t="n">
        <v>0</v>
      </c>
      <c r="N806" t="n">
        <v>0</v>
      </c>
      <c r="O806" t="n">
        <v>0</v>
      </c>
      <c r="P806" t="n">
        <v>0</v>
      </c>
      <c r="Q806" t="n">
        <v>0</v>
      </c>
      <c r="R806" s="2" t="inlineStr"/>
    </row>
    <row r="807" ht="15" customHeight="1">
      <c r="A807" t="inlineStr">
        <is>
          <t>A 57079-2024</t>
        </is>
      </c>
      <c r="B807" s="1" t="n">
        <v>45629</v>
      </c>
      <c r="C807" s="1" t="n">
        <v>45961</v>
      </c>
      <c r="D807" t="inlineStr">
        <is>
          <t>VÄSTERNORRLANDS LÄN</t>
        </is>
      </c>
      <c r="E807" t="inlineStr">
        <is>
          <t>SUNDSVALL</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7946-2022</t>
        </is>
      </c>
      <c r="B808" s="1" t="n">
        <v>44608</v>
      </c>
      <c r="C808" s="1" t="n">
        <v>45961</v>
      </c>
      <c r="D808" t="inlineStr">
        <is>
          <t>VÄSTERNORRLANDS LÄN</t>
        </is>
      </c>
      <c r="E808" t="inlineStr">
        <is>
          <t>SUNDSVALL</t>
        </is>
      </c>
      <c r="G808" t="n">
        <v>5.8</v>
      </c>
      <c r="H808" t="n">
        <v>0</v>
      </c>
      <c r="I808" t="n">
        <v>0</v>
      </c>
      <c r="J808" t="n">
        <v>0</v>
      </c>
      <c r="K808" t="n">
        <v>0</v>
      </c>
      <c r="L808" t="n">
        <v>0</v>
      </c>
      <c r="M808" t="n">
        <v>0</v>
      </c>
      <c r="N808" t="n">
        <v>0</v>
      </c>
      <c r="O808" t="n">
        <v>0</v>
      </c>
      <c r="P808" t="n">
        <v>0</v>
      </c>
      <c r="Q808" t="n">
        <v>0</v>
      </c>
      <c r="R808" s="2" t="inlineStr"/>
    </row>
    <row r="809" ht="15" customHeight="1">
      <c r="A809" t="inlineStr">
        <is>
          <t>A 24514-2022</t>
        </is>
      </c>
      <c r="B809" s="1" t="n">
        <v>44726</v>
      </c>
      <c r="C809" s="1" t="n">
        <v>45961</v>
      </c>
      <c r="D809" t="inlineStr">
        <is>
          <t>VÄSTERNORRLANDS LÄN</t>
        </is>
      </c>
      <c r="E809" t="inlineStr">
        <is>
          <t>SUNDSVALL</t>
        </is>
      </c>
      <c r="G809" t="n">
        <v>10.5</v>
      </c>
      <c r="H809" t="n">
        <v>0</v>
      </c>
      <c r="I809" t="n">
        <v>0</v>
      </c>
      <c r="J809" t="n">
        <v>0</v>
      </c>
      <c r="K809" t="n">
        <v>0</v>
      </c>
      <c r="L809" t="n">
        <v>0</v>
      </c>
      <c r="M809" t="n">
        <v>0</v>
      </c>
      <c r="N809" t="n">
        <v>0</v>
      </c>
      <c r="O809" t="n">
        <v>0</v>
      </c>
      <c r="P809" t="n">
        <v>0</v>
      </c>
      <c r="Q809" t="n">
        <v>0</v>
      </c>
      <c r="R809" s="2" t="inlineStr"/>
    </row>
    <row r="810" ht="15" customHeight="1">
      <c r="A810" t="inlineStr">
        <is>
          <t>A 26468-2023</t>
        </is>
      </c>
      <c r="B810" s="1" t="n">
        <v>45089</v>
      </c>
      <c r="C810" s="1" t="n">
        <v>45961</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39713-2024</t>
        </is>
      </c>
      <c r="B811" s="1" t="n">
        <v>45552</v>
      </c>
      <c r="C811" s="1" t="n">
        <v>45961</v>
      </c>
      <c r="D811" t="inlineStr">
        <is>
          <t>VÄSTERNORRLANDS LÄN</t>
        </is>
      </c>
      <c r="E811" t="inlineStr">
        <is>
          <t>SUNDSVALL</t>
        </is>
      </c>
      <c r="G811" t="n">
        <v>2.6</v>
      </c>
      <c r="H811" t="n">
        <v>0</v>
      </c>
      <c r="I811" t="n">
        <v>0</v>
      </c>
      <c r="J811" t="n">
        <v>0</v>
      </c>
      <c r="K811" t="n">
        <v>0</v>
      </c>
      <c r="L811" t="n">
        <v>0</v>
      </c>
      <c r="M811" t="n">
        <v>0</v>
      </c>
      <c r="N811" t="n">
        <v>0</v>
      </c>
      <c r="O811" t="n">
        <v>0</v>
      </c>
      <c r="P811" t="n">
        <v>0</v>
      </c>
      <c r="Q811" t="n">
        <v>0</v>
      </c>
      <c r="R811" s="2" t="inlineStr"/>
    </row>
    <row r="812" ht="15" customHeight="1">
      <c r="A812" t="inlineStr">
        <is>
          <t>A 18859-2024</t>
        </is>
      </c>
      <c r="B812" s="1" t="n">
        <v>45426</v>
      </c>
      <c r="C812" s="1" t="n">
        <v>45961</v>
      </c>
      <c r="D812" t="inlineStr">
        <is>
          <t>VÄSTERNORRLANDS LÄN</t>
        </is>
      </c>
      <c r="E812" t="inlineStr">
        <is>
          <t>SUNDSVALL</t>
        </is>
      </c>
      <c r="G812" t="n">
        <v>7.1</v>
      </c>
      <c r="H812" t="n">
        <v>0</v>
      </c>
      <c r="I812" t="n">
        <v>0</v>
      </c>
      <c r="J812" t="n">
        <v>0</v>
      </c>
      <c r="K812" t="n">
        <v>0</v>
      </c>
      <c r="L812" t="n">
        <v>0</v>
      </c>
      <c r="M812" t="n">
        <v>0</v>
      </c>
      <c r="N812" t="n">
        <v>0</v>
      </c>
      <c r="O812" t="n">
        <v>0</v>
      </c>
      <c r="P812" t="n">
        <v>0</v>
      </c>
      <c r="Q812" t="n">
        <v>0</v>
      </c>
      <c r="R812" s="2" t="inlineStr"/>
    </row>
    <row r="813" ht="15" customHeight="1">
      <c r="A813" t="inlineStr">
        <is>
          <t>A 55873-2022</t>
        </is>
      </c>
      <c r="B813" s="1" t="n">
        <v>44888.92850694444</v>
      </c>
      <c r="C813" s="1" t="n">
        <v>45961</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57212-2021</t>
        </is>
      </c>
      <c r="B814" s="1" t="n">
        <v>44482.9406712963</v>
      </c>
      <c r="C814" s="1" t="n">
        <v>45961</v>
      </c>
      <c r="D814" t="inlineStr">
        <is>
          <t>VÄSTERNORRLANDS LÄN</t>
        </is>
      </c>
      <c r="E814" t="inlineStr">
        <is>
          <t>SUNDSVALL</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57234-2021</t>
        </is>
      </c>
      <c r="B815" s="1" t="n">
        <v>44482</v>
      </c>
      <c r="C815" s="1" t="n">
        <v>45961</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40384-2024</t>
        </is>
      </c>
      <c r="B816" s="1" t="n">
        <v>45555.4275462963</v>
      </c>
      <c r="C816" s="1" t="n">
        <v>45961</v>
      </c>
      <c r="D816" t="inlineStr">
        <is>
          <t>VÄSTERNORRLANDS LÄN</t>
        </is>
      </c>
      <c r="E816" t="inlineStr">
        <is>
          <t>SUNDSVALL</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60611-2024</t>
        </is>
      </c>
      <c r="B817" s="1" t="n">
        <v>45644.38586805556</v>
      </c>
      <c r="C817" s="1" t="n">
        <v>45961</v>
      </c>
      <c r="D817" t="inlineStr">
        <is>
          <t>VÄSTERNORRLANDS LÄN</t>
        </is>
      </c>
      <c r="E817" t="inlineStr">
        <is>
          <t>SUNDSVALL</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15632-2025</t>
        </is>
      </c>
      <c r="B818" s="1" t="n">
        <v>45748.369375</v>
      </c>
      <c r="C818" s="1" t="n">
        <v>45961</v>
      </c>
      <c r="D818" t="inlineStr">
        <is>
          <t>VÄSTERNORRLANDS LÄN</t>
        </is>
      </c>
      <c r="E818" t="inlineStr">
        <is>
          <t>SUNDSVALL</t>
        </is>
      </c>
      <c r="G818" t="n">
        <v>4.8</v>
      </c>
      <c r="H818" t="n">
        <v>0</v>
      </c>
      <c r="I818" t="n">
        <v>0</v>
      </c>
      <c r="J818" t="n">
        <v>0</v>
      </c>
      <c r="K818" t="n">
        <v>0</v>
      </c>
      <c r="L818" t="n">
        <v>0</v>
      </c>
      <c r="M818" t="n">
        <v>0</v>
      </c>
      <c r="N818" t="n">
        <v>0</v>
      </c>
      <c r="O818" t="n">
        <v>0</v>
      </c>
      <c r="P818" t="n">
        <v>0</v>
      </c>
      <c r="Q818" t="n">
        <v>0</v>
      </c>
      <c r="R818" s="2" t="inlineStr"/>
    </row>
    <row r="819" ht="15" customHeight="1">
      <c r="A819" t="inlineStr">
        <is>
          <t>A 40828-2022</t>
        </is>
      </c>
      <c r="B819" s="1" t="n">
        <v>44824.92512731482</v>
      </c>
      <c r="C819" s="1" t="n">
        <v>45961</v>
      </c>
      <c r="D819" t="inlineStr">
        <is>
          <t>VÄSTERNORRLANDS LÄN</t>
        </is>
      </c>
      <c r="E819" t="inlineStr">
        <is>
          <t>SUNDSVALL</t>
        </is>
      </c>
      <c r="G819" t="n">
        <v>0.7</v>
      </c>
      <c r="H819" t="n">
        <v>0</v>
      </c>
      <c r="I819" t="n">
        <v>0</v>
      </c>
      <c r="J819" t="n">
        <v>0</v>
      </c>
      <c r="K819" t="n">
        <v>0</v>
      </c>
      <c r="L819" t="n">
        <v>0</v>
      </c>
      <c r="M819" t="n">
        <v>0</v>
      </c>
      <c r="N819" t="n">
        <v>0</v>
      </c>
      <c r="O819" t="n">
        <v>0</v>
      </c>
      <c r="P819" t="n">
        <v>0</v>
      </c>
      <c r="Q819" t="n">
        <v>0</v>
      </c>
      <c r="R819" s="2" t="inlineStr"/>
    </row>
    <row r="820" ht="15" customHeight="1">
      <c r="A820" t="inlineStr">
        <is>
          <t>A 13152-2025</t>
        </is>
      </c>
      <c r="B820" s="1" t="n">
        <v>45735</v>
      </c>
      <c r="C820" s="1" t="n">
        <v>45961</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35254-2023</t>
        </is>
      </c>
      <c r="B821" s="1" t="n">
        <v>45145</v>
      </c>
      <c r="C821" s="1" t="n">
        <v>45961</v>
      </c>
      <c r="D821" t="inlineStr">
        <is>
          <t>VÄSTERNORRLANDS LÄN</t>
        </is>
      </c>
      <c r="E821" t="inlineStr">
        <is>
          <t>SUNDSVALL</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51084-2024</t>
        </is>
      </c>
      <c r="B822" s="1" t="n">
        <v>45603.46280092592</v>
      </c>
      <c r="C822" s="1" t="n">
        <v>45961</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56192-2023</t>
        </is>
      </c>
      <c r="B823" s="1" t="n">
        <v>45240</v>
      </c>
      <c r="C823" s="1" t="n">
        <v>45961</v>
      </c>
      <c r="D823" t="inlineStr">
        <is>
          <t>VÄSTERNORRLANDS LÄN</t>
        </is>
      </c>
      <c r="E823" t="inlineStr">
        <is>
          <t>SUNDSVALL</t>
        </is>
      </c>
      <c r="G823" t="n">
        <v>6.2</v>
      </c>
      <c r="H823" t="n">
        <v>0</v>
      </c>
      <c r="I823" t="n">
        <v>0</v>
      </c>
      <c r="J823" t="n">
        <v>0</v>
      </c>
      <c r="K823" t="n">
        <v>0</v>
      </c>
      <c r="L823" t="n">
        <v>0</v>
      </c>
      <c r="M823" t="n">
        <v>0</v>
      </c>
      <c r="N823" t="n">
        <v>0</v>
      </c>
      <c r="O823" t="n">
        <v>0</v>
      </c>
      <c r="P823" t="n">
        <v>0</v>
      </c>
      <c r="Q823" t="n">
        <v>0</v>
      </c>
      <c r="R823" s="2" t="inlineStr"/>
    </row>
    <row r="824" ht="15" customHeight="1">
      <c r="A824" t="inlineStr">
        <is>
          <t>A 56195-2023</t>
        </is>
      </c>
      <c r="B824" s="1" t="n">
        <v>45240.66042824074</v>
      </c>
      <c r="C824" s="1" t="n">
        <v>45961</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27641-2023</t>
        </is>
      </c>
      <c r="B825" s="1" t="n">
        <v>45097</v>
      </c>
      <c r="C825" s="1" t="n">
        <v>45961</v>
      </c>
      <c r="D825" t="inlineStr">
        <is>
          <t>VÄSTERNORRLANDS LÄN</t>
        </is>
      </c>
      <c r="E825" t="inlineStr">
        <is>
          <t>SUNDSVALL</t>
        </is>
      </c>
      <c r="G825" t="n">
        <v>1.6</v>
      </c>
      <c r="H825" t="n">
        <v>0</v>
      </c>
      <c r="I825" t="n">
        <v>0</v>
      </c>
      <c r="J825" t="n">
        <v>0</v>
      </c>
      <c r="K825" t="n">
        <v>0</v>
      </c>
      <c r="L825" t="n">
        <v>0</v>
      </c>
      <c r="M825" t="n">
        <v>0</v>
      </c>
      <c r="N825" t="n">
        <v>0</v>
      </c>
      <c r="O825" t="n">
        <v>0</v>
      </c>
      <c r="P825" t="n">
        <v>0</v>
      </c>
      <c r="Q825" t="n">
        <v>0</v>
      </c>
      <c r="R825" s="2" t="inlineStr"/>
    </row>
    <row r="826" ht="15" customHeight="1">
      <c r="A826" t="inlineStr">
        <is>
          <t>A 23514-2023</t>
        </is>
      </c>
      <c r="B826" s="1" t="n">
        <v>45076</v>
      </c>
      <c r="C826" s="1" t="n">
        <v>45961</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46902-2023</t>
        </is>
      </c>
      <c r="B827" s="1" t="n">
        <v>45201</v>
      </c>
      <c r="C827" s="1" t="n">
        <v>45961</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227-2022</t>
        </is>
      </c>
      <c r="B828" s="1" t="n">
        <v>44564</v>
      </c>
      <c r="C828" s="1" t="n">
        <v>45961</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42771-2024</t>
        </is>
      </c>
      <c r="B829" s="1" t="n">
        <v>45566.51241898148</v>
      </c>
      <c r="C829" s="1" t="n">
        <v>45961</v>
      </c>
      <c r="D829" t="inlineStr">
        <is>
          <t>VÄSTERNORRLANDS LÄN</t>
        </is>
      </c>
      <c r="E829" t="inlineStr">
        <is>
          <t>SUNDSVALL</t>
        </is>
      </c>
      <c r="G829" t="n">
        <v>2.8</v>
      </c>
      <c r="H829" t="n">
        <v>0</v>
      </c>
      <c r="I829" t="n">
        <v>0</v>
      </c>
      <c r="J829" t="n">
        <v>0</v>
      </c>
      <c r="K829" t="n">
        <v>0</v>
      </c>
      <c r="L829" t="n">
        <v>0</v>
      </c>
      <c r="M829" t="n">
        <v>0</v>
      </c>
      <c r="N829" t="n">
        <v>0</v>
      </c>
      <c r="O829" t="n">
        <v>0</v>
      </c>
      <c r="P829" t="n">
        <v>0</v>
      </c>
      <c r="Q829" t="n">
        <v>0</v>
      </c>
      <c r="R829" s="2" t="inlineStr"/>
    </row>
    <row r="830" ht="15" customHeight="1">
      <c r="A830" t="inlineStr">
        <is>
          <t>A 51327-2024</t>
        </is>
      </c>
      <c r="B830" s="1" t="n">
        <v>45604.33793981482</v>
      </c>
      <c r="C830" s="1" t="n">
        <v>45961</v>
      </c>
      <c r="D830" t="inlineStr">
        <is>
          <t>VÄSTERNORRLANDS LÄN</t>
        </is>
      </c>
      <c r="E830" t="inlineStr">
        <is>
          <t>SUNDSVALL</t>
        </is>
      </c>
      <c r="G830" t="n">
        <v>2.2</v>
      </c>
      <c r="H830" t="n">
        <v>0</v>
      </c>
      <c r="I830" t="n">
        <v>0</v>
      </c>
      <c r="J830" t="n">
        <v>0</v>
      </c>
      <c r="K830" t="n">
        <v>0</v>
      </c>
      <c r="L830" t="n">
        <v>0</v>
      </c>
      <c r="M830" t="n">
        <v>0</v>
      </c>
      <c r="N830" t="n">
        <v>0</v>
      </c>
      <c r="O830" t="n">
        <v>0</v>
      </c>
      <c r="P830" t="n">
        <v>0</v>
      </c>
      <c r="Q830" t="n">
        <v>0</v>
      </c>
      <c r="R830" s="2" t="inlineStr"/>
    </row>
    <row r="831" ht="15" customHeight="1">
      <c r="A831" t="inlineStr">
        <is>
          <t>A 3232-2025</t>
        </is>
      </c>
      <c r="B831" s="1" t="n">
        <v>45679.49</v>
      </c>
      <c r="C831" s="1" t="n">
        <v>45961</v>
      </c>
      <c r="D831" t="inlineStr">
        <is>
          <t>VÄSTERNORRLANDS LÄN</t>
        </is>
      </c>
      <c r="E831" t="inlineStr">
        <is>
          <t>SUNDSVALL</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20105-2025</t>
        </is>
      </c>
      <c r="B832" s="1" t="n">
        <v>45772.46976851852</v>
      </c>
      <c r="C832" s="1" t="n">
        <v>45961</v>
      </c>
      <c r="D832" t="inlineStr">
        <is>
          <t>VÄSTERNORRLANDS LÄN</t>
        </is>
      </c>
      <c r="E832" t="inlineStr">
        <is>
          <t>SUNDSVALL</t>
        </is>
      </c>
      <c r="F832" t="inlineStr">
        <is>
          <t>Naturvårdsverket</t>
        </is>
      </c>
      <c r="G832" t="n">
        <v>3.6</v>
      </c>
      <c r="H832" t="n">
        <v>0</v>
      </c>
      <c r="I832" t="n">
        <v>0</v>
      </c>
      <c r="J832" t="n">
        <v>0</v>
      </c>
      <c r="K832" t="n">
        <v>0</v>
      </c>
      <c r="L832" t="n">
        <v>0</v>
      </c>
      <c r="M832" t="n">
        <v>0</v>
      </c>
      <c r="N832" t="n">
        <v>0</v>
      </c>
      <c r="O832" t="n">
        <v>0</v>
      </c>
      <c r="P832" t="n">
        <v>0</v>
      </c>
      <c r="Q832" t="n">
        <v>0</v>
      </c>
      <c r="R832" s="2" t="inlineStr"/>
    </row>
    <row r="833" ht="15" customHeight="1">
      <c r="A833" t="inlineStr">
        <is>
          <t>A 1398-2025</t>
        </is>
      </c>
      <c r="B833" s="1" t="n">
        <v>45667</v>
      </c>
      <c r="C833" s="1" t="n">
        <v>45961</v>
      </c>
      <c r="D833" t="inlineStr">
        <is>
          <t>VÄSTERNORRLANDS LÄN</t>
        </is>
      </c>
      <c r="E833" t="inlineStr">
        <is>
          <t>SUNDSVALL</t>
        </is>
      </c>
      <c r="G833" t="n">
        <v>7.5</v>
      </c>
      <c r="H833" t="n">
        <v>0</v>
      </c>
      <c r="I833" t="n">
        <v>0</v>
      </c>
      <c r="J833" t="n">
        <v>0</v>
      </c>
      <c r="K833" t="n">
        <v>0</v>
      </c>
      <c r="L833" t="n">
        <v>0</v>
      </c>
      <c r="M833" t="n">
        <v>0</v>
      </c>
      <c r="N833" t="n">
        <v>0</v>
      </c>
      <c r="O833" t="n">
        <v>0</v>
      </c>
      <c r="P833" t="n">
        <v>0</v>
      </c>
      <c r="Q833" t="n">
        <v>0</v>
      </c>
      <c r="R833" s="2" t="inlineStr"/>
    </row>
    <row r="834" ht="15" customHeight="1">
      <c r="A834" t="inlineStr">
        <is>
          <t>A 18874-2024</t>
        </is>
      </c>
      <c r="B834" s="1" t="n">
        <v>45426.98122685185</v>
      </c>
      <c r="C834" s="1" t="n">
        <v>45961</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3960-2024</t>
        </is>
      </c>
      <c r="B835" s="1" t="n">
        <v>45322</v>
      </c>
      <c r="C835" s="1" t="n">
        <v>45961</v>
      </c>
      <c r="D835" t="inlineStr">
        <is>
          <t>VÄSTERNORRLANDS LÄN</t>
        </is>
      </c>
      <c r="E835" t="inlineStr">
        <is>
          <t>SUNDSVALL</t>
        </is>
      </c>
      <c r="G835" t="n">
        <v>3.1</v>
      </c>
      <c r="H835" t="n">
        <v>0</v>
      </c>
      <c r="I835" t="n">
        <v>0</v>
      </c>
      <c r="J835" t="n">
        <v>0</v>
      </c>
      <c r="K835" t="n">
        <v>0</v>
      </c>
      <c r="L835" t="n">
        <v>0</v>
      </c>
      <c r="M835" t="n">
        <v>0</v>
      </c>
      <c r="N835" t="n">
        <v>0</v>
      </c>
      <c r="O835" t="n">
        <v>0</v>
      </c>
      <c r="P835" t="n">
        <v>0</v>
      </c>
      <c r="Q835" t="n">
        <v>0</v>
      </c>
      <c r="R835" s="2" t="inlineStr"/>
    </row>
    <row r="836" ht="15" customHeight="1">
      <c r="A836" t="inlineStr">
        <is>
          <t>A 7245-2024</t>
        </is>
      </c>
      <c r="B836" s="1" t="n">
        <v>45344</v>
      </c>
      <c r="C836" s="1" t="n">
        <v>45961</v>
      </c>
      <c r="D836" t="inlineStr">
        <is>
          <t>VÄSTERNORRLANDS LÄN</t>
        </is>
      </c>
      <c r="E836" t="inlineStr">
        <is>
          <t>SUNDSVALL</t>
        </is>
      </c>
      <c r="G836" t="n">
        <v>1.5</v>
      </c>
      <c r="H836" t="n">
        <v>0</v>
      </c>
      <c r="I836" t="n">
        <v>0</v>
      </c>
      <c r="J836" t="n">
        <v>0</v>
      </c>
      <c r="K836" t="n">
        <v>0</v>
      </c>
      <c r="L836" t="n">
        <v>0</v>
      </c>
      <c r="M836" t="n">
        <v>0</v>
      </c>
      <c r="N836" t="n">
        <v>0</v>
      </c>
      <c r="O836" t="n">
        <v>0</v>
      </c>
      <c r="P836" t="n">
        <v>0</v>
      </c>
      <c r="Q836" t="n">
        <v>0</v>
      </c>
      <c r="R836" s="2" t="inlineStr"/>
    </row>
    <row r="837" ht="15" customHeight="1">
      <c r="A837" t="inlineStr">
        <is>
          <t>A 54313-2024</t>
        </is>
      </c>
      <c r="B837" s="1" t="n">
        <v>45617.34414351852</v>
      </c>
      <c r="C837" s="1" t="n">
        <v>45961</v>
      </c>
      <c r="D837" t="inlineStr">
        <is>
          <t>VÄSTERNORRLANDS LÄN</t>
        </is>
      </c>
      <c r="E837" t="inlineStr">
        <is>
          <t>SUNDSVALL</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29951-2023</t>
        </is>
      </c>
      <c r="B838" s="1" t="n">
        <v>45107.93866898148</v>
      </c>
      <c r="C838" s="1" t="n">
        <v>45961</v>
      </c>
      <c r="D838" t="inlineStr">
        <is>
          <t>VÄSTERNORRLANDS LÄN</t>
        </is>
      </c>
      <c r="E838" t="inlineStr">
        <is>
          <t>SUNDSVALL</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3634-2023</t>
        </is>
      </c>
      <c r="B839" s="1" t="n">
        <v>44950</v>
      </c>
      <c r="C839" s="1" t="n">
        <v>45961</v>
      </c>
      <c r="D839" t="inlineStr">
        <is>
          <t>VÄSTERNORRLANDS LÄN</t>
        </is>
      </c>
      <c r="E839" t="inlineStr">
        <is>
          <t>SUNDSVALL</t>
        </is>
      </c>
      <c r="G839" t="n">
        <v>49.4</v>
      </c>
      <c r="H839" t="n">
        <v>0</v>
      </c>
      <c r="I839" t="n">
        <v>0</v>
      </c>
      <c r="J839" t="n">
        <v>0</v>
      </c>
      <c r="K839" t="n">
        <v>0</v>
      </c>
      <c r="L839" t="n">
        <v>0</v>
      </c>
      <c r="M839" t="n">
        <v>0</v>
      </c>
      <c r="N839" t="n">
        <v>0</v>
      </c>
      <c r="O839" t="n">
        <v>0</v>
      </c>
      <c r="P839" t="n">
        <v>0</v>
      </c>
      <c r="Q839" t="n">
        <v>0</v>
      </c>
      <c r="R839" s="2" t="inlineStr"/>
    </row>
    <row r="840" ht="15" customHeight="1">
      <c r="A840" t="inlineStr">
        <is>
          <t>A 3619-2024</t>
        </is>
      </c>
      <c r="B840" s="1" t="n">
        <v>45320.95262731481</v>
      </c>
      <c r="C840" s="1" t="n">
        <v>45961</v>
      </c>
      <c r="D840" t="inlineStr">
        <is>
          <t>VÄSTERNORRLANDS LÄN</t>
        </is>
      </c>
      <c r="E840" t="inlineStr">
        <is>
          <t>SUNDSVALL</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41028-2023</t>
        </is>
      </c>
      <c r="B841" s="1" t="n">
        <v>45169</v>
      </c>
      <c r="C841" s="1" t="n">
        <v>45961</v>
      </c>
      <c r="D841" t="inlineStr">
        <is>
          <t>VÄSTERNORRLANDS LÄN</t>
        </is>
      </c>
      <c r="E841" t="inlineStr">
        <is>
          <t>SUNDSVALL</t>
        </is>
      </c>
      <c r="G841" t="n">
        <v>5.7</v>
      </c>
      <c r="H841" t="n">
        <v>0</v>
      </c>
      <c r="I841" t="n">
        <v>0</v>
      </c>
      <c r="J841" t="n">
        <v>0</v>
      </c>
      <c r="K841" t="n">
        <v>0</v>
      </c>
      <c r="L841" t="n">
        <v>0</v>
      </c>
      <c r="M841" t="n">
        <v>0</v>
      </c>
      <c r="N841" t="n">
        <v>0</v>
      </c>
      <c r="O841" t="n">
        <v>0</v>
      </c>
      <c r="P841" t="n">
        <v>0</v>
      </c>
      <c r="Q841" t="n">
        <v>0</v>
      </c>
      <c r="R841" s="2" t="inlineStr"/>
    </row>
    <row r="842" ht="15" customHeight="1">
      <c r="A842" t="inlineStr">
        <is>
          <t>A 44758-2024</t>
        </is>
      </c>
      <c r="B842" s="1" t="n">
        <v>45574.61493055556</v>
      </c>
      <c r="C842" s="1" t="n">
        <v>45961</v>
      </c>
      <c r="D842" t="inlineStr">
        <is>
          <t>VÄSTERNORRLANDS LÄN</t>
        </is>
      </c>
      <c r="E842" t="inlineStr">
        <is>
          <t>SUNDSVALL</t>
        </is>
      </c>
      <c r="G842" t="n">
        <v>3.6</v>
      </c>
      <c r="H842" t="n">
        <v>0</v>
      </c>
      <c r="I842" t="n">
        <v>0</v>
      </c>
      <c r="J842" t="n">
        <v>0</v>
      </c>
      <c r="K842" t="n">
        <v>0</v>
      </c>
      <c r="L842" t="n">
        <v>0</v>
      </c>
      <c r="M842" t="n">
        <v>0</v>
      </c>
      <c r="N842" t="n">
        <v>0</v>
      </c>
      <c r="O842" t="n">
        <v>0</v>
      </c>
      <c r="P842" t="n">
        <v>0</v>
      </c>
      <c r="Q842" t="n">
        <v>0</v>
      </c>
      <c r="R842" s="2" t="inlineStr"/>
    </row>
    <row r="843" ht="15" customHeight="1">
      <c r="A843" t="inlineStr">
        <is>
          <t>A 1080-2022</t>
        </is>
      </c>
      <c r="B843" s="1" t="n">
        <v>44571.92100694445</v>
      </c>
      <c r="C843" s="1" t="n">
        <v>45961</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8232-2022</t>
        </is>
      </c>
      <c r="B844" s="1" t="n">
        <v>44609.94840277778</v>
      </c>
      <c r="C844" s="1" t="n">
        <v>45961</v>
      </c>
      <c r="D844" t="inlineStr">
        <is>
          <t>VÄSTERNORRLANDS LÄN</t>
        </is>
      </c>
      <c r="E844" t="inlineStr">
        <is>
          <t>SUNDSVALL</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2587-2024</t>
        </is>
      </c>
      <c r="B845" s="1" t="n">
        <v>45313</v>
      </c>
      <c r="C845" s="1" t="n">
        <v>45961</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43128-2024</t>
        </is>
      </c>
      <c r="B846" s="1" t="n">
        <v>45567</v>
      </c>
      <c r="C846" s="1" t="n">
        <v>45961</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11352-2022</t>
        </is>
      </c>
      <c r="B847" s="1" t="n">
        <v>44630</v>
      </c>
      <c r="C847" s="1" t="n">
        <v>45961</v>
      </c>
      <c r="D847" t="inlineStr">
        <is>
          <t>VÄSTERNORRLANDS LÄN</t>
        </is>
      </c>
      <c r="E847" t="inlineStr">
        <is>
          <t>SUNDSVALL</t>
        </is>
      </c>
      <c r="G847" t="n">
        <v>10.2</v>
      </c>
      <c r="H847" t="n">
        <v>0</v>
      </c>
      <c r="I847" t="n">
        <v>0</v>
      </c>
      <c r="J847" t="n">
        <v>0</v>
      </c>
      <c r="K847" t="n">
        <v>0</v>
      </c>
      <c r="L847" t="n">
        <v>0</v>
      </c>
      <c r="M847" t="n">
        <v>0</v>
      </c>
      <c r="N847" t="n">
        <v>0</v>
      </c>
      <c r="O847" t="n">
        <v>0</v>
      </c>
      <c r="P847" t="n">
        <v>0</v>
      </c>
      <c r="Q847" t="n">
        <v>0</v>
      </c>
      <c r="R847" s="2" t="inlineStr"/>
    </row>
    <row r="848" ht="15" customHeight="1">
      <c r="A848" t="inlineStr">
        <is>
          <t>A 51790-2023</t>
        </is>
      </c>
      <c r="B848" s="1" t="n">
        <v>45222</v>
      </c>
      <c r="C848" s="1" t="n">
        <v>45961</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51791-2023</t>
        </is>
      </c>
      <c r="B849" s="1" t="n">
        <v>45222</v>
      </c>
      <c r="C849" s="1" t="n">
        <v>45961</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5314-2025</t>
        </is>
      </c>
      <c r="B850" s="1" t="n">
        <v>45692.51083333333</v>
      </c>
      <c r="C850" s="1" t="n">
        <v>45961</v>
      </c>
      <c r="D850" t="inlineStr">
        <is>
          <t>VÄSTERNORRLANDS LÄN</t>
        </is>
      </c>
      <c r="E850" t="inlineStr">
        <is>
          <t>SUNDSVALL</t>
        </is>
      </c>
      <c r="F850" t="inlineStr">
        <is>
          <t>SCA</t>
        </is>
      </c>
      <c r="G850" t="n">
        <v>7.4</v>
      </c>
      <c r="H850" t="n">
        <v>0</v>
      </c>
      <c r="I850" t="n">
        <v>0</v>
      </c>
      <c r="J850" t="n">
        <v>0</v>
      </c>
      <c r="K850" t="n">
        <v>0</v>
      </c>
      <c r="L850" t="n">
        <v>0</v>
      </c>
      <c r="M850" t="n">
        <v>0</v>
      </c>
      <c r="N850" t="n">
        <v>0</v>
      </c>
      <c r="O850" t="n">
        <v>0</v>
      </c>
      <c r="P850" t="n">
        <v>0</v>
      </c>
      <c r="Q850" t="n">
        <v>0</v>
      </c>
      <c r="R850" s="2" t="inlineStr"/>
    </row>
    <row r="851" ht="15" customHeight="1">
      <c r="A851" t="inlineStr">
        <is>
          <t>A 5797-2021</t>
        </is>
      </c>
      <c r="B851" s="1" t="n">
        <v>44230</v>
      </c>
      <c r="C851" s="1" t="n">
        <v>45961</v>
      </c>
      <c r="D851" t="inlineStr">
        <is>
          <t>VÄSTERNORRLANDS LÄN</t>
        </is>
      </c>
      <c r="E851" t="inlineStr">
        <is>
          <t>SUNDSVALL</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47682-2024</t>
        </is>
      </c>
      <c r="B852" s="1" t="n">
        <v>45588.42511574074</v>
      </c>
      <c r="C852" s="1" t="n">
        <v>45961</v>
      </c>
      <c r="D852" t="inlineStr">
        <is>
          <t>VÄSTERNORRLANDS LÄN</t>
        </is>
      </c>
      <c r="E852" t="inlineStr">
        <is>
          <t>SUNDSVALL</t>
        </is>
      </c>
      <c r="F852" t="inlineStr">
        <is>
          <t>Holmen skog AB</t>
        </is>
      </c>
      <c r="G852" t="n">
        <v>2.3</v>
      </c>
      <c r="H852" t="n">
        <v>0</v>
      </c>
      <c r="I852" t="n">
        <v>0</v>
      </c>
      <c r="J852" t="n">
        <v>0</v>
      </c>
      <c r="K852" t="n">
        <v>0</v>
      </c>
      <c r="L852" t="n">
        <v>0</v>
      </c>
      <c r="M852" t="n">
        <v>0</v>
      </c>
      <c r="N852" t="n">
        <v>0</v>
      </c>
      <c r="O852" t="n">
        <v>0</v>
      </c>
      <c r="P852" t="n">
        <v>0</v>
      </c>
      <c r="Q852" t="n">
        <v>0</v>
      </c>
      <c r="R852" s="2" t="inlineStr"/>
    </row>
    <row r="853" ht="15" customHeight="1">
      <c r="A853" t="inlineStr">
        <is>
          <t>A 45816-2024</t>
        </is>
      </c>
      <c r="B853" s="1" t="n">
        <v>45579.72534722222</v>
      </c>
      <c r="C853" s="1" t="n">
        <v>45961</v>
      </c>
      <c r="D853" t="inlineStr">
        <is>
          <t>VÄSTERNORRLANDS LÄN</t>
        </is>
      </c>
      <c r="E853" t="inlineStr">
        <is>
          <t>SUNDSVALL</t>
        </is>
      </c>
      <c r="G853" t="n">
        <v>2.6</v>
      </c>
      <c r="H853" t="n">
        <v>0</v>
      </c>
      <c r="I853" t="n">
        <v>0</v>
      </c>
      <c r="J853" t="n">
        <v>0</v>
      </c>
      <c r="K853" t="n">
        <v>0</v>
      </c>
      <c r="L853" t="n">
        <v>0</v>
      </c>
      <c r="M853" t="n">
        <v>0</v>
      </c>
      <c r="N853" t="n">
        <v>0</v>
      </c>
      <c r="O853" t="n">
        <v>0</v>
      </c>
      <c r="P853" t="n">
        <v>0</v>
      </c>
      <c r="Q853" t="n">
        <v>0</v>
      </c>
      <c r="R853" s="2" t="inlineStr"/>
    </row>
    <row r="854" ht="15" customHeight="1">
      <c r="A854" t="inlineStr">
        <is>
          <t>A 15802-2022</t>
        </is>
      </c>
      <c r="B854" s="1" t="n">
        <v>44663.92585648148</v>
      </c>
      <c r="C854" s="1" t="n">
        <v>45961</v>
      </c>
      <c r="D854" t="inlineStr">
        <is>
          <t>VÄSTERNORRLANDS LÄN</t>
        </is>
      </c>
      <c r="E854" t="inlineStr">
        <is>
          <t>SUNDSVALL</t>
        </is>
      </c>
      <c r="G854" t="n">
        <v>4.6</v>
      </c>
      <c r="H854" t="n">
        <v>0</v>
      </c>
      <c r="I854" t="n">
        <v>0</v>
      </c>
      <c r="J854" t="n">
        <v>0</v>
      </c>
      <c r="K854" t="n">
        <v>0</v>
      </c>
      <c r="L854" t="n">
        <v>0</v>
      </c>
      <c r="M854" t="n">
        <v>0</v>
      </c>
      <c r="N854" t="n">
        <v>0</v>
      </c>
      <c r="O854" t="n">
        <v>0</v>
      </c>
      <c r="P854" t="n">
        <v>0</v>
      </c>
      <c r="Q854" t="n">
        <v>0</v>
      </c>
      <c r="R854" s="2" t="inlineStr"/>
    </row>
    <row r="855" ht="15" customHeight="1">
      <c r="A855" t="inlineStr">
        <is>
          <t>A 40317-2024</t>
        </is>
      </c>
      <c r="B855" s="1" t="n">
        <v>45554.793125</v>
      </c>
      <c r="C855" s="1" t="n">
        <v>45961</v>
      </c>
      <c r="D855" t="inlineStr">
        <is>
          <t>VÄSTERNORRLANDS LÄN</t>
        </is>
      </c>
      <c r="E855" t="inlineStr">
        <is>
          <t>SUNDSVALL</t>
        </is>
      </c>
      <c r="G855" t="n">
        <v>12.5</v>
      </c>
      <c r="H855" t="n">
        <v>0</v>
      </c>
      <c r="I855" t="n">
        <v>0</v>
      </c>
      <c r="J855" t="n">
        <v>0</v>
      </c>
      <c r="K855" t="n">
        <v>0</v>
      </c>
      <c r="L855" t="n">
        <v>0</v>
      </c>
      <c r="M855" t="n">
        <v>0</v>
      </c>
      <c r="N855" t="n">
        <v>0</v>
      </c>
      <c r="O855" t="n">
        <v>0</v>
      </c>
      <c r="P855" t="n">
        <v>0</v>
      </c>
      <c r="Q855" t="n">
        <v>0</v>
      </c>
      <c r="R855" s="2" t="inlineStr"/>
    </row>
    <row r="856" ht="15" customHeight="1">
      <c r="A856" t="inlineStr">
        <is>
          <t>A 55790-2024</t>
        </is>
      </c>
      <c r="B856" s="1" t="n">
        <v>45623.42818287037</v>
      </c>
      <c r="C856" s="1" t="n">
        <v>45961</v>
      </c>
      <c r="D856" t="inlineStr">
        <is>
          <t>VÄSTERNORRLANDS LÄN</t>
        </is>
      </c>
      <c r="E856" t="inlineStr">
        <is>
          <t>SUNDSVALL</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3962-2025</t>
        </is>
      </c>
      <c r="B857" s="1" t="n">
        <v>45684.50478009259</v>
      </c>
      <c r="C857" s="1" t="n">
        <v>45961</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45333-2023</t>
        </is>
      </c>
      <c r="B858" s="1" t="n">
        <v>45191</v>
      </c>
      <c r="C858" s="1" t="n">
        <v>45961</v>
      </c>
      <c r="D858" t="inlineStr">
        <is>
          <t>VÄSTERNORRLANDS LÄN</t>
        </is>
      </c>
      <c r="E858" t="inlineStr">
        <is>
          <t>SUNDSVALL</t>
        </is>
      </c>
      <c r="G858" t="n">
        <v>2</v>
      </c>
      <c r="H858" t="n">
        <v>0</v>
      </c>
      <c r="I858" t="n">
        <v>0</v>
      </c>
      <c r="J858" t="n">
        <v>0</v>
      </c>
      <c r="K858" t="n">
        <v>0</v>
      </c>
      <c r="L858" t="n">
        <v>0</v>
      </c>
      <c r="M858" t="n">
        <v>0</v>
      </c>
      <c r="N858" t="n">
        <v>0</v>
      </c>
      <c r="O858" t="n">
        <v>0</v>
      </c>
      <c r="P858" t="n">
        <v>0</v>
      </c>
      <c r="Q858" t="n">
        <v>0</v>
      </c>
      <c r="R858" s="2" t="inlineStr"/>
    </row>
    <row r="859" ht="15" customHeight="1">
      <c r="A859" t="inlineStr">
        <is>
          <t>A 11414-2024</t>
        </is>
      </c>
      <c r="B859" s="1" t="n">
        <v>45372.47179398148</v>
      </c>
      <c r="C859" s="1" t="n">
        <v>45961</v>
      </c>
      <c r="D859" t="inlineStr">
        <is>
          <t>VÄSTERNORRLANDS LÄN</t>
        </is>
      </c>
      <c r="E859" t="inlineStr">
        <is>
          <t>SUNDSVALL</t>
        </is>
      </c>
      <c r="F859" t="inlineStr">
        <is>
          <t>Kommuner</t>
        </is>
      </c>
      <c r="G859" t="n">
        <v>5.9</v>
      </c>
      <c r="H859" t="n">
        <v>0</v>
      </c>
      <c r="I859" t="n">
        <v>0</v>
      </c>
      <c r="J859" t="n">
        <v>0</v>
      </c>
      <c r="K859" t="n">
        <v>0</v>
      </c>
      <c r="L859" t="n">
        <v>0</v>
      </c>
      <c r="M859" t="n">
        <v>0</v>
      </c>
      <c r="N859" t="n">
        <v>0</v>
      </c>
      <c r="O859" t="n">
        <v>0</v>
      </c>
      <c r="P859" t="n">
        <v>0</v>
      </c>
      <c r="Q859" t="n">
        <v>0</v>
      </c>
      <c r="R859" s="2" t="inlineStr"/>
    </row>
    <row r="860" ht="15" customHeight="1">
      <c r="A860" t="inlineStr">
        <is>
          <t>A 31439-2022</t>
        </is>
      </c>
      <c r="B860" s="1" t="n">
        <v>44774</v>
      </c>
      <c r="C860" s="1" t="n">
        <v>45961</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4813-2025</t>
        </is>
      </c>
      <c r="B861" s="1" t="n">
        <v>45688</v>
      </c>
      <c r="C861" s="1" t="n">
        <v>45961</v>
      </c>
      <c r="D861" t="inlineStr">
        <is>
          <t>VÄSTERNORRLANDS LÄN</t>
        </is>
      </c>
      <c r="E861" t="inlineStr">
        <is>
          <t>SUNDSVALL</t>
        </is>
      </c>
      <c r="G861" t="n">
        <v>4.4</v>
      </c>
      <c r="H861" t="n">
        <v>0</v>
      </c>
      <c r="I861" t="n">
        <v>0</v>
      </c>
      <c r="J861" t="n">
        <v>0</v>
      </c>
      <c r="K861" t="n">
        <v>0</v>
      </c>
      <c r="L861" t="n">
        <v>0</v>
      </c>
      <c r="M861" t="n">
        <v>0</v>
      </c>
      <c r="N861" t="n">
        <v>0</v>
      </c>
      <c r="O861" t="n">
        <v>0</v>
      </c>
      <c r="P861" t="n">
        <v>0</v>
      </c>
      <c r="Q861" t="n">
        <v>0</v>
      </c>
      <c r="R861" s="2" t="inlineStr"/>
    </row>
    <row r="862" ht="15" customHeight="1">
      <c r="A862" t="inlineStr">
        <is>
          <t>A 45024-2023</t>
        </is>
      </c>
      <c r="B862" s="1" t="n">
        <v>45190.96283564815</v>
      </c>
      <c r="C862" s="1" t="n">
        <v>45961</v>
      </c>
      <c r="D862" t="inlineStr">
        <is>
          <t>VÄSTERNORRLANDS LÄN</t>
        </is>
      </c>
      <c r="E862" t="inlineStr">
        <is>
          <t>SUNDSVALL</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20057-2023</t>
        </is>
      </c>
      <c r="B863" s="1" t="n">
        <v>45051</v>
      </c>
      <c r="C863" s="1" t="n">
        <v>45961</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3772-2025</t>
        </is>
      </c>
      <c r="B864" s="1" t="n">
        <v>45681</v>
      </c>
      <c r="C864" s="1" t="n">
        <v>45961</v>
      </c>
      <c r="D864" t="inlineStr">
        <is>
          <t>VÄSTERNORRLANDS LÄN</t>
        </is>
      </c>
      <c r="E864" t="inlineStr">
        <is>
          <t>SUNDSVALL</t>
        </is>
      </c>
      <c r="G864" t="n">
        <v>2</v>
      </c>
      <c r="H864" t="n">
        <v>0</v>
      </c>
      <c r="I864" t="n">
        <v>0</v>
      </c>
      <c r="J864" t="n">
        <v>0</v>
      </c>
      <c r="K864" t="n">
        <v>0</v>
      </c>
      <c r="L864" t="n">
        <v>0</v>
      </c>
      <c r="M864" t="n">
        <v>0</v>
      </c>
      <c r="N864" t="n">
        <v>0</v>
      </c>
      <c r="O864" t="n">
        <v>0</v>
      </c>
      <c r="P864" t="n">
        <v>0</v>
      </c>
      <c r="Q864" t="n">
        <v>0</v>
      </c>
      <c r="R864" s="2" t="inlineStr"/>
    </row>
    <row r="865" ht="15" customHeight="1">
      <c r="A865" t="inlineStr">
        <is>
          <t>A 31274-2023</t>
        </is>
      </c>
      <c r="B865" s="1" t="n">
        <v>45114.3946412037</v>
      </c>
      <c r="C865" s="1" t="n">
        <v>45961</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58991-2024</t>
        </is>
      </c>
      <c r="B866" s="1" t="n">
        <v>45636.63574074074</v>
      </c>
      <c r="C866" s="1" t="n">
        <v>45961</v>
      </c>
      <c r="D866" t="inlineStr">
        <is>
          <t>VÄSTERNORRLANDS LÄN</t>
        </is>
      </c>
      <c r="E866" t="inlineStr">
        <is>
          <t>SUNDSVALL</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31278-2023</t>
        </is>
      </c>
      <c r="B867" s="1" t="n">
        <v>45114.39721064815</v>
      </c>
      <c r="C867" s="1" t="n">
        <v>45961</v>
      </c>
      <c r="D867" t="inlineStr">
        <is>
          <t>VÄSTERNORRLANDS LÄN</t>
        </is>
      </c>
      <c r="E867" t="inlineStr">
        <is>
          <t>SUNDSVALL</t>
        </is>
      </c>
      <c r="G867" t="n">
        <v>3.4</v>
      </c>
      <c r="H867" t="n">
        <v>0</v>
      </c>
      <c r="I867" t="n">
        <v>0</v>
      </c>
      <c r="J867" t="n">
        <v>0</v>
      </c>
      <c r="K867" t="n">
        <v>0</v>
      </c>
      <c r="L867" t="n">
        <v>0</v>
      </c>
      <c r="M867" t="n">
        <v>0</v>
      </c>
      <c r="N867" t="n">
        <v>0</v>
      </c>
      <c r="O867" t="n">
        <v>0</v>
      </c>
      <c r="P867" t="n">
        <v>0</v>
      </c>
      <c r="Q867" t="n">
        <v>0</v>
      </c>
      <c r="R867" s="2" t="inlineStr"/>
    </row>
    <row r="868" ht="15" customHeight="1">
      <c r="A868" t="inlineStr">
        <is>
          <t>A 4346-2024</t>
        </is>
      </c>
      <c r="B868" s="1" t="n">
        <v>45324</v>
      </c>
      <c r="C868" s="1" t="n">
        <v>45961</v>
      </c>
      <c r="D868" t="inlineStr">
        <is>
          <t>VÄSTERNORRLANDS LÄN</t>
        </is>
      </c>
      <c r="E868" t="inlineStr">
        <is>
          <t>SUNDSVALL</t>
        </is>
      </c>
      <c r="G868" t="n">
        <v>0.8</v>
      </c>
      <c r="H868" t="n">
        <v>0</v>
      </c>
      <c r="I868" t="n">
        <v>0</v>
      </c>
      <c r="J868" t="n">
        <v>0</v>
      </c>
      <c r="K868" t="n">
        <v>0</v>
      </c>
      <c r="L868" t="n">
        <v>0</v>
      </c>
      <c r="M868" t="n">
        <v>0</v>
      </c>
      <c r="N868" t="n">
        <v>0</v>
      </c>
      <c r="O868" t="n">
        <v>0</v>
      </c>
      <c r="P868" t="n">
        <v>0</v>
      </c>
      <c r="Q868" t="n">
        <v>0</v>
      </c>
      <c r="R868" s="2" t="inlineStr"/>
    </row>
    <row r="869" ht="15" customHeight="1">
      <c r="A869" t="inlineStr">
        <is>
          <t>A 12280-2025</t>
        </is>
      </c>
      <c r="B869" s="1" t="n">
        <v>45729.6537962963</v>
      </c>
      <c r="C869" s="1" t="n">
        <v>45961</v>
      </c>
      <c r="D869" t="inlineStr">
        <is>
          <t>VÄSTERNORRLANDS LÄN</t>
        </is>
      </c>
      <c r="E869" t="inlineStr">
        <is>
          <t>SUNDSVALL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46497-2023</t>
        </is>
      </c>
      <c r="B870" s="1" t="n">
        <v>45197.65950231482</v>
      </c>
      <c r="C870" s="1" t="n">
        <v>45961</v>
      </c>
      <c r="D870" t="inlineStr">
        <is>
          <t>VÄSTERNORRLANDS LÄN</t>
        </is>
      </c>
      <c r="E870" t="inlineStr">
        <is>
          <t>SUNDSVALL</t>
        </is>
      </c>
      <c r="G870" t="n">
        <v>1.8</v>
      </c>
      <c r="H870" t="n">
        <v>0</v>
      </c>
      <c r="I870" t="n">
        <v>0</v>
      </c>
      <c r="J870" t="n">
        <v>0</v>
      </c>
      <c r="K870" t="n">
        <v>0</v>
      </c>
      <c r="L870" t="n">
        <v>0</v>
      </c>
      <c r="M870" t="n">
        <v>0</v>
      </c>
      <c r="N870" t="n">
        <v>0</v>
      </c>
      <c r="O870" t="n">
        <v>0</v>
      </c>
      <c r="P870" t="n">
        <v>0</v>
      </c>
      <c r="Q870" t="n">
        <v>0</v>
      </c>
      <c r="R870" s="2" t="inlineStr"/>
    </row>
    <row r="871" ht="15" customHeight="1">
      <c r="A871" t="inlineStr">
        <is>
          <t>A 2104-2025</t>
        </is>
      </c>
      <c r="B871" s="1" t="n">
        <v>45672</v>
      </c>
      <c r="C871" s="1" t="n">
        <v>45961</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48333-2024</t>
        </is>
      </c>
      <c r="B872" s="1" t="n">
        <v>45590.53158564815</v>
      </c>
      <c r="C872" s="1" t="n">
        <v>45961</v>
      </c>
      <c r="D872" t="inlineStr">
        <is>
          <t>VÄSTERNORRLANDS LÄN</t>
        </is>
      </c>
      <c r="E872" t="inlineStr">
        <is>
          <t>SUNDSVALL</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39710-2024</t>
        </is>
      </c>
      <c r="B873" s="1" t="n">
        <v>45552</v>
      </c>
      <c r="C873" s="1" t="n">
        <v>45961</v>
      </c>
      <c r="D873" t="inlineStr">
        <is>
          <t>VÄSTERNORRLANDS LÄN</t>
        </is>
      </c>
      <c r="E873" t="inlineStr">
        <is>
          <t>SUNDSVALL</t>
        </is>
      </c>
      <c r="G873" t="n">
        <v>0.7</v>
      </c>
      <c r="H873" t="n">
        <v>0</v>
      </c>
      <c r="I873" t="n">
        <v>0</v>
      </c>
      <c r="J873" t="n">
        <v>0</v>
      </c>
      <c r="K873" t="n">
        <v>0</v>
      </c>
      <c r="L873" t="n">
        <v>0</v>
      </c>
      <c r="M873" t="n">
        <v>0</v>
      </c>
      <c r="N873" t="n">
        <v>0</v>
      </c>
      <c r="O873" t="n">
        <v>0</v>
      </c>
      <c r="P873" t="n">
        <v>0</v>
      </c>
      <c r="Q873" t="n">
        <v>0</v>
      </c>
      <c r="R873" s="2" t="inlineStr"/>
    </row>
    <row r="874" ht="15" customHeight="1">
      <c r="A874" t="inlineStr">
        <is>
          <t>A 52706-2024</t>
        </is>
      </c>
      <c r="B874" s="1" t="n">
        <v>45610.4243287037</v>
      </c>
      <c r="C874" s="1" t="n">
        <v>45961</v>
      </c>
      <c r="D874" t="inlineStr">
        <is>
          <t>VÄSTERNORRLANDS LÄN</t>
        </is>
      </c>
      <c r="E874" t="inlineStr">
        <is>
          <t>SUNDSVALL</t>
        </is>
      </c>
      <c r="G874" t="n">
        <v>2.9</v>
      </c>
      <c r="H874" t="n">
        <v>0</v>
      </c>
      <c r="I874" t="n">
        <v>0</v>
      </c>
      <c r="J874" t="n">
        <v>0</v>
      </c>
      <c r="K874" t="n">
        <v>0</v>
      </c>
      <c r="L874" t="n">
        <v>0</v>
      </c>
      <c r="M874" t="n">
        <v>0</v>
      </c>
      <c r="N874" t="n">
        <v>0</v>
      </c>
      <c r="O874" t="n">
        <v>0</v>
      </c>
      <c r="P874" t="n">
        <v>0</v>
      </c>
      <c r="Q874" t="n">
        <v>0</v>
      </c>
      <c r="R874" s="2" t="inlineStr"/>
    </row>
    <row r="875" ht="15" customHeight="1">
      <c r="A875" t="inlineStr">
        <is>
          <t>A 62120-2024</t>
        </is>
      </c>
      <c r="B875" s="1" t="n">
        <v>45646</v>
      </c>
      <c r="C875" s="1" t="n">
        <v>45961</v>
      </c>
      <c r="D875" t="inlineStr">
        <is>
          <t>VÄSTERNORRLANDS LÄN</t>
        </is>
      </c>
      <c r="E875" t="inlineStr">
        <is>
          <t>SUNDSVALL</t>
        </is>
      </c>
      <c r="G875" t="n">
        <v>0.8</v>
      </c>
      <c r="H875" t="n">
        <v>0</v>
      </c>
      <c r="I875" t="n">
        <v>0</v>
      </c>
      <c r="J875" t="n">
        <v>0</v>
      </c>
      <c r="K875" t="n">
        <v>0</v>
      </c>
      <c r="L875" t="n">
        <v>0</v>
      </c>
      <c r="M875" t="n">
        <v>0</v>
      </c>
      <c r="N875" t="n">
        <v>0</v>
      </c>
      <c r="O875" t="n">
        <v>0</v>
      </c>
      <c r="P875" t="n">
        <v>0</v>
      </c>
      <c r="Q875" t="n">
        <v>0</v>
      </c>
      <c r="R875" s="2" t="inlineStr"/>
    </row>
    <row r="876" ht="15" customHeight="1">
      <c r="A876" t="inlineStr">
        <is>
          <t>A 43040-2024</t>
        </is>
      </c>
      <c r="B876" s="1" t="n">
        <v>45567</v>
      </c>
      <c r="C876" s="1" t="n">
        <v>45961</v>
      </c>
      <c r="D876" t="inlineStr">
        <is>
          <t>VÄSTERNORRLANDS LÄN</t>
        </is>
      </c>
      <c r="E876" t="inlineStr">
        <is>
          <t>SUNDSVALL</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13360-2024</t>
        </is>
      </c>
      <c r="B877" s="1" t="n">
        <v>45387.35157407408</v>
      </c>
      <c r="C877" s="1" t="n">
        <v>45961</v>
      </c>
      <c r="D877" t="inlineStr">
        <is>
          <t>VÄSTERNORRLANDS LÄN</t>
        </is>
      </c>
      <c r="E877" t="inlineStr">
        <is>
          <t>SUNDSVALL</t>
        </is>
      </c>
      <c r="G877" t="n">
        <v>3</v>
      </c>
      <c r="H877" t="n">
        <v>0</v>
      </c>
      <c r="I877" t="n">
        <v>0</v>
      </c>
      <c r="J877" t="n">
        <v>0</v>
      </c>
      <c r="K877" t="n">
        <v>0</v>
      </c>
      <c r="L877" t="n">
        <v>0</v>
      </c>
      <c r="M877" t="n">
        <v>0</v>
      </c>
      <c r="N877" t="n">
        <v>0</v>
      </c>
      <c r="O877" t="n">
        <v>0</v>
      </c>
      <c r="P877" t="n">
        <v>0</v>
      </c>
      <c r="Q877" t="n">
        <v>0</v>
      </c>
      <c r="R877" s="2" t="inlineStr"/>
    </row>
    <row r="878" ht="15" customHeight="1">
      <c r="A878" t="inlineStr">
        <is>
          <t>A 51011-2021</t>
        </is>
      </c>
      <c r="B878" s="1" t="n">
        <v>44460</v>
      </c>
      <c r="C878" s="1" t="n">
        <v>45961</v>
      </c>
      <c r="D878" t="inlineStr">
        <is>
          <t>VÄSTERNORRLANDS LÄN</t>
        </is>
      </c>
      <c r="E878" t="inlineStr">
        <is>
          <t>SUNDSVALL</t>
        </is>
      </c>
      <c r="G878" t="n">
        <v>0.4</v>
      </c>
      <c r="H878" t="n">
        <v>0</v>
      </c>
      <c r="I878" t="n">
        <v>0</v>
      </c>
      <c r="J878" t="n">
        <v>0</v>
      </c>
      <c r="K878" t="n">
        <v>0</v>
      </c>
      <c r="L878" t="n">
        <v>0</v>
      </c>
      <c r="M878" t="n">
        <v>0</v>
      </c>
      <c r="N878" t="n">
        <v>0</v>
      </c>
      <c r="O878" t="n">
        <v>0</v>
      </c>
      <c r="P878" t="n">
        <v>0</v>
      </c>
      <c r="Q878" t="n">
        <v>0</v>
      </c>
      <c r="R878" s="2" t="inlineStr"/>
    </row>
    <row r="879" ht="15" customHeight="1">
      <c r="A879" t="inlineStr">
        <is>
          <t>A 3235-2024</t>
        </is>
      </c>
      <c r="B879" s="1" t="n">
        <v>45316</v>
      </c>
      <c r="C879" s="1" t="n">
        <v>45961</v>
      </c>
      <c r="D879" t="inlineStr">
        <is>
          <t>VÄSTERNORRLANDS LÄN</t>
        </is>
      </c>
      <c r="E879" t="inlineStr">
        <is>
          <t>SUNDSVALL</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67232-2020</t>
        </is>
      </c>
      <c r="B880" s="1" t="n">
        <v>44180</v>
      </c>
      <c r="C880" s="1" t="n">
        <v>45961</v>
      </c>
      <c r="D880" t="inlineStr">
        <is>
          <t>VÄSTERNORRLANDS LÄN</t>
        </is>
      </c>
      <c r="E880" t="inlineStr">
        <is>
          <t>SUNDSVALL</t>
        </is>
      </c>
      <c r="G880" t="n">
        <v>1.9</v>
      </c>
      <c r="H880" t="n">
        <v>0</v>
      </c>
      <c r="I880" t="n">
        <v>0</v>
      </c>
      <c r="J880" t="n">
        <v>0</v>
      </c>
      <c r="K880" t="n">
        <v>0</v>
      </c>
      <c r="L880" t="n">
        <v>0</v>
      </c>
      <c r="M880" t="n">
        <v>0</v>
      </c>
      <c r="N880" t="n">
        <v>0</v>
      </c>
      <c r="O880" t="n">
        <v>0</v>
      </c>
      <c r="P880" t="n">
        <v>0</v>
      </c>
      <c r="Q880" t="n">
        <v>0</v>
      </c>
      <c r="R880" s="2" t="inlineStr"/>
    </row>
    <row r="881" ht="15" customHeight="1">
      <c r="A881" t="inlineStr">
        <is>
          <t>A 67233-2020</t>
        </is>
      </c>
      <c r="B881" s="1" t="n">
        <v>44180</v>
      </c>
      <c r="C881" s="1" t="n">
        <v>45961</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52758-2023</t>
        </is>
      </c>
      <c r="B882" s="1" t="n">
        <v>45225</v>
      </c>
      <c r="C882" s="1" t="n">
        <v>45961</v>
      </c>
      <c r="D882" t="inlineStr">
        <is>
          <t>VÄSTERNORRLANDS LÄN</t>
        </is>
      </c>
      <c r="E882" t="inlineStr">
        <is>
          <t>SUNDSVALL</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39506-2023</t>
        </is>
      </c>
      <c r="B883" s="1" t="n">
        <v>45166.95797453704</v>
      </c>
      <c r="C883" s="1" t="n">
        <v>45961</v>
      </c>
      <c r="D883" t="inlineStr">
        <is>
          <t>VÄSTERNORRLANDS LÄN</t>
        </is>
      </c>
      <c r="E883" t="inlineStr">
        <is>
          <t>SUNDSVALL</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1371-2023</t>
        </is>
      </c>
      <c r="B884" s="1" t="n">
        <v>44936.66162037037</v>
      </c>
      <c r="C884" s="1" t="n">
        <v>45961</v>
      </c>
      <c r="D884" t="inlineStr">
        <is>
          <t>VÄSTERNORRLANDS LÄN</t>
        </is>
      </c>
      <c r="E884" t="inlineStr">
        <is>
          <t>SUNDSVALL</t>
        </is>
      </c>
      <c r="G884" t="n">
        <v>2.7</v>
      </c>
      <c r="H884" t="n">
        <v>0</v>
      </c>
      <c r="I884" t="n">
        <v>0</v>
      </c>
      <c r="J884" t="n">
        <v>0</v>
      </c>
      <c r="K884" t="n">
        <v>0</v>
      </c>
      <c r="L884" t="n">
        <v>0</v>
      </c>
      <c r="M884" t="n">
        <v>0</v>
      </c>
      <c r="N884" t="n">
        <v>0</v>
      </c>
      <c r="O884" t="n">
        <v>0</v>
      </c>
      <c r="P884" t="n">
        <v>0</v>
      </c>
      <c r="Q884" t="n">
        <v>0</v>
      </c>
      <c r="R884" s="2" t="inlineStr"/>
    </row>
    <row r="885" ht="15" customHeight="1">
      <c r="A885" t="inlineStr">
        <is>
          <t>A 55897-2022</t>
        </is>
      </c>
      <c r="B885" s="1" t="n">
        <v>44888.95325231482</v>
      </c>
      <c r="C885" s="1" t="n">
        <v>45961</v>
      </c>
      <c r="D885" t="inlineStr">
        <is>
          <t>VÄSTERNORRLANDS LÄN</t>
        </is>
      </c>
      <c r="E885" t="inlineStr">
        <is>
          <t>SUNDSVALL</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25964-2022</t>
        </is>
      </c>
      <c r="B886" s="1" t="n">
        <v>44734</v>
      </c>
      <c r="C886" s="1" t="n">
        <v>45961</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60891-2021</t>
        </is>
      </c>
      <c r="B887" s="1" t="n">
        <v>44497</v>
      </c>
      <c r="C887" s="1" t="n">
        <v>45961</v>
      </c>
      <c r="D887" t="inlineStr">
        <is>
          <t>VÄSTERNORRLANDS LÄN</t>
        </is>
      </c>
      <c r="E887" t="inlineStr">
        <is>
          <t>SUNDSVALL</t>
        </is>
      </c>
      <c r="F887" t="inlineStr">
        <is>
          <t>Kommuner</t>
        </is>
      </c>
      <c r="G887" t="n">
        <v>1.1</v>
      </c>
      <c r="H887" t="n">
        <v>0</v>
      </c>
      <c r="I887" t="n">
        <v>0</v>
      </c>
      <c r="J887" t="n">
        <v>0</v>
      </c>
      <c r="K887" t="n">
        <v>0</v>
      </c>
      <c r="L887" t="n">
        <v>0</v>
      </c>
      <c r="M887" t="n">
        <v>0</v>
      </c>
      <c r="N887" t="n">
        <v>0</v>
      </c>
      <c r="O887" t="n">
        <v>0</v>
      </c>
      <c r="P887" t="n">
        <v>0</v>
      </c>
      <c r="Q887" t="n">
        <v>0</v>
      </c>
      <c r="R887" s="2" t="inlineStr"/>
    </row>
    <row r="888" ht="15" customHeight="1">
      <c r="A888" t="inlineStr">
        <is>
          <t>A 44551-2023</t>
        </is>
      </c>
      <c r="B888" s="1" t="n">
        <v>45183</v>
      </c>
      <c r="C888" s="1" t="n">
        <v>45961</v>
      </c>
      <c r="D888" t="inlineStr">
        <is>
          <t>VÄSTERNORRLANDS LÄN</t>
        </is>
      </c>
      <c r="E888" t="inlineStr">
        <is>
          <t>SUNDSVALL</t>
        </is>
      </c>
      <c r="G888" t="n">
        <v>2.7</v>
      </c>
      <c r="H888" t="n">
        <v>0</v>
      </c>
      <c r="I888" t="n">
        <v>0</v>
      </c>
      <c r="J888" t="n">
        <v>0</v>
      </c>
      <c r="K888" t="n">
        <v>0</v>
      </c>
      <c r="L888" t="n">
        <v>0</v>
      </c>
      <c r="M888" t="n">
        <v>0</v>
      </c>
      <c r="N888" t="n">
        <v>0</v>
      </c>
      <c r="O888" t="n">
        <v>0</v>
      </c>
      <c r="P888" t="n">
        <v>0</v>
      </c>
      <c r="Q888" t="n">
        <v>0</v>
      </c>
      <c r="R888" s="2" t="inlineStr"/>
    </row>
    <row r="889" ht="15" customHeight="1">
      <c r="A889" t="inlineStr">
        <is>
          <t>A 11989-2024</t>
        </is>
      </c>
      <c r="B889" s="1" t="n">
        <v>45376.95318287037</v>
      </c>
      <c r="C889" s="1" t="n">
        <v>45961</v>
      </c>
      <c r="D889" t="inlineStr">
        <is>
          <t>VÄSTERNORRLANDS LÄN</t>
        </is>
      </c>
      <c r="E889" t="inlineStr">
        <is>
          <t>SUNDSVALL</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20626-2025</t>
        </is>
      </c>
      <c r="B890" s="1" t="n">
        <v>45776</v>
      </c>
      <c r="C890" s="1" t="n">
        <v>45961</v>
      </c>
      <c r="D890" t="inlineStr">
        <is>
          <t>VÄSTERNORRLANDS LÄN</t>
        </is>
      </c>
      <c r="E890" t="inlineStr">
        <is>
          <t>SUNDSVALL</t>
        </is>
      </c>
      <c r="F890" t="inlineStr">
        <is>
          <t>Naturvårdsverket</t>
        </is>
      </c>
      <c r="G890" t="n">
        <v>1</v>
      </c>
      <c r="H890" t="n">
        <v>0</v>
      </c>
      <c r="I890" t="n">
        <v>0</v>
      </c>
      <c r="J890" t="n">
        <v>0</v>
      </c>
      <c r="K890" t="n">
        <v>0</v>
      </c>
      <c r="L890" t="n">
        <v>0</v>
      </c>
      <c r="M890" t="n">
        <v>0</v>
      </c>
      <c r="N890" t="n">
        <v>0</v>
      </c>
      <c r="O890" t="n">
        <v>0</v>
      </c>
      <c r="P890" t="n">
        <v>0</v>
      </c>
      <c r="Q890" t="n">
        <v>0</v>
      </c>
      <c r="R890" s="2" t="inlineStr"/>
    </row>
    <row r="891" ht="15" customHeight="1">
      <c r="A891" t="inlineStr">
        <is>
          <t>A 20629-2025</t>
        </is>
      </c>
      <c r="B891" s="1" t="n">
        <v>45776</v>
      </c>
      <c r="C891" s="1" t="n">
        <v>45961</v>
      </c>
      <c r="D891" t="inlineStr">
        <is>
          <t>VÄSTERNORRLANDS LÄN</t>
        </is>
      </c>
      <c r="E891" t="inlineStr">
        <is>
          <t>SUNDSVALL</t>
        </is>
      </c>
      <c r="F891" t="inlineStr">
        <is>
          <t>SCA</t>
        </is>
      </c>
      <c r="G891" t="n">
        <v>9.4</v>
      </c>
      <c r="H891" t="n">
        <v>0</v>
      </c>
      <c r="I891" t="n">
        <v>0</v>
      </c>
      <c r="J891" t="n">
        <v>0</v>
      </c>
      <c r="K891" t="n">
        <v>0</v>
      </c>
      <c r="L891" t="n">
        <v>0</v>
      </c>
      <c r="M891" t="n">
        <v>0</v>
      </c>
      <c r="N891" t="n">
        <v>0</v>
      </c>
      <c r="O891" t="n">
        <v>0</v>
      </c>
      <c r="P891" t="n">
        <v>0</v>
      </c>
      <c r="Q891" t="n">
        <v>0</v>
      </c>
      <c r="R891" s="2" t="inlineStr"/>
    </row>
    <row r="892" ht="15" customHeight="1">
      <c r="A892" t="inlineStr">
        <is>
          <t>A 20630-2025</t>
        </is>
      </c>
      <c r="B892" s="1" t="n">
        <v>45776.34467592592</v>
      </c>
      <c r="C892" s="1" t="n">
        <v>45961</v>
      </c>
      <c r="D892" t="inlineStr">
        <is>
          <t>VÄSTERNORRLANDS LÄN</t>
        </is>
      </c>
      <c r="E892" t="inlineStr">
        <is>
          <t>SUNDSVALL</t>
        </is>
      </c>
      <c r="F892" t="inlineStr">
        <is>
          <t>Naturvårdsverket</t>
        </is>
      </c>
      <c r="G892" t="n">
        <v>1.1</v>
      </c>
      <c r="H892" t="n">
        <v>0</v>
      </c>
      <c r="I892" t="n">
        <v>0</v>
      </c>
      <c r="J892" t="n">
        <v>0</v>
      </c>
      <c r="K892" t="n">
        <v>0</v>
      </c>
      <c r="L892" t="n">
        <v>0</v>
      </c>
      <c r="M892" t="n">
        <v>0</v>
      </c>
      <c r="N892" t="n">
        <v>0</v>
      </c>
      <c r="O892" t="n">
        <v>0</v>
      </c>
      <c r="P892" t="n">
        <v>0</v>
      </c>
      <c r="Q892" t="n">
        <v>0</v>
      </c>
      <c r="R892" s="2" t="inlineStr"/>
    </row>
    <row r="893" ht="15" customHeight="1">
      <c r="A893" t="inlineStr">
        <is>
          <t>A 4871-2022</t>
        </is>
      </c>
      <c r="B893" s="1" t="n">
        <v>44592</v>
      </c>
      <c r="C893" s="1" t="n">
        <v>45961</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20694-2025</t>
        </is>
      </c>
      <c r="B894" s="1" t="n">
        <v>45776.46938657408</v>
      </c>
      <c r="C894" s="1" t="n">
        <v>45961</v>
      </c>
      <c r="D894" t="inlineStr">
        <is>
          <t>VÄSTERNORRLANDS LÄN</t>
        </is>
      </c>
      <c r="E894" t="inlineStr">
        <is>
          <t>SUNDSVALL</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20715-2025</t>
        </is>
      </c>
      <c r="B895" s="1" t="n">
        <v>45776.49008101852</v>
      </c>
      <c r="C895" s="1" t="n">
        <v>45961</v>
      </c>
      <c r="D895" t="inlineStr">
        <is>
          <t>VÄSTERNORRLANDS LÄN</t>
        </is>
      </c>
      <c r="E895" t="inlineStr">
        <is>
          <t>SUNDSVALL</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9616-2025</t>
        </is>
      </c>
      <c r="B896" s="1" t="n">
        <v>45715.66296296296</v>
      </c>
      <c r="C896" s="1" t="n">
        <v>45961</v>
      </c>
      <c r="D896" t="inlineStr">
        <is>
          <t>VÄSTERNORRLANDS LÄN</t>
        </is>
      </c>
      <c r="E896" t="inlineStr">
        <is>
          <t>SUNDSVALL</t>
        </is>
      </c>
      <c r="G896" t="n">
        <v>0.3</v>
      </c>
      <c r="H896" t="n">
        <v>0</v>
      </c>
      <c r="I896" t="n">
        <v>0</v>
      </c>
      <c r="J896" t="n">
        <v>0</v>
      </c>
      <c r="K896" t="n">
        <v>0</v>
      </c>
      <c r="L896" t="n">
        <v>0</v>
      </c>
      <c r="M896" t="n">
        <v>0</v>
      </c>
      <c r="N896" t="n">
        <v>0</v>
      </c>
      <c r="O896" t="n">
        <v>0</v>
      </c>
      <c r="P896" t="n">
        <v>0</v>
      </c>
      <c r="Q896" t="n">
        <v>0</v>
      </c>
      <c r="R896" s="2" t="inlineStr"/>
    </row>
    <row r="897" ht="15" customHeight="1">
      <c r="A897" t="inlineStr">
        <is>
          <t>A 37584-2024</t>
        </is>
      </c>
      <c r="B897" s="1" t="n">
        <v>45541.45975694444</v>
      </c>
      <c r="C897" s="1" t="n">
        <v>45961</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21181-2023</t>
        </is>
      </c>
      <c r="B898" s="1" t="n">
        <v>45062.45761574074</v>
      </c>
      <c r="C898" s="1" t="n">
        <v>45961</v>
      </c>
      <c r="D898" t="inlineStr">
        <is>
          <t>VÄSTERNORRLANDS LÄN</t>
        </is>
      </c>
      <c r="E898" t="inlineStr">
        <is>
          <t>SUNDSVALL</t>
        </is>
      </c>
      <c r="G898" t="n">
        <v>3.3</v>
      </c>
      <c r="H898" t="n">
        <v>0</v>
      </c>
      <c r="I898" t="n">
        <v>0</v>
      </c>
      <c r="J898" t="n">
        <v>0</v>
      </c>
      <c r="K898" t="n">
        <v>0</v>
      </c>
      <c r="L898" t="n">
        <v>0</v>
      </c>
      <c r="M898" t="n">
        <v>0</v>
      </c>
      <c r="N898" t="n">
        <v>0</v>
      </c>
      <c r="O898" t="n">
        <v>0</v>
      </c>
      <c r="P898" t="n">
        <v>0</v>
      </c>
      <c r="Q898" t="n">
        <v>0</v>
      </c>
      <c r="R898" s="2" t="inlineStr"/>
    </row>
    <row r="899" ht="15" customHeight="1">
      <c r="A899" t="inlineStr">
        <is>
          <t>A 20627-2025</t>
        </is>
      </c>
      <c r="B899" s="1" t="n">
        <v>45776.34429398148</v>
      </c>
      <c r="C899" s="1" t="n">
        <v>45961</v>
      </c>
      <c r="D899" t="inlineStr">
        <is>
          <t>VÄSTERNORRLANDS LÄN</t>
        </is>
      </c>
      <c r="E899" t="inlineStr">
        <is>
          <t>SUNDSVALL</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30748-2024</t>
        </is>
      </c>
      <c r="B900" s="1" t="n">
        <v>45496.6871875</v>
      </c>
      <c r="C900" s="1" t="n">
        <v>45961</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31712-2024</t>
        </is>
      </c>
      <c r="B901" s="1" t="n">
        <v>45508</v>
      </c>
      <c r="C901" s="1" t="n">
        <v>45961</v>
      </c>
      <c r="D901" t="inlineStr">
        <is>
          <t>VÄSTERNORRLANDS LÄN</t>
        </is>
      </c>
      <c r="E901" t="inlineStr">
        <is>
          <t>SUNDSVALL</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25748-2021</t>
        </is>
      </c>
      <c r="B902" s="1" t="n">
        <v>44343</v>
      </c>
      <c r="C902" s="1" t="n">
        <v>45961</v>
      </c>
      <c r="D902" t="inlineStr">
        <is>
          <t>VÄSTERNORRLANDS LÄN</t>
        </is>
      </c>
      <c r="E902" t="inlineStr">
        <is>
          <t>SUNDSVALL</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28708-2022</t>
        </is>
      </c>
      <c r="B903" s="1" t="n">
        <v>44748</v>
      </c>
      <c r="C903" s="1" t="n">
        <v>45961</v>
      </c>
      <c r="D903" t="inlineStr">
        <is>
          <t>VÄSTERNORRLANDS LÄN</t>
        </is>
      </c>
      <c r="E903" t="inlineStr">
        <is>
          <t>SUNDSVALL</t>
        </is>
      </c>
      <c r="G903" t="n">
        <v>4.4</v>
      </c>
      <c r="H903" t="n">
        <v>0</v>
      </c>
      <c r="I903" t="n">
        <v>0</v>
      </c>
      <c r="J903" t="n">
        <v>0</v>
      </c>
      <c r="K903" t="n">
        <v>0</v>
      </c>
      <c r="L903" t="n">
        <v>0</v>
      </c>
      <c r="M903" t="n">
        <v>0</v>
      </c>
      <c r="N903" t="n">
        <v>0</v>
      </c>
      <c r="O903" t="n">
        <v>0</v>
      </c>
      <c r="P903" t="n">
        <v>0</v>
      </c>
      <c r="Q903" t="n">
        <v>0</v>
      </c>
      <c r="R903" s="2" t="inlineStr"/>
    </row>
    <row r="904" ht="15" customHeight="1">
      <c r="A904" t="inlineStr">
        <is>
          <t>A 52231-2023</t>
        </is>
      </c>
      <c r="B904" s="1" t="n">
        <v>45217</v>
      </c>
      <c r="C904" s="1" t="n">
        <v>45961</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33108-2024</t>
        </is>
      </c>
      <c r="B905" s="1" t="n">
        <v>45517</v>
      </c>
      <c r="C905" s="1" t="n">
        <v>45961</v>
      </c>
      <c r="D905" t="inlineStr">
        <is>
          <t>VÄSTERNORRLANDS LÄN</t>
        </is>
      </c>
      <c r="E905" t="inlineStr">
        <is>
          <t>SUNDSVALL</t>
        </is>
      </c>
      <c r="G905" t="n">
        <v>5.8</v>
      </c>
      <c r="H905" t="n">
        <v>0</v>
      </c>
      <c r="I905" t="n">
        <v>0</v>
      </c>
      <c r="J905" t="n">
        <v>0</v>
      </c>
      <c r="K905" t="n">
        <v>0</v>
      </c>
      <c r="L905" t="n">
        <v>0</v>
      </c>
      <c r="M905" t="n">
        <v>0</v>
      </c>
      <c r="N905" t="n">
        <v>0</v>
      </c>
      <c r="O905" t="n">
        <v>0</v>
      </c>
      <c r="P905" t="n">
        <v>0</v>
      </c>
      <c r="Q905" t="n">
        <v>0</v>
      </c>
      <c r="R905" s="2" t="inlineStr"/>
    </row>
    <row r="906" ht="15" customHeight="1">
      <c r="A906" t="inlineStr">
        <is>
          <t>A 20086-2022</t>
        </is>
      </c>
      <c r="B906" s="1" t="n">
        <v>44697</v>
      </c>
      <c r="C906" s="1" t="n">
        <v>45961</v>
      </c>
      <c r="D906" t="inlineStr">
        <is>
          <t>VÄSTERNORRLANDS LÄN</t>
        </is>
      </c>
      <c r="E906" t="inlineStr">
        <is>
          <t>SUNDSVALL</t>
        </is>
      </c>
      <c r="G906" t="n">
        <v>2</v>
      </c>
      <c r="H906" t="n">
        <v>0</v>
      </c>
      <c r="I906" t="n">
        <v>0</v>
      </c>
      <c r="J906" t="n">
        <v>0</v>
      </c>
      <c r="K906" t="n">
        <v>0</v>
      </c>
      <c r="L906" t="n">
        <v>0</v>
      </c>
      <c r="M906" t="n">
        <v>0</v>
      </c>
      <c r="N906" t="n">
        <v>0</v>
      </c>
      <c r="O906" t="n">
        <v>0</v>
      </c>
      <c r="P906" t="n">
        <v>0</v>
      </c>
      <c r="Q906" t="n">
        <v>0</v>
      </c>
      <c r="R906" s="2" t="inlineStr"/>
    </row>
    <row r="907" ht="15" customHeight="1">
      <c r="A907" t="inlineStr">
        <is>
          <t>A 61268-2023</t>
        </is>
      </c>
      <c r="B907" s="1" t="n">
        <v>45264</v>
      </c>
      <c r="C907" s="1" t="n">
        <v>45961</v>
      </c>
      <c r="D907" t="inlineStr">
        <is>
          <t>VÄSTERNORRLANDS LÄN</t>
        </is>
      </c>
      <c r="E907" t="inlineStr">
        <is>
          <t>SUNDSVALL</t>
        </is>
      </c>
      <c r="G907" t="n">
        <v>1.6</v>
      </c>
      <c r="H907" t="n">
        <v>0</v>
      </c>
      <c r="I907" t="n">
        <v>0</v>
      </c>
      <c r="J907" t="n">
        <v>0</v>
      </c>
      <c r="K907" t="n">
        <v>0</v>
      </c>
      <c r="L907" t="n">
        <v>0</v>
      </c>
      <c r="M907" t="n">
        <v>0</v>
      </c>
      <c r="N907" t="n">
        <v>0</v>
      </c>
      <c r="O907" t="n">
        <v>0</v>
      </c>
      <c r="P907" t="n">
        <v>0</v>
      </c>
      <c r="Q907" t="n">
        <v>0</v>
      </c>
      <c r="R907" s="2" t="inlineStr"/>
    </row>
    <row r="908" ht="15" customHeight="1">
      <c r="A908" t="inlineStr">
        <is>
          <t>A 19385-2022</t>
        </is>
      </c>
      <c r="B908" s="1" t="n">
        <v>44692.92344907407</v>
      </c>
      <c r="C908" s="1" t="n">
        <v>45961</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59761-2024</t>
        </is>
      </c>
      <c r="B909" s="1" t="n">
        <v>45639.55269675926</v>
      </c>
      <c r="C909" s="1" t="n">
        <v>45961</v>
      </c>
      <c r="D909" t="inlineStr">
        <is>
          <t>VÄSTERNORRLANDS LÄN</t>
        </is>
      </c>
      <c r="E909" t="inlineStr">
        <is>
          <t>SUNDSVALL</t>
        </is>
      </c>
      <c r="G909" t="n">
        <v>2</v>
      </c>
      <c r="H909" t="n">
        <v>0</v>
      </c>
      <c r="I909" t="n">
        <v>0</v>
      </c>
      <c r="J909" t="n">
        <v>0</v>
      </c>
      <c r="K909" t="n">
        <v>0</v>
      </c>
      <c r="L909" t="n">
        <v>0</v>
      </c>
      <c r="M909" t="n">
        <v>0</v>
      </c>
      <c r="N909" t="n">
        <v>0</v>
      </c>
      <c r="O909" t="n">
        <v>0</v>
      </c>
      <c r="P909" t="n">
        <v>0</v>
      </c>
      <c r="Q909" t="n">
        <v>0</v>
      </c>
      <c r="R909" s="2" t="inlineStr"/>
    </row>
    <row r="910" ht="15" customHeight="1">
      <c r="A910" t="inlineStr">
        <is>
          <t>A 20908-2025</t>
        </is>
      </c>
      <c r="B910" s="1" t="n">
        <v>45777.40657407408</v>
      </c>
      <c r="C910" s="1" t="n">
        <v>45961</v>
      </c>
      <c r="D910" t="inlineStr">
        <is>
          <t>VÄSTERNORRLANDS LÄN</t>
        </is>
      </c>
      <c r="E910" t="inlineStr">
        <is>
          <t>SUNDSVALL</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16313-2025</t>
        </is>
      </c>
      <c r="B911" s="1" t="n">
        <v>45751.34751157407</v>
      </c>
      <c r="C911" s="1" t="n">
        <v>45961</v>
      </c>
      <c r="D911" t="inlineStr">
        <is>
          <t>VÄSTERNORRLANDS LÄN</t>
        </is>
      </c>
      <c r="E911" t="inlineStr">
        <is>
          <t>SUNDSVALL</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14464-2022</t>
        </is>
      </c>
      <c r="B912" s="1" t="n">
        <v>44654</v>
      </c>
      <c r="C912" s="1" t="n">
        <v>45961</v>
      </c>
      <c r="D912" t="inlineStr">
        <is>
          <t>VÄSTERNORRLANDS LÄN</t>
        </is>
      </c>
      <c r="E912" t="inlineStr">
        <is>
          <t>SUNDSVALL</t>
        </is>
      </c>
      <c r="G912" t="n">
        <v>3.9</v>
      </c>
      <c r="H912" t="n">
        <v>0</v>
      </c>
      <c r="I912" t="n">
        <v>0</v>
      </c>
      <c r="J912" t="n">
        <v>0</v>
      </c>
      <c r="K912" t="n">
        <v>0</v>
      </c>
      <c r="L912" t="n">
        <v>0</v>
      </c>
      <c r="M912" t="n">
        <v>0</v>
      </c>
      <c r="N912" t="n">
        <v>0</v>
      </c>
      <c r="O912" t="n">
        <v>0</v>
      </c>
      <c r="P912" t="n">
        <v>0</v>
      </c>
      <c r="Q912" t="n">
        <v>0</v>
      </c>
      <c r="R912" s="2" t="inlineStr"/>
    </row>
    <row r="913" ht="15" customHeight="1">
      <c r="A913" t="inlineStr">
        <is>
          <t>A 14466-2022</t>
        </is>
      </c>
      <c r="B913" s="1" t="n">
        <v>44654</v>
      </c>
      <c r="C913" s="1" t="n">
        <v>45961</v>
      </c>
      <c r="D913" t="inlineStr">
        <is>
          <t>VÄSTERNORRLANDS LÄN</t>
        </is>
      </c>
      <c r="E913" t="inlineStr">
        <is>
          <t>SUNDSVALL</t>
        </is>
      </c>
      <c r="G913" t="n">
        <v>4.4</v>
      </c>
      <c r="H913" t="n">
        <v>0</v>
      </c>
      <c r="I913" t="n">
        <v>0</v>
      </c>
      <c r="J913" t="n">
        <v>0</v>
      </c>
      <c r="K913" t="n">
        <v>0</v>
      </c>
      <c r="L913" t="n">
        <v>0</v>
      </c>
      <c r="M913" t="n">
        <v>0</v>
      </c>
      <c r="N913" t="n">
        <v>0</v>
      </c>
      <c r="O913" t="n">
        <v>0</v>
      </c>
      <c r="P913" t="n">
        <v>0</v>
      </c>
      <c r="Q913" t="n">
        <v>0</v>
      </c>
      <c r="R913" s="2" t="inlineStr"/>
    </row>
    <row r="914" ht="15" customHeight="1">
      <c r="A914" t="inlineStr">
        <is>
          <t>A 22729-2022</t>
        </is>
      </c>
      <c r="B914" s="1" t="n">
        <v>44714.65461805555</v>
      </c>
      <c r="C914" s="1" t="n">
        <v>45961</v>
      </c>
      <c r="D914" t="inlineStr">
        <is>
          <t>VÄSTERNORRLANDS LÄN</t>
        </is>
      </c>
      <c r="E914" t="inlineStr">
        <is>
          <t>SUNDSVALL</t>
        </is>
      </c>
      <c r="G914" t="n">
        <v>2.4</v>
      </c>
      <c r="H914" t="n">
        <v>0</v>
      </c>
      <c r="I914" t="n">
        <v>0</v>
      </c>
      <c r="J914" t="n">
        <v>0</v>
      </c>
      <c r="K914" t="n">
        <v>0</v>
      </c>
      <c r="L914" t="n">
        <v>0</v>
      </c>
      <c r="M914" t="n">
        <v>0</v>
      </c>
      <c r="N914" t="n">
        <v>0</v>
      </c>
      <c r="O914" t="n">
        <v>0</v>
      </c>
      <c r="P914" t="n">
        <v>0</v>
      </c>
      <c r="Q914" t="n">
        <v>0</v>
      </c>
      <c r="R914" s="2" t="inlineStr"/>
    </row>
    <row r="915" ht="15" customHeight="1">
      <c r="A915" t="inlineStr">
        <is>
          <t>A 57403-2023</t>
        </is>
      </c>
      <c r="B915" s="1" t="n">
        <v>45245</v>
      </c>
      <c r="C915" s="1" t="n">
        <v>45961</v>
      </c>
      <c r="D915" t="inlineStr">
        <is>
          <t>VÄSTERNORRLANDS LÄN</t>
        </is>
      </c>
      <c r="E915" t="inlineStr">
        <is>
          <t>SUNDSVALL</t>
        </is>
      </c>
      <c r="F915" t="inlineStr">
        <is>
          <t>SCA</t>
        </is>
      </c>
      <c r="G915" t="n">
        <v>5.8</v>
      </c>
      <c r="H915" t="n">
        <v>0</v>
      </c>
      <c r="I915" t="n">
        <v>0</v>
      </c>
      <c r="J915" t="n">
        <v>0</v>
      </c>
      <c r="K915" t="n">
        <v>0</v>
      </c>
      <c r="L915" t="n">
        <v>0</v>
      </c>
      <c r="M915" t="n">
        <v>0</v>
      </c>
      <c r="N915" t="n">
        <v>0</v>
      </c>
      <c r="O915" t="n">
        <v>0</v>
      </c>
      <c r="P915" t="n">
        <v>0</v>
      </c>
      <c r="Q915" t="n">
        <v>0</v>
      </c>
      <c r="R915" s="2" t="inlineStr"/>
    </row>
    <row r="916" ht="15" customHeight="1">
      <c r="A916" t="inlineStr">
        <is>
          <t>A 51823-2023</t>
        </is>
      </c>
      <c r="B916" s="1" t="n">
        <v>45222.96744212963</v>
      </c>
      <c r="C916" s="1" t="n">
        <v>45961</v>
      </c>
      <c r="D916" t="inlineStr">
        <is>
          <t>VÄSTERNORRLANDS LÄN</t>
        </is>
      </c>
      <c r="E916" t="inlineStr">
        <is>
          <t>SUNDSVALL</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10047-2023</t>
        </is>
      </c>
      <c r="B917" s="1" t="n">
        <v>44977</v>
      </c>
      <c r="C917" s="1" t="n">
        <v>45961</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58419-2022</t>
        </is>
      </c>
      <c r="B918" s="1" t="n">
        <v>44901</v>
      </c>
      <c r="C918" s="1" t="n">
        <v>45961</v>
      </c>
      <c r="D918" t="inlineStr">
        <is>
          <t>VÄSTERNORRLANDS LÄN</t>
        </is>
      </c>
      <c r="E918" t="inlineStr">
        <is>
          <t>SUNDSVALL</t>
        </is>
      </c>
      <c r="G918" t="n">
        <v>0.5</v>
      </c>
      <c r="H918" t="n">
        <v>0</v>
      </c>
      <c r="I918" t="n">
        <v>0</v>
      </c>
      <c r="J918" t="n">
        <v>0</v>
      </c>
      <c r="K918" t="n">
        <v>0</v>
      </c>
      <c r="L918" t="n">
        <v>0</v>
      </c>
      <c r="M918" t="n">
        <v>0</v>
      </c>
      <c r="N918" t="n">
        <v>0</v>
      </c>
      <c r="O918" t="n">
        <v>0</v>
      </c>
      <c r="P918" t="n">
        <v>0</v>
      </c>
      <c r="Q918" t="n">
        <v>0</v>
      </c>
      <c r="R918" s="2" t="inlineStr"/>
    </row>
    <row r="919" ht="15" customHeight="1">
      <c r="A919" t="inlineStr">
        <is>
          <t>A 39795-2023</t>
        </is>
      </c>
      <c r="B919" s="1" t="n">
        <v>45167</v>
      </c>
      <c r="C919" s="1" t="n">
        <v>45961</v>
      </c>
      <c r="D919" t="inlineStr">
        <is>
          <t>VÄSTERNORRLANDS LÄN</t>
        </is>
      </c>
      <c r="E919" t="inlineStr">
        <is>
          <t>SUNDSVALL</t>
        </is>
      </c>
      <c r="G919" t="n">
        <v>15.2</v>
      </c>
      <c r="H919" t="n">
        <v>0</v>
      </c>
      <c r="I919" t="n">
        <v>0</v>
      </c>
      <c r="J919" t="n">
        <v>0</v>
      </c>
      <c r="K919" t="n">
        <v>0</v>
      </c>
      <c r="L919" t="n">
        <v>0</v>
      </c>
      <c r="M919" t="n">
        <v>0</v>
      </c>
      <c r="N919" t="n">
        <v>0</v>
      </c>
      <c r="O919" t="n">
        <v>0</v>
      </c>
      <c r="P919" t="n">
        <v>0</v>
      </c>
      <c r="Q919" t="n">
        <v>0</v>
      </c>
      <c r="R919" s="2" t="inlineStr"/>
    </row>
    <row r="920" ht="15" customHeight="1">
      <c r="A920" t="inlineStr">
        <is>
          <t>A 27875-2023</t>
        </is>
      </c>
      <c r="B920" s="1" t="n">
        <v>45098.59216435185</v>
      </c>
      <c r="C920" s="1" t="n">
        <v>45961</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62076-2022</t>
        </is>
      </c>
      <c r="B921" s="1" t="n">
        <v>44918.9221412037</v>
      </c>
      <c r="C921" s="1" t="n">
        <v>45961</v>
      </c>
      <c r="D921" t="inlineStr">
        <is>
          <t>VÄSTERNORRLANDS LÄN</t>
        </is>
      </c>
      <c r="E921" t="inlineStr">
        <is>
          <t>SUNDSVALL</t>
        </is>
      </c>
      <c r="G921" t="n">
        <v>2.6</v>
      </c>
      <c r="H921" t="n">
        <v>0</v>
      </c>
      <c r="I921" t="n">
        <v>0</v>
      </c>
      <c r="J921" t="n">
        <v>0</v>
      </c>
      <c r="K921" t="n">
        <v>0</v>
      </c>
      <c r="L921" t="n">
        <v>0</v>
      </c>
      <c r="M921" t="n">
        <v>0</v>
      </c>
      <c r="N921" t="n">
        <v>0</v>
      </c>
      <c r="O921" t="n">
        <v>0</v>
      </c>
      <c r="P921" t="n">
        <v>0</v>
      </c>
      <c r="Q921" t="n">
        <v>0</v>
      </c>
      <c r="R921" s="2" t="inlineStr"/>
    </row>
    <row r="922" ht="15" customHeight="1">
      <c r="A922" t="inlineStr">
        <is>
          <t>A 53272-2022</t>
        </is>
      </c>
      <c r="B922" s="1" t="n">
        <v>44876</v>
      </c>
      <c r="C922" s="1" t="n">
        <v>45961</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47283-2023</t>
        </is>
      </c>
      <c r="B923" s="1" t="n">
        <v>45196</v>
      </c>
      <c r="C923" s="1" t="n">
        <v>45961</v>
      </c>
      <c r="D923" t="inlineStr">
        <is>
          <t>VÄSTERNORRLANDS LÄN</t>
        </is>
      </c>
      <c r="E923" t="inlineStr">
        <is>
          <t>SUNDSVALL</t>
        </is>
      </c>
      <c r="G923" t="n">
        <v>1.2</v>
      </c>
      <c r="H923" t="n">
        <v>0</v>
      </c>
      <c r="I923" t="n">
        <v>0</v>
      </c>
      <c r="J923" t="n">
        <v>0</v>
      </c>
      <c r="K923" t="n">
        <v>0</v>
      </c>
      <c r="L923" t="n">
        <v>0</v>
      </c>
      <c r="M923" t="n">
        <v>0</v>
      </c>
      <c r="N923" t="n">
        <v>0</v>
      </c>
      <c r="O923" t="n">
        <v>0</v>
      </c>
      <c r="P923" t="n">
        <v>0</v>
      </c>
      <c r="Q923" t="n">
        <v>0</v>
      </c>
      <c r="R923" s="2" t="inlineStr"/>
    </row>
    <row r="924" ht="15" customHeight="1">
      <c r="A924" t="inlineStr">
        <is>
          <t>A 61049-2022</t>
        </is>
      </c>
      <c r="B924" s="1" t="n">
        <v>44914.97056712963</v>
      </c>
      <c r="C924" s="1" t="n">
        <v>45961</v>
      </c>
      <c r="D924" t="inlineStr">
        <is>
          <t>VÄSTERNORRLANDS LÄN</t>
        </is>
      </c>
      <c r="E924" t="inlineStr">
        <is>
          <t>SUNDSVALL</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21554-2025</t>
        </is>
      </c>
      <c r="B925" s="1" t="n">
        <v>45782.67815972222</v>
      </c>
      <c r="C925" s="1" t="n">
        <v>45961</v>
      </c>
      <c r="D925" t="inlineStr">
        <is>
          <t>VÄSTERNORRLANDS LÄN</t>
        </is>
      </c>
      <c r="E925" t="inlineStr">
        <is>
          <t>SUNDSVALL</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36203-2023</t>
        </is>
      </c>
      <c r="B926" s="1" t="n">
        <v>45149</v>
      </c>
      <c r="C926" s="1" t="n">
        <v>45961</v>
      </c>
      <c r="D926" t="inlineStr">
        <is>
          <t>VÄSTERNORRLANDS LÄN</t>
        </is>
      </c>
      <c r="E926" t="inlineStr">
        <is>
          <t>SUNDSVALL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21319-2025</t>
        </is>
      </c>
      <c r="B927" s="1" t="n">
        <v>45782.34487268519</v>
      </c>
      <c r="C927" s="1" t="n">
        <v>45961</v>
      </c>
      <c r="D927" t="inlineStr">
        <is>
          <t>VÄSTERNORRLANDS LÄN</t>
        </is>
      </c>
      <c r="E927" t="inlineStr">
        <is>
          <t>SUNDSVALL</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21488-2025</t>
        </is>
      </c>
      <c r="B928" s="1" t="n">
        <v>45782.59545138889</v>
      </c>
      <c r="C928" s="1" t="n">
        <v>45961</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21478-2025</t>
        </is>
      </c>
      <c r="B929" s="1" t="n">
        <v>45782.59412037037</v>
      </c>
      <c r="C929" s="1" t="n">
        <v>45961</v>
      </c>
      <c r="D929" t="inlineStr">
        <is>
          <t>VÄSTERNORRLANDS LÄN</t>
        </is>
      </c>
      <c r="E929" t="inlineStr">
        <is>
          <t>SUNDSVALL</t>
        </is>
      </c>
      <c r="F929" t="inlineStr">
        <is>
          <t>Naturvårdsverket</t>
        </is>
      </c>
      <c r="G929" t="n">
        <v>5.6</v>
      </c>
      <c r="H929" t="n">
        <v>0</v>
      </c>
      <c r="I929" t="n">
        <v>0</v>
      </c>
      <c r="J929" t="n">
        <v>0</v>
      </c>
      <c r="K929" t="n">
        <v>0</v>
      </c>
      <c r="L929" t="n">
        <v>0</v>
      </c>
      <c r="M929" t="n">
        <v>0</v>
      </c>
      <c r="N929" t="n">
        <v>0</v>
      </c>
      <c r="O929" t="n">
        <v>0</v>
      </c>
      <c r="P929" t="n">
        <v>0</v>
      </c>
      <c r="Q929" t="n">
        <v>0</v>
      </c>
      <c r="R929" s="2" t="inlineStr"/>
    </row>
    <row r="930" ht="15" customHeight="1">
      <c r="A930" t="inlineStr">
        <is>
          <t>A 1483-2023</t>
        </is>
      </c>
      <c r="B930" s="1" t="n">
        <v>44937.46645833334</v>
      </c>
      <c r="C930" s="1" t="n">
        <v>45961</v>
      </c>
      <c r="D930" t="inlineStr">
        <is>
          <t>VÄSTERNORRLANDS LÄN</t>
        </is>
      </c>
      <c r="E930" t="inlineStr">
        <is>
          <t>SUNDSVALL</t>
        </is>
      </c>
      <c r="G930" t="n">
        <v>3</v>
      </c>
      <c r="H930" t="n">
        <v>0</v>
      </c>
      <c r="I930" t="n">
        <v>0</v>
      </c>
      <c r="J930" t="n">
        <v>0</v>
      </c>
      <c r="K930" t="n">
        <v>0</v>
      </c>
      <c r="L930" t="n">
        <v>0</v>
      </c>
      <c r="M930" t="n">
        <v>0</v>
      </c>
      <c r="N930" t="n">
        <v>0</v>
      </c>
      <c r="O930" t="n">
        <v>0</v>
      </c>
      <c r="P930" t="n">
        <v>0</v>
      </c>
      <c r="Q930" t="n">
        <v>0</v>
      </c>
      <c r="R930" s="2" t="inlineStr"/>
    </row>
    <row r="931" ht="15" customHeight="1">
      <c r="A931" t="inlineStr">
        <is>
          <t>A 6269-2024</t>
        </is>
      </c>
      <c r="B931" s="1" t="n">
        <v>45337</v>
      </c>
      <c r="C931" s="1" t="n">
        <v>45961</v>
      </c>
      <c r="D931" t="inlineStr">
        <is>
          <t>VÄSTERNORRLANDS LÄN</t>
        </is>
      </c>
      <c r="E931" t="inlineStr">
        <is>
          <t>SUNDSVALL</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55188-2024</t>
        </is>
      </c>
      <c r="B932" s="1" t="n">
        <v>45621.5429050926</v>
      </c>
      <c r="C932" s="1" t="n">
        <v>45961</v>
      </c>
      <c r="D932" t="inlineStr">
        <is>
          <t>VÄSTERNORRLANDS LÄN</t>
        </is>
      </c>
      <c r="E932" t="inlineStr">
        <is>
          <t>SUNDSVALL</t>
        </is>
      </c>
      <c r="G932" t="n">
        <v>6.8</v>
      </c>
      <c r="H932" t="n">
        <v>0</v>
      </c>
      <c r="I932" t="n">
        <v>0</v>
      </c>
      <c r="J932" t="n">
        <v>0</v>
      </c>
      <c r="K932" t="n">
        <v>0</v>
      </c>
      <c r="L932" t="n">
        <v>0</v>
      </c>
      <c r="M932" t="n">
        <v>0</v>
      </c>
      <c r="N932" t="n">
        <v>0</v>
      </c>
      <c r="O932" t="n">
        <v>0</v>
      </c>
      <c r="P932" t="n">
        <v>0</v>
      </c>
      <c r="Q932" t="n">
        <v>0</v>
      </c>
      <c r="R932" s="2" t="inlineStr"/>
    </row>
    <row r="933" ht="15" customHeight="1">
      <c r="A933" t="inlineStr">
        <is>
          <t>A 3428-2025</t>
        </is>
      </c>
      <c r="B933" s="1" t="n">
        <v>45680</v>
      </c>
      <c r="C933" s="1" t="n">
        <v>45961</v>
      </c>
      <c r="D933" t="inlineStr">
        <is>
          <t>VÄSTERNORRLANDS LÄN</t>
        </is>
      </c>
      <c r="E933" t="inlineStr">
        <is>
          <t>SUNDSVALL</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21699-2025</t>
        </is>
      </c>
      <c r="B934" s="1" t="n">
        <v>45783.51076388889</v>
      </c>
      <c r="C934" s="1" t="n">
        <v>45961</v>
      </c>
      <c r="D934" t="inlineStr">
        <is>
          <t>VÄSTERNORRLANDS LÄN</t>
        </is>
      </c>
      <c r="E934" t="inlineStr">
        <is>
          <t>SUNDSVALL</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42728-2021</t>
        </is>
      </c>
      <c r="B935" s="1" t="n">
        <v>44428.59997685185</v>
      </c>
      <c r="C935" s="1" t="n">
        <v>45961</v>
      </c>
      <c r="D935" t="inlineStr">
        <is>
          <t>VÄSTERNORRLANDS LÄN</t>
        </is>
      </c>
      <c r="E935" t="inlineStr">
        <is>
          <t>SUNDSVALL</t>
        </is>
      </c>
      <c r="G935" t="n">
        <v>3.6</v>
      </c>
      <c r="H935" t="n">
        <v>0</v>
      </c>
      <c r="I935" t="n">
        <v>0</v>
      </c>
      <c r="J935" t="n">
        <v>0</v>
      </c>
      <c r="K935" t="n">
        <v>0</v>
      </c>
      <c r="L935" t="n">
        <v>0</v>
      </c>
      <c r="M935" t="n">
        <v>0</v>
      </c>
      <c r="N935" t="n">
        <v>0</v>
      </c>
      <c r="O935" t="n">
        <v>0</v>
      </c>
      <c r="P935" t="n">
        <v>0</v>
      </c>
      <c r="Q935" t="n">
        <v>0</v>
      </c>
      <c r="R935" s="2" t="inlineStr"/>
    </row>
    <row r="936" ht="15" customHeight="1">
      <c r="A936" t="inlineStr">
        <is>
          <t>A 52237-2023</t>
        </is>
      </c>
      <c r="B936" s="1" t="n">
        <v>45217</v>
      </c>
      <c r="C936" s="1" t="n">
        <v>45961</v>
      </c>
      <c r="D936" t="inlineStr">
        <is>
          <t>VÄSTERNORRLANDS LÄN</t>
        </is>
      </c>
      <c r="E936" t="inlineStr">
        <is>
          <t>SUNDSVALL</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3326-2025</t>
        </is>
      </c>
      <c r="B937" s="1" t="n">
        <v>45679.69952546297</v>
      </c>
      <c r="C937" s="1" t="n">
        <v>45961</v>
      </c>
      <c r="D937" t="inlineStr">
        <is>
          <t>VÄSTERNORRLANDS LÄN</t>
        </is>
      </c>
      <c r="E937" t="inlineStr">
        <is>
          <t>SUNDSVALL</t>
        </is>
      </c>
      <c r="F937" t="inlineStr">
        <is>
          <t>SCA</t>
        </is>
      </c>
      <c r="G937" t="n">
        <v>5.6</v>
      </c>
      <c r="H937" t="n">
        <v>0</v>
      </c>
      <c r="I937" t="n">
        <v>0</v>
      </c>
      <c r="J937" t="n">
        <v>0</v>
      </c>
      <c r="K937" t="n">
        <v>0</v>
      </c>
      <c r="L937" t="n">
        <v>0</v>
      </c>
      <c r="M937" t="n">
        <v>0</v>
      </c>
      <c r="N937" t="n">
        <v>0</v>
      </c>
      <c r="O937" t="n">
        <v>0</v>
      </c>
      <c r="P937" t="n">
        <v>0</v>
      </c>
      <c r="Q937" t="n">
        <v>0</v>
      </c>
      <c r="R937" s="2" t="inlineStr"/>
    </row>
    <row r="938" ht="15" customHeight="1">
      <c r="A938" t="inlineStr">
        <is>
          <t>A 22563-2022</t>
        </is>
      </c>
      <c r="B938" s="1" t="n">
        <v>44713.9384375</v>
      </c>
      <c r="C938" s="1" t="n">
        <v>45961</v>
      </c>
      <c r="D938" t="inlineStr">
        <is>
          <t>VÄSTERNORRLANDS LÄN</t>
        </is>
      </c>
      <c r="E938" t="inlineStr">
        <is>
          <t>SUNDSVALL</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48778-2023</t>
        </is>
      </c>
      <c r="B939" s="1" t="n">
        <v>45208</v>
      </c>
      <c r="C939" s="1" t="n">
        <v>45961</v>
      </c>
      <c r="D939" t="inlineStr">
        <is>
          <t>VÄSTERNORRLANDS LÄN</t>
        </is>
      </c>
      <c r="E939" t="inlineStr">
        <is>
          <t>SUNDSVALL</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47718-2024</t>
        </is>
      </c>
      <c r="B940" s="1" t="n">
        <v>45588.48990740741</v>
      </c>
      <c r="C940" s="1" t="n">
        <v>45961</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12494-2022</t>
        </is>
      </c>
      <c r="B941" s="1" t="n">
        <v>44638.50601851852</v>
      </c>
      <c r="C941" s="1" t="n">
        <v>45961</v>
      </c>
      <c r="D941" t="inlineStr">
        <is>
          <t>VÄSTERNORRLANDS LÄN</t>
        </is>
      </c>
      <c r="E941" t="inlineStr">
        <is>
          <t>SUNDSVALL</t>
        </is>
      </c>
      <c r="G941" t="n">
        <v>1.1</v>
      </c>
      <c r="H941" t="n">
        <v>0</v>
      </c>
      <c r="I941" t="n">
        <v>0</v>
      </c>
      <c r="J941" t="n">
        <v>0</v>
      </c>
      <c r="K941" t="n">
        <v>0</v>
      </c>
      <c r="L941" t="n">
        <v>0</v>
      </c>
      <c r="M941" t="n">
        <v>0</v>
      </c>
      <c r="N941" t="n">
        <v>0</v>
      </c>
      <c r="O941" t="n">
        <v>0</v>
      </c>
      <c r="P941" t="n">
        <v>0</v>
      </c>
      <c r="Q941" t="n">
        <v>0</v>
      </c>
      <c r="R941" s="2" t="inlineStr"/>
    </row>
    <row r="942" ht="15" customHeight="1">
      <c r="A942" t="inlineStr">
        <is>
          <t>A 21665-2025</t>
        </is>
      </c>
      <c r="B942" s="1" t="n">
        <v>45783.45895833334</v>
      </c>
      <c r="C942" s="1" t="n">
        <v>45961</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59106-2020</t>
        </is>
      </c>
      <c r="B943" s="1" t="n">
        <v>44147</v>
      </c>
      <c r="C943" s="1" t="n">
        <v>45961</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21338-2024</t>
        </is>
      </c>
      <c r="B944" s="1" t="n">
        <v>45440.92746527777</v>
      </c>
      <c r="C944" s="1" t="n">
        <v>45961</v>
      </c>
      <c r="D944" t="inlineStr">
        <is>
          <t>VÄSTERNORRLANDS LÄN</t>
        </is>
      </c>
      <c r="E944" t="inlineStr">
        <is>
          <t>SUNDSVALL</t>
        </is>
      </c>
      <c r="G944" t="n">
        <v>1.9</v>
      </c>
      <c r="H944" t="n">
        <v>0</v>
      </c>
      <c r="I944" t="n">
        <v>0</v>
      </c>
      <c r="J944" t="n">
        <v>0</v>
      </c>
      <c r="K944" t="n">
        <v>0</v>
      </c>
      <c r="L944" t="n">
        <v>0</v>
      </c>
      <c r="M944" t="n">
        <v>0</v>
      </c>
      <c r="N944" t="n">
        <v>0</v>
      </c>
      <c r="O944" t="n">
        <v>0</v>
      </c>
      <c r="P944" t="n">
        <v>0</v>
      </c>
      <c r="Q944" t="n">
        <v>0</v>
      </c>
      <c r="R944" s="2" t="inlineStr"/>
    </row>
    <row r="945" ht="15" customHeight="1">
      <c r="A945" t="inlineStr">
        <is>
          <t>A 21389-2022</t>
        </is>
      </c>
      <c r="B945" s="1" t="n">
        <v>44705</v>
      </c>
      <c r="C945" s="1" t="n">
        <v>45961</v>
      </c>
      <c r="D945" t="inlineStr">
        <is>
          <t>VÄSTERNORRLANDS LÄN</t>
        </is>
      </c>
      <c r="E945" t="inlineStr">
        <is>
          <t>SUNDSVALL</t>
        </is>
      </c>
      <c r="G945" t="n">
        <v>2.1</v>
      </c>
      <c r="H945" t="n">
        <v>0</v>
      </c>
      <c r="I945" t="n">
        <v>0</v>
      </c>
      <c r="J945" t="n">
        <v>0</v>
      </c>
      <c r="K945" t="n">
        <v>0</v>
      </c>
      <c r="L945" t="n">
        <v>0</v>
      </c>
      <c r="M945" t="n">
        <v>0</v>
      </c>
      <c r="N945" t="n">
        <v>0</v>
      </c>
      <c r="O945" t="n">
        <v>0</v>
      </c>
      <c r="P945" t="n">
        <v>0</v>
      </c>
      <c r="Q945" t="n">
        <v>0</v>
      </c>
      <c r="R945" s="2" t="inlineStr"/>
    </row>
    <row r="946" ht="15" customHeight="1">
      <c r="A946" t="inlineStr">
        <is>
          <t>A 9435-2024</t>
        </is>
      </c>
      <c r="B946" s="1" t="n">
        <v>45359</v>
      </c>
      <c r="C946" s="1" t="n">
        <v>45961</v>
      </c>
      <c r="D946" t="inlineStr">
        <is>
          <t>VÄSTERNORRLANDS LÄN</t>
        </is>
      </c>
      <c r="E946" t="inlineStr">
        <is>
          <t>SUNDSVALL</t>
        </is>
      </c>
      <c r="F946" t="inlineStr">
        <is>
          <t>Holmen skog AB</t>
        </is>
      </c>
      <c r="G946" t="n">
        <v>24.7</v>
      </c>
      <c r="H946" t="n">
        <v>0</v>
      </c>
      <c r="I946" t="n">
        <v>0</v>
      </c>
      <c r="J946" t="n">
        <v>0</v>
      </c>
      <c r="K946" t="n">
        <v>0</v>
      </c>
      <c r="L946" t="n">
        <v>0</v>
      </c>
      <c r="M946" t="n">
        <v>0</v>
      </c>
      <c r="N946" t="n">
        <v>0</v>
      </c>
      <c r="O946" t="n">
        <v>0</v>
      </c>
      <c r="P946" t="n">
        <v>0</v>
      </c>
      <c r="Q946" t="n">
        <v>0</v>
      </c>
      <c r="R946" s="2" t="inlineStr"/>
    </row>
    <row r="947" ht="15" customHeight="1">
      <c r="A947" t="inlineStr">
        <is>
          <t>A 28172-2024</t>
        </is>
      </c>
      <c r="B947" s="1" t="n">
        <v>45476</v>
      </c>
      <c r="C947" s="1" t="n">
        <v>45961</v>
      </c>
      <c r="D947" t="inlineStr">
        <is>
          <t>VÄSTERNORRLANDS LÄN</t>
        </is>
      </c>
      <c r="E947" t="inlineStr">
        <is>
          <t>SUNDSVALL</t>
        </is>
      </c>
      <c r="F947" t="inlineStr">
        <is>
          <t>Kyrkan</t>
        </is>
      </c>
      <c r="G947" t="n">
        <v>3.8</v>
      </c>
      <c r="H947" t="n">
        <v>0</v>
      </c>
      <c r="I947" t="n">
        <v>0</v>
      </c>
      <c r="J947" t="n">
        <v>0</v>
      </c>
      <c r="K947" t="n">
        <v>0</v>
      </c>
      <c r="L947" t="n">
        <v>0</v>
      </c>
      <c r="M947" t="n">
        <v>0</v>
      </c>
      <c r="N947" t="n">
        <v>0</v>
      </c>
      <c r="O947" t="n">
        <v>0</v>
      </c>
      <c r="P947" t="n">
        <v>0</v>
      </c>
      <c r="Q947" t="n">
        <v>0</v>
      </c>
      <c r="R947" s="2" t="inlineStr"/>
    </row>
    <row r="948" ht="15" customHeight="1">
      <c r="A948" t="inlineStr">
        <is>
          <t>A 21768-2025</t>
        </is>
      </c>
      <c r="B948" s="1" t="n">
        <v>45783.65178240741</v>
      </c>
      <c r="C948" s="1" t="n">
        <v>45961</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58745-2023</t>
        </is>
      </c>
      <c r="B949" s="1" t="n">
        <v>45251</v>
      </c>
      <c r="C949" s="1" t="n">
        <v>45961</v>
      </c>
      <c r="D949" t="inlineStr">
        <is>
          <t>VÄSTERNORRLANDS LÄN</t>
        </is>
      </c>
      <c r="E949" t="inlineStr">
        <is>
          <t>SUNDSVALL</t>
        </is>
      </c>
      <c r="G949" t="n">
        <v>2.7</v>
      </c>
      <c r="H949" t="n">
        <v>0</v>
      </c>
      <c r="I949" t="n">
        <v>0</v>
      </c>
      <c r="J949" t="n">
        <v>0</v>
      </c>
      <c r="K949" t="n">
        <v>0</v>
      </c>
      <c r="L949" t="n">
        <v>0</v>
      </c>
      <c r="M949" t="n">
        <v>0</v>
      </c>
      <c r="N949" t="n">
        <v>0</v>
      </c>
      <c r="O949" t="n">
        <v>0</v>
      </c>
      <c r="P949" t="n">
        <v>0</v>
      </c>
      <c r="Q949" t="n">
        <v>0</v>
      </c>
      <c r="R949" s="2" t="inlineStr"/>
    </row>
    <row r="950" ht="15" customHeight="1">
      <c r="A950" t="inlineStr">
        <is>
          <t>A 11813-2022</t>
        </is>
      </c>
      <c r="B950" s="1" t="n">
        <v>44634.68443287037</v>
      </c>
      <c r="C950" s="1" t="n">
        <v>45961</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21624-2025</t>
        </is>
      </c>
      <c r="B951" s="1" t="n">
        <v>45783.40694444445</v>
      </c>
      <c r="C951" s="1" t="n">
        <v>45961</v>
      </c>
      <c r="D951" t="inlineStr">
        <is>
          <t>VÄSTERNORRLANDS LÄN</t>
        </is>
      </c>
      <c r="E951" t="inlineStr">
        <is>
          <t>SUNDSVALL</t>
        </is>
      </c>
      <c r="F951" t="inlineStr">
        <is>
          <t>SCA</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23556-2022</t>
        </is>
      </c>
      <c r="B952" s="1" t="n">
        <v>44721</v>
      </c>
      <c r="C952" s="1" t="n">
        <v>45961</v>
      </c>
      <c r="D952" t="inlineStr">
        <is>
          <t>VÄSTERNORRLANDS LÄN</t>
        </is>
      </c>
      <c r="E952" t="inlineStr">
        <is>
          <t>SUNDSVALL</t>
        </is>
      </c>
      <c r="G952" t="n">
        <v>0.5</v>
      </c>
      <c r="H952" t="n">
        <v>0</v>
      </c>
      <c r="I952" t="n">
        <v>0</v>
      </c>
      <c r="J952" t="n">
        <v>0</v>
      </c>
      <c r="K952" t="n">
        <v>0</v>
      </c>
      <c r="L952" t="n">
        <v>0</v>
      </c>
      <c r="M952" t="n">
        <v>0</v>
      </c>
      <c r="N952" t="n">
        <v>0</v>
      </c>
      <c r="O952" t="n">
        <v>0</v>
      </c>
      <c r="P952" t="n">
        <v>0</v>
      </c>
      <c r="Q952" t="n">
        <v>0</v>
      </c>
      <c r="R952" s="2" t="inlineStr"/>
    </row>
    <row r="953" ht="15" customHeight="1">
      <c r="A953" t="inlineStr">
        <is>
          <t>A 27015-2021</t>
        </is>
      </c>
      <c r="B953" s="1" t="n">
        <v>44349</v>
      </c>
      <c r="C953" s="1" t="n">
        <v>45961</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43422-2023</t>
        </is>
      </c>
      <c r="B954" s="1" t="n">
        <v>45183</v>
      </c>
      <c r="C954" s="1" t="n">
        <v>45961</v>
      </c>
      <c r="D954" t="inlineStr">
        <is>
          <t>VÄSTERNORRLANDS LÄN</t>
        </is>
      </c>
      <c r="E954" t="inlineStr">
        <is>
          <t>SUNDSVALL</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22473-2023</t>
        </is>
      </c>
      <c r="B955" s="1" t="n">
        <v>45070</v>
      </c>
      <c r="C955" s="1" t="n">
        <v>45961</v>
      </c>
      <c r="D955" t="inlineStr">
        <is>
          <t>VÄSTERNORRLANDS LÄN</t>
        </is>
      </c>
      <c r="E955" t="inlineStr">
        <is>
          <t>SUNDSVALL</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15677-2024</t>
        </is>
      </c>
      <c r="B956" s="1" t="n">
        <v>45404.41268518518</v>
      </c>
      <c r="C956" s="1" t="n">
        <v>45961</v>
      </c>
      <c r="D956" t="inlineStr">
        <is>
          <t>VÄSTERNORRLANDS LÄN</t>
        </is>
      </c>
      <c r="E956" t="inlineStr">
        <is>
          <t>SUNDSVALL</t>
        </is>
      </c>
      <c r="G956" t="n">
        <v>1.8</v>
      </c>
      <c r="H956" t="n">
        <v>0</v>
      </c>
      <c r="I956" t="n">
        <v>0</v>
      </c>
      <c r="J956" t="n">
        <v>0</v>
      </c>
      <c r="K956" t="n">
        <v>0</v>
      </c>
      <c r="L956" t="n">
        <v>0</v>
      </c>
      <c r="M956" t="n">
        <v>0</v>
      </c>
      <c r="N956" t="n">
        <v>0</v>
      </c>
      <c r="O956" t="n">
        <v>0</v>
      </c>
      <c r="P956" t="n">
        <v>0</v>
      </c>
      <c r="Q956" t="n">
        <v>0</v>
      </c>
      <c r="R956" s="2" t="inlineStr"/>
    </row>
    <row r="957" ht="15" customHeight="1">
      <c r="A957" t="inlineStr">
        <is>
          <t>A 21659-2025</t>
        </is>
      </c>
      <c r="B957" s="1" t="n">
        <v>45783.45505787037</v>
      </c>
      <c r="C957" s="1" t="n">
        <v>45961</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10539-2023</t>
        </is>
      </c>
      <c r="B958" s="1" t="n">
        <v>44987</v>
      </c>
      <c r="C958" s="1" t="n">
        <v>45961</v>
      </c>
      <c r="D958" t="inlineStr">
        <is>
          <t>VÄSTERNORRLANDS LÄN</t>
        </is>
      </c>
      <c r="E958" t="inlineStr">
        <is>
          <t>SUNDSVALL</t>
        </is>
      </c>
      <c r="G958" t="n">
        <v>2.3</v>
      </c>
      <c r="H958" t="n">
        <v>0</v>
      </c>
      <c r="I958" t="n">
        <v>0</v>
      </c>
      <c r="J958" t="n">
        <v>0</v>
      </c>
      <c r="K958" t="n">
        <v>0</v>
      </c>
      <c r="L958" t="n">
        <v>0</v>
      </c>
      <c r="M958" t="n">
        <v>0</v>
      </c>
      <c r="N958" t="n">
        <v>0</v>
      </c>
      <c r="O958" t="n">
        <v>0</v>
      </c>
      <c r="P958" t="n">
        <v>0</v>
      </c>
      <c r="Q958" t="n">
        <v>0</v>
      </c>
      <c r="R958" s="2" t="inlineStr"/>
    </row>
    <row r="959" ht="15" customHeight="1">
      <c r="A959" t="inlineStr">
        <is>
          <t>A 7515-2023</t>
        </is>
      </c>
      <c r="B959" s="1" t="n">
        <v>44971</v>
      </c>
      <c r="C959" s="1" t="n">
        <v>45961</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17189-2024</t>
        </is>
      </c>
      <c r="B960" s="1" t="n">
        <v>45412</v>
      </c>
      <c r="C960" s="1" t="n">
        <v>45961</v>
      </c>
      <c r="D960" t="inlineStr">
        <is>
          <t>VÄSTERNORRLANDS LÄN</t>
        </is>
      </c>
      <c r="E960" t="inlineStr">
        <is>
          <t>SUNDSVALL</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45515-2021</t>
        </is>
      </c>
      <c r="B961" s="1" t="n">
        <v>44440.58136574074</v>
      </c>
      <c r="C961" s="1" t="n">
        <v>45961</v>
      </c>
      <c r="D961" t="inlineStr">
        <is>
          <t>VÄSTERNORRLANDS LÄN</t>
        </is>
      </c>
      <c r="E961" t="inlineStr">
        <is>
          <t>SUNDSVALL</t>
        </is>
      </c>
      <c r="G961" t="n">
        <v>7.3</v>
      </c>
      <c r="H961" t="n">
        <v>0</v>
      </c>
      <c r="I961" t="n">
        <v>0</v>
      </c>
      <c r="J961" t="n">
        <v>0</v>
      </c>
      <c r="K961" t="n">
        <v>0</v>
      </c>
      <c r="L961" t="n">
        <v>0</v>
      </c>
      <c r="M961" t="n">
        <v>0</v>
      </c>
      <c r="N961" t="n">
        <v>0</v>
      </c>
      <c r="O961" t="n">
        <v>0</v>
      </c>
      <c r="P961" t="n">
        <v>0</v>
      </c>
      <c r="Q961" t="n">
        <v>0</v>
      </c>
      <c r="R961" s="2" t="inlineStr"/>
    </row>
    <row r="962" ht="15" customHeight="1">
      <c r="A962" t="inlineStr">
        <is>
          <t>A 3188-2025</t>
        </is>
      </c>
      <c r="B962" s="1" t="n">
        <v>45679.40740740741</v>
      </c>
      <c r="C962" s="1" t="n">
        <v>45961</v>
      </c>
      <c r="D962" t="inlineStr">
        <is>
          <t>VÄSTERNORRLANDS LÄN</t>
        </is>
      </c>
      <c r="E962" t="inlineStr">
        <is>
          <t>SUNDSVALL</t>
        </is>
      </c>
      <c r="F962" t="inlineStr">
        <is>
          <t>SCA</t>
        </is>
      </c>
      <c r="G962" t="n">
        <v>7.8</v>
      </c>
      <c r="H962" t="n">
        <v>0</v>
      </c>
      <c r="I962" t="n">
        <v>0</v>
      </c>
      <c r="J962" t="n">
        <v>0</v>
      </c>
      <c r="K962" t="n">
        <v>0</v>
      </c>
      <c r="L962" t="n">
        <v>0</v>
      </c>
      <c r="M962" t="n">
        <v>0</v>
      </c>
      <c r="N962" t="n">
        <v>0</v>
      </c>
      <c r="O962" t="n">
        <v>0</v>
      </c>
      <c r="P962" t="n">
        <v>0</v>
      </c>
      <c r="Q962" t="n">
        <v>0</v>
      </c>
      <c r="R962" s="2" t="inlineStr"/>
    </row>
    <row r="963" ht="15" customHeight="1">
      <c r="A963" t="inlineStr">
        <is>
          <t>A 3215-2025</t>
        </is>
      </c>
      <c r="B963" s="1" t="n">
        <v>45679</v>
      </c>
      <c r="C963" s="1" t="n">
        <v>45961</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7431-2022</t>
        </is>
      </c>
      <c r="B964" s="1" t="n">
        <v>44606.93319444444</v>
      </c>
      <c r="C964" s="1" t="n">
        <v>45961</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22348-2025</t>
        </is>
      </c>
      <c r="B965" s="1" t="n">
        <v>45786.44878472222</v>
      </c>
      <c r="C965" s="1" t="n">
        <v>45961</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48441-2024</t>
        </is>
      </c>
      <c r="B966" s="1" t="n">
        <v>45590.67782407408</v>
      </c>
      <c r="C966" s="1" t="n">
        <v>45961</v>
      </c>
      <c r="D966" t="inlineStr">
        <is>
          <t>VÄSTERNORRLANDS LÄN</t>
        </is>
      </c>
      <c r="E966" t="inlineStr">
        <is>
          <t>SUNDSVALL</t>
        </is>
      </c>
      <c r="G966" t="n">
        <v>0.3</v>
      </c>
      <c r="H966" t="n">
        <v>0</v>
      </c>
      <c r="I966" t="n">
        <v>0</v>
      </c>
      <c r="J966" t="n">
        <v>0</v>
      </c>
      <c r="K966" t="n">
        <v>0</v>
      </c>
      <c r="L966" t="n">
        <v>0</v>
      </c>
      <c r="M966" t="n">
        <v>0</v>
      </c>
      <c r="N966" t="n">
        <v>0</v>
      </c>
      <c r="O966" t="n">
        <v>0</v>
      </c>
      <c r="P966" t="n">
        <v>0</v>
      </c>
      <c r="Q966" t="n">
        <v>0</v>
      </c>
      <c r="R966" s="2" t="inlineStr"/>
    </row>
    <row r="967" ht="15" customHeight="1">
      <c r="A967" t="inlineStr">
        <is>
          <t>A 48442-2024</t>
        </is>
      </c>
      <c r="B967" s="1" t="n">
        <v>45590.67783564814</v>
      </c>
      <c r="C967" s="1" t="n">
        <v>45961</v>
      </c>
      <c r="D967" t="inlineStr">
        <is>
          <t>VÄSTERNORRLANDS LÄN</t>
        </is>
      </c>
      <c r="E967" t="inlineStr">
        <is>
          <t>SUNDSVALL</t>
        </is>
      </c>
      <c r="G967" t="n">
        <v>0.4</v>
      </c>
      <c r="H967" t="n">
        <v>0</v>
      </c>
      <c r="I967" t="n">
        <v>0</v>
      </c>
      <c r="J967" t="n">
        <v>0</v>
      </c>
      <c r="K967" t="n">
        <v>0</v>
      </c>
      <c r="L967" t="n">
        <v>0</v>
      </c>
      <c r="M967" t="n">
        <v>0</v>
      </c>
      <c r="N967" t="n">
        <v>0</v>
      </c>
      <c r="O967" t="n">
        <v>0</v>
      </c>
      <c r="P967" t="n">
        <v>0</v>
      </c>
      <c r="Q967" t="n">
        <v>0</v>
      </c>
      <c r="R967" s="2" t="inlineStr"/>
    </row>
    <row r="968" ht="15" customHeight="1">
      <c r="A968" t="inlineStr">
        <is>
          <t>A 10482-2021</t>
        </is>
      </c>
      <c r="B968" s="1" t="n">
        <v>44257</v>
      </c>
      <c r="C968" s="1" t="n">
        <v>45961</v>
      </c>
      <c r="D968" t="inlineStr">
        <is>
          <t>VÄSTERNORRLANDS LÄN</t>
        </is>
      </c>
      <c r="E968" t="inlineStr">
        <is>
          <t>SUNDSVALL</t>
        </is>
      </c>
      <c r="G968" t="n">
        <v>5.7</v>
      </c>
      <c r="H968" t="n">
        <v>0</v>
      </c>
      <c r="I968" t="n">
        <v>0</v>
      </c>
      <c r="J968" t="n">
        <v>0</v>
      </c>
      <c r="K968" t="n">
        <v>0</v>
      </c>
      <c r="L968" t="n">
        <v>0</v>
      </c>
      <c r="M968" t="n">
        <v>0</v>
      </c>
      <c r="N968" t="n">
        <v>0</v>
      </c>
      <c r="O968" t="n">
        <v>0</v>
      </c>
      <c r="P968" t="n">
        <v>0</v>
      </c>
      <c r="Q968" t="n">
        <v>0</v>
      </c>
      <c r="R968" s="2" t="inlineStr"/>
    </row>
    <row r="969" ht="15" customHeight="1">
      <c r="A969" t="inlineStr">
        <is>
          <t>A 44934-2021</t>
        </is>
      </c>
      <c r="B969" s="1" t="n">
        <v>44438</v>
      </c>
      <c r="C969" s="1" t="n">
        <v>45961</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18816-2025</t>
        </is>
      </c>
      <c r="B970" s="1" t="n">
        <v>45764.37059027778</v>
      </c>
      <c r="C970" s="1" t="n">
        <v>45961</v>
      </c>
      <c r="D970" t="inlineStr">
        <is>
          <t>VÄSTERNORRLANDS LÄN</t>
        </is>
      </c>
      <c r="E970" t="inlineStr">
        <is>
          <t>SUNDSVALL</t>
        </is>
      </c>
      <c r="G970" t="n">
        <v>1.4</v>
      </c>
      <c r="H970" t="n">
        <v>0</v>
      </c>
      <c r="I970" t="n">
        <v>0</v>
      </c>
      <c r="J970" t="n">
        <v>0</v>
      </c>
      <c r="K970" t="n">
        <v>0</v>
      </c>
      <c r="L970" t="n">
        <v>0</v>
      </c>
      <c r="M970" t="n">
        <v>0</v>
      </c>
      <c r="N970" t="n">
        <v>0</v>
      </c>
      <c r="O970" t="n">
        <v>0</v>
      </c>
      <c r="P970" t="n">
        <v>0</v>
      </c>
      <c r="Q970" t="n">
        <v>0</v>
      </c>
      <c r="R970" s="2" t="inlineStr"/>
    </row>
    <row r="971" ht="15" customHeight="1">
      <c r="A971" t="inlineStr">
        <is>
          <t>A 8488-2025</t>
        </is>
      </c>
      <c r="B971" s="1" t="n">
        <v>45709.50527777777</v>
      </c>
      <c r="C971" s="1" t="n">
        <v>45961</v>
      </c>
      <c r="D971" t="inlineStr">
        <is>
          <t>VÄSTERNORRLANDS LÄN</t>
        </is>
      </c>
      <c r="E971" t="inlineStr">
        <is>
          <t>SUNDSVALL</t>
        </is>
      </c>
      <c r="G971" t="n">
        <v>2.6</v>
      </c>
      <c r="H971" t="n">
        <v>0</v>
      </c>
      <c r="I971" t="n">
        <v>0</v>
      </c>
      <c r="J971" t="n">
        <v>0</v>
      </c>
      <c r="K971" t="n">
        <v>0</v>
      </c>
      <c r="L971" t="n">
        <v>0</v>
      </c>
      <c r="M971" t="n">
        <v>0</v>
      </c>
      <c r="N971" t="n">
        <v>0</v>
      </c>
      <c r="O971" t="n">
        <v>0</v>
      </c>
      <c r="P971" t="n">
        <v>0</v>
      </c>
      <c r="Q971" t="n">
        <v>0</v>
      </c>
      <c r="R971" s="2" t="inlineStr"/>
    </row>
    <row r="972" ht="15" customHeight="1">
      <c r="A972" t="inlineStr">
        <is>
          <t>A 8234-2021</t>
        </is>
      </c>
      <c r="B972" s="1" t="n">
        <v>44244.54785879629</v>
      </c>
      <c r="C972" s="1" t="n">
        <v>45961</v>
      </c>
      <c r="D972" t="inlineStr">
        <is>
          <t>VÄSTERNORRLANDS LÄN</t>
        </is>
      </c>
      <c r="E972" t="inlineStr">
        <is>
          <t>SUNDSVALL</t>
        </is>
      </c>
      <c r="G972" t="n">
        <v>2.7</v>
      </c>
      <c r="H972" t="n">
        <v>0</v>
      </c>
      <c r="I972" t="n">
        <v>0</v>
      </c>
      <c r="J972" t="n">
        <v>0</v>
      </c>
      <c r="K972" t="n">
        <v>0</v>
      </c>
      <c r="L972" t="n">
        <v>0</v>
      </c>
      <c r="M972" t="n">
        <v>0</v>
      </c>
      <c r="N972" t="n">
        <v>0</v>
      </c>
      <c r="O972" t="n">
        <v>0</v>
      </c>
      <c r="P972" t="n">
        <v>0</v>
      </c>
      <c r="Q972" t="n">
        <v>0</v>
      </c>
      <c r="R972" s="2" t="inlineStr"/>
    </row>
    <row r="973" ht="15" customHeight="1">
      <c r="A973" t="inlineStr">
        <is>
          <t>A 60399-2022</t>
        </is>
      </c>
      <c r="B973" s="1" t="n">
        <v>44910</v>
      </c>
      <c r="C973" s="1" t="n">
        <v>45961</v>
      </c>
      <c r="D973" t="inlineStr">
        <is>
          <t>VÄSTERNORRLANDS LÄN</t>
        </is>
      </c>
      <c r="E973" t="inlineStr">
        <is>
          <t>SUNDSVALL</t>
        </is>
      </c>
      <c r="G973" t="n">
        <v>2.2</v>
      </c>
      <c r="H973" t="n">
        <v>0</v>
      </c>
      <c r="I973" t="n">
        <v>0</v>
      </c>
      <c r="J973" t="n">
        <v>0</v>
      </c>
      <c r="K973" t="n">
        <v>0</v>
      </c>
      <c r="L973" t="n">
        <v>0</v>
      </c>
      <c r="M973" t="n">
        <v>0</v>
      </c>
      <c r="N973" t="n">
        <v>0</v>
      </c>
      <c r="O973" t="n">
        <v>0</v>
      </c>
      <c r="P973" t="n">
        <v>0</v>
      </c>
      <c r="Q973" t="n">
        <v>0</v>
      </c>
      <c r="R973" s="2" t="inlineStr"/>
    </row>
    <row r="974" ht="15" customHeight="1">
      <c r="A974" t="inlineStr">
        <is>
          <t>A 48950-2024</t>
        </is>
      </c>
      <c r="B974" s="1" t="n">
        <v>45594.42883101852</v>
      </c>
      <c r="C974" s="1" t="n">
        <v>45961</v>
      </c>
      <c r="D974" t="inlineStr">
        <is>
          <t>VÄSTERNORRLANDS LÄN</t>
        </is>
      </c>
      <c r="E974" t="inlineStr">
        <is>
          <t>SUNDSVALL</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22208-2025</t>
        </is>
      </c>
      <c r="B975" s="1" t="n">
        <v>45785.65722222222</v>
      </c>
      <c r="C975" s="1" t="n">
        <v>45961</v>
      </c>
      <c r="D975" t="inlineStr">
        <is>
          <t>VÄSTERNORRLANDS LÄN</t>
        </is>
      </c>
      <c r="E975" t="inlineStr">
        <is>
          <t>SUNDSVALL</t>
        </is>
      </c>
      <c r="F975" t="inlineStr">
        <is>
          <t>Naturvårdsverket</t>
        </is>
      </c>
      <c r="G975" t="n">
        <v>1.4</v>
      </c>
      <c r="H975" t="n">
        <v>0</v>
      </c>
      <c r="I975" t="n">
        <v>0</v>
      </c>
      <c r="J975" t="n">
        <v>0</v>
      </c>
      <c r="K975" t="n">
        <v>0</v>
      </c>
      <c r="L975" t="n">
        <v>0</v>
      </c>
      <c r="M975" t="n">
        <v>0</v>
      </c>
      <c r="N975" t="n">
        <v>0</v>
      </c>
      <c r="O975" t="n">
        <v>0</v>
      </c>
      <c r="P975" t="n">
        <v>0</v>
      </c>
      <c r="Q975" t="n">
        <v>0</v>
      </c>
      <c r="R975" s="2" t="inlineStr"/>
    </row>
    <row r="976" ht="15" customHeight="1">
      <c r="A976" t="inlineStr">
        <is>
          <t>A 35923-2022</t>
        </is>
      </c>
      <c r="B976" s="1" t="n">
        <v>44802</v>
      </c>
      <c r="C976" s="1" t="n">
        <v>45961</v>
      </c>
      <c r="D976" t="inlineStr">
        <is>
          <t>VÄSTERNORRLANDS LÄN</t>
        </is>
      </c>
      <c r="E976" t="inlineStr">
        <is>
          <t>SUNDSVALL</t>
        </is>
      </c>
      <c r="G976" t="n">
        <v>8.1</v>
      </c>
      <c r="H976" t="n">
        <v>0</v>
      </c>
      <c r="I976" t="n">
        <v>0</v>
      </c>
      <c r="J976" t="n">
        <v>0</v>
      </c>
      <c r="K976" t="n">
        <v>0</v>
      </c>
      <c r="L976" t="n">
        <v>0</v>
      </c>
      <c r="M976" t="n">
        <v>0</v>
      </c>
      <c r="N976" t="n">
        <v>0</v>
      </c>
      <c r="O976" t="n">
        <v>0</v>
      </c>
      <c r="P976" t="n">
        <v>0</v>
      </c>
      <c r="Q976" t="n">
        <v>0</v>
      </c>
      <c r="R976" s="2" t="inlineStr"/>
    </row>
    <row r="977" ht="15" customHeight="1">
      <c r="A977" t="inlineStr">
        <is>
          <t>A 54570-2024</t>
        </is>
      </c>
      <c r="B977" s="1" t="n">
        <v>45617.64739583333</v>
      </c>
      <c r="C977" s="1" t="n">
        <v>45961</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1116-2025</t>
        </is>
      </c>
      <c r="B978" s="1" t="n">
        <v>45666</v>
      </c>
      <c r="C978" s="1" t="n">
        <v>45961</v>
      </c>
      <c r="D978" t="inlineStr">
        <is>
          <t>VÄSTERNORRLANDS LÄN</t>
        </is>
      </c>
      <c r="E978" t="inlineStr">
        <is>
          <t>SUNDSVALL</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57363-2022</t>
        </is>
      </c>
      <c r="B979" s="1" t="n">
        <v>44896.43229166666</v>
      </c>
      <c r="C979" s="1" t="n">
        <v>45961</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56232-2023</t>
        </is>
      </c>
      <c r="B980" s="1" t="n">
        <v>45240.92402777778</v>
      </c>
      <c r="C980" s="1" t="n">
        <v>45961</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56233-2023</t>
        </is>
      </c>
      <c r="B981" s="1" t="n">
        <v>45240.9240625</v>
      </c>
      <c r="C981" s="1" t="n">
        <v>45961</v>
      </c>
      <c r="D981" t="inlineStr">
        <is>
          <t>VÄSTERNORRLANDS LÄN</t>
        </is>
      </c>
      <c r="E981" t="inlineStr">
        <is>
          <t>SUNDSVALL</t>
        </is>
      </c>
      <c r="G981" t="n">
        <v>6.5</v>
      </c>
      <c r="H981" t="n">
        <v>0</v>
      </c>
      <c r="I981" t="n">
        <v>0</v>
      </c>
      <c r="J981" t="n">
        <v>0</v>
      </c>
      <c r="K981" t="n">
        <v>0</v>
      </c>
      <c r="L981" t="n">
        <v>0</v>
      </c>
      <c r="M981" t="n">
        <v>0</v>
      </c>
      <c r="N981" t="n">
        <v>0</v>
      </c>
      <c r="O981" t="n">
        <v>0</v>
      </c>
      <c r="P981" t="n">
        <v>0</v>
      </c>
      <c r="Q981" t="n">
        <v>0</v>
      </c>
      <c r="R981" s="2" t="inlineStr"/>
    </row>
    <row r="982" ht="15" customHeight="1">
      <c r="A982" t="inlineStr">
        <is>
          <t>A 56250-2023</t>
        </is>
      </c>
      <c r="B982" s="1" t="n">
        <v>45240</v>
      </c>
      <c r="C982" s="1" t="n">
        <v>45961</v>
      </c>
      <c r="D982" t="inlineStr">
        <is>
          <t>VÄSTERNORRLANDS LÄN</t>
        </is>
      </c>
      <c r="E982" t="inlineStr">
        <is>
          <t>SUNDSVALL</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40319-2024</t>
        </is>
      </c>
      <c r="B983" s="1" t="n">
        <v>45554.80418981481</v>
      </c>
      <c r="C983" s="1" t="n">
        <v>45961</v>
      </c>
      <c r="D983" t="inlineStr">
        <is>
          <t>VÄSTERNORRLANDS LÄN</t>
        </is>
      </c>
      <c r="E983" t="inlineStr">
        <is>
          <t>SUNDSVALL</t>
        </is>
      </c>
      <c r="G983" t="n">
        <v>1.5</v>
      </c>
      <c r="H983" t="n">
        <v>0</v>
      </c>
      <c r="I983" t="n">
        <v>0</v>
      </c>
      <c r="J983" t="n">
        <v>0</v>
      </c>
      <c r="K983" t="n">
        <v>0</v>
      </c>
      <c r="L983" t="n">
        <v>0</v>
      </c>
      <c r="M983" t="n">
        <v>0</v>
      </c>
      <c r="N983" t="n">
        <v>0</v>
      </c>
      <c r="O983" t="n">
        <v>0</v>
      </c>
      <c r="P983" t="n">
        <v>0</v>
      </c>
      <c r="Q983" t="n">
        <v>0</v>
      </c>
      <c r="R983" s="2" t="inlineStr"/>
    </row>
    <row r="984" ht="15" customHeight="1">
      <c r="A984" t="inlineStr">
        <is>
          <t>A 61596-2024</t>
        </is>
      </c>
      <c r="B984" s="1" t="n">
        <v>45646.6359375</v>
      </c>
      <c r="C984" s="1" t="n">
        <v>45961</v>
      </c>
      <c r="D984" t="inlineStr">
        <is>
          <t>VÄSTERNORRLANDS LÄN</t>
        </is>
      </c>
      <c r="E984" t="inlineStr">
        <is>
          <t>SUNDSVALL</t>
        </is>
      </c>
      <c r="F984" t="inlineStr">
        <is>
          <t>SCA</t>
        </is>
      </c>
      <c r="G984" t="n">
        <v>19.2</v>
      </c>
      <c r="H984" t="n">
        <v>0</v>
      </c>
      <c r="I984" t="n">
        <v>0</v>
      </c>
      <c r="J984" t="n">
        <v>0</v>
      </c>
      <c r="K984" t="n">
        <v>0</v>
      </c>
      <c r="L984" t="n">
        <v>0</v>
      </c>
      <c r="M984" t="n">
        <v>0</v>
      </c>
      <c r="N984" t="n">
        <v>0</v>
      </c>
      <c r="O984" t="n">
        <v>0</v>
      </c>
      <c r="P984" t="n">
        <v>0</v>
      </c>
      <c r="Q984" t="n">
        <v>0</v>
      </c>
      <c r="R984" s="2" t="inlineStr"/>
    </row>
    <row r="985" ht="15" customHeight="1">
      <c r="A985" t="inlineStr">
        <is>
          <t>A 22349-2025</t>
        </is>
      </c>
      <c r="B985" s="1" t="n">
        <v>45786.4488425926</v>
      </c>
      <c r="C985" s="1" t="n">
        <v>45961</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22350-2025</t>
        </is>
      </c>
      <c r="B986" s="1" t="n">
        <v>45786.44888888889</v>
      </c>
      <c r="C986" s="1" t="n">
        <v>45961</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41287-2024</t>
        </is>
      </c>
      <c r="B987" s="1" t="n">
        <v>45559</v>
      </c>
      <c r="C987" s="1" t="n">
        <v>45961</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10557-2024</t>
        </is>
      </c>
      <c r="B988" s="1" t="n">
        <v>45366</v>
      </c>
      <c r="C988" s="1" t="n">
        <v>45961</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7220-2024</t>
        </is>
      </c>
      <c r="B989" s="1" t="n">
        <v>45344.63797453704</v>
      </c>
      <c r="C989" s="1" t="n">
        <v>45961</v>
      </c>
      <c r="D989" t="inlineStr">
        <is>
          <t>VÄSTERNORRLANDS LÄN</t>
        </is>
      </c>
      <c r="E989" t="inlineStr">
        <is>
          <t>SUNDSVALL</t>
        </is>
      </c>
      <c r="G989" t="n">
        <v>2.9</v>
      </c>
      <c r="H989" t="n">
        <v>0</v>
      </c>
      <c r="I989" t="n">
        <v>0</v>
      </c>
      <c r="J989" t="n">
        <v>0</v>
      </c>
      <c r="K989" t="n">
        <v>0</v>
      </c>
      <c r="L989" t="n">
        <v>0</v>
      </c>
      <c r="M989" t="n">
        <v>0</v>
      </c>
      <c r="N989" t="n">
        <v>0</v>
      </c>
      <c r="O989" t="n">
        <v>0</v>
      </c>
      <c r="P989" t="n">
        <v>0</v>
      </c>
      <c r="Q989" t="n">
        <v>0</v>
      </c>
      <c r="R989" s="2" t="inlineStr"/>
    </row>
    <row r="990" ht="15" customHeight="1">
      <c r="A990" t="inlineStr">
        <is>
          <t>A 33040-2023</t>
        </is>
      </c>
      <c r="B990" s="1" t="n">
        <v>45125.95086805556</v>
      </c>
      <c r="C990" s="1" t="n">
        <v>45961</v>
      </c>
      <c r="D990" t="inlineStr">
        <is>
          <t>VÄSTERNORRLANDS LÄN</t>
        </is>
      </c>
      <c r="E990" t="inlineStr">
        <is>
          <t>SUNDSVALL</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12101-2024</t>
        </is>
      </c>
      <c r="B991" s="1" t="n">
        <v>45376</v>
      </c>
      <c r="C991" s="1" t="n">
        <v>45961</v>
      </c>
      <c r="D991" t="inlineStr">
        <is>
          <t>VÄSTERNORRLANDS LÄN</t>
        </is>
      </c>
      <c r="E991" t="inlineStr">
        <is>
          <t>SUNDSVALL</t>
        </is>
      </c>
      <c r="G991" t="n">
        <v>6</v>
      </c>
      <c r="H991" t="n">
        <v>0</v>
      </c>
      <c r="I991" t="n">
        <v>0</v>
      </c>
      <c r="J991" t="n">
        <v>0</v>
      </c>
      <c r="K991" t="n">
        <v>0</v>
      </c>
      <c r="L991" t="n">
        <v>0</v>
      </c>
      <c r="M991" t="n">
        <v>0</v>
      </c>
      <c r="N991" t="n">
        <v>0</v>
      </c>
      <c r="O991" t="n">
        <v>0</v>
      </c>
      <c r="P991" t="n">
        <v>0</v>
      </c>
      <c r="Q991" t="n">
        <v>0</v>
      </c>
      <c r="R991" s="2" t="inlineStr"/>
    </row>
    <row r="992" ht="15" customHeight="1">
      <c r="A992" t="inlineStr">
        <is>
          <t>A 40786-2023</t>
        </is>
      </c>
      <c r="B992" s="1" t="n">
        <v>45170.95792824074</v>
      </c>
      <c r="C992" s="1" t="n">
        <v>45961</v>
      </c>
      <c r="D992" t="inlineStr">
        <is>
          <t>VÄSTERNORRLANDS LÄN</t>
        </is>
      </c>
      <c r="E992" t="inlineStr">
        <is>
          <t>SUNDSVALL</t>
        </is>
      </c>
      <c r="F992" t="inlineStr">
        <is>
          <t>SCA</t>
        </is>
      </c>
      <c r="G992" t="n">
        <v>18.1</v>
      </c>
      <c r="H992" t="n">
        <v>0</v>
      </c>
      <c r="I992" t="n">
        <v>0</v>
      </c>
      <c r="J992" t="n">
        <v>0</v>
      </c>
      <c r="K992" t="n">
        <v>0</v>
      </c>
      <c r="L992" t="n">
        <v>0</v>
      </c>
      <c r="M992" t="n">
        <v>0</v>
      </c>
      <c r="N992" t="n">
        <v>0</v>
      </c>
      <c r="O992" t="n">
        <v>0</v>
      </c>
      <c r="P992" t="n">
        <v>0</v>
      </c>
      <c r="Q992" t="n">
        <v>0</v>
      </c>
      <c r="R992" s="2" t="inlineStr"/>
    </row>
    <row r="993" ht="15" customHeight="1">
      <c r="A993" t="inlineStr">
        <is>
          <t>A 24298-2023</t>
        </is>
      </c>
      <c r="B993" s="1" t="n">
        <v>45079</v>
      </c>
      <c r="C993" s="1" t="n">
        <v>45961</v>
      </c>
      <c r="D993" t="inlineStr">
        <is>
          <t>VÄSTERNORRLANDS LÄN</t>
        </is>
      </c>
      <c r="E993" t="inlineStr">
        <is>
          <t>SUNDSVALL</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22471-2025</t>
        </is>
      </c>
      <c r="B994" s="1" t="n">
        <v>45786.61559027778</v>
      </c>
      <c r="C994" s="1" t="n">
        <v>45961</v>
      </c>
      <c r="D994" t="inlineStr">
        <is>
          <t>VÄSTERNORRLANDS LÄN</t>
        </is>
      </c>
      <c r="E994" t="inlineStr">
        <is>
          <t>SUNDSVALL</t>
        </is>
      </c>
      <c r="G994" t="n">
        <v>5.3</v>
      </c>
      <c r="H994" t="n">
        <v>0</v>
      </c>
      <c r="I994" t="n">
        <v>0</v>
      </c>
      <c r="J994" t="n">
        <v>0</v>
      </c>
      <c r="K994" t="n">
        <v>0</v>
      </c>
      <c r="L994" t="n">
        <v>0</v>
      </c>
      <c r="M994" t="n">
        <v>0</v>
      </c>
      <c r="N994" t="n">
        <v>0</v>
      </c>
      <c r="O994" t="n">
        <v>0</v>
      </c>
      <c r="P994" t="n">
        <v>0</v>
      </c>
      <c r="Q994" t="n">
        <v>0</v>
      </c>
      <c r="R994" s="2" t="inlineStr"/>
    </row>
    <row r="995" ht="15" customHeight="1">
      <c r="A995" t="inlineStr">
        <is>
          <t>A 38939-2024</t>
        </is>
      </c>
      <c r="B995" s="1" t="n">
        <v>45548.34457175926</v>
      </c>
      <c r="C995" s="1" t="n">
        <v>45961</v>
      </c>
      <c r="D995" t="inlineStr">
        <is>
          <t>VÄSTERNORRLANDS LÄN</t>
        </is>
      </c>
      <c r="E995" t="inlineStr">
        <is>
          <t>SUNDSVALL</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38942-2024</t>
        </is>
      </c>
      <c r="B996" s="1" t="n">
        <v>45548.34482638889</v>
      </c>
      <c r="C996" s="1" t="n">
        <v>45961</v>
      </c>
      <c r="D996" t="inlineStr">
        <is>
          <t>VÄSTERNORRLANDS LÄN</t>
        </is>
      </c>
      <c r="E996" t="inlineStr">
        <is>
          <t>SUNDSVALL</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10984-2022</t>
        </is>
      </c>
      <c r="B997" s="1" t="n">
        <v>44628</v>
      </c>
      <c r="C997" s="1" t="n">
        <v>45961</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10988-2022</t>
        </is>
      </c>
      <c r="B998" s="1" t="n">
        <v>44628</v>
      </c>
      <c r="C998" s="1" t="n">
        <v>45961</v>
      </c>
      <c r="D998" t="inlineStr">
        <is>
          <t>VÄSTERNORRLANDS LÄN</t>
        </is>
      </c>
      <c r="E998" t="inlineStr">
        <is>
          <t>SUNDSVALL</t>
        </is>
      </c>
      <c r="G998" t="n">
        <v>3.5</v>
      </c>
      <c r="H998" t="n">
        <v>0</v>
      </c>
      <c r="I998" t="n">
        <v>0</v>
      </c>
      <c r="J998" t="n">
        <v>0</v>
      </c>
      <c r="K998" t="n">
        <v>0</v>
      </c>
      <c r="L998" t="n">
        <v>0</v>
      </c>
      <c r="M998" t="n">
        <v>0</v>
      </c>
      <c r="N998" t="n">
        <v>0</v>
      </c>
      <c r="O998" t="n">
        <v>0</v>
      </c>
      <c r="P998" t="n">
        <v>0</v>
      </c>
      <c r="Q998" t="n">
        <v>0</v>
      </c>
      <c r="R998" s="2" t="inlineStr"/>
    </row>
    <row r="999" ht="15" customHeight="1">
      <c r="A999" t="inlineStr">
        <is>
          <t>A 38287-2024</t>
        </is>
      </c>
      <c r="B999" s="1" t="n">
        <v>45545.61619212963</v>
      </c>
      <c r="C999" s="1" t="n">
        <v>45961</v>
      </c>
      <c r="D999" t="inlineStr">
        <is>
          <t>VÄSTERNORRLANDS LÄN</t>
        </is>
      </c>
      <c r="E999" t="inlineStr">
        <is>
          <t>SUNDSVALL</t>
        </is>
      </c>
      <c r="G999" t="n">
        <v>1.7</v>
      </c>
      <c r="H999" t="n">
        <v>0</v>
      </c>
      <c r="I999" t="n">
        <v>0</v>
      </c>
      <c r="J999" t="n">
        <v>0</v>
      </c>
      <c r="K999" t="n">
        <v>0</v>
      </c>
      <c r="L999" t="n">
        <v>0</v>
      </c>
      <c r="M999" t="n">
        <v>0</v>
      </c>
      <c r="N999" t="n">
        <v>0</v>
      </c>
      <c r="O999" t="n">
        <v>0</v>
      </c>
      <c r="P999" t="n">
        <v>0</v>
      </c>
      <c r="Q999" t="n">
        <v>0</v>
      </c>
      <c r="R999" s="2" t="inlineStr"/>
    </row>
    <row r="1000" ht="15" customHeight="1">
      <c r="A1000" t="inlineStr">
        <is>
          <t>A 34822-2024</t>
        </is>
      </c>
      <c r="B1000" s="1" t="n">
        <v>45526.71462962963</v>
      </c>
      <c r="C1000" s="1" t="n">
        <v>45961</v>
      </c>
      <c r="D1000" t="inlineStr">
        <is>
          <t>VÄSTERNORRLANDS LÄN</t>
        </is>
      </c>
      <c r="E1000" t="inlineStr">
        <is>
          <t>SUNDSVALL</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44035-2024</t>
        </is>
      </c>
      <c r="B1001" s="1" t="n">
        <v>45572.57914351852</v>
      </c>
      <c r="C1001" s="1" t="n">
        <v>45961</v>
      </c>
      <c r="D1001" t="inlineStr">
        <is>
          <t>VÄSTERNORRLANDS LÄN</t>
        </is>
      </c>
      <c r="E1001" t="inlineStr">
        <is>
          <t>SUNDSVALL</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36101-2024</t>
        </is>
      </c>
      <c r="B1002" s="1" t="n">
        <v>45533</v>
      </c>
      <c r="C1002" s="1" t="n">
        <v>45961</v>
      </c>
      <c r="D1002" t="inlineStr">
        <is>
          <t>VÄSTERNORRLANDS LÄN</t>
        </is>
      </c>
      <c r="E1002" t="inlineStr">
        <is>
          <t>SUNDSVALL</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56252-2023</t>
        </is>
      </c>
      <c r="B1003" s="1" t="n">
        <v>45240</v>
      </c>
      <c r="C1003" s="1" t="n">
        <v>45961</v>
      </c>
      <c r="D1003" t="inlineStr">
        <is>
          <t>VÄSTERNORRLANDS LÄN</t>
        </is>
      </c>
      <c r="E1003" t="inlineStr">
        <is>
          <t>SUNDSVALL</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12310-2024</t>
        </is>
      </c>
      <c r="B1004" s="1" t="n">
        <v>45377</v>
      </c>
      <c r="C1004" s="1" t="n">
        <v>45961</v>
      </c>
      <c r="D1004" t="inlineStr">
        <is>
          <t>VÄSTERNORRLANDS LÄN</t>
        </is>
      </c>
      <c r="E1004" t="inlineStr">
        <is>
          <t>SUNDSVALL</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19338-2024</t>
        </is>
      </c>
      <c r="B1005" s="1" t="n">
        <v>45428</v>
      </c>
      <c r="C1005" s="1" t="n">
        <v>45961</v>
      </c>
      <c r="D1005" t="inlineStr">
        <is>
          <t>VÄSTERNORRLANDS LÄN</t>
        </is>
      </c>
      <c r="E1005" t="inlineStr">
        <is>
          <t>SUNDSVALL</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31522-2024</t>
        </is>
      </c>
      <c r="B1006" s="1" t="n">
        <v>45505</v>
      </c>
      <c r="C1006" s="1" t="n">
        <v>45961</v>
      </c>
      <c r="D1006" t="inlineStr">
        <is>
          <t>VÄSTERNORRLANDS LÄN</t>
        </is>
      </c>
      <c r="E1006" t="inlineStr">
        <is>
          <t>SUNDSVALL</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22322-2025</t>
        </is>
      </c>
      <c r="B1007" s="1" t="n">
        <v>45786.40657407408</v>
      </c>
      <c r="C1007" s="1" t="n">
        <v>45961</v>
      </c>
      <c r="D1007" t="inlineStr">
        <is>
          <t>VÄSTERNORRLANDS LÄN</t>
        </is>
      </c>
      <c r="E1007" t="inlineStr">
        <is>
          <t>SUNDSVALL</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55339-2023</t>
        </is>
      </c>
      <c r="B1008" s="1" t="n">
        <v>45237.97483796296</v>
      </c>
      <c r="C1008" s="1" t="n">
        <v>45961</v>
      </c>
      <c r="D1008" t="inlineStr">
        <is>
          <t>VÄSTERNORRLANDS LÄN</t>
        </is>
      </c>
      <c r="E1008" t="inlineStr">
        <is>
          <t>SUNDSVALL</t>
        </is>
      </c>
      <c r="F1008" t="inlineStr">
        <is>
          <t>SCA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7579-2025</t>
        </is>
      </c>
      <c r="B1009" s="1" t="n">
        <v>45705</v>
      </c>
      <c r="C1009" s="1" t="n">
        <v>45961</v>
      </c>
      <c r="D1009" t="inlineStr">
        <is>
          <t>VÄSTERNORRLANDS LÄN</t>
        </is>
      </c>
      <c r="E1009" t="inlineStr">
        <is>
          <t>SUNDSVALL</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60576-2023</t>
        </is>
      </c>
      <c r="B1010" s="1" t="n">
        <v>45259</v>
      </c>
      <c r="C1010" s="1" t="n">
        <v>45961</v>
      </c>
      <c r="D1010" t="inlineStr">
        <is>
          <t>VÄSTERNORRLANDS LÄN</t>
        </is>
      </c>
      <c r="E1010" t="inlineStr">
        <is>
          <t>SUNDSVALL</t>
        </is>
      </c>
      <c r="F1010" t="inlineStr">
        <is>
          <t>SCA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22347-2025</t>
        </is>
      </c>
      <c r="B1011" s="1" t="n">
        <v>45786.44875</v>
      </c>
      <c r="C1011" s="1" t="n">
        <v>45961</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52517-2023</t>
        </is>
      </c>
      <c r="B1012" s="1" t="n">
        <v>45225.49472222223</v>
      </c>
      <c r="C1012" s="1" t="n">
        <v>45961</v>
      </c>
      <c r="D1012" t="inlineStr">
        <is>
          <t>VÄSTERNORRLANDS LÄN</t>
        </is>
      </c>
      <c r="E1012" t="inlineStr">
        <is>
          <t>SUNDSVALL</t>
        </is>
      </c>
      <c r="F1012" t="inlineStr">
        <is>
          <t>Kommuner</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22445-2025</t>
        </is>
      </c>
      <c r="B1013" s="1" t="n">
        <v>45786.59431712963</v>
      </c>
      <c r="C1013" s="1" t="n">
        <v>45961</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13694-2023</t>
        </is>
      </c>
      <c r="B1014" s="1" t="n">
        <v>45006</v>
      </c>
      <c r="C1014" s="1" t="n">
        <v>45961</v>
      </c>
      <c r="D1014" t="inlineStr">
        <is>
          <t>VÄSTERNORRLANDS LÄN</t>
        </is>
      </c>
      <c r="E1014" t="inlineStr">
        <is>
          <t>SUNDSVALL</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7091-2025</t>
        </is>
      </c>
      <c r="B1015" s="1" t="n">
        <v>45701.75440972222</v>
      </c>
      <c r="C1015" s="1" t="n">
        <v>45961</v>
      </c>
      <c r="D1015" t="inlineStr">
        <is>
          <t>VÄSTERNORRLANDS LÄN</t>
        </is>
      </c>
      <c r="E1015" t="inlineStr">
        <is>
          <t>SUNDSVALL</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13690-2023</t>
        </is>
      </c>
      <c r="B1016" s="1" t="n">
        <v>45006.94331018518</v>
      </c>
      <c r="C1016" s="1" t="n">
        <v>45961</v>
      </c>
      <c r="D1016" t="inlineStr">
        <is>
          <t>VÄSTERNORRLANDS LÄN</t>
        </is>
      </c>
      <c r="E1016" t="inlineStr">
        <is>
          <t>SUNDSVALL</t>
        </is>
      </c>
      <c r="F1016" t="inlineStr">
        <is>
          <t>SCA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11023-2025</t>
        </is>
      </c>
      <c r="B1017" s="1" t="n">
        <v>45723.46907407408</v>
      </c>
      <c r="C1017" s="1" t="n">
        <v>45961</v>
      </c>
      <c r="D1017" t="inlineStr">
        <is>
          <t>VÄSTERNORRLANDS LÄN</t>
        </is>
      </c>
      <c r="E1017" t="inlineStr">
        <is>
          <t>SUNDSVALL</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50202-2024</t>
        </is>
      </c>
      <c r="B1018" s="1" t="n">
        <v>45600.49368055556</v>
      </c>
      <c r="C1018" s="1" t="n">
        <v>45961</v>
      </c>
      <c r="D1018" t="inlineStr">
        <is>
          <t>VÄSTERNORRLANDS LÄN</t>
        </is>
      </c>
      <c r="E1018" t="inlineStr">
        <is>
          <t>SUNDSVALL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32201-2023</t>
        </is>
      </c>
      <c r="B1019" s="1" t="n">
        <v>45119</v>
      </c>
      <c r="C1019" s="1" t="n">
        <v>45961</v>
      </c>
      <c r="D1019" t="inlineStr">
        <is>
          <t>VÄSTERNORRLANDS LÄN</t>
        </is>
      </c>
      <c r="E1019" t="inlineStr">
        <is>
          <t>SUNDSVALL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50204-2024</t>
        </is>
      </c>
      <c r="B1020" s="1" t="n">
        <v>45600.49379629629</v>
      </c>
      <c r="C1020" s="1" t="n">
        <v>45961</v>
      </c>
      <c r="D1020" t="inlineStr">
        <is>
          <t>VÄSTERNORRLANDS LÄN</t>
        </is>
      </c>
      <c r="E1020" t="inlineStr">
        <is>
          <t>SUNDSVALL</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22321-2025</t>
        </is>
      </c>
      <c r="B1021" s="1" t="n">
        <v>45786.4065162037</v>
      </c>
      <c r="C1021" s="1" t="n">
        <v>45961</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22890-2022</t>
        </is>
      </c>
      <c r="B1022" s="1" t="n">
        <v>44715</v>
      </c>
      <c r="C1022" s="1" t="n">
        <v>45961</v>
      </c>
      <c r="D1022" t="inlineStr">
        <is>
          <t>VÄSTERNORRLANDS LÄN</t>
        </is>
      </c>
      <c r="E1022" t="inlineStr">
        <is>
          <t>SUNDSVALL</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28536-2022</t>
        </is>
      </c>
      <c r="B1023" s="1" t="n">
        <v>44748</v>
      </c>
      <c r="C1023" s="1" t="n">
        <v>45961</v>
      </c>
      <c r="D1023" t="inlineStr">
        <is>
          <t>VÄSTERNORRLANDS LÄN</t>
        </is>
      </c>
      <c r="E1023" t="inlineStr">
        <is>
          <t>SUNDSVALL</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18522-2025</t>
        </is>
      </c>
      <c r="B1024" s="1" t="n">
        <v>45763.39638888889</v>
      </c>
      <c r="C1024" s="1" t="n">
        <v>45961</v>
      </c>
      <c r="D1024" t="inlineStr">
        <is>
          <t>VÄSTERNORRLANDS LÄN</t>
        </is>
      </c>
      <c r="E1024" t="inlineStr">
        <is>
          <t>SUNDSVALL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56755-2021</t>
        </is>
      </c>
      <c r="B1025" s="1" t="n">
        <v>44481</v>
      </c>
      <c r="C1025" s="1" t="n">
        <v>45961</v>
      </c>
      <c r="D1025" t="inlineStr">
        <is>
          <t>VÄSTERNORRLANDS LÄN</t>
        </is>
      </c>
      <c r="E1025" t="inlineStr">
        <is>
          <t>SUNDSVALL</t>
        </is>
      </c>
      <c r="F1025" t="inlineStr">
        <is>
          <t>Kommuner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50829-2023</t>
        </is>
      </c>
      <c r="B1026" s="1" t="n">
        <v>45217</v>
      </c>
      <c r="C1026" s="1" t="n">
        <v>45961</v>
      </c>
      <c r="D1026" t="inlineStr">
        <is>
          <t>VÄSTERNORRLANDS LÄN</t>
        </is>
      </c>
      <c r="E1026" t="inlineStr">
        <is>
          <t>SUNDSVALL</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22775-2025</t>
        </is>
      </c>
      <c r="B1027" s="1" t="n">
        <v>45789.63674768519</v>
      </c>
      <c r="C1027" s="1" t="n">
        <v>45961</v>
      </c>
      <c r="D1027" t="inlineStr">
        <is>
          <t>VÄSTERNORRLANDS LÄN</t>
        </is>
      </c>
      <c r="E1027" t="inlineStr">
        <is>
          <t>SUNDSVALL</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34706-2024</t>
        </is>
      </c>
      <c r="B1028" s="1" t="n">
        <v>45526</v>
      </c>
      <c r="C1028" s="1" t="n">
        <v>45961</v>
      </c>
      <c r="D1028" t="inlineStr">
        <is>
          <t>VÄSTERNORRLANDS LÄN</t>
        </is>
      </c>
      <c r="E1028" t="inlineStr">
        <is>
          <t>SUNDSVALL</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43004-2024</t>
        </is>
      </c>
      <c r="B1029" s="1" t="n">
        <v>45567.37616898148</v>
      </c>
      <c r="C1029" s="1" t="n">
        <v>45961</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19866-2024</t>
        </is>
      </c>
      <c r="B1030" s="1" t="n">
        <v>45433</v>
      </c>
      <c r="C1030" s="1" t="n">
        <v>45961</v>
      </c>
      <c r="D1030" t="inlineStr">
        <is>
          <t>VÄSTERNORRLANDS LÄN</t>
        </is>
      </c>
      <c r="E1030" t="inlineStr">
        <is>
          <t>SUNDSVALL</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4584-2024</t>
        </is>
      </c>
      <c r="B1031" s="1" t="n">
        <v>45327.92819444444</v>
      </c>
      <c r="C1031" s="1" t="n">
        <v>45961</v>
      </c>
      <c r="D1031" t="inlineStr">
        <is>
          <t>VÄSTERNORRLANDS LÄN</t>
        </is>
      </c>
      <c r="E1031" t="inlineStr">
        <is>
          <t>SUNDSVALL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19011-2025</t>
        </is>
      </c>
      <c r="B1032" s="1" t="n">
        <v>45764.59440972222</v>
      </c>
      <c r="C1032" s="1" t="n">
        <v>45961</v>
      </c>
      <c r="D1032" t="inlineStr">
        <is>
          <t>VÄSTERNORRLANDS LÄN</t>
        </is>
      </c>
      <c r="E1032" t="inlineStr">
        <is>
          <t>SUNDSVALL</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48411-2023</t>
        </is>
      </c>
      <c r="B1033" s="1" t="n">
        <v>45205.92331018519</v>
      </c>
      <c r="C1033" s="1" t="n">
        <v>45961</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27005-2022</t>
        </is>
      </c>
      <c r="B1034" s="1" t="n">
        <v>44740</v>
      </c>
      <c r="C1034" s="1" t="n">
        <v>45961</v>
      </c>
      <c r="D1034" t="inlineStr">
        <is>
          <t>VÄSTERNORRLANDS LÄN</t>
        </is>
      </c>
      <c r="E1034" t="inlineStr">
        <is>
          <t>SUNDSVALL</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22470-2025</t>
        </is>
      </c>
      <c r="B1035" s="1" t="n">
        <v>45786.61554398148</v>
      </c>
      <c r="C1035" s="1" t="n">
        <v>45961</v>
      </c>
      <c r="D1035" t="inlineStr">
        <is>
          <t>VÄSTERNORRLANDS LÄN</t>
        </is>
      </c>
      <c r="E1035" t="inlineStr">
        <is>
          <t>SUNDSVALL</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12496-2022</t>
        </is>
      </c>
      <c r="B1036" s="1" t="n">
        <v>44638.51076388889</v>
      </c>
      <c r="C1036" s="1" t="n">
        <v>45961</v>
      </c>
      <c r="D1036" t="inlineStr">
        <is>
          <t>VÄSTERNORRLANDS LÄN</t>
        </is>
      </c>
      <c r="E1036" t="inlineStr">
        <is>
          <t>SUNDSVALL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59997-2023</t>
        </is>
      </c>
      <c r="B1037" s="1" t="n">
        <v>45257.97215277778</v>
      </c>
      <c r="C1037" s="1" t="n">
        <v>45961</v>
      </c>
      <c r="D1037" t="inlineStr">
        <is>
          <t>VÄSTERNORRLANDS LÄN</t>
        </is>
      </c>
      <c r="E1037" t="inlineStr">
        <is>
          <t>SUNDSVALL</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43978-2023</t>
        </is>
      </c>
      <c r="B1038" s="1" t="n">
        <v>45187</v>
      </c>
      <c r="C1038" s="1" t="n">
        <v>45961</v>
      </c>
      <c r="D1038" t="inlineStr">
        <is>
          <t>VÄSTERNORRLANDS LÄN</t>
        </is>
      </c>
      <c r="E1038" t="inlineStr">
        <is>
          <t>SUNDSVALL</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43138-2023</t>
        </is>
      </c>
      <c r="B1039" s="1" t="n">
        <v>45180</v>
      </c>
      <c r="C1039" s="1" t="n">
        <v>45961</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7924-2025</t>
        </is>
      </c>
      <c r="B1040" s="1" t="n">
        <v>45707.36533564814</v>
      </c>
      <c r="C1040" s="1" t="n">
        <v>45961</v>
      </c>
      <c r="D1040" t="inlineStr">
        <is>
          <t>VÄSTERNORRLANDS LÄN</t>
        </is>
      </c>
      <c r="E1040" t="inlineStr">
        <is>
          <t>SUNDSVALL</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7961-2025</t>
        </is>
      </c>
      <c r="B1041" s="1" t="n">
        <v>45707.44523148148</v>
      </c>
      <c r="C1041" s="1" t="n">
        <v>45961</v>
      </c>
      <c r="D1041" t="inlineStr">
        <is>
          <t>VÄSTERNORRLANDS LÄN</t>
        </is>
      </c>
      <c r="E1041" t="inlineStr">
        <is>
          <t>SUNDSVALL</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7970-2025</t>
        </is>
      </c>
      <c r="B1042" s="1" t="n">
        <v>45707.45626157407</v>
      </c>
      <c r="C1042" s="1" t="n">
        <v>45961</v>
      </c>
      <c r="D1042" t="inlineStr">
        <is>
          <t>VÄSTERNORRLANDS LÄN</t>
        </is>
      </c>
      <c r="E1042" t="inlineStr">
        <is>
          <t>SUNDSVALL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22884-2025</t>
        </is>
      </c>
      <c r="B1043" s="1" t="n">
        <v>45790.38577546296</v>
      </c>
      <c r="C1043" s="1" t="n">
        <v>45961</v>
      </c>
      <c r="D1043" t="inlineStr">
        <is>
          <t>VÄSTERNORRLANDS LÄN</t>
        </is>
      </c>
      <c r="E1043" t="inlineStr">
        <is>
          <t>SUNDSVALL</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5654-2022</t>
        </is>
      </c>
      <c r="B1044" s="1" t="n">
        <v>44595</v>
      </c>
      <c r="C1044" s="1" t="n">
        <v>45961</v>
      </c>
      <c r="D1044" t="inlineStr">
        <is>
          <t>VÄSTERNORRLANDS LÄN</t>
        </is>
      </c>
      <c r="E1044" t="inlineStr">
        <is>
          <t>SUNDSVALL</t>
        </is>
      </c>
      <c r="F1044" t="inlineStr">
        <is>
          <t>SCA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16941-2025</t>
        </is>
      </c>
      <c r="B1045" s="1" t="n">
        <v>45755</v>
      </c>
      <c r="C1045" s="1" t="n">
        <v>45961</v>
      </c>
      <c r="D1045" t="inlineStr">
        <is>
          <t>VÄSTERNORRLANDS LÄN</t>
        </is>
      </c>
      <c r="E1045" t="inlineStr">
        <is>
          <t>SUNDSVALL</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28961-2022</t>
        </is>
      </c>
      <c r="B1046" s="1" t="n">
        <v>44749</v>
      </c>
      <c r="C1046" s="1" t="n">
        <v>45961</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41027-2024</t>
        </is>
      </c>
      <c r="B1047" s="1" t="n">
        <v>45559</v>
      </c>
      <c r="C1047" s="1" t="n">
        <v>45961</v>
      </c>
      <c r="D1047" t="inlineStr">
        <is>
          <t>VÄSTERNORRLANDS LÄN</t>
        </is>
      </c>
      <c r="E1047" t="inlineStr">
        <is>
          <t>SUNDSVALL</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22837-2025</t>
        </is>
      </c>
      <c r="B1048" s="1" t="n">
        <v>45789.91606481482</v>
      </c>
      <c r="C1048" s="1" t="n">
        <v>45961</v>
      </c>
      <c r="D1048" t="inlineStr">
        <is>
          <t>VÄSTERNORRLANDS LÄN</t>
        </is>
      </c>
      <c r="E1048" t="inlineStr">
        <is>
          <t>SUNDSVALL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26674-2022</t>
        </is>
      </c>
      <c r="B1049" s="1" t="n">
        <v>44739</v>
      </c>
      <c r="C1049" s="1" t="n">
        <v>45961</v>
      </c>
      <c r="D1049" t="inlineStr">
        <is>
          <t>VÄSTERNORRLANDS LÄN</t>
        </is>
      </c>
      <c r="E1049" t="inlineStr">
        <is>
          <t>SUNDSVALL</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45961</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59213-2023</t>
        </is>
      </c>
      <c r="B1051" s="1" t="n">
        <v>45253.4800462963</v>
      </c>
      <c r="C1051" s="1" t="n">
        <v>45961</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23095-2025</t>
        </is>
      </c>
      <c r="B1052" s="1" t="n">
        <v>45791.34487268519</v>
      </c>
      <c r="C1052" s="1" t="n">
        <v>45961</v>
      </c>
      <c r="D1052" t="inlineStr">
        <is>
          <t>VÄSTERNORRLANDS LÄN</t>
        </is>
      </c>
      <c r="E1052" t="inlineStr">
        <is>
          <t>SUNDSVALL</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23156-2025</t>
        </is>
      </c>
      <c r="B1053" s="1" t="n">
        <v>45791.40693287037</v>
      </c>
      <c r="C1053" s="1" t="n">
        <v>45961</v>
      </c>
      <c r="D1053" t="inlineStr">
        <is>
          <t>VÄSTERNORRLANDS LÄN</t>
        </is>
      </c>
      <c r="E1053" t="inlineStr">
        <is>
          <t>SUNDSVALL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17211-2022</t>
        </is>
      </c>
      <c r="B1054" s="1" t="n">
        <v>44677</v>
      </c>
      <c r="C1054" s="1" t="n">
        <v>45961</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21396-2022</t>
        </is>
      </c>
      <c r="B1055" s="1" t="n">
        <v>44705</v>
      </c>
      <c r="C1055" s="1" t="n">
        <v>45961</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23637-2025</t>
        </is>
      </c>
      <c r="B1056" s="1" t="n">
        <v>45792.67971064815</v>
      </c>
      <c r="C1056" s="1" t="n">
        <v>45961</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23653-2025</t>
        </is>
      </c>
      <c r="B1057" s="1" t="n">
        <v>45792</v>
      </c>
      <c r="C1057" s="1" t="n">
        <v>45961</v>
      </c>
      <c r="D1057" t="inlineStr">
        <is>
          <t>VÄSTERNORRLANDS LÄN</t>
        </is>
      </c>
      <c r="E1057" t="inlineStr">
        <is>
          <t>SUNDSVALL</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36874-2023</t>
        </is>
      </c>
      <c r="B1058" s="1" t="n">
        <v>45154</v>
      </c>
      <c r="C1058" s="1" t="n">
        <v>45961</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23152-2025</t>
        </is>
      </c>
      <c r="B1059" s="1" t="n">
        <v>45791.40515046296</v>
      </c>
      <c r="C1059" s="1" t="n">
        <v>45961</v>
      </c>
      <c r="D1059" t="inlineStr">
        <is>
          <t>VÄSTERNORRLANDS LÄN</t>
        </is>
      </c>
      <c r="E1059" t="inlineStr">
        <is>
          <t>SUNDSVALL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25024-2024</t>
        </is>
      </c>
      <c r="B1060" s="1" t="n">
        <v>45461</v>
      </c>
      <c r="C1060" s="1" t="n">
        <v>45961</v>
      </c>
      <c r="D1060" t="inlineStr">
        <is>
          <t>VÄSTERNORRLANDS LÄN</t>
        </is>
      </c>
      <c r="E1060" t="inlineStr">
        <is>
          <t>SUNDSVALL</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41091-2024</t>
        </is>
      </c>
      <c r="B1061" s="1" t="n">
        <v>45559.42767361111</v>
      </c>
      <c r="C1061" s="1" t="n">
        <v>45961</v>
      </c>
      <c r="D1061" t="inlineStr">
        <is>
          <t>VÄSTERNORRLANDS LÄN</t>
        </is>
      </c>
      <c r="E1061" t="inlineStr">
        <is>
          <t>SUNDSVALL</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23300-2022</t>
        </is>
      </c>
      <c r="B1062" s="1" t="n">
        <v>44720.4637962963</v>
      </c>
      <c r="C1062" s="1" t="n">
        <v>45961</v>
      </c>
      <c r="D1062" t="inlineStr">
        <is>
          <t>VÄSTERNORRLANDS LÄN</t>
        </is>
      </c>
      <c r="E1062" t="inlineStr">
        <is>
          <t>SUNDSVALL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44406-2022</t>
        </is>
      </c>
      <c r="B1063" s="1" t="n">
        <v>44838</v>
      </c>
      <c r="C1063" s="1" t="n">
        <v>45961</v>
      </c>
      <c r="D1063" t="inlineStr">
        <is>
          <t>VÄSTERNORRLANDS LÄN</t>
        </is>
      </c>
      <c r="E1063" t="inlineStr">
        <is>
          <t>SUNDSVALL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44415-2022</t>
        </is>
      </c>
      <c r="B1064" s="1" t="n">
        <v>44839</v>
      </c>
      <c r="C1064" s="1" t="n">
        <v>45961</v>
      </c>
      <c r="D1064" t="inlineStr">
        <is>
          <t>VÄSTERNORRLANDS LÄN</t>
        </is>
      </c>
      <c r="E1064" t="inlineStr">
        <is>
          <t>SUNDSVALL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44416-2022</t>
        </is>
      </c>
      <c r="B1065" s="1" t="n">
        <v>44839</v>
      </c>
      <c r="C1065" s="1" t="n">
        <v>45961</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21637-2023</t>
        </is>
      </c>
      <c r="B1066" s="1" t="n">
        <v>45063</v>
      </c>
      <c r="C1066" s="1" t="n">
        <v>45961</v>
      </c>
      <c r="D1066" t="inlineStr">
        <is>
          <t>VÄSTERNORRLANDS LÄN</t>
        </is>
      </c>
      <c r="E1066" t="inlineStr">
        <is>
          <t>SUNDSVALL</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51547-2022</t>
        </is>
      </c>
      <c r="B1067" s="1" t="n">
        <v>44869</v>
      </c>
      <c r="C1067" s="1" t="n">
        <v>45961</v>
      </c>
      <c r="D1067" t="inlineStr">
        <is>
          <t>VÄSTERNORRLANDS LÄN</t>
        </is>
      </c>
      <c r="E1067" t="inlineStr">
        <is>
          <t>SUNDSVALL</t>
        </is>
      </c>
      <c r="F1067" t="inlineStr">
        <is>
          <t>SCA</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23334-2025</t>
        </is>
      </c>
      <c r="B1068" s="1" t="n">
        <v>45791.65145833333</v>
      </c>
      <c r="C1068" s="1" t="n">
        <v>45961</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55768-2023</t>
        </is>
      </c>
      <c r="B1069" s="1" t="n">
        <v>45239.479375</v>
      </c>
      <c r="C1069" s="1" t="n">
        <v>45961</v>
      </c>
      <c r="D1069" t="inlineStr">
        <is>
          <t>VÄSTERNORRLANDS LÄN</t>
        </is>
      </c>
      <c r="E1069" t="inlineStr">
        <is>
          <t>SUNDSVALL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25350-2024</t>
        </is>
      </c>
      <c r="B1070" s="1" t="n">
        <v>45462</v>
      </c>
      <c r="C1070" s="1" t="n">
        <v>45961</v>
      </c>
      <c r="D1070" t="inlineStr">
        <is>
          <t>VÄSTERNORRLANDS LÄN</t>
        </is>
      </c>
      <c r="E1070" t="inlineStr">
        <is>
          <t>SUNDSVALL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5798-2021</t>
        </is>
      </c>
      <c r="B1071" s="1" t="n">
        <v>44230</v>
      </c>
      <c r="C1071" s="1" t="n">
        <v>45961</v>
      </c>
      <c r="D1071" t="inlineStr">
        <is>
          <t>VÄSTERNORRLANDS LÄN</t>
        </is>
      </c>
      <c r="E1071" t="inlineStr">
        <is>
          <t>SUNDSVALL</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5799-2021</t>
        </is>
      </c>
      <c r="B1072" s="1" t="n">
        <v>44230</v>
      </c>
      <c r="C1072" s="1" t="n">
        <v>45961</v>
      </c>
      <c r="D1072" t="inlineStr">
        <is>
          <t>VÄSTERNORRLANDS LÄN</t>
        </is>
      </c>
      <c r="E1072" t="inlineStr">
        <is>
          <t>SUNDSVALL</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3293-2025</t>
        </is>
      </c>
      <c r="B1073" s="1" t="n">
        <v>45679</v>
      </c>
      <c r="C1073" s="1" t="n">
        <v>45961</v>
      </c>
      <c r="D1073" t="inlineStr">
        <is>
          <t>VÄSTERNORRLANDS LÄN</t>
        </is>
      </c>
      <c r="E1073" t="inlineStr">
        <is>
          <t>SUNDSVALL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21183-2022</t>
        </is>
      </c>
      <c r="B1074" s="1" t="n">
        <v>44704</v>
      </c>
      <c r="C1074" s="1" t="n">
        <v>45961</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23410-2025</t>
        </is>
      </c>
      <c r="B1075" s="1" t="n">
        <v>45792.34569444445</v>
      </c>
      <c r="C1075" s="1" t="n">
        <v>45961</v>
      </c>
      <c r="D1075" t="inlineStr">
        <is>
          <t>VÄSTERNORRLANDS LÄN</t>
        </is>
      </c>
      <c r="E1075" t="inlineStr">
        <is>
          <t>SUNDSVALL</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3713-2025</t>
        </is>
      </c>
      <c r="B1076" s="1" t="n">
        <v>45681.51127314815</v>
      </c>
      <c r="C1076" s="1" t="n">
        <v>45961</v>
      </c>
      <c r="D1076" t="inlineStr">
        <is>
          <t>VÄSTERNORRLANDS LÄN</t>
        </is>
      </c>
      <c r="E1076" t="inlineStr">
        <is>
          <t>SUNDSVALL</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15734-2025</t>
        </is>
      </c>
      <c r="B1077" s="1" t="n">
        <v>45748.53966435185</v>
      </c>
      <c r="C1077" s="1" t="n">
        <v>45961</v>
      </c>
      <c r="D1077" t="inlineStr">
        <is>
          <t>VÄSTERNORRLANDS LÄN</t>
        </is>
      </c>
      <c r="E1077" t="inlineStr">
        <is>
          <t>SUNDSVALL</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2711-2025</t>
        </is>
      </c>
      <c r="B1078" s="1" t="n">
        <v>45677</v>
      </c>
      <c r="C1078" s="1" t="n">
        <v>45961</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56681-2023</t>
        </is>
      </c>
      <c r="B1079" s="1" t="n">
        <v>45243</v>
      </c>
      <c r="C1079" s="1" t="n">
        <v>45961</v>
      </c>
      <c r="D1079" t="inlineStr">
        <is>
          <t>VÄSTERNORRLANDS LÄN</t>
        </is>
      </c>
      <c r="E1079" t="inlineStr">
        <is>
          <t>SUNDSVALL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8423-2024</t>
        </is>
      </c>
      <c r="B1080" s="1" t="n">
        <v>45352.98938657407</v>
      </c>
      <c r="C1080" s="1" t="n">
        <v>45961</v>
      </c>
      <c r="D1080" t="inlineStr">
        <is>
          <t>VÄSTERNORRLANDS LÄN</t>
        </is>
      </c>
      <c r="E1080" t="inlineStr">
        <is>
          <t>SUNDSVALL</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23157-2025</t>
        </is>
      </c>
      <c r="B1081" s="1" t="n">
        <v>45791.40707175926</v>
      </c>
      <c r="C1081" s="1" t="n">
        <v>45961</v>
      </c>
      <c r="D1081" t="inlineStr">
        <is>
          <t>VÄSTERNORRLANDS LÄN</t>
        </is>
      </c>
      <c r="E1081" t="inlineStr">
        <is>
          <t>SUNDSVALL</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23162-2025</t>
        </is>
      </c>
      <c r="B1082" s="1" t="n">
        <v>45791.40846064815</v>
      </c>
      <c r="C1082" s="1" t="n">
        <v>45961</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40798-2023</t>
        </is>
      </c>
      <c r="B1083" s="1" t="n">
        <v>45170</v>
      </c>
      <c r="C1083" s="1" t="n">
        <v>45961</v>
      </c>
      <c r="D1083" t="inlineStr">
        <is>
          <t>VÄSTERNORRLANDS LÄN</t>
        </is>
      </c>
      <c r="E1083" t="inlineStr">
        <is>
          <t>SUNDSVALL</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23691-2025</t>
        </is>
      </c>
      <c r="B1084" s="1" t="n">
        <v>45793.34472222222</v>
      </c>
      <c r="C1084" s="1" t="n">
        <v>45961</v>
      </c>
      <c r="D1084" t="inlineStr">
        <is>
          <t>VÄSTERNORRLANDS LÄN</t>
        </is>
      </c>
      <c r="E1084" t="inlineStr">
        <is>
          <t>SUNDSVALL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60942-2023</t>
        </is>
      </c>
      <c r="B1085" s="1" t="n">
        <v>45259</v>
      </c>
      <c r="C1085" s="1" t="n">
        <v>45961</v>
      </c>
      <c r="D1085" t="inlineStr">
        <is>
          <t>VÄSTERNORRLANDS LÄN</t>
        </is>
      </c>
      <c r="E1085" t="inlineStr">
        <is>
          <t>SUNDSVALL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9624-2021</t>
        </is>
      </c>
      <c r="B1086" s="1" t="n">
        <v>44251</v>
      </c>
      <c r="C1086" s="1" t="n">
        <v>45961</v>
      </c>
      <c r="D1086" t="inlineStr">
        <is>
          <t>VÄSTERNORRLANDS LÄN</t>
        </is>
      </c>
      <c r="E1086" t="inlineStr">
        <is>
          <t>SUNDSVALL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18245-2024</t>
        </is>
      </c>
      <c r="B1087" s="1" t="n">
        <v>45421</v>
      </c>
      <c r="C1087" s="1" t="n">
        <v>45961</v>
      </c>
      <c r="D1087" t="inlineStr">
        <is>
          <t>VÄSTERNORRLANDS LÄN</t>
        </is>
      </c>
      <c r="E1087" t="inlineStr">
        <is>
          <t>SUNDSVALL</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13262-2023</t>
        </is>
      </c>
      <c r="B1088" s="1" t="n">
        <v>45002</v>
      </c>
      <c r="C1088" s="1" t="n">
        <v>45961</v>
      </c>
      <c r="D1088" t="inlineStr">
        <is>
          <t>VÄSTERNORRLANDS LÄN</t>
        </is>
      </c>
      <c r="E1088" t="inlineStr">
        <is>
          <t>SUNDSVALL</t>
        </is>
      </c>
      <c r="F1088" t="inlineStr">
        <is>
          <t>Naturvårdsverket</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4917-2025</t>
        </is>
      </c>
      <c r="B1089" s="1" t="n">
        <v>45688</v>
      </c>
      <c r="C1089" s="1" t="n">
        <v>45961</v>
      </c>
      <c r="D1089" t="inlineStr">
        <is>
          <t>VÄSTERNORRLANDS LÄN</t>
        </is>
      </c>
      <c r="E1089" t="inlineStr">
        <is>
          <t>SUNDSVALL</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974-2025</t>
        </is>
      </c>
      <c r="B1090" s="1" t="n">
        <v>45666.40663194445</v>
      </c>
      <c r="C1090" s="1" t="n">
        <v>45961</v>
      </c>
      <c r="D1090" t="inlineStr">
        <is>
          <t>VÄSTERNORRLANDS LÄN</t>
        </is>
      </c>
      <c r="E1090" t="inlineStr">
        <is>
          <t>SUNDSVALL</t>
        </is>
      </c>
      <c r="F1090" t="inlineStr">
        <is>
          <t>SCA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44272-2023</t>
        </is>
      </c>
      <c r="B1091" s="1" t="n">
        <v>45188</v>
      </c>
      <c r="C1091" s="1" t="n">
        <v>45961</v>
      </c>
      <c r="D1091" t="inlineStr">
        <is>
          <t>VÄSTERNORRLANDS LÄN</t>
        </is>
      </c>
      <c r="E1091" t="inlineStr">
        <is>
          <t>SUNDSVALL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46159-2024</t>
        </is>
      </c>
      <c r="B1092" s="1" t="n">
        <v>45581</v>
      </c>
      <c r="C1092" s="1" t="n">
        <v>45961</v>
      </c>
      <c r="D1092" t="inlineStr">
        <is>
          <t>VÄSTERNORRLANDS LÄN</t>
        </is>
      </c>
      <c r="E1092" t="inlineStr">
        <is>
          <t>SUNDSVALL</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40749-2023</t>
        </is>
      </c>
      <c r="B1093" s="1" t="n">
        <v>45170</v>
      </c>
      <c r="C1093" s="1" t="n">
        <v>45961</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20734-2022</t>
        </is>
      </c>
      <c r="B1094" s="1" t="n">
        <v>44700.94622685185</v>
      </c>
      <c r="C1094" s="1" t="n">
        <v>45961</v>
      </c>
      <c r="D1094" t="inlineStr">
        <is>
          <t>VÄSTERNORRLANDS LÄN</t>
        </is>
      </c>
      <c r="E1094" t="inlineStr">
        <is>
          <t>SUNDSVALL</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13071-2025</t>
        </is>
      </c>
      <c r="B1095" s="1" t="n">
        <v>45734.61527777778</v>
      </c>
      <c r="C1095" s="1" t="n">
        <v>45961</v>
      </c>
      <c r="D1095" t="inlineStr">
        <is>
          <t>VÄSTERNORRLANDS LÄN</t>
        </is>
      </c>
      <c r="E1095" t="inlineStr">
        <is>
          <t>SUNDSVALL</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51103-2023</t>
        </is>
      </c>
      <c r="B1096" s="1" t="n">
        <v>45218.92510416666</v>
      </c>
      <c r="C1096" s="1" t="n">
        <v>45961</v>
      </c>
      <c r="D1096" t="inlineStr">
        <is>
          <t>VÄSTERNORRLANDS LÄN</t>
        </is>
      </c>
      <c r="E1096" t="inlineStr">
        <is>
          <t>SUNDSVALL</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51104-2023</t>
        </is>
      </c>
      <c r="B1097" s="1" t="n">
        <v>45218</v>
      </c>
      <c r="C1097" s="1" t="n">
        <v>45961</v>
      </c>
      <c r="D1097" t="inlineStr">
        <is>
          <t>VÄSTERNORRLANDS LÄN</t>
        </is>
      </c>
      <c r="E1097" t="inlineStr">
        <is>
          <t>SUNDSVALL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65188-2023</t>
        </is>
      </c>
      <c r="B1098" s="1" t="n">
        <v>45288</v>
      </c>
      <c r="C1098" s="1" t="n">
        <v>45961</v>
      </c>
      <c r="D1098" t="inlineStr">
        <is>
          <t>VÄSTERNORRLANDS LÄN</t>
        </is>
      </c>
      <c r="E1098" t="inlineStr">
        <is>
          <t>SUNDSVALL</t>
        </is>
      </c>
      <c r="F1098" t="inlineStr">
        <is>
          <t>SCA</t>
        </is>
      </c>
      <c r="G1098" t="n">
        <v>16.9</v>
      </c>
      <c r="H1098" t="n">
        <v>0</v>
      </c>
      <c r="I1098" t="n">
        <v>0</v>
      </c>
      <c r="J1098" t="n">
        <v>0</v>
      </c>
      <c r="K1098" t="n">
        <v>0</v>
      </c>
      <c r="L1098" t="n">
        <v>0</v>
      </c>
      <c r="M1098" t="n">
        <v>0</v>
      </c>
      <c r="N1098" t="n">
        <v>0</v>
      </c>
      <c r="O1098" t="n">
        <v>0</v>
      </c>
      <c r="P1098" t="n">
        <v>0</v>
      </c>
      <c r="Q1098" t="n">
        <v>0</v>
      </c>
      <c r="R1098" s="2" t="inlineStr"/>
    </row>
    <row r="1099" ht="15" customHeight="1">
      <c r="A1099" t="inlineStr">
        <is>
          <t>A 29663-2024</t>
        </is>
      </c>
      <c r="B1099" s="1" t="n">
        <v>45484.94004629629</v>
      </c>
      <c r="C1099" s="1" t="n">
        <v>45961</v>
      </c>
      <c r="D1099" t="inlineStr">
        <is>
          <t>VÄSTERNORRLANDS LÄN</t>
        </is>
      </c>
      <c r="E1099" t="inlineStr">
        <is>
          <t>SUNDSVALL</t>
        </is>
      </c>
      <c r="F1099" t="inlineStr">
        <is>
          <t>SCA</t>
        </is>
      </c>
      <c r="G1099" t="n">
        <v>44.6</v>
      </c>
      <c r="H1099" t="n">
        <v>0</v>
      </c>
      <c r="I1099" t="n">
        <v>0</v>
      </c>
      <c r="J1099" t="n">
        <v>0</v>
      </c>
      <c r="K1099" t="n">
        <v>0</v>
      </c>
      <c r="L1099" t="n">
        <v>0</v>
      </c>
      <c r="M1099" t="n">
        <v>0</v>
      </c>
      <c r="N1099" t="n">
        <v>0</v>
      </c>
      <c r="O1099" t="n">
        <v>0</v>
      </c>
      <c r="P1099" t="n">
        <v>0</v>
      </c>
      <c r="Q1099" t="n">
        <v>0</v>
      </c>
      <c r="R1099" s="2" t="inlineStr"/>
    </row>
    <row r="1100" ht="15" customHeight="1">
      <c r="A1100" t="inlineStr">
        <is>
          <t>A 47959-2024</t>
        </is>
      </c>
      <c r="B1100" s="1" t="n">
        <v>45589</v>
      </c>
      <c r="C1100" s="1" t="n">
        <v>45961</v>
      </c>
      <c r="D1100" t="inlineStr">
        <is>
          <t>VÄSTERNORRLANDS LÄN</t>
        </is>
      </c>
      <c r="E1100" t="inlineStr">
        <is>
          <t>SUNDSVALL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3696-2025</t>
        </is>
      </c>
      <c r="B1101" s="1" t="n">
        <v>45681</v>
      </c>
      <c r="C1101" s="1" t="n">
        <v>45961</v>
      </c>
      <c r="D1101" t="inlineStr">
        <is>
          <t>VÄSTERNORRLANDS LÄN</t>
        </is>
      </c>
      <c r="E1101" t="inlineStr">
        <is>
          <t>SUNDSVALL</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27470-2023</t>
        </is>
      </c>
      <c r="B1102" s="1" t="n">
        <v>45097</v>
      </c>
      <c r="C1102" s="1" t="n">
        <v>45961</v>
      </c>
      <c r="D1102" t="inlineStr">
        <is>
          <t>VÄSTERNORRLANDS LÄN</t>
        </is>
      </c>
      <c r="E1102" t="inlineStr">
        <is>
          <t>SUNDSVALL</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46255-2025</t>
        </is>
      </c>
      <c r="B1103" s="1" t="n">
        <v>45925.34540509259</v>
      </c>
      <c r="C1103" s="1" t="n">
        <v>45961</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28232-2022</t>
        </is>
      </c>
      <c r="B1104" s="1" t="n">
        <v>44746</v>
      </c>
      <c r="C1104" s="1" t="n">
        <v>45961</v>
      </c>
      <c r="D1104" t="inlineStr">
        <is>
          <t>VÄSTERNORRLANDS LÄN</t>
        </is>
      </c>
      <c r="E1104" t="inlineStr">
        <is>
          <t>SUNDSVALL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23765-2025</t>
        </is>
      </c>
      <c r="B1105" s="1" t="n">
        <v>45793.46952546296</v>
      </c>
      <c r="C1105" s="1" t="n">
        <v>45961</v>
      </c>
      <c r="D1105" t="inlineStr">
        <is>
          <t>VÄSTERNORRLANDS LÄN</t>
        </is>
      </c>
      <c r="E1105" t="inlineStr">
        <is>
          <t>SUNDSVALL</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6457-2023</t>
        </is>
      </c>
      <c r="B1106" s="1" t="n">
        <v>44965.93969907407</v>
      </c>
      <c r="C1106" s="1" t="n">
        <v>45961</v>
      </c>
      <c r="D1106" t="inlineStr">
        <is>
          <t>VÄSTERNORRLANDS LÄN</t>
        </is>
      </c>
      <c r="E1106" t="inlineStr">
        <is>
          <t>SUNDSVALL</t>
        </is>
      </c>
      <c r="F1106" t="inlineStr">
        <is>
          <t>SCA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16997-2023</t>
        </is>
      </c>
      <c r="B1107" s="1" t="n">
        <v>45033.92600694444</v>
      </c>
      <c r="C1107" s="1" t="n">
        <v>45961</v>
      </c>
      <c r="D1107" t="inlineStr">
        <is>
          <t>VÄSTERNORRLANDS LÄN</t>
        </is>
      </c>
      <c r="E1107" t="inlineStr">
        <is>
          <t>SUNDSVALL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24090-2025</t>
        </is>
      </c>
      <c r="B1108" s="1" t="n">
        <v>45796.57068287037</v>
      </c>
      <c r="C1108" s="1" t="n">
        <v>45961</v>
      </c>
      <c r="D1108" t="inlineStr">
        <is>
          <t>VÄSTERNORRLANDS LÄN</t>
        </is>
      </c>
      <c r="E1108" t="inlineStr">
        <is>
          <t>SUNDSVALL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23736-2025</t>
        </is>
      </c>
      <c r="B1109" s="1" t="n">
        <v>45793.42796296296</v>
      </c>
      <c r="C1109" s="1" t="n">
        <v>45961</v>
      </c>
      <c r="D1109" t="inlineStr">
        <is>
          <t>VÄSTERNORRLANDS LÄN</t>
        </is>
      </c>
      <c r="E1109" t="inlineStr">
        <is>
          <t>SUNDSVALL</t>
        </is>
      </c>
      <c r="F1109" t="inlineStr">
        <is>
          <t>SCA</t>
        </is>
      </c>
      <c r="G1109" t="n">
        <v>22.8</v>
      </c>
      <c r="H1109" t="n">
        <v>0</v>
      </c>
      <c r="I1109" t="n">
        <v>0</v>
      </c>
      <c r="J1109" t="n">
        <v>0</v>
      </c>
      <c r="K1109" t="n">
        <v>0</v>
      </c>
      <c r="L1109" t="n">
        <v>0</v>
      </c>
      <c r="M1109" t="n">
        <v>0</v>
      </c>
      <c r="N1109" t="n">
        <v>0</v>
      </c>
      <c r="O1109" t="n">
        <v>0</v>
      </c>
      <c r="P1109" t="n">
        <v>0</v>
      </c>
      <c r="Q1109" t="n">
        <v>0</v>
      </c>
      <c r="R1109" s="2" t="inlineStr"/>
    </row>
    <row r="1110" ht="15" customHeight="1">
      <c r="A1110" t="inlineStr">
        <is>
          <t>A 41804-2022</t>
        </is>
      </c>
      <c r="B1110" s="1" t="n">
        <v>44827</v>
      </c>
      <c r="C1110" s="1" t="n">
        <v>45961</v>
      </c>
      <c r="D1110" t="inlineStr">
        <is>
          <t>VÄSTERNORRLANDS LÄN</t>
        </is>
      </c>
      <c r="E1110" t="inlineStr">
        <is>
          <t>SUNDSVALL</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39276-2023</t>
        </is>
      </c>
      <c r="B1111" s="1" t="n">
        <v>45166.50868055555</v>
      </c>
      <c r="C1111" s="1" t="n">
        <v>45961</v>
      </c>
      <c r="D1111" t="inlineStr">
        <is>
          <t>VÄSTERNORRLANDS LÄN</t>
        </is>
      </c>
      <c r="E1111" t="inlineStr">
        <is>
          <t>SUNDSVALL</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21182-2022</t>
        </is>
      </c>
      <c r="B1112" s="1" t="n">
        <v>44704</v>
      </c>
      <c r="C1112" s="1" t="n">
        <v>45961</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40428-2023</t>
        </is>
      </c>
      <c r="B1113" s="1" t="n">
        <v>45169</v>
      </c>
      <c r="C1113" s="1" t="n">
        <v>45961</v>
      </c>
      <c r="D1113" t="inlineStr">
        <is>
          <t>VÄSTERNORRLANDS LÄN</t>
        </is>
      </c>
      <c r="E1113" t="inlineStr">
        <is>
          <t>SUNDSVALL</t>
        </is>
      </c>
      <c r="F1113" t="inlineStr">
        <is>
          <t>SCA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30299-2024</t>
        </is>
      </c>
      <c r="B1114" s="1" t="n">
        <v>45490</v>
      </c>
      <c r="C1114" s="1" t="n">
        <v>45961</v>
      </c>
      <c r="D1114" t="inlineStr">
        <is>
          <t>VÄSTERNORRLANDS LÄN</t>
        </is>
      </c>
      <c r="E1114" t="inlineStr">
        <is>
          <t>SUNDSVALL</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35165-2022</t>
        </is>
      </c>
      <c r="B1115" s="1" t="n">
        <v>44797</v>
      </c>
      <c r="C1115" s="1" t="n">
        <v>45961</v>
      </c>
      <c r="D1115" t="inlineStr">
        <is>
          <t>VÄSTERNORRLANDS LÄN</t>
        </is>
      </c>
      <c r="E1115" t="inlineStr">
        <is>
          <t>SUNDSVALL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56197-2024</t>
        </is>
      </c>
      <c r="B1116" s="1" t="n">
        <v>45624</v>
      </c>
      <c r="C1116" s="1" t="n">
        <v>45961</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3467-2024</t>
        </is>
      </c>
      <c r="B1117" s="1" t="n">
        <v>45317</v>
      </c>
      <c r="C1117" s="1" t="n">
        <v>45961</v>
      </c>
      <c r="D1117" t="inlineStr">
        <is>
          <t>VÄSTERNORRLANDS LÄN</t>
        </is>
      </c>
      <c r="E1117" t="inlineStr">
        <is>
          <t>SUNDSVALL</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58130-2024</t>
        </is>
      </c>
      <c r="B1118" s="1" t="n">
        <v>45632.40662037037</v>
      </c>
      <c r="C1118" s="1" t="n">
        <v>45961</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9562-2024</t>
        </is>
      </c>
      <c r="B1119" s="1" t="n">
        <v>45360.03582175926</v>
      </c>
      <c r="C1119" s="1" t="n">
        <v>45961</v>
      </c>
      <c r="D1119" t="inlineStr">
        <is>
          <t>VÄSTERNORRLANDS LÄN</t>
        </is>
      </c>
      <c r="E1119" t="inlineStr">
        <is>
          <t>SUNDSVALL</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51047-2024</t>
        </is>
      </c>
      <c r="B1120" s="1" t="n">
        <v>45603.44611111111</v>
      </c>
      <c r="C1120" s="1" t="n">
        <v>45961</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54639-2023</t>
        </is>
      </c>
      <c r="B1121" s="1" t="n">
        <v>45234.92658564815</v>
      </c>
      <c r="C1121" s="1" t="n">
        <v>45961</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24426-2025</t>
        </is>
      </c>
      <c r="B1122" s="1" t="n">
        <v>45797.69824074074</v>
      </c>
      <c r="C1122" s="1" t="n">
        <v>45961</v>
      </c>
      <c r="D1122" t="inlineStr">
        <is>
          <t>VÄSTERNORRLANDS LÄN</t>
        </is>
      </c>
      <c r="E1122" t="inlineStr">
        <is>
          <t>SUNDSVALL</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38675-2025</t>
        </is>
      </c>
      <c r="B1123" s="1" t="n">
        <v>45884.63487268519</v>
      </c>
      <c r="C1123" s="1" t="n">
        <v>45961</v>
      </c>
      <c r="D1123" t="inlineStr">
        <is>
          <t>VÄSTERNORRLANDS LÄN</t>
        </is>
      </c>
      <c r="E1123" t="inlineStr">
        <is>
          <t>SUNDSVALL</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35484-2022</t>
        </is>
      </c>
      <c r="B1124" s="1" t="n">
        <v>44798.92724537037</v>
      </c>
      <c r="C1124" s="1" t="n">
        <v>45961</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61735-2022</t>
        </is>
      </c>
      <c r="B1125" s="1" t="n">
        <v>44917</v>
      </c>
      <c r="C1125" s="1" t="n">
        <v>45961</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54550-2024</t>
        </is>
      </c>
      <c r="B1126" s="1" t="n">
        <v>45617.61696759259</v>
      </c>
      <c r="C1126" s="1" t="n">
        <v>45961</v>
      </c>
      <c r="D1126" t="inlineStr">
        <is>
          <t>VÄSTERNORRLANDS LÄN</t>
        </is>
      </c>
      <c r="E1126" t="inlineStr">
        <is>
          <t>SUNDSVALL</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44569-2024</t>
        </is>
      </c>
      <c r="B1127" s="1" t="n">
        <v>45574.48010416667</v>
      </c>
      <c r="C1127" s="1" t="n">
        <v>45961</v>
      </c>
      <c r="D1127" t="inlineStr">
        <is>
          <t>VÄSTERNORRLANDS LÄN</t>
        </is>
      </c>
      <c r="E1127" t="inlineStr">
        <is>
          <t>SUNDSVALL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42497-2024</t>
        </is>
      </c>
      <c r="B1128" s="1" t="n">
        <v>45565</v>
      </c>
      <c r="C1128" s="1" t="n">
        <v>45961</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41586-2023</t>
        </is>
      </c>
      <c r="B1129" s="1" t="n">
        <v>45175</v>
      </c>
      <c r="C1129" s="1" t="n">
        <v>45961</v>
      </c>
      <c r="D1129" t="inlineStr">
        <is>
          <t>VÄSTERNORRLANDS LÄN</t>
        </is>
      </c>
      <c r="E1129" t="inlineStr">
        <is>
          <t>SUNDSVALL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13296-2025</t>
        </is>
      </c>
      <c r="B1130" s="1" t="n">
        <v>45735.57365740741</v>
      </c>
      <c r="C1130" s="1" t="n">
        <v>45961</v>
      </c>
      <c r="D1130" t="inlineStr">
        <is>
          <t>VÄSTERNORRLANDS LÄN</t>
        </is>
      </c>
      <c r="E1130" t="inlineStr">
        <is>
          <t>SUNDSVALL</t>
        </is>
      </c>
      <c r="F1130" t="inlineStr">
        <is>
          <t>SCA</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26341-2023</t>
        </is>
      </c>
      <c r="B1131" s="1" t="n">
        <v>45091.92548611111</v>
      </c>
      <c r="C1131" s="1" t="n">
        <v>45961</v>
      </c>
      <c r="D1131" t="inlineStr">
        <is>
          <t>VÄSTERNORRLANDS LÄN</t>
        </is>
      </c>
      <c r="E1131" t="inlineStr">
        <is>
          <t>SUNDSVALL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51768-2021</t>
        </is>
      </c>
      <c r="B1132" s="1" t="n">
        <v>44462</v>
      </c>
      <c r="C1132" s="1" t="n">
        <v>45961</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54989-2023</t>
        </is>
      </c>
      <c r="B1133" s="1" t="n">
        <v>45236</v>
      </c>
      <c r="C1133" s="1" t="n">
        <v>45961</v>
      </c>
      <c r="D1133" t="inlineStr">
        <is>
          <t>VÄSTERNORRLANDS LÄN</t>
        </is>
      </c>
      <c r="E1133" t="inlineStr">
        <is>
          <t>SUNDSVALL</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7427-2025</t>
        </is>
      </c>
      <c r="B1134" s="1" t="n">
        <v>45705</v>
      </c>
      <c r="C1134" s="1" t="n">
        <v>45961</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38354-2025</t>
        </is>
      </c>
      <c r="B1135" s="1" t="n">
        <v>45883.53215277778</v>
      </c>
      <c r="C1135" s="1" t="n">
        <v>45961</v>
      </c>
      <c r="D1135" t="inlineStr">
        <is>
          <t>VÄSTERNORRLANDS LÄN</t>
        </is>
      </c>
      <c r="E1135" t="inlineStr">
        <is>
          <t>SUNDSVALL</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49929-2024</t>
        </is>
      </c>
      <c r="B1136" s="1" t="n">
        <v>45597.57927083333</v>
      </c>
      <c r="C1136" s="1" t="n">
        <v>45961</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8796-2025</t>
        </is>
      </c>
      <c r="B1137" s="1" t="n">
        <v>45712.64783564815</v>
      </c>
      <c r="C1137" s="1" t="n">
        <v>45961</v>
      </c>
      <c r="D1137" t="inlineStr">
        <is>
          <t>VÄSTERNORRLANDS LÄN</t>
        </is>
      </c>
      <c r="E1137" t="inlineStr">
        <is>
          <t>SUNDSVALL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9470-2025</t>
        </is>
      </c>
      <c r="B1138" s="1" t="n">
        <v>45715.46928240741</v>
      </c>
      <c r="C1138" s="1" t="n">
        <v>45961</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50324-2024</t>
        </is>
      </c>
      <c r="B1139" s="1" t="n">
        <v>45600</v>
      </c>
      <c r="C1139" s="1" t="n">
        <v>45961</v>
      </c>
      <c r="D1139" t="inlineStr">
        <is>
          <t>VÄSTERNORRLANDS LÄN</t>
        </is>
      </c>
      <c r="E1139" t="inlineStr">
        <is>
          <t>SUNDSVALL</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53716-2023</t>
        </is>
      </c>
      <c r="B1140" s="1" t="n">
        <v>45230.71146990741</v>
      </c>
      <c r="C1140" s="1" t="n">
        <v>45961</v>
      </c>
      <c r="D1140" t="inlineStr">
        <is>
          <t>VÄSTERNORRLANDS LÄN</t>
        </is>
      </c>
      <c r="E1140" t="inlineStr">
        <is>
          <t>SUNDSVALL</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38450-2025</t>
        </is>
      </c>
      <c r="B1141" s="1" t="n">
        <v>45883.6778587963</v>
      </c>
      <c r="C1141" s="1" t="n">
        <v>45961</v>
      </c>
      <c r="D1141" t="inlineStr">
        <is>
          <t>VÄSTERNORRLANDS LÄN</t>
        </is>
      </c>
      <c r="E1141" t="inlineStr">
        <is>
          <t>SUNDSVALL</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38888-2022</t>
        </is>
      </c>
      <c r="B1142" s="1" t="n">
        <v>44816</v>
      </c>
      <c r="C1142" s="1" t="n">
        <v>45961</v>
      </c>
      <c r="D1142" t="inlineStr">
        <is>
          <t>VÄSTERNORRLANDS LÄN</t>
        </is>
      </c>
      <c r="E1142" t="inlineStr">
        <is>
          <t>SUNDSVALL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14914-2024</t>
        </is>
      </c>
      <c r="B1143" s="1" t="n">
        <v>45398</v>
      </c>
      <c r="C1143" s="1" t="n">
        <v>45961</v>
      </c>
      <c r="D1143" t="inlineStr">
        <is>
          <t>VÄSTERNORRLANDS LÄN</t>
        </is>
      </c>
      <c r="E1143" t="inlineStr">
        <is>
          <t>SUNDSVALL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5646-2025</t>
        </is>
      </c>
      <c r="B1144" s="1" t="n">
        <v>45693</v>
      </c>
      <c r="C1144" s="1" t="n">
        <v>45961</v>
      </c>
      <c r="D1144" t="inlineStr">
        <is>
          <t>VÄSTERNORRLANDS LÄN</t>
        </is>
      </c>
      <c r="E1144" t="inlineStr">
        <is>
          <t>SUNDSVALL</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12333-2023</t>
        </is>
      </c>
      <c r="B1145" s="1" t="n">
        <v>44999</v>
      </c>
      <c r="C1145" s="1" t="n">
        <v>45961</v>
      </c>
      <c r="D1145" t="inlineStr">
        <is>
          <t>VÄSTERNORRLANDS LÄN</t>
        </is>
      </c>
      <c r="E1145" t="inlineStr">
        <is>
          <t>SUNDSVALL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38483-2025</t>
        </is>
      </c>
      <c r="B1146" s="1" t="n">
        <v>45884.33432870371</v>
      </c>
      <c r="C1146" s="1" t="n">
        <v>45961</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255-2024</t>
        </is>
      </c>
      <c r="B1147" s="1" t="n">
        <v>45294.97679398148</v>
      </c>
      <c r="C1147" s="1" t="n">
        <v>45961</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54477-2024</t>
        </is>
      </c>
      <c r="B1148" s="1" t="n">
        <v>45617.55256944444</v>
      </c>
      <c r="C1148" s="1" t="n">
        <v>45961</v>
      </c>
      <c r="D1148" t="inlineStr">
        <is>
          <t>VÄSTERNORRLANDS LÄN</t>
        </is>
      </c>
      <c r="E1148" t="inlineStr">
        <is>
          <t>SUNDSVALL</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59296-2022</t>
        </is>
      </c>
      <c r="B1149" s="1" t="n">
        <v>44904.61346064815</v>
      </c>
      <c r="C1149" s="1" t="n">
        <v>45961</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28917-2024</t>
        </is>
      </c>
      <c r="B1150" s="1" t="n">
        <v>45480</v>
      </c>
      <c r="C1150" s="1" t="n">
        <v>45961</v>
      </c>
      <c r="D1150" t="inlineStr">
        <is>
          <t>VÄSTERNORRLANDS LÄN</t>
        </is>
      </c>
      <c r="E1150" t="inlineStr">
        <is>
          <t>SUNDSVALL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61142-2020</t>
        </is>
      </c>
      <c r="B1151" s="1" t="n">
        <v>44154</v>
      </c>
      <c r="C1151" s="1" t="n">
        <v>45961</v>
      </c>
      <c r="D1151" t="inlineStr">
        <is>
          <t>VÄSTERNORRLANDS LÄN</t>
        </is>
      </c>
      <c r="E1151" t="inlineStr">
        <is>
          <t>SUNDSVALL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53674-2023</t>
        </is>
      </c>
      <c r="B1152" s="1" t="n">
        <v>45224</v>
      </c>
      <c r="C1152" s="1" t="n">
        <v>45961</v>
      </c>
      <c r="D1152" t="inlineStr">
        <is>
          <t>VÄSTERNORRLANDS LÄN</t>
        </is>
      </c>
      <c r="E1152" t="inlineStr">
        <is>
          <t>SUNDSVALL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7149-2024</t>
        </is>
      </c>
      <c r="B1153" s="1" t="n">
        <v>45344</v>
      </c>
      <c r="C1153" s="1" t="n">
        <v>45961</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24339-2025</t>
        </is>
      </c>
      <c r="B1154" s="1" t="n">
        <v>45797.57395833333</v>
      </c>
      <c r="C1154" s="1" t="n">
        <v>45961</v>
      </c>
      <c r="D1154" t="inlineStr">
        <is>
          <t>VÄSTERNORRLANDS LÄN</t>
        </is>
      </c>
      <c r="E1154" t="inlineStr">
        <is>
          <t>SUNDSVALL</t>
        </is>
      </c>
      <c r="F1154" t="inlineStr">
        <is>
          <t>Naturvårdsverket</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60149-2023</t>
        </is>
      </c>
      <c r="B1155" s="1" t="n">
        <v>45258</v>
      </c>
      <c r="C1155" s="1" t="n">
        <v>45961</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48993-2022</t>
        </is>
      </c>
      <c r="B1156" s="1" t="n">
        <v>44860</v>
      </c>
      <c r="C1156" s="1" t="n">
        <v>45961</v>
      </c>
      <c r="D1156" t="inlineStr">
        <is>
          <t>VÄSTERNORRLANDS LÄN</t>
        </is>
      </c>
      <c r="E1156" t="inlineStr">
        <is>
          <t>SUNDSVALL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50627-2023</t>
        </is>
      </c>
      <c r="B1157" s="1" t="n">
        <v>45210</v>
      </c>
      <c r="C1157" s="1" t="n">
        <v>45961</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24028-2024</t>
        </is>
      </c>
      <c r="B1158" s="1" t="n">
        <v>45456</v>
      </c>
      <c r="C1158" s="1" t="n">
        <v>45961</v>
      </c>
      <c r="D1158" t="inlineStr">
        <is>
          <t>VÄSTERNORRLANDS LÄN</t>
        </is>
      </c>
      <c r="E1158" t="inlineStr">
        <is>
          <t>SUNDSVALL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1188-2025</t>
        </is>
      </c>
      <c r="B1159" s="1" t="n">
        <v>45667.37030092593</v>
      </c>
      <c r="C1159" s="1" t="n">
        <v>45961</v>
      </c>
      <c r="D1159" t="inlineStr">
        <is>
          <t>VÄSTERNORRLANDS LÄN</t>
        </is>
      </c>
      <c r="E1159" t="inlineStr">
        <is>
          <t>SUNDSVALL</t>
        </is>
      </c>
      <c r="F1159" t="inlineStr">
        <is>
          <t>Holmen skog AB</t>
        </is>
      </c>
      <c r="G1159" t="n">
        <v>25.4</v>
      </c>
      <c r="H1159" t="n">
        <v>0</v>
      </c>
      <c r="I1159" t="n">
        <v>0</v>
      </c>
      <c r="J1159" t="n">
        <v>0</v>
      </c>
      <c r="K1159" t="n">
        <v>0</v>
      </c>
      <c r="L1159" t="n">
        <v>0</v>
      </c>
      <c r="M1159" t="n">
        <v>0</v>
      </c>
      <c r="N1159" t="n">
        <v>0</v>
      </c>
      <c r="O1159" t="n">
        <v>0</v>
      </c>
      <c r="P1159" t="n">
        <v>0</v>
      </c>
      <c r="Q1159" t="n">
        <v>0</v>
      </c>
      <c r="R1159" s="2" t="inlineStr"/>
    </row>
    <row r="1160" ht="15" customHeight="1">
      <c r="A1160" t="inlineStr">
        <is>
          <t>A 41652-2024</t>
        </is>
      </c>
      <c r="B1160" s="1" t="n">
        <v>45560.63778935185</v>
      </c>
      <c r="C1160" s="1" t="n">
        <v>45961</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16975-2024</t>
        </is>
      </c>
      <c r="B1161" s="1" t="n">
        <v>45411</v>
      </c>
      <c r="C1161" s="1" t="n">
        <v>45961</v>
      </c>
      <c r="D1161" t="inlineStr">
        <is>
          <t>VÄSTERNORRLANDS LÄN</t>
        </is>
      </c>
      <c r="E1161" t="inlineStr">
        <is>
          <t>SUNDSVALL</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24291-2025</t>
        </is>
      </c>
      <c r="B1162" s="1" t="n">
        <v>45797.46469907407</v>
      </c>
      <c r="C1162" s="1" t="n">
        <v>45961</v>
      </c>
      <c r="D1162" t="inlineStr">
        <is>
          <t>VÄSTERNORRLANDS LÄN</t>
        </is>
      </c>
      <c r="E1162" t="inlineStr">
        <is>
          <t>SUNDSVALL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18213-2025</t>
        </is>
      </c>
      <c r="B1163" s="1" t="n">
        <v>45761.69885416667</v>
      </c>
      <c r="C1163" s="1" t="n">
        <v>45961</v>
      </c>
      <c r="D1163" t="inlineStr">
        <is>
          <t>VÄSTERNORRLANDS LÄN</t>
        </is>
      </c>
      <c r="E1163" t="inlineStr">
        <is>
          <t>SUNDSVALL</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15143-2024</t>
        </is>
      </c>
      <c r="B1164" s="1" t="n">
        <v>45399.94331018518</v>
      </c>
      <c r="C1164" s="1" t="n">
        <v>45961</v>
      </c>
      <c r="D1164" t="inlineStr">
        <is>
          <t>VÄSTERNORRLANDS LÄN</t>
        </is>
      </c>
      <c r="E1164" t="inlineStr">
        <is>
          <t>SUNDSVALL</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19235-2023</t>
        </is>
      </c>
      <c r="B1165" s="1" t="n">
        <v>45048.92684027777</v>
      </c>
      <c r="C1165" s="1" t="n">
        <v>45961</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19236-2023</t>
        </is>
      </c>
      <c r="B1166" s="1" t="n">
        <v>45048</v>
      </c>
      <c r="C1166" s="1" t="n">
        <v>45961</v>
      </c>
      <c r="D1166" t="inlineStr">
        <is>
          <t>VÄSTERNORRLANDS LÄN</t>
        </is>
      </c>
      <c r="E1166" t="inlineStr">
        <is>
          <t>SUNDSVALL</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24293-2025</t>
        </is>
      </c>
      <c r="B1167" s="1" t="n">
        <v>45797.46899305555</v>
      </c>
      <c r="C1167" s="1" t="n">
        <v>45961</v>
      </c>
      <c r="D1167" t="inlineStr">
        <is>
          <t>VÄSTERNORRLANDS LÄN</t>
        </is>
      </c>
      <c r="E1167" t="inlineStr">
        <is>
          <t>SUNDSVALL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35318-2021</t>
        </is>
      </c>
      <c r="B1168" s="1" t="n">
        <v>44384</v>
      </c>
      <c r="C1168" s="1" t="n">
        <v>45961</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51108-2023</t>
        </is>
      </c>
      <c r="B1169" s="1" t="n">
        <v>45218</v>
      </c>
      <c r="C1169" s="1" t="n">
        <v>45961</v>
      </c>
      <c r="D1169" t="inlineStr">
        <is>
          <t>VÄSTERNORRLANDS LÄN</t>
        </is>
      </c>
      <c r="E1169" t="inlineStr">
        <is>
          <t>SUNDSVALL</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51109-2023</t>
        </is>
      </c>
      <c r="B1170" s="1" t="n">
        <v>45218.96215277778</v>
      </c>
      <c r="C1170" s="1" t="n">
        <v>45961</v>
      </c>
      <c r="D1170" t="inlineStr">
        <is>
          <t>VÄSTERNORRLANDS LÄN</t>
        </is>
      </c>
      <c r="E1170" t="inlineStr">
        <is>
          <t>SUNDSVALL</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19812-2023</t>
        </is>
      </c>
      <c r="B1171" s="1" t="n">
        <v>45051.92583333333</v>
      </c>
      <c r="C1171" s="1" t="n">
        <v>45961</v>
      </c>
      <c r="D1171" t="inlineStr">
        <is>
          <t>VÄSTERNORRLANDS LÄN</t>
        </is>
      </c>
      <c r="E1171" t="inlineStr">
        <is>
          <t>SUNDSVALL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58773-2023</t>
        </is>
      </c>
      <c r="B1172" s="1" t="n">
        <v>45251.9671875</v>
      </c>
      <c r="C1172" s="1" t="n">
        <v>45961</v>
      </c>
      <c r="D1172" t="inlineStr">
        <is>
          <t>VÄSTERNORRLANDS LÄN</t>
        </is>
      </c>
      <c r="E1172" t="inlineStr">
        <is>
          <t>SUNDSVALL</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54977-2023</t>
        </is>
      </c>
      <c r="B1173" s="1" t="n">
        <v>45236</v>
      </c>
      <c r="C1173" s="1" t="n">
        <v>45961</v>
      </c>
      <c r="D1173" t="inlineStr">
        <is>
          <t>VÄSTERNORRLANDS LÄN</t>
        </is>
      </c>
      <c r="E1173" t="inlineStr">
        <is>
          <t>SUNDSVALL</t>
        </is>
      </c>
      <c r="F1173" t="inlineStr">
        <is>
          <t>Kyrkan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26250-2024</t>
        </is>
      </c>
      <c r="B1174" s="1" t="n">
        <v>45468.64174768519</v>
      </c>
      <c r="C1174" s="1" t="n">
        <v>45961</v>
      </c>
      <c r="D1174" t="inlineStr">
        <is>
          <t>VÄSTERNORRLANDS LÄN</t>
        </is>
      </c>
      <c r="E1174" t="inlineStr">
        <is>
          <t>SUNDSVALL</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11263-2025</t>
        </is>
      </c>
      <c r="B1175" s="1" t="n">
        <v>45726</v>
      </c>
      <c r="C1175" s="1" t="n">
        <v>45961</v>
      </c>
      <c r="D1175" t="inlineStr">
        <is>
          <t>VÄSTERNORRLANDS LÄN</t>
        </is>
      </c>
      <c r="E1175" t="inlineStr">
        <is>
          <t>SUNDSVALL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25196-2025</t>
        </is>
      </c>
      <c r="B1176" s="1" t="n">
        <v>45800.46025462963</v>
      </c>
      <c r="C1176" s="1" t="n">
        <v>45961</v>
      </c>
      <c r="D1176" t="inlineStr">
        <is>
          <t>VÄSTERNORRLANDS LÄN</t>
        </is>
      </c>
      <c r="E1176" t="inlineStr">
        <is>
          <t>SUNDSVALL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25258-2025</t>
        </is>
      </c>
      <c r="B1177" s="1" t="n">
        <v>45800.51092592593</v>
      </c>
      <c r="C1177" s="1" t="n">
        <v>45961</v>
      </c>
      <c r="D1177" t="inlineStr">
        <is>
          <t>VÄSTERNORRLANDS LÄN</t>
        </is>
      </c>
      <c r="E1177" t="inlineStr">
        <is>
          <t>SUNDSVALL</t>
        </is>
      </c>
      <c r="F1177" t="inlineStr">
        <is>
          <t>Naturvårdsverket</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25351-2025</t>
        </is>
      </c>
      <c r="B1178" s="1" t="n">
        <v>45800.61526620371</v>
      </c>
      <c r="C1178" s="1" t="n">
        <v>45961</v>
      </c>
      <c r="D1178" t="inlineStr">
        <is>
          <t>VÄSTERNORRLANDS LÄN</t>
        </is>
      </c>
      <c r="E1178" t="inlineStr">
        <is>
          <t>SUNDSVALL</t>
        </is>
      </c>
      <c r="F1178" t="inlineStr">
        <is>
          <t>Kyrkan</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4635-2024</t>
        </is>
      </c>
      <c r="B1179" s="1" t="n">
        <v>45328</v>
      </c>
      <c r="C1179" s="1" t="n">
        <v>45961</v>
      </c>
      <c r="D1179" t="inlineStr">
        <is>
          <t>VÄSTERNORRLANDS LÄN</t>
        </is>
      </c>
      <c r="E1179" t="inlineStr">
        <is>
          <t>SUNDSVALL</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19184-2025</t>
        </is>
      </c>
      <c r="B1180" s="1" t="n">
        <v>45769</v>
      </c>
      <c r="C1180" s="1" t="n">
        <v>45961</v>
      </c>
      <c r="D1180" t="inlineStr">
        <is>
          <t>VÄSTERNORRLANDS LÄN</t>
        </is>
      </c>
      <c r="E1180" t="inlineStr">
        <is>
          <t>SUNDSVALL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25154-2025</t>
        </is>
      </c>
      <c r="B1181" s="1" t="n">
        <v>45800.42770833334</v>
      </c>
      <c r="C1181" s="1" t="n">
        <v>45961</v>
      </c>
      <c r="D1181" t="inlineStr">
        <is>
          <t>VÄSTERNORRLANDS LÄN</t>
        </is>
      </c>
      <c r="E1181" t="inlineStr">
        <is>
          <t>SUNDSVALL</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25422-2025</t>
        </is>
      </c>
      <c r="B1182" s="1" t="n">
        <v>45800.69635416667</v>
      </c>
      <c r="C1182" s="1" t="n">
        <v>45961</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45000-2023</t>
        </is>
      </c>
      <c r="B1183" s="1" t="n">
        <v>45190.95990740741</v>
      </c>
      <c r="C1183" s="1" t="n">
        <v>45961</v>
      </c>
      <c r="D1183" t="inlineStr">
        <is>
          <t>VÄSTERNORRLANDS LÄN</t>
        </is>
      </c>
      <c r="E1183" t="inlineStr">
        <is>
          <t>SUNDSVALL</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45001-2023</t>
        </is>
      </c>
      <c r="B1184" s="1" t="n">
        <v>45190.95998842592</v>
      </c>
      <c r="C1184" s="1" t="n">
        <v>45961</v>
      </c>
      <c r="D1184" t="inlineStr">
        <is>
          <t>VÄSTERNORRLANDS LÄN</t>
        </is>
      </c>
      <c r="E1184" t="inlineStr">
        <is>
          <t>SUNDSVALL</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17592-2025</t>
        </is>
      </c>
      <c r="B1185" s="1" t="n">
        <v>45757.69828703703</v>
      </c>
      <c r="C1185" s="1" t="n">
        <v>45961</v>
      </c>
      <c r="D1185" t="inlineStr">
        <is>
          <t>VÄSTERNORRLANDS LÄN</t>
        </is>
      </c>
      <c r="E1185" t="inlineStr">
        <is>
          <t>SUNDSVALL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47025-2023</t>
        </is>
      </c>
      <c r="B1186" s="1" t="n">
        <v>45195</v>
      </c>
      <c r="C1186" s="1" t="n">
        <v>45961</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249-2024</t>
        </is>
      </c>
      <c r="B1187" s="1" t="n">
        <v>45294</v>
      </c>
      <c r="C1187" s="1" t="n">
        <v>45961</v>
      </c>
      <c r="D1187" t="inlineStr">
        <is>
          <t>VÄSTERNORRLANDS LÄN</t>
        </is>
      </c>
      <c r="E1187" t="inlineStr">
        <is>
          <t>SUNDSVALL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9113-2024</t>
        </is>
      </c>
      <c r="B1188" s="1" t="n">
        <v>45357</v>
      </c>
      <c r="C1188" s="1" t="n">
        <v>45961</v>
      </c>
      <c r="D1188" t="inlineStr">
        <is>
          <t>VÄSTERNORRLANDS LÄN</t>
        </is>
      </c>
      <c r="E1188" t="inlineStr">
        <is>
          <t>SUNDSVALL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44740</v>
      </c>
      <c r="C1189" s="1" t="n">
        <v>45961</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31667-2024</t>
        </is>
      </c>
      <c r="B1190" s="1" t="n">
        <v>45506</v>
      </c>
      <c r="C1190" s="1" t="n">
        <v>45961</v>
      </c>
      <c r="D1190" t="inlineStr">
        <is>
          <t>VÄSTERNORRLANDS LÄN</t>
        </is>
      </c>
      <c r="E1190" t="inlineStr">
        <is>
          <t>SUNDSVALL</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27303-2024</t>
        </is>
      </c>
      <c r="B1191" s="1" t="n">
        <v>45471</v>
      </c>
      <c r="C1191" s="1" t="n">
        <v>45961</v>
      </c>
      <c r="D1191" t="inlineStr">
        <is>
          <t>VÄSTERNORRLANDS LÄN</t>
        </is>
      </c>
      <c r="E1191" t="inlineStr">
        <is>
          <t>SUNDSVALL</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18113-2025</t>
        </is>
      </c>
      <c r="B1192" s="1" t="n">
        <v>45761.57361111111</v>
      </c>
      <c r="C1192" s="1" t="n">
        <v>45961</v>
      </c>
      <c r="D1192" t="inlineStr">
        <is>
          <t>VÄSTERNORRLANDS LÄN</t>
        </is>
      </c>
      <c r="E1192" t="inlineStr">
        <is>
          <t>SUNDSVALL</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57875-2024</t>
        </is>
      </c>
      <c r="B1193" s="1" t="n">
        <v>45631.44851851852</v>
      </c>
      <c r="C1193" s="1" t="n">
        <v>45961</v>
      </c>
      <c r="D1193" t="inlineStr">
        <is>
          <t>VÄSTERNORRLANDS LÄN</t>
        </is>
      </c>
      <c r="E1193" t="inlineStr">
        <is>
          <t>SUNDSVALL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50763-2023</t>
        </is>
      </c>
      <c r="B1194" s="1" t="n">
        <v>45210</v>
      </c>
      <c r="C1194" s="1" t="n">
        <v>45961</v>
      </c>
      <c r="D1194" t="inlineStr">
        <is>
          <t>VÄSTERNORRLANDS LÄN</t>
        </is>
      </c>
      <c r="E1194" t="inlineStr">
        <is>
          <t>SUNDSVALL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25329-2025</t>
        </is>
      </c>
      <c r="B1195" s="1" t="n">
        <v>45800.58971064815</v>
      </c>
      <c r="C1195" s="1" t="n">
        <v>45961</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25722-2025</t>
        </is>
      </c>
      <c r="B1196" s="1" t="n">
        <v>45800</v>
      </c>
      <c r="C1196" s="1" t="n">
        <v>45961</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38350-2023</t>
        </is>
      </c>
      <c r="B1197" s="1" t="n">
        <v>45161.92380787037</v>
      </c>
      <c r="C1197" s="1" t="n">
        <v>45961</v>
      </c>
      <c r="D1197" t="inlineStr">
        <is>
          <t>VÄSTERNORRLANDS LÄN</t>
        </is>
      </c>
      <c r="E1197" t="inlineStr">
        <is>
          <t>SUNDSVALL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46385-2025</t>
        </is>
      </c>
      <c r="B1198" s="1" t="n">
        <v>45925.53165509259</v>
      </c>
      <c r="C1198" s="1" t="n">
        <v>45961</v>
      </c>
      <c r="D1198" t="inlineStr">
        <is>
          <t>VÄSTERNORRLANDS LÄN</t>
        </is>
      </c>
      <c r="E1198" t="inlineStr">
        <is>
          <t>SUNDSVALL</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18212-2025</t>
        </is>
      </c>
      <c r="B1199" s="1" t="n">
        <v>45761.69392361111</v>
      </c>
      <c r="C1199" s="1" t="n">
        <v>45961</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1375-2023</t>
        </is>
      </c>
      <c r="B1200" s="1" t="n">
        <v>44936.66675925926</v>
      </c>
      <c r="C1200" s="1" t="n">
        <v>45961</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7005-2024</t>
        </is>
      </c>
      <c r="B1201" s="1" t="n">
        <v>45343</v>
      </c>
      <c r="C1201" s="1" t="n">
        <v>45961</v>
      </c>
      <c r="D1201" t="inlineStr">
        <is>
          <t>VÄSTERNORRLANDS LÄN</t>
        </is>
      </c>
      <c r="E1201" t="inlineStr">
        <is>
          <t>SUNDSVALL</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20975-2022</t>
        </is>
      </c>
      <c r="B1202" s="1" t="n">
        <v>44701</v>
      </c>
      <c r="C1202" s="1" t="n">
        <v>45961</v>
      </c>
      <c r="D1202" t="inlineStr">
        <is>
          <t>VÄSTERNORRLANDS LÄN</t>
        </is>
      </c>
      <c r="E1202" t="inlineStr">
        <is>
          <t>SUNDSVALL</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52651-2021</t>
        </is>
      </c>
      <c r="B1203" s="1" t="n">
        <v>44466.65153935185</v>
      </c>
      <c r="C1203" s="1" t="n">
        <v>45961</v>
      </c>
      <c r="D1203" t="inlineStr">
        <is>
          <t>VÄSTERNORRLANDS LÄN</t>
        </is>
      </c>
      <c r="E1203" t="inlineStr">
        <is>
          <t>SUNDSVALL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25586-2025</t>
        </is>
      </c>
      <c r="B1204" s="1" t="n">
        <v>45803</v>
      </c>
      <c r="C1204" s="1" t="n">
        <v>45961</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34118-2022</t>
        </is>
      </c>
      <c r="B1205" s="1" t="n">
        <v>44791</v>
      </c>
      <c r="C1205" s="1" t="n">
        <v>45961</v>
      </c>
      <c r="D1205" t="inlineStr">
        <is>
          <t>VÄSTERNORRLANDS LÄN</t>
        </is>
      </c>
      <c r="E1205" t="inlineStr">
        <is>
          <t>SUNDSVALL</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48931-2022</t>
        </is>
      </c>
      <c r="B1206" s="1" t="n">
        <v>44859</v>
      </c>
      <c r="C1206" s="1" t="n">
        <v>45961</v>
      </c>
      <c r="D1206" t="inlineStr">
        <is>
          <t>VÄSTERNORRLANDS LÄN</t>
        </is>
      </c>
      <c r="E1206" t="inlineStr">
        <is>
          <t>SUNDSVALL</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30307-2023</t>
        </is>
      </c>
      <c r="B1207" s="1" t="n">
        <v>45110.94157407407</v>
      </c>
      <c r="C1207" s="1" t="n">
        <v>45961</v>
      </c>
      <c r="D1207" t="inlineStr">
        <is>
          <t>VÄSTERNORRLANDS LÄN</t>
        </is>
      </c>
      <c r="E1207" t="inlineStr">
        <is>
          <t>SUNDSVALL</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56647-2024</t>
        </is>
      </c>
      <c r="B1208" s="1" t="n">
        <v>45625.76469907408</v>
      </c>
      <c r="C1208" s="1" t="n">
        <v>45961</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26012-2025</t>
        </is>
      </c>
      <c r="B1209" s="1" t="n">
        <v>45804.67744212963</v>
      </c>
      <c r="C1209" s="1" t="n">
        <v>45961</v>
      </c>
      <c r="D1209" t="inlineStr">
        <is>
          <t>VÄSTERNORRLANDS LÄN</t>
        </is>
      </c>
      <c r="E1209" t="inlineStr">
        <is>
          <t>SUNDSVALL</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58165-2022</t>
        </is>
      </c>
      <c r="B1210" s="1" t="n">
        <v>44900</v>
      </c>
      <c r="C1210" s="1" t="n">
        <v>45961</v>
      </c>
      <c r="D1210" t="inlineStr">
        <is>
          <t>VÄSTERNORRLANDS LÄN</t>
        </is>
      </c>
      <c r="E1210" t="inlineStr">
        <is>
          <t>SUNDSVALL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123-2024</t>
        </is>
      </c>
      <c r="B1211" s="1" t="n">
        <v>45294.3955324074</v>
      </c>
      <c r="C1211" s="1" t="n">
        <v>45961</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20010-2021</t>
        </is>
      </c>
      <c r="B1212" s="1" t="n">
        <v>44313</v>
      </c>
      <c r="C1212" s="1" t="n">
        <v>45961</v>
      </c>
      <c r="D1212" t="inlineStr">
        <is>
          <t>VÄSTERNORRLANDS LÄN</t>
        </is>
      </c>
      <c r="E1212" t="inlineStr">
        <is>
          <t>SUNDSVALL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25837-2025</t>
        </is>
      </c>
      <c r="B1213" s="1" t="n">
        <v>45804.44876157407</v>
      </c>
      <c r="C1213" s="1" t="n">
        <v>45961</v>
      </c>
      <c r="D1213" t="inlineStr">
        <is>
          <t>VÄSTERNORRLANDS LÄN</t>
        </is>
      </c>
      <c r="E1213" t="inlineStr">
        <is>
          <t>SUNDSVALL</t>
        </is>
      </c>
      <c r="F1213" t="inlineStr">
        <is>
          <t>Naturvårdsverket</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19902-2023</t>
        </is>
      </c>
      <c r="B1214" s="1" t="n">
        <v>45054</v>
      </c>
      <c r="C1214" s="1" t="n">
        <v>45961</v>
      </c>
      <c r="D1214" t="inlineStr">
        <is>
          <t>VÄSTERNORRLANDS LÄN</t>
        </is>
      </c>
      <c r="E1214" t="inlineStr">
        <is>
          <t>SUNDSVALL</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28726-2022</t>
        </is>
      </c>
      <c r="B1215" s="1" t="n">
        <v>44748</v>
      </c>
      <c r="C1215" s="1" t="n">
        <v>45961</v>
      </c>
      <c r="D1215" t="inlineStr">
        <is>
          <t>VÄSTERNORRLANDS LÄN</t>
        </is>
      </c>
      <c r="E1215" t="inlineStr">
        <is>
          <t>SUNDSVALL</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53403-2024</t>
        </is>
      </c>
      <c r="B1216" s="1" t="n">
        <v>45614.49353009259</v>
      </c>
      <c r="C1216" s="1" t="n">
        <v>45961</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25869-2025</t>
        </is>
      </c>
      <c r="B1217" s="1" t="n">
        <v>45804.48995370371</v>
      </c>
      <c r="C1217" s="1" t="n">
        <v>45961</v>
      </c>
      <c r="D1217" t="inlineStr">
        <is>
          <t>VÄSTERNORRLANDS LÄN</t>
        </is>
      </c>
      <c r="E1217" t="inlineStr">
        <is>
          <t>SUNDSVALL</t>
        </is>
      </c>
      <c r="F1217" t="inlineStr">
        <is>
          <t>SCA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53038-2023</t>
        </is>
      </c>
      <c r="B1218" s="1" t="n">
        <v>45226.96298611111</v>
      </c>
      <c r="C1218" s="1" t="n">
        <v>45961</v>
      </c>
      <c r="D1218" t="inlineStr">
        <is>
          <t>VÄSTERNORRLANDS LÄN</t>
        </is>
      </c>
      <c r="E1218" t="inlineStr">
        <is>
          <t>SUNDSVALL</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38272-2025</t>
        </is>
      </c>
      <c r="B1219" s="1" t="n">
        <v>45883.40728009259</v>
      </c>
      <c r="C1219" s="1" t="n">
        <v>45961</v>
      </c>
      <c r="D1219" t="inlineStr">
        <is>
          <t>VÄSTERNORRLANDS LÄN</t>
        </is>
      </c>
      <c r="E1219" t="inlineStr">
        <is>
          <t>SUNDSVALL</t>
        </is>
      </c>
      <c r="F1219" t="inlineStr">
        <is>
          <t>SCA</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15712-2022</t>
        </is>
      </c>
      <c r="B1220" s="1" t="n">
        <v>44663</v>
      </c>
      <c r="C1220" s="1" t="n">
        <v>45961</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65019-2023</t>
        </is>
      </c>
      <c r="B1221" s="1" t="n">
        <v>45282</v>
      </c>
      <c r="C1221" s="1" t="n">
        <v>45961</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47897-2022</t>
        </is>
      </c>
      <c r="B1222" s="1" t="n">
        <v>44855</v>
      </c>
      <c r="C1222" s="1" t="n">
        <v>45961</v>
      </c>
      <c r="D1222" t="inlineStr">
        <is>
          <t>VÄSTERNORRLANDS LÄN</t>
        </is>
      </c>
      <c r="E1222" t="inlineStr">
        <is>
          <t>SUNDSVALL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25873-2025</t>
        </is>
      </c>
      <c r="B1223" s="1" t="n">
        <v>45804.49041666667</v>
      </c>
      <c r="C1223" s="1" t="n">
        <v>45961</v>
      </c>
      <c r="D1223" t="inlineStr">
        <is>
          <t>VÄSTERNORRLANDS LÄN</t>
        </is>
      </c>
      <c r="E1223" t="inlineStr">
        <is>
          <t>SUNDSVALL</t>
        </is>
      </c>
      <c r="F1223" t="inlineStr">
        <is>
          <t>Naturvårdsverket</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9514-2025</t>
        </is>
      </c>
      <c r="B1224" s="1" t="n">
        <v>45715.54472222222</v>
      </c>
      <c r="C1224" s="1" t="n">
        <v>45961</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25834-2025</t>
        </is>
      </c>
      <c r="B1225" s="1" t="n">
        <v>45804.44841435185</v>
      </c>
      <c r="C1225" s="1" t="n">
        <v>45961</v>
      </c>
      <c r="D1225" t="inlineStr">
        <is>
          <t>VÄSTERNORRLANDS LÄN</t>
        </is>
      </c>
      <c r="E1225" t="inlineStr">
        <is>
          <t>SUNDSVALL</t>
        </is>
      </c>
      <c r="F1225" t="inlineStr">
        <is>
          <t>Naturvårdsverket</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25836-2025</t>
        </is>
      </c>
      <c r="B1226" s="1" t="n">
        <v>45804.44865740741</v>
      </c>
      <c r="C1226" s="1" t="n">
        <v>45961</v>
      </c>
      <c r="D1226" t="inlineStr">
        <is>
          <t>VÄSTERNORRLANDS LÄN</t>
        </is>
      </c>
      <c r="E1226" t="inlineStr">
        <is>
          <t>SUNDSVALL</t>
        </is>
      </c>
      <c r="F1226" t="inlineStr">
        <is>
          <t>Naturvårdsverket</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15871-2025</t>
        </is>
      </c>
      <c r="B1227" s="1" t="n">
        <v>45749</v>
      </c>
      <c r="C1227" s="1" t="n">
        <v>45961</v>
      </c>
      <c r="D1227" t="inlineStr">
        <is>
          <t>VÄSTERNORRLANDS LÄN</t>
        </is>
      </c>
      <c r="E1227" t="inlineStr">
        <is>
          <t>SUNDSVALL</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26436-2022</t>
        </is>
      </c>
      <c r="B1228" s="1" t="n">
        <v>44736.93907407407</v>
      </c>
      <c r="C1228" s="1" t="n">
        <v>45961</v>
      </c>
      <c r="D1228" t="inlineStr">
        <is>
          <t>VÄSTERNORRLANDS LÄN</t>
        </is>
      </c>
      <c r="E1228" t="inlineStr">
        <is>
          <t>SUNDSVALL</t>
        </is>
      </c>
      <c r="F1228" t="inlineStr">
        <is>
          <t>Naturvårdsverket</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26317-2025</t>
        </is>
      </c>
      <c r="B1229" s="1" t="n">
        <v>45805.65710648148</v>
      </c>
      <c r="C1229" s="1" t="n">
        <v>45961</v>
      </c>
      <c r="D1229" t="inlineStr">
        <is>
          <t>VÄSTERNORRLANDS LÄN</t>
        </is>
      </c>
      <c r="E1229" t="inlineStr">
        <is>
          <t>SUNDSVALL</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38385-2025</t>
        </is>
      </c>
      <c r="B1230" s="1" t="n">
        <v>45883.57413194444</v>
      </c>
      <c r="C1230" s="1" t="n">
        <v>45961</v>
      </c>
      <c r="D1230" t="inlineStr">
        <is>
          <t>VÄSTERNORRLANDS LÄN</t>
        </is>
      </c>
      <c r="E1230" t="inlineStr">
        <is>
          <t>SUNDSVALL</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4052-2024</t>
        </is>
      </c>
      <c r="B1231" s="1" t="n">
        <v>45323</v>
      </c>
      <c r="C1231" s="1" t="n">
        <v>45961</v>
      </c>
      <c r="D1231" t="inlineStr">
        <is>
          <t>VÄSTERNORRLANDS LÄN</t>
        </is>
      </c>
      <c r="E1231" t="inlineStr">
        <is>
          <t>SUNDSVALL</t>
        </is>
      </c>
      <c r="F1231" t="inlineStr">
        <is>
          <t>Kommuner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26313-2025</t>
        </is>
      </c>
      <c r="B1232" s="1" t="n">
        <v>45805.65674768519</v>
      </c>
      <c r="C1232" s="1" t="n">
        <v>45961</v>
      </c>
      <c r="D1232" t="inlineStr">
        <is>
          <t>VÄSTERNORRLANDS LÄN</t>
        </is>
      </c>
      <c r="E1232" t="inlineStr">
        <is>
          <t>SUNDSVALL</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62219-2023</t>
        </is>
      </c>
      <c r="B1233" s="1" t="n">
        <v>45267</v>
      </c>
      <c r="C1233" s="1" t="n">
        <v>45961</v>
      </c>
      <c r="D1233" t="inlineStr">
        <is>
          <t>VÄSTERNORRLANDS LÄN</t>
        </is>
      </c>
      <c r="E1233" t="inlineStr">
        <is>
          <t>SUNDSVALL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26337-2025</t>
        </is>
      </c>
      <c r="B1234" s="1" t="n">
        <v>45805.69826388889</v>
      </c>
      <c r="C1234" s="1" t="n">
        <v>45961</v>
      </c>
      <c r="D1234" t="inlineStr">
        <is>
          <t>VÄSTERNORRLANDS LÄN</t>
        </is>
      </c>
      <c r="E1234" t="inlineStr">
        <is>
          <t>SUNDSVALL</t>
        </is>
      </c>
      <c r="F1234" t="inlineStr">
        <is>
          <t>Naturvårdsverket</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46792-2025</t>
        </is>
      </c>
      <c r="B1235" s="1" t="n">
        <v>45926.65543981481</v>
      </c>
      <c r="C1235" s="1" t="n">
        <v>45961</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26390-2025</t>
        </is>
      </c>
      <c r="B1236" s="1" t="n">
        <v>45806.5733912037</v>
      </c>
      <c r="C1236" s="1" t="n">
        <v>45961</v>
      </c>
      <c r="D1236" t="inlineStr">
        <is>
          <t>VÄSTERNORRLANDS LÄN</t>
        </is>
      </c>
      <c r="E1236" t="inlineStr">
        <is>
          <t>SUNDSVALL</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8518-2024</t>
        </is>
      </c>
      <c r="B1237" s="1" t="n">
        <v>45351</v>
      </c>
      <c r="C1237" s="1" t="n">
        <v>45961</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7089-2025</t>
        </is>
      </c>
      <c r="B1238" s="1" t="n">
        <v>45701.74523148148</v>
      </c>
      <c r="C1238" s="1" t="n">
        <v>45961</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7090-2025</t>
        </is>
      </c>
      <c r="B1239" s="1" t="n">
        <v>45701.75070601852</v>
      </c>
      <c r="C1239" s="1" t="n">
        <v>45961</v>
      </c>
      <c r="D1239" t="inlineStr">
        <is>
          <t>VÄSTERNORRLANDS LÄN</t>
        </is>
      </c>
      <c r="E1239" t="inlineStr">
        <is>
          <t>SUNDSVALL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40050-2024</t>
        </is>
      </c>
      <c r="B1240" s="1" t="n">
        <v>45553.80729166666</v>
      </c>
      <c r="C1240" s="1" t="n">
        <v>45961</v>
      </c>
      <c r="D1240" t="inlineStr">
        <is>
          <t>VÄSTERNORRLANDS LÄN</t>
        </is>
      </c>
      <c r="E1240" t="inlineStr">
        <is>
          <t>SUNDSVALL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9385-2022</t>
        </is>
      </c>
      <c r="B1241" s="1" t="n">
        <v>44616.63796296297</v>
      </c>
      <c r="C1241" s="1" t="n">
        <v>45961</v>
      </c>
      <c r="D1241" t="inlineStr">
        <is>
          <t>VÄSTERNORRLANDS LÄN</t>
        </is>
      </c>
      <c r="E1241" t="inlineStr">
        <is>
          <t>SUNDSVALL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62302-2023</t>
        </is>
      </c>
      <c r="B1242" s="1" t="n">
        <v>45266</v>
      </c>
      <c r="C1242" s="1" t="n">
        <v>45961</v>
      </c>
      <c r="D1242" t="inlineStr">
        <is>
          <t>VÄSTERNORRLANDS LÄN</t>
        </is>
      </c>
      <c r="E1242" t="inlineStr">
        <is>
          <t>SUNDSVALL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26343-2025</t>
        </is>
      </c>
      <c r="B1243" s="1" t="n">
        <v>45805.71907407408</v>
      </c>
      <c r="C1243" s="1" t="n">
        <v>45961</v>
      </c>
      <c r="D1243" t="inlineStr">
        <is>
          <t>VÄSTERNORRLANDS LÄN</t>
        </is>
      </c>
      <c r="E1243" t="inlineStr">
        <is>
          <t>SUNDSVALL</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17436-2023</t>
        </is>
      </c>
      <c r="B1244" s="1" t="n">
        <v>45035.92699074074</v>
      </c>
      <c r="C1244" s="1" t="n">
        <v>45961</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26296-2025</t>
        </is>
      </c>
      <c r="B1245" s="1" t="n">
        <v>45805.6360300926</v>
      </c>
      <c r="C1245" s="1" t="n">
        <v>45961</v>
      </c>
      <c r="D1245" t="inlineStr">
        <is>
          <t>VÄSTERNORRLANDS LÄN</t>
        </is>
      </c>
      <c r="E1245" t="inlineStr">
        <is>
          <t>SUNDSVALL</t>
        </is>
      </c>
      <c r="F1245" t="inlineStr">
        <is>
          <t>SCA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45961</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57110-2024</t>
        </is>
      </c>
      <c r="B1247" s="1" t="n">
        <v>45629.36476851852</v>
      </c>
      <c r="C1247" s="1" t="n">
        <v>45961</v>
      </c>
      <c r="D1247" t="inlineStr">
        <is>
          <t>VÄSTERNORRLANDS LÄN</t>
        </is>
      </c>
      <c r="E1247" t="inlineStr">
        <is>
          <t>SUNDSVALL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18246-2024</t>
        </is>
      </c>
      <c r="B1248" s="1" t="n">
        <v>45421</v>
      </c>
      <c r="C1248" s="1" t="n">
        <v>45961</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8962-2024</t>
        </is>
      </c>
      <c r="B1249" s="1" t="n">
        <v>45357.46949074074</v>
      </c>
      <c r="C1249" s="1" t="n">
        <v>45961</v>
      </c>
      <c r="D1249" t="inlineStr">
        <is>
          <t>VÄSTERNORRLANDS LÄN</t>
        </is>
      </c>
      <c r="E1249" t="inlineStr">
        <is>
          <t>SUNDSVALL</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18217-2025</t>
        </is>
      </c>
      <c r="B1250" s="1" t="n">
        <v>45761.71212962963</v>
      </c>
      <c r="C1250" s="1" t="n">
        <v>45961</v>
      </c>
      <c r="D1250" t="inlineStr">
        <is>
          <t>VÄSTERNORRLANDS LÄN</t>
        </is>
      </c>
      <c r="E1250" t="inlineStr">
        <is>
          <t>SUNDSVALL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26746-2025</t>
        </is>
      </c>
      <c r="B1251" s="1" t="n">
        <v>45810</v>
      </c>
      <c r="C1251" s="1" t="n">
        <v>45961</v>
      </c>
      <c r="D1251" t="inlineStr">
        <is>
          <t>VÄSTERNORRLANDS LÄN</t>
        </is>
      </c>
      <c r="E1251" t="inlineStr">
        <is>
          <t>SUNDSVALL</t>
        </is>
      </c>
      <c r="G1251" t="n">
        <v>23.1</v>
      </c>
      <c r="H1251" t="n">
        <v>0</v>
      </c>
      <c r="I1251" t="n">
        <v>0</v>
      </c>
      <c r="J1251" t="n">
        <v>0</v>
      </c>
      <c r="K1251" t="n">
        <v>0</v>
      </c>
      <c r="L1251" t="n">
        <v>0</v>
      </c>
      <c r="M1251" t="n">
        <v>0</v>
      </c>
      <c r="N1251" t="n">
        <v>0</v>
      </c>
      <c r="O1251" t="n">
        <v>0</v>
      </c>
      <c r="P1251" t="n">
        <v>0</v>
      </c>
      <c r="Q1251" t="n">
        <v>0</v>
      </c>
      <c r="R1251" s="2" t="inlineStr"/>
    </row>
    <row r="1252" ht="15" customHeight="1">
      <c r="A1252" t="inlineStr">
        <is>
          <t>A 40044-2024</t>
        </is>
      </c>
      <c r="B1252" s="1" t="n">
        <v>45553.75064814815</v>
      </c>
      <c r="C1252" s="1" t="n">
        <v>45961</v>
      </c>
      <c r="D1252" t="inlineStr">
        <is>
          <t>VÄSTERNORRLANDS LÄN</t>
        </is>
      </c>
      <c r="E1252" t="inlineStr">
        <is>
          <t>SUNDSVALL</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19896-2023</t>
        </is>
      </c>
      <c r="B1253" s="1" t="n">
        <v>45054</v>
      </c>
      <c r="C1253" s="1" t="n">
        <v>45961</v>
      </c>
      <c r="D1253" t="inlineStr">
        <is>
          <t>VÄSTERNORRLANDS LÄN</t>
        </is>
      </c>
      <c r="E1253" t="inlineStr">
        <is>
          <t>SUNDSVALL</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26575-2025</t>
        </is>
      </c>
      <c r="B1254" s="1" t="n">
        <v>45807.68700231481</v>
      </c>
      <c r="C1254" s="1" t="n">
        <v>45961</v>
      </c>
      <c r="D1254" t="inlineStr">
        <is>
          <t>VÄSTERNORRLANDS LÄN</t>
        </is>
      </c>
      <c r="E1254" t="inlineStr">
        <is>
          <t>SUNDSVALL</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13440-2025</t>
        </is>
      </c>
      <c r="B1255" s="1" t="n">
        <v>45736</v>
      </c>
      <c r="C1255" s="1" t="n">
        <v>45961</v>
      </c>
      <c r="D1255" t="inlineStr">
        <is>
          <t>VÄSTERNORRLANDS LÄN</t>
        </is>
      </c>
      <c r="E1255" t="inlineStr">
        <is>
          <t>SUNDSVALL</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26429-2025</t>
        </is>
      </c>
      <c r="B1256" s="1" t="n">
        <v>45807.38607638889</v>
      </c>
      <c r="C1256" s="1" t="n">
        <v>45961</v>
      </c>
      <c r="D1256" t="inlineStr">
        <is>
          <t>VÄSTERNORRLANDS LÄN</t>
        </is>
      </c>
      <c r="E1256" t="inlineStr">
        <is>
          <t>SUNDSVALL</t>
        </is>
      </c>
      <c r="F1256" t="inlineStr">
        <is>
          <t>Naturvårdsverket</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26459-2025</t>
        </is>
      </c>
      <c r="B1257" s="1" t="n">
        <v>45807.43045138889</v>
      </c>
      <c r="C1257" s="1" t="n">
        <v>45961</v>
      </c>
      <c r="D1257" t="inlineStr">
        <is>
          <t>VÄSTERNORRLANDS LÄN</t>
        </is>
      </c>
      <c r="E1257" t="inlineStr">
        <is>
          <t>SUNDSVALL</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26835-2025</t>
        </is>
      </c>
      <c r="B1258" s="1" t="n">
        <v>45810.65728009259</v>
      </c>
      <c r="C1258" s="1" t="n">
        <v>45961</v>
      </c>
      <c r="D1258" t="inlineStr">
        <is>
          <t>VÄSTERNORRLANDS LÄN</t>
        </is>
      </c>
      <c r="E1258" t="inlineStr">
        <is>
          <t>SUNDSVALL</t>
        </is>
      </c>
      <c r="F1258" t="inlineStr">
        <is>
          <t>SCA</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26836-2025</t>
        </is>
      </c>
      <c r="B1259" s="1" t="n">
        <v>45810.65738425926</v>
      </c>
      <c r="C1259" s="1" t="n">
        <v>45961</v>
      </c>
      <c r="D1259" t="inlineStr">
        <is>
          <t>VÄSTERNORRLANDS LÄN</t>
        </is>
      </c>
      <c r="E1259" t="inlineStr">
        <is>
          <t>SUNDSVALL</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50325-2024</t>
        </is>
      </c>
      <c r="B1260" s="1" t="n">
        <v>45600</v>
      </c>
      <c r="C1260" s="1" t="n">
        <v>45961</v>
      </c>
      <c r="D1260" t="inlineStr">
        <is>
          <t>VÄSTERNORRLANDS LÄN</t>
        </is>
      </c>
      <c r="E1260" t="inlineStr">
        <is>
          <t>SUNDSVALL</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3216-2025</t>
        </is>
      </c>
      <c r="B1261" s="1" t="n">
        <v>45679.46209490741</v>
      </c>
      <c r="C1261" s="1" t="n">
        <v>45961</v>
      </c>
      <c r="D1261" t="inlineStr">
        <is>
          <t>VÄSTERNORRLANDS LÄN</t>
        </is>
      </c>
      <c r="E1261" t="inlineStr">
        <is>
          <t>SUNDSVALL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26408-2025</t>
        </is>
      </c>
      <c r="B1262" s="1" t="n">
        <v>45807.34425925926</v>
      </c>
      <c r="C1262" s="1" t="n">
        <v>45961</v>
      </c>
      <c r="D1262" t="inlineStr">
        <is>
          <t>VÄSTERNORRLANDS LÄN</t>
        </is>
      </c>
      <c r="E1262" t="inlineStr">
        <is>
          <t>SUNDSVALL</t>
        </is>
      </c>
      <c r="F1262" t="inlineStr">
        <is>
          <t>Naturvårdsverket</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41805-2022</t>
        </is>
      </c>
      <c r="B1263" s="1" t="n">
        <v>44827</v>
      </c>
      <c r="C1263" s="1" t="n">
        <v>45961</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23513-2023</t>
        </is>
      </c>
      <c r="B1264" s="1" t="n">
        <v>45076</v>
      </c>
      <c r="C1264" s="1" t="n">
        <v>45961</v>
      </c>
      <c r="D1264" t="inlineStr">
        <is>
          <t>VÄSTERNORRLANDS LÄN</t>
        </is>
      </c>
      <c r="E1264" t="inlineStr">
        <is>
          <t>SUNDSVALL</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28449-2022</t>
        </is>
      </c>
      <c r="B1265" s="1" t="n">
        <v>44747.68142361111</v>
      </c>
      <c r="C1265" s="1" t="n">
        <v>45961</v>
      </c>
      <c r="D1265" t="inlineStr">
        <is>
          <t>VÄSTERNORRLANDS LÄN</t>
        </is>
      </c>
      <c r="E1265" t="inlineStr">
        <is>
          <t>SUNDSVALL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26428-2025</t>
        </is>
      </c>
      <c r="B1266" s="1" t="n">
        <v>45807.38597222222</v>
      </c>
      <c r="C1266" s="1" t="n">
        <v>45961</v>
      </c>
      <c r="D1266" t="inlineStr">
        <is>
          <t>VÄSTERNORRLANDS LÄN</t>
        </is>
      </c>
      <c r="E1266" t="inlineStr">
        <is>
          <t>SUNDSVALL</t>
        </is>
      </c>
      <c r="F1266" t="inlineStr">
        <is>
          <t>SCA</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11764-2025</t>
        </is>
      </c>
      <c r="B1267" s="1" t="n">
        <v>45727.65665509259</v>
      </c>
      <c r="C1267" s="1" t="n">
        <v>45961</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21776-2023</t>
        </is>
      </c>
      <c r="B1268" s="1" t="n">
        <v>45065.9264699074</v>
      </c>
      <c r="C1268" s="1" t="n">
        <v>45961</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26407-2025</t>
        </is>
      </c>
      <c r="B1269" s="1" t="n">
        <v>45807.34410879629</v>
      </c>
      <c r="C1269" s="1" t="n">
        <v>45961</v>
      </c>
      <c r="D1269" t="inlineStr">
        <is>
          <t>VÄSTERNORRLANDS LÄN</t>
        </is>
      </c>
      <c r="E1269" t="inlineStr">
        <is>
          <t>SUNDSVALL</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26427-2025</t>
        </is>
      </c>
      <c r="B1270" s="1" t="n">
        <v>45807.38585648148</v>
      </c>
      <c r="C1270" s="1" t="n">
        <v>45961</v>
      </c>
      <c r="D1270" t="inlineStr">
        <is>
          <t>VÄSTERNORRLANDS LÄN</t>
        </is>
      </c>
      <c r="E1270" t="inlineStr">
        <is>
          <t>SUNDSVALL</t>
        </is>
      </c>
      <c r="F1270" t="inlineStr">
        <is>
          <t>Naturvårdsverket</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27046-2025</t>
        </is>
      </c>
      <c r="B1271" s="1" t="n">
        <v>45811.61524305555</v>
      </c>
      <c r="C1271" s="1" t="n">
        <v>45961</v>
      </c>
      <c r="D1271" t="inlineStr">
        <is>
          <t>VÄSTERNORRLANDS LÄN</t>
        </is>
      </c>
      <c r="E1271" t="inlineStr">
        <is>
          <t>SUNDSVALL</t>
        </is>
      </c>
      <c r="F1271" t="inlineStr">
        <is>
          <t>Naturvårdsverket</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27340-2025</t>
        </is>
      </c>
      <c r="B1272" s="1" t="n">
        <v>45812.61524305555</v>
      </c>
      <c r="C1272" s="1" t="n">
        <v>45961</v>
      </c>
      <c r="D1272" t="inlineStr">
        <is>
          <t>VÄSTERNORRLANDS LÄN</t>
        </is>
      </c>
      <c r="E1272" t="inlineStr">
        <is>
          <t>SUNDSVALL</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19092-2025</t>
        </is>
      </c>
      <c r="B1273" s="1" t="n">
        <v>45767</v>
      </c>
      <c r="C1273" s="1" t="n">
        <v>45961</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4815-2025</t>
        </is>
      </c>
      <c r="B1274" s="1" t="n">
        <v>45688</v>
      </c>
      <c r="C1274" s="1" t="n">
        <v>45961</v>
      </c>
      <c r="D1274" t="inlineStr">
        <is>
          <t>VÄSTERNORRLANDS LÄN</t>
        </is>
      </c>
      <c r="E1274" t="inlineStr">
        <is>
          <t>SUNDSVALL</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4933-2025</t>
        </is>
      </c>
      <c r="B1275" s="1" t="n">
        <v>45688.68486111111</v>
      </c>
      <c r="C1275" s="1" t="n">
        <v>45961</v>
      </c>
      <c r="D1275" t="inlineStr">
        <is>
          <t>VÄSTERNORRLANDS LÄN</t>
        </is>
      </c>
      <c r="E1275" t="inlineStr">
        <is>
          <t>SUNDSVALL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15735-2025</t>
        </is>
      </c>
      <c r="B1276" s="1" t="n">
        <v>45748.53971064815</v>
      </c>
      <c r="C1276" s="1" t="n">
        <v>45961</v>
      </c>
      <c r="D1276" t="inlineStr">
        <is>
          <t>VÄSTERNORRLANDS LÄN</t>
        </is>
      </c>
      <c r="E1276" t="inlineStr">
        <is>
          <t>SUNDSVALL</t>
        </is>
      </c>
      <c r="F1276" t="inlineStr">
        <is>
          <t>SCA</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64642-2021</t>
        </is>
      </c>
      <c r="B1277" s="1" t="n">
        <v>44511</v>
      </c>
      <c r="C1277" s="1" t="n">
        <v>45961</v>
      </c>
      <c r="D1277" t="inlineStr">
        <is>
          <t>VÄSTERNORRLANDS LÄN</t>
        </is>
      </c>
      <c r="E1277" t="inlineStr">
        <is>
          <t>SUNDSVALL</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35682-2023</t>
        </is>
      </c>
      <c r="B1278" s="1" t="n">
        <v>45147</v>
      </c>
      <c r="C1278" s="1" t="n">
        <v>45961</v>
      </c>
      <c r="D1278" t="inlineStr">
        <is>
          <t>VÄSTERNORRLANDS LÄN</t>
        </is>
      </c>
      <c r="E1278" t="inlineStr">
        <is>
          <t>SUNDSVALL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5569-2025</t>
        </is>
      </c>
      <c r="B1279" s="1" t="n">
        <v>45693</v>
      </c>
      <c r="C1279" s="1" t="n">
        <v>45961</v>
      </c>
      <c r="D1279" t="inlineStr">
        <is>
          <t>VÄSTERNORRLANDS LÄN</t>
        </is>
      </c>
      <c r="E1279" t="inlineStr">
        <is>
          <t>SUNDSVALL</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7404-2024</t>
        </is>
      </c>
      <c r="B1280" s="1" t="n">
        <v>45345</v>
      </c>
      <c r="C1280" s="1" t="n">
        <v>45961</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7412-2024</t>
        </is>
      </c>
      <c r="B1281" s="1" t="n">
        <v>45345</v>
      </c>
      <c r="C1281" s="1" t="n">
        <v>45961</v>
      </c>
      <c r="D1281" t="inlineStr">
        <is>
          <t>VÄSTERNORRLANDS LÄN</t>
        </is>
      </c>
      <c r="E1281" t="inlineStr">
        <is>
          <t>SUNDSVALL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56015-2024</t>
        </is>
      </c>
      <c r="B1282" s="1" t="n">
        <v>45623.87550925926</v>
      </c>
      <c r="C1282" s="1" t="n">
        <v>45961</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27169-2025</t>
        </is>
      </c>
      <c r="B1283" s="1" t="n">
        <v>45812.34481481482</v>
      </c>
      <c r="C1283" s="1" t="n">
        <v>45961</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27096-2025</t>
        </is>
      </c>
      <c r="B1284" s="1" t="n">
        <v>45811.67756944444</v>
      </c>
      <c r="C1284" s="1" t="n">
        <v>45961</v>
      </c>
      <c r="D1284" t="inlineStr">
        <is>
          <t>VÄSTERNORRLANDS LÄN</t>
        </is>
      </c>
      <c r="E1284" t="inlineStr">
        <is>
          <t>SUNDSVALL</t>
        </is>
      </c>
      <c r="F1284" t="inlineStr">
        <is>
          <t>Naturvårdsverket</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27210-2025</t>
        </is>
      </c>
      <c r="B1285" s="1" t="n">
        <v>45812.40680555555</v>
      </c>
      <c r="C1285" s="1" t="n">
        <v>45961</v>
      </c>
      <c r="D1285" t="inlineStr">
        <is>
          <t>VÄSTERNORRLANDS LÄN</t>
        </is>
      </c>
      <c r="E1285" t="inlineStr">
        <is>
          <t>SUNDSVALL</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16404-2025</t>
        </is>
      </c>
      <c r="B1286" s="1" t="n">
        <v>45751</v>
      </c>
      <c r="C1286" s="1" t="n">
        <v>45961</v>
      </c>
      <c r="D1286" t="inlineStr">
        <is>
          <t>VÄSTERNORRLANDS LÄN</t>
        </is>
      </c>
      <c r="E1286" t="inlineStr">
        <is>
          <t>SUNDSVALL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27095-2025</t>
        </is>
      </c>
      <c r="B1287" s="1" t="n">
        <v>45811.67743055556</v>
      </c>
      <c r="C1287" s="1" t="n">
        <v>45961</v>
      </c>
      <c r="D1287" t="inlineStr">
        <is>
          <t>VÄSTERNORRLANDS LÄN</t>
        </is>
      </c>
      <c r="E1287" t="inlineStr">
        <is>
          <t>SUNDSVALL</t>
        </is>
      </c>
      <c r="F1287" t="inlineStr">
        <is>
          <t>Naturvårdsverket</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61490-2023</t>
        </is>
      </c>
      <c r="B1288" s="1" t="n">
        <v>45264</v>
      </c>
      <c r="C1288" s="1" t="n">
        <v>45961</v>
      </c>
      <c r="D1288" t="inlineStr">
        <is>
          <t>VÄSTERNORRLANDS LÄN</t>
        </is>
      </c>
      <c r="E1288" t="inlineStr">
        <is>
          <t>SUNDSVALL</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8418-2024</t>
        </is>
      </c>
      <c r="B1289" s="1" t="n">
        <v>45352.98878472222</v>
      </c>
      <c r="C1289" s="1" t="n">
        <v>45961</v>
      </c>
      <c r="D1289" t="inlineStr">
        <is>
          <t>VÄSTERNORRLANDS LÄN</t>
        </is>
      </c>
      <c r="E1289" t="inlineStr">
        <is>
          <t>SUNDSVALL</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27065-2025</t>
        </is>
      </c>
      <c r="B1290" s="1" t="n">
        <v>45811.63635416667</v>
      </c>
      <c r="C1290" s="1" t="n">
        <v>45961</v>
      </c>
      <c r="D1290" t="inlineStr">
        <is>
          <t>VÄSTERNORRLANDS LÄN</t>
        </is>
      </c>
      <c r="E1290" t="inlineStr">
        <is>
          <t>SUNDSVALL</t>
        </is>
      </c>
      <c r="F1290" t="inlineStr">
        <is>
          <t>Naturvårdsverket</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29584-2021</t>
        </is>
      </c>
      <c r="B1291" s="1" t="n">
        <v>44361</v>
      </c>
      <c r="C1291" s="1" t="n">
        <v>45961</v>
      </c>
      <c r="D1291" t="inlineStr">
        <is>
          <t>VÄSTERNORRLANDS LÄN</t>
        </is>
      </c>
      <c r="E1291" t="inlineStr">
        <is>
          <t>SUNDSVALL</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15617-2025</t>
        </is>
      </c>
      <c r="B1292" s="1" t="n">
        <v>45748.35231481482</v>
      </c>
      <c r="C1292" s="1" t="n">
        <v>45961</v>
      </c>
      <c r="D1292" t="inlineStr">
        <is>
          <t>VÄSTERNORRLANDS LÄN</t>
        </is>
      </c>
      <c r="E1292" t="inlineStr">
        <is>
          <t>SUNDSVALL</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61719-2020</t>
        </is>
      </c>
      <c r="B1293" s="1" t="n">
        <v>44158</v>
      </c>
      <c r="C1293" s="1" t="n">
        <v>45961</v>
      </c>
      <c r="D1293" t="inlineStr">
        <is>
          <t>VÄSTERNORRLANDS LÄN</t>
        </is>
      </c>
      <c r="E1293" t="inlineStr">
        <is>
          <t>SUNDSVALL</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55152-2024</t>
        </is>
      </c>
      <c r="B1294" s="1" t="n">
        <v>45621.49590277778</v>
      </c>
      <c r="C1294" s="1" t="n">
        <v>45961</v>
      </c>
      <c r="D1294" t="inlineStr">
        <is>
          <t>VÄSTERNORRLANDS LÄN</t>
        </is>
      </c>
      <c r="E1294" t="inlineStr">
        <is>
          <t>SUNDSVALL</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27099-2025</t>
        </is>
      </c>
      <c r="B1295" s="1" t="n">
        <v>45811.67792824074</v>
      </c>
      <c r="C1295" s="1" t="n">
        <v>45961</v>
      </c>
      <c r="D1295" t="inlineStr">
        <is>
          <t>VÄSTERNORRLANDS LÄN</t>
        </is>
      </c>
      <c r="E1295" t="inlineStr">
        <is>
          <t>SUNDSVALL</t>
        </is>
      </c>
      <c r="F1295" t="inlineStr">
        <is>
          <t>Naturvårdsverket</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31525-2022</t>
        </is>
      </c>
      <c r="B1296" s="1" t="n">
        <v>44775.25996527778</v>
      </c>
      <c r="C1296" s="1" t="n">
        <v>45961</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39796-2023</t>
        </is>
      </c>
      <c r="B1297" s="1" t="n">
        <v>45167</v>
      </c>
      <c r="C1297" s="1" t="n">
        <v>45961</v>
      </c>
      <c r="D1297" t="inlineStr">
        <is>
          <t>VÄSTERNORRLANDS LÄN</t>
        </is>
      </c>
      <c r="E1297" t="inlineStr">
        <is>
          <t>SUNDSVALL</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17166-2025</t>
        </is>
      </c>
      <c r="B1298" s="1" t="n">
        <v>45756.36495370371</v>
      </c>
      <c r="C1298" s="1" t="n">
        <v>45961</v>
      </c>
      <c r="D1298" t="inlineStr">
        <is>
          <t>VÄSTERNORRLANDS LÄN</t>
        </is>
      </c>
      <c r="E1298" t="inlineStr">
        <is>
          <t>SUNDSVALL</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17377-2024</t>
        </is>
      </c>
      <c r="B1299" s="1" t="n">
        <v>45414</v>
      </c>
      <c r="C1299" s="1" t="n">
        <v>45961</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27690-2025</t>
        </is>
      </c>
      <c r="B1300" s="1" t="n">
        <v>45813.65657407408</v>
      </c>
      <c r="C1300" s="1" t="n">
        <v>45961</v>
      </c>
      <c r="D1300" t="inlineStr">
        <is>
          <t>VÄSTERNORRLANDS LÄN</t>
        </is>
      </c>
      <c r="E1300" t="inlineStr">
        <is>
          <t>SUNDSVALL</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23690-2025</t>
        </is>
      </c>
      <c r="B1301" s="1" t="n">
        <v>45793.34466435185</v>
      </c>
      <c r="C1301" s="1" t="n">
        <v>45961</v>
      </c>
      <c r="D1301" t="inlineStr">
        <is>
          <t>VÄSTERNORRLANDS LÄN</t>
        </is>
      </c>
      <c r="E1301" t="inlineStr">
        <is>
          <t>SUNDSVALL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43168-2024</t>
        </is>
      </c>
      <c r="B1302" s="1" t="n">
        <v>45567.656875</v>
      </c>
      <c r="C1302" s="1" t="n">
        <v>45961</v>
      </c>
      <c r="D1302" t="inlineStr">
        <is>
          <t>VÄSTERNORRLANDS LÄN</t>
        </is>
      </c>
      <c r="E1302" t="inlineStr">
        <is>
          <t>SUNDSVALL</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60651-2022</t>
        </is>
      </c>
      <c r="B1303" s="1" t="n">
        <v>44911</v>
      </c>
      <c r="C1303" s="1" t="n">
        <v>45961</v>
      </c>
      <c r="D1303" t="inlineStr">
        <is>
          <t>VÄSTERNORRLANDS LÄN</t>
        </is>
      </c>
      <c r="E1303" t="inlineStr">
        <is>
          <t>SUNDSVALL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112-2025</t>
        </is>
      </c>
      <c r="B1304" s="1" t="n">
        <v>45659</v>
      </c>
      <c r="C1304" s="1" t="n">
        <v>45961</v>
      </c>
      <c r="D1304" t="inlineStr">
        <is>
          <t>VÄSTERNORRLANDS LÄN</t>
        </is>
      </c>
      <c r="E1304" t="inlineStr">
        <is>
          <t>SUNDSVALL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23832-2024</t>
        </is>
      </c>
      <c r="B1305" s="1" t="n">
        <v>45455.4840625</v>
      </c>
      <c r="C1305" s="1" t="n">
        <v>45961</v>
      </c>
      <c r="D1305" t="inlineStr">
        <is>
          <t>VÄSTERNORRLANDS LÄN</t>
        </is>
      </c>
      <c r="E1305" t="inlineStr">
        <is>
          <t>SUNDSVALL</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39916-2024</t>
        </is>
      </c>
      <c r="B1306" s="1" t="n">
        <v>45553</v>
      </c>
      <c r="C1306" s="1" t="n">
        <v>45961</v>
      </c>
      <c r="D1306" t="inlineStr">
        <is>
          <t>VÄSTERNORRLANDS LÄN</t>
        </is>
      </c>
      <c r="E1306" t="inlineStr">
        <is>
          <t>SUNDSVALL</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4810-2025</t>
        </is>
      </c>
      <c r="B1307" s="1" t="n">
        <v>45688</v>
      </c>
      <c r="C1307" s="1" t="n">
        <v>45961</v>
      </c>
      <c r="D1307" t="inlineStr">
        <is>
          <t>VÄSTERNORRLANDS LÄN</t>
        </is>
      </c>
      <c r="E1307" t="inlineStr">
        <is>
          <t>SUNDSVALL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46735-2022</t>
        </is>
      </c>
      <c r="B1308" s="1" t="n">
        <v>44851</v>
      </c>
      <c r="C1308" s="1" t="n">
        <v>45961</v>
      </c>
      <c r="D1308" t="inlineStr">
        <is>
          <t>VÄSTERNORRLANDS LÄN</t>
        </is>
      </c>
      <c r="E1308" t="inlineStr">
        <is>
          <t>SUNDSVALL</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27366-2021</t>
        </is>
      </c>
      <c r="B1309" s="1" t="n">
        <v>44351.4417824074</v>
      </c>
      <c r="C1309" s="1" t="n">
        <v>45961</v>
      </c>
      <c r="D1309" t="inlineStr">
        <is>
          <t>VÄSTERNORRLANDS LÄN</t>
        </is>
      </c>
      <c r="E1309" t="inlineStr">
        <is>
          <t>SUNDSVALL</t>
        </is>
      </c>
      <c r="G1309" t="n">
        <v>15.9</v>
      </c>
      <c r="H1309" t="n">
        <v>0</v>
      </c>
      <c r="I1309" t="n">
        <v>0</v>
      </c>
      <c r="J1309" t="n">
        <v>0</v>
      </c>
      <c r="K1309" t="n">
        <v>0</v>
      </c>
      <c r="L1309" t="n">
        <v>0</v>
      </c>
      <c r="M1309" t="n">
        <v>0</v>
      </c>
      <c r="N1309" t="n">
        <v>0</v>
      </c>
      <c r="O1309" t="n">
        <v>0</v>
      </c>
      <c r="P1309" t="n">
        <v>0</v>
      </c>
      <c r="Q1309" t="n">
        <v>0</v>
      </c>
      <c r="R1309" s="2" t="inlineStr"/>
    </row>
    <row r="1310" ht="15" customHeight="1">
      <c r="A1310" t="inlineStr">
        <is>
          <t>A 57519-2024</t>
        </is>
      </c>
      <c r="B1310" s="1" t="n">
        <v>45630.40659722222</v>
      </c>
      <c r="C1310" s="1" t="n">
        <v>45961</v>
      </c>
      <c r="D1310" t="inlineStr">
        <is>
          <t>VÄSTERNORRLANDS LÄN</t>
        </is>
      </c>
      <c r="E1310" t="inlineStr">
        <is>
          <t>SUNDSVALL</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7416-2025</t>
        </is>
      </c>
      <c r="B1311" s="1" t="n">
        <v>45705</v>
      </c>
      <c r="C1311" s="1" t="n">
        <v>45961</v>
      </c>
      <c r="D1311" t="inlineStr">
        <is>
          <t>VÄSTERNORRLANDS LÄN</t>
        </is>
      </c>
      <c r="E1311" t="inlineStr">
        <is>
          <t>SUNDSVALL</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32203-2023</t>
        </is>
      </c>
      <c r="B1312" s="1" t="n">
        <v>45119.92622685185</v>
      </c>
      <c r="C1312" s="1" t="n">
        <v>45961</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10517-2025</t>
        </is>
      </c>
      <c r="B1313" s="1" t="n">
        <v>45721.42747685185</v>
      </c>
      <c r="C1313" s="1" t="n">
        <v>45961</v>
      </c>
      <c r="D1313" t="inlineStr">
        <is>
          <t>VÄSTERNORRLANDS LÄN</t>
        </is>
      </c>
      <c r="E1313" t="inlineStr">
        <is>
          <t>SUNDSVALL</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16568-2023</t>
        </is>
      </c>
      <c r="B1314" s="1" t="n">
        <v>45029.94200231481</v>
      </c>
      <c r="C1314" s="1" t="n">
        <v>45961</v>
      </c>
      <c r="D1314" t="inlineStr">
        <is>
          <t>VÄSTERNORRLANDS LÄN</t>
        </is>
      </c>
      <c r="E1314" t="inlineStr">
        <is>
          <t>SUNDSVALL</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25037-2023</t>
        </is>
      </c>
      <c r="B1315" s="1" t="n">
        <v>45085.92905092592</v>
      </c>
      <c r="C1315" s="1" t="n">
        <v>45961</v>
      </c>
      <c r="D1315" t="inlineStr">
        <is>
          <t>VÄSTERNORRLANDS LÄN</t>
        </is>
      </c>
      <c r="E1315" t="inlineStr">
        <is>
          <t>SUNDSVALL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27944-2025</t>
        </is>
      </c>
      <c r="B1316" s="1" t="n">
        <v>45817.51094907407</v>
      </c>
      <c r="C1316" s="1" t="n">
        <v>45961</v>
      </c>
      <c r="D1316" t="inlineStr">
        <is>
          <t>VÄSTERNORRLANDS LÄN</t>
        </is>
      </c>
      <c r="E1316" t="inlineStr">
        <is>
          <t>SUNDSVALL</t>
        </is>
      </c>
      <c r="F1316" t="inlineStr">
        <is>
          <t>Naturvårdsverket</t>
        </is>
      </c>
      <c r="G1316" t="n">
        <v>3.1</v>
      </c>
      <c r="H1316" t="n">
        <v>0</v>
      </c>
      <c r="I1316" t="n">
        <v>0</v>
      </c>
      <c r="J1316" t="n">
        <v>0</v>
      </c>
      <c r="K1316" t="n">
        <v>0</v>
      </c>
      <c r="L1316" t="n">
        <v>0</v>
      </c>
      <c r="M1316" t="n">
        <v>0</v>
      </c>
      <c r="N1316" t="n">
        <v>0</v>
      </c>
      <c r="O1316" t="n">
        <v>0</v>
      </c>
      <c r="P1316" t="n">
        <v>0</v>
      </c>
      <c r="Q1316" t="n">
        <v>0</v>
      </c>
      <c r="R1316" s="2" t="inlineStr"/>
      <c r="U1316">
        <f>HYPERLINK("https://klasma.github.io/Logging_2281/knärot/A 27944-2025 karta knärot.png", "A 27944-2025")</f>
        <v/>
      </c>
      <c r="V1316">
        <f>HYPERLINK("https://klasma.github.io/Logging_2281/klagomål/A 27944-2025 FSC-klagomål.docx", "A 27944-2025")</f>
        <v/>
      </c>
      <c r="W1316">
        <f>HYPERLINK("https://klasma.github.io/Logging_2281/klagomålsmail/A 27944-2025 FSC-klagomål mail.docx", "A 27944-2025")</f>
        <v/>
      </c>
      <c r="X1316">
        <f>HYPERLINK("https://klasma.github.io/Logging_2281/tillsyn/A 27944-2025 tillsynsbegäran.docx", "A 27944-2025")</f>
        <v/>
      </c>
      <c r="Y1316">
        <f>HYPERLINK("https://klasma.github.io/Logging_2281/tillsynsmail/A 27944-2025 tillsynsbegäran mail.docx", "A 27944-2025")</f>
        <v/>
      </c>
    </row>
    <row r="1317" ht="15" customHeight="1">
      <c r="A1317" t="inlineStr">
        <is>
          <t>A 6882-2025</t>
        </is>
      </c>
      <c r="B1317" s="1" t="n">
        <v>45701.34545138889</v>
      </c>
      <c r="C1317" s="1" t="n">
        <v>45961</v>
      </c>
      <c r="D1317" t="inlineStr">
        <is>
          <t>VÄSTERNORRLANDS LÄN</t>
        </is>
      </c>
      <c r="E1317" t="inlineStr">
        <is>
          <t>SUNDSVALL</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50272-2023</t>
        </is>
      </c>
      <c r="B1318" s="1" t="n">
        <v>45216</v>
      </c>
      <c r="C1318" s="1" t="n">
        <v>45961</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15133-2025</t>
        </is>
      </c>
      <c r="B1319" s="1" t="n">
        <v>45744.38577546296</v>
      </c>
      <c r="C1319" s="1" t="n">
        <v>45961</v>
      </c>
      <c r="D1319" t="inlineStr">
        <is>
          <t>VÄSTERNORRLANDS LÄN</t>
        </is>
      </c>
      <c r="E1319" t="inlineStr">
        <is>
          <t>SUNDSVALL</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15135-2025</t>
        </is>
      </c>
      <c r="B1320" s="1" t="n">
        <v>45744</v>
      </c>
      <c r="C1320" s="1" t="n">
        <v>45961</v>
      </c>
      <c r="D1320" t="inlineStr">
        <is>
          <t>VÄSTERNORRLANDS LÄN</t>
        </is>
      </c>
      <c r="E1320" t="inlineStr">
        <is>
          <t>SUNDSVALL</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33735-2024</t>
        </is>
      </c>
      <c r="B1321" s="1" t="n">
        <v>45520</v>
      </c>
      <c r="C1321" s="1" t="n">
        <v>45961</v>
      </c>
      <c r="D1321" t="inlineStr">
        <is>
          <t>VÄSTERNORRLANDS LÄN</t>
        </is>
      </c>
      <c r="E1321" t="inlineStr">
        <is>
          <t>SUNDSVALL</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27754-2025</t>
        </is>
      </c>
      <c r="B1322" s="1" t="n">
        <v>45815.69635416667</v>
      </c>
      <c r="C1322" s="1" t="n">
        <v>45961</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55676-2021</t>
        </is>
      </c>
      <c r="B1323" s="1" t="n">
        <v>44476</v>
      </c>
      <c r="C1323" s="1" t="n">
        <v>45961</v>
      </c>
      <c r="D1323" t="inlineStr">
        <is>
          <t>VÄSTERNORRLANDS LÄN</t>
        </is>
      </c>
      <c r="E1323" t="inlineStr">
        <is>
          <t>SUNDSVALL</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28798-2024</t>
        </is>
      </c>
      <c r="B1324" s="1" t="n">
        <v>45478</v>
      </c>
      <c r="C1324" s="1" t="n">
        <v>45961</v>
      </c>
      <c r="D1324" t="inlineStr">
        <is>
          <t>VÄSTERNORRLANDS LÄN</t>
        </is>
      </c>
      <c r="E1324" t="inlineStr">
        <is>
          <t>SUNDSVALL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21188-2025</t>
        </is>
      </c>
      <c r="B1325" s="1" t="n">
        <v>45777</v>
      </c>
      <c r="C1325" s="1" t="n">
        <v>45961</v>
      </c>
      <c r="D1325" t="inlineStr">
        <is>
          <t>VÄSTERNORRLANDS LÄN</t>
        </is>
      </c>
      <c r="E1325" t="inlineStr">
        <is>
          <t>SUNDSVALL</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63814-2023</t>
        </is>
      </c>
      <c r="B1326" s="1" t="n">
        <v>45278</v>
      </c>
      <c r="C1326" s="1" t="n">
        <v>45961</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27753-2025</t>
        </is>
      </c>
      <c r="B1327" s="1" t="n">
        <v>45815.69273148148</v>
      </c>
      <c r="C1327" s="1" t="n">
        <v>45961</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17993-2022</t>
        </is>
      </c>
      <c r="B1328" s="1" t="n">
        <v>44683</v>
      </c>
      <c r="C1328" s="1" t="n">
        <v>45961</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63651-2021</t>
        </is>
      </c>
      <c r="B1329" s="1" t="n">
        <v>44508</v>
      </c>
      <c r="C1329" s="1" t="n">
        <v>45961</v>
      </c>
      <c r="D1329" t="inlineStr">
        <is>
          <t>VÄSTERNORRLANDS LÄN</t>
        </is>
      </c>
      <c r="E1329" t="inlineStr">
        <is>
          <t>SUNDSVALL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27823-2025</t>
        </is>
      </c>
      <c r="B1330" s="1" t="n">
        <v>45817.34424768519</v>
      </c>
      <c r="C1330" s="1" t="n">
        <v>45961</v>
      </c>
      <c r="D1330" t="inlineStr">
        <is>
          <t>VÄSTERNORRLANDS LÄN</t>
        </is>
      </c>
      <c r="E1330" t="inlineStr">
        <is>
          <t>SUNDSVALL</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29662-2024</t>
        </is>
      </c>
      <c r="B1331" s="1" t="n">
        <v>45484.93993055556</v>
      </c>
      <c r="C1331" s="1" t="n">
        <v>45961</v>
      </c>
      <c r="D1331" t="inlineStr">
        <is>
          <t>VÄSTERNORRLANDS LÄN</t>
        </is>
      </c>
      <c r="E1331" t="inlineStr">
        <is>
          <t>SUNDSVALL</t>
        </is>
      </c>
      <c r="F1331" t="inlineStr">
        <is>
          <t>SCA</t>
        </is>
      </c>
      <c r="G1331" t="n">
        <v>27.8</v>
      </c>
      <c r="H1331" t="n">
        <v>0</v>
      </c>
      <c r="I1331" t="n">
        <v>0</v>
      </c>
      <c r="J1331" t="n">
        <v>0</v>
      </c>
      <c r="K1331" t="n">
        <v>0</v>
      </c>
      <c r="L1331" t="n">
        <v>0</v>
      </c>
      <c r="M1331" t="n">
        <v>0</v>
      </c>
      <c r="N1331" t="n">
        <v>0</v>
      </c>
      <c r="O1331" t="n">
        <v>0</v>
      </c>
      <c r="P1331" t="n">
        <v>0</v>
      </c>
      <c r="Q1331" t="n">
        <v>0</v>
      </c>
      <c r="R1331" s="2" t="inlineStr"/>
    </row>
    <row r="1332" ht="15" customHeight="1">
      <c r="A1332" t="inlineStr">
        <is>
          <t>A 57455-2023</t>
        </is>
      </c>
      <c r="B1332" s="1" t="n">
        <v>45246</v>
      </c>
      <c r="C1332" s="1" t="n">
        <v>45961</v>
      </c>
      <c r="D1332" t="inlineStr">
        <is>
          <t>VÄSTERNORRLANDS LÄN</t>
        </is>
      </c>
      <c r="E1332" t="inlineStr">
        <is>
          <t>SUNDSVALL</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46356-2025</t>
        </is>
      </c>
      <c r="B1333" s="1" t="n">
        <v>45925.49037037037</v>
      </c>
      <c r="C1333" s="1" t="n">
        <v>45961</v>
      </c>
      <c r="D1333" t="inlineStr">
        <is>
          <t>VÄSTERNORRLANDS LÄN</t>
        </is>
      </c>
      <c r="E1333" t="inlineStr">
        <is>
          <t>SUNDSVALL</t>
        </is>
      </c>
      <c r="F1333" t="inlineStr">
        <is>
          <t>SCA</t>
        </is>
      </c>
      <c r="G1333" t="n">
        <v>22.4</v>
      </c>
      <c r="H1333" t="n">
        <v>0</v>
      </c>
      <c r="I1333" t="n">
        <v>0</v>
      </c>
      <c r="J1333" t="n">
        <v>0</v>
      </c>
      <c r="K1333" t="n">
        <v>0</v>
      </c>
      <c r="L1333" t="n">
        <v>0</v>
      </c>
      <c r="M1333" t="n">
        <v>0</v>
      </c>
      <c r="N1333" t="n">
        <v>0</v>
      </c>
      <c r="O1333" t="n">
        <v>0</v>
      </c>
      <c r="P1333" t="n">
        <v>0</v>
      </c>
      <c r="Q1333" t="n">
        <v>0</v>
      </c>
      <c r="R1333" s="2" t="inlineStr"/>
    </row>
    <row r="1334" ht="15" customHeight="1">
      <c r="A1334" t="inlineStr">
        <is>
          <t>A 38351-2025</t>
        </is>
      </c>
      <c r="B1334" s="1" t="n">
        <v>45883.53170138889</v>
      </c>
      <c r="C1334" s="1" t="n">
        <v>45961</v>
      </c>
      <c r="D1334" t="inlineStr">
        <is>
          <t>VÄSTERNORRLANDS LÄN</t>
        </is>
      </c>
      <c r="E1334" t="inlineStr">
        <is>
          <t>SUNDSVALL</t>
        </is>
      </c>
      <c r="F1334" t="inlineStr">
        <is>
          <t>SCA</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27998-2023</t>
        </is>
      </c>
      <c r="B1335" s="1" t="n">
        <v>45098.92375</v>
      </c>
      <c r="C1335" s="1" t="n">
        <v>45961</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28407-2025</t>
        </is>
      </c>
      <c r="B1336" s="1" t="n">
        <v>45819.34581018519</v>
      </c>
      <c r="C1336" s="1" t="n">
        <v>45961</v>
      </c>
      <c r="D1336" t="inlineStr">
        <is>
          <t>VÄSTERNORRLANDS LÄN</t>
        </is>
      </c>
      <c r="E1336" t="inlineStr">
        <is>
          <t>SUNDSVALL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52759-2023</t>
        </is>
      </c>
      <c r="B1337" s="1" t="n">
        <v>45225</v>
      </c>
      <c r="C1337" s="1" t="n">
        <v>45961</v>
      </c>
      <c r="D1337" t="inlineStr">
        <is>
          <t>VÄSTERNORRLANDS LÄN</t>
        </is>
      </c>
      <c r="E1337" t="inlineStr">
        <is>
          <t>SUNDSVALL</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38389-2025</t>
        </is>
      </c>
      <c r="B1338" s="1" t="n">
        <v>45883.57486111111</v>
      </c>
      <c r="C1338" s="1" t="n">
        <v>45961</v>
      </c>
      <c r="D1338" t="inlineStr">
        <is>
          <t>VÄSTERNORRLANDS LÄN</t>
        </is>
      </c>
      <c r="E1338" t="inlineStr">
        <is>
          <t>SUNDSVALL</t>
        </is>
      </c>
      <c r="F1338" t="inlineStr">
        <is>
          <t>SCA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22102-2024</t>
        </is>
      </c>
      <c r="B1339" s="1" t="n">
        <v>45443.95085648148</v>
      </c>
      <c r="C1339" s="1" t="n">
        <v>45961</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47246-2024</t>
        </is>
      </c>
      <c r="B1340" s="1" t="n">
        <v>45586.69940972222</v>
      </c>
      <c r="C1340" s="1" t="n">
        <v>45961</v>
      </c>
      <c r="D1340" t="inlineStr">
        <is>
          <t>VÄSTERNORRLANDS LÄN</t>
        </is>
      </c>
      <c r="E1340" t="inlineStr">
        <is>
          <t>SUNDSVALL</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49360-2024</t>
        </is>
      </c>
      <c r="B1341" s="1" t="n">
        <v>45595.626875</v>
      </c>
      <c r="C1341" s="1" t="n">
        <v>45961</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53921-2022</t>
        </is>
      </c>
      <c r="B1342" s="1" t="n">
        <v>44880</v>
      </c>
      <c r="C1342" s="1" t="n">
        <v>45961</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53939-2022</t>
        </is>
      </c>
      <c r="B1343" s="1" t="n">
        <v>44880.95625</v>
      </c>
      <c r="C1343" s="1" t="n">
        <v>45961</v>
      </c>
      <c r="D1343" t="inlineStr">
        <is>
          <t>VÄSTERNORRLANDS LÄN</t>
        </is>
      </c>
      <c r="E1343" t="inlineStr">
        <is>
          <t>SUNDSVALL</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53943-2022</t>
        </is>
      </c>
      <c r="B1344" s="1" t="n">
        <v>44880</v>
      </c>
      <c r="C1344" s="1" t="n">
        <v>45961</v>
      </c>
      <c r="D1344" t="inlineStr">
        <is>
          <t>VÄSTERNORRLANDS LÄN</t>
        </is>
      </c>
      <c r="E1344" t="inlineStr">
        <is>
          <t>SUNDSVALL</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8531-2025</t>
        </is>
      </c>
      <c r="B1345" s="1" t="n">
        <v>45709.5850462963</v>
      </c>
      <c r="C1345" s="1" t="n">
        <v>45961</v>
      </c>
      <c r="D1345" t="inlineStr">
        <is>
          <t>VÄSTERNORRLANDS LÄN</t>
        </is>
      </c>
      <c r="E1345" t="inlineStr">
        <is>
          <t>SUNDSVALL</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21247-2024</t>
        </is>
      </c>
      <c r="B1346" s="1" t="n">
        <v>45440</v>
      </c>
      <c r="C1346" s="1" t="n">
        <v>45961</v>
      </c>
      <c r="D1346" t="inlineStr">
        <is>
          <t>VÄSTERNORRLANDS LÄN</t>
        </is>
      </c>
      <c r="E1346" t="inlineStr">
        <is>
          <t>SUNDSVALL</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52368-2024</t>
        </is>
      </c>
      <c r="B1347" s="1" t="n">
        <v>45608</v>
      </c>
      <c r="C1347" s="1" t="n">
        <v>45961</v>
      </c>
      <c r="D1347" t="inlineStr">
        <is>
          <t>VÄSTERNORRLANDS LÄN</t>
        </is>
      </c>
      <c r="E1347" t="inlineStr">
        <is>
          <t>SUNDSVALL</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52404-2023</t>
        </is>
      </c>
      <c r="B1348" s="1" t="n">
        <v>45224.96506944444</v>
      </c>
      <c r="C1348" s="1" t="n">
        <v>45961</v>
      </c>
      <c r="D1348" t="inlineStr">
        <is>
          <t>VÄSTERNORRLANDS LÄN</t>
        </is>
      </c>
      <c r="E1348" t="inlineStr">
        <is>
          <t>SUNDSVALL</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46791-2025</t>
        </is>
      </c>
      <c r="B1349" s="1" t="n">
        <v>45926.65502314815</v>
      </c>
      <c r="C1349" s="1" t="n">
        <v>45961</v>
      </c>
      <c r="D1349" t="inlineStr">
        <is>
          <t>VÄSTERNORRLANDS LÄN</t>
        </is>
      </c>
      <c r="E1349" t="inlineStr">
        <is>
          <t>SUNDSVALL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57288-2024</t>
        </is>
      </c>
      <c r="B1350" s="1" t="n">
        <v>45629.58568287037</v>
      </c>
      <c r="C1350" s="1" t="n">
        <v>45961</v>
      </c>
      <c r="D1350" t="inlineStr">
        <is>
          <t>VÄSTERNORRLANDS LÄN</t>
        </is>
      </c>
      <c r="E1350" t="inlineStr">
        <is>
          <t>SUNDSVALL</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26071-2023</t>
        </is>
      </c>
      <c r="B1351" s="1" t="n">
        <v>45091</v>
      </c>
      <c r="C1351" s="1" t="n">
        <v>45961</v>
      </c>
      <c r="D1351" t="inlineStr">
        <is>
          <t>VÄSTERNORRLANDS LÄN</t>
        </is>
      </c>
      <c r="E1351" t="inlineStr">
        <is>
          <t>SUNDSVALL</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15620-2023</t>
        </is>
      </c>
      <c r="B1352" s="1" t="n">
        <v>45020</v>
      </c>
      <c r="C1352" s="1" t="n">
        <v>45961</v>
      </c>
      <c r="D1352" t="inlineStr">
        <is>
          <t>VÄSTERNORRLANDS LÄN</t>
        </is>
      </c>
      <c r="E1352" t="inlineStr">
        <is>
          <t>SUNDSVALL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2836-2021</t>
        </is>
      </c>
      <c r="B1353" s="1" t="n">
        <v>44215</v>
      </c>
      <c r="C1353" s="1" t="n">
        <v>45961</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31204-2023</t>
        </is>
      </c>
      <c r="B1354" s="1" t="n">
        <v>45113.95047453704</v>
      </c>
      <c r="C1354" s="1" t="n">
        <v>45961</v>
      </c>
      <c r="D1354" t="inlineStr">
        <is>
          <t>VÄSTERNORRLANDS LÄN</t>
        </is>
      </c>
      <c r="E1354" t="inlineStr">
        <is>
          <t>SUNDSVALL</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16250-2024</t>
        </is>
      </c>
      <c r="B1355" s="1" t="n">
        <v>45407</v>
      </c>
      <c r="C1355" s="1" t="n">
        <v>45961</v>
      </c>
      <c r="D1355" t="inlineStr">
        <is>
          <t>VÄSTERNORRLANDS LÄN</t>
        </is>
      </c>
      <c r="E1355" t="inlineStr">
        <is>
          <t>SUNDSVALL</t>
        </is>
      </c>
      <c r="F1355" t="inlineStr">
        <is>
          <t>SCA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61409-2021</t>
        </is>
      </c>
      <c r="B1356" s="1" t="n">
        <v>44500.91974537037</v>
      </c>
      <c r="C1356" s="1" t="n">
        <v>45961</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29231-2025</t>
        </is>
      </c>
      <c r="B1357" s="1" t="n">
        <v>45824.34424768519</v>
      </c>
      <c r="C1357" s="1" t="n">
        <v>45961</v>
      </c>
      <c r="D1357" t="inlineStr">
        <is>
          <t>VÄSTERNORRLANDS LÄN</t>
        </is>
      </c>
      <c r="E1357" t="inlineStr">
        <is>
          <t>SUNDSVALL</t>
        </is>
      </c>
      <c r="F1357" t="inlineStr">
        <is>
          <t>Naturvårdsverket</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695-2021</t>
        </is>
      </c>
      <c r="B1358" s="1" t="n">
        <v>44203</v>
      </c>
      <c r="C1358" s="1" t="n">
        <v>45961</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68880-2021</t>
        </is>
      </c>
      <c r="B1359" s="1" t="n">
        <v>44529</v>
      </c>
      <c r="C1359" s="1" t="n">
        <v>45961</v>
      </c>
      <c r="D1359" t="inlineStr">
        <is>
          <t>VÄSTERNORRLANDS LÄN</t>
        </is>
      </c>
      <c r="E1359" t="inlineStr">
        <is>
          <t>SUNDSVALL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29370-2025</t>
        </is>
      </c>
      <c r="B1360" s="1" t="n">
        <v>45824.57320601852</v>
      </c>
      <c r="C1360" s="1" t="n">
        <v>45961</v>
      </c>
      <c r="D1360" t="inlineStr">
        <is>
          <t>VÄSTERNORRLANDS LÄN</t>
        </is>
      </c>
      <c r="E1360" t="inlineStr">
        <is>
          <t>SUNDSVALL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57838-2022</t>
        </is>
      </c>
      <c r="B1361" s="1" t="n">
        <v>44897</v>
      </c>
      <c r="C1361" s="1" t="n">
        <v>45961</v>
      </c>
      <c r="D1361" t="inlineStr">
        <is>
          <t>VÄSTERNORRLANDS LÄN</t>
        </is>
      </c>
      <c r="E1361" t="inlineStr">
        <is>
          <t>SUNDSVALL</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46669-2025</t>
        </is>
      </c>
      <c r="B1362" s="1" t="n">
        <v>45926.53166666667</v>
      </c>
      <c r="C1362" s="1" t="n">
        <v>45961</v>
      </c>
      <c r="D1362" t="inlineStr">
        <is>
          <t>VÄSTERNORRLANDS LÄN</t>
        </is>
      </c>
      <c r="E1362" t="inlineStr">
        <is>
          <t>SUNDSVALL</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29711-2025</t>
        </is>
      </c>
      <c r="B1363" s="1" t="n">
        <v>45825</v>
      </c>
      <c r="C1363" s="1" t="n">
        <v>45961</v>
      </c>
      <c r="D1363" t="inlineStr">
        <is>
          <t>VÄSTERNORRLANDS LÄN</t>
        </is>
      </c>
      <c r="E1363" t="inlineStr">
        <is>
          <t>SUNDSVALL</t>
        </is>
      </c>
      <c r="F1363" t="inlineStr">
        <is>
          <t>Kyrkan</t>
        </is>
      </c>
      <c r="G1363" t="n">
        <v>43.8</v>
      </c>
      <c r="H1363" t="n">
        <v>0</v>
      </c>
      <c r="I1363" t="n">
        <v>0</v>
      </c>
      <c r="J1363" t="n">
        <v>0</v>
      </c>
      <c r="K1363" t="n">
        <v>0</v>
      </c>
      <c r="L1363" t="n">
        <v>0</v>
      </c>
      <c r="M1363" t="n">
        <v>0</v>
      </c>
      <c r="N1363" t="n">
        <v>0</v>
      </c>
      <c r="O1363" t="n">
        <v>0</v>
      </c>
      <c r="P1363" t="n">
        <v>0</v>
      </c>
      <c r="Q1363" t="n">
        <v>0</v>
      </c>
      <c r="R1363" s="2" t="inlineStr"/>
    </row>
    <row r="1364" ht="15" customHeight="1">
      <c r="A1364" t="inlineStr">
        <is>
          <t>A 30066-2024</t>
        </is>
      </c>
      <c r="B1364" s="1" t="n">
        <v>45488.94865740741</v>
      </c>
      <c r="C1364" s="1" t="n">
        <v>45961</v>
      </c>
      <c r="D1364" t="inlineStr">
        <is>
          <t>VÄSTERNORRLANDS LÄN</t>
        </is>
      </c>
      <c r="E1364" t="inlineStr">
        <is>
          <t>SUNDSVALL</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29881-2025</t>
        </is>
      </c>
      <c r="B1365" s="1" t="n">
        <v>45826.3653125</v>
      </c>
      <c r="C1365" s="1" t="n">
        <v>45961</v>
      </c>
      <c r="D1365" t="inlineStr">
        <is>
          <t>VÄSTERNORRLANDS LÄN</t>
        </is>
      </c>
      <c r="E1365" t="inlineStr">
        <is>
          <t>SUNDSVALL</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29923-2025</t>
        </is>
      </c>
      <c r="B1366" s="1" t="n">
        <v>45826.42758101852</v>
      </c>
      <c r="C1366" s="1" t="n">
        <v>45961</v>
      </c>
      <c r="D1366" t="inlineStr">
        <is>
          <t>VÄSTERNORRLANDS LÄN</t>
        </is>
      </c>
      <c r="E1366" t="inlineStr">
        <is>
          <t>SUNDSVALL</t>
        </is>
      </c>
      <c r="F1366" t="inlineStr">
        <is>
          <t>Naturvårdsverket</t>
        </is>
      </c>
      <c r="G1366" t="n">
        <v>16.6</v>
      </c>
      <c r="H1366" t="n">
        <v>0</v>
      </c>
      <c r="I1366" t="n">
        <v>0</v>
      </c>
      <c r="J1366" t="n">
        <v>0</v>
      </c>
      <c r="K1366" t="n">
        <v>0</v>
      </c>
      <c r="L1366" t="n">
        <v>0</v>
      </c>
      <c r="M1366" t="n">
        <v>0</v>
      </c>
      <c r="N1366" t="n">
        <v>0</v>
      </c>
      <c r="O1366" t="n">
        <v>0</v>
      </c>
      <c r="P1366" t="n">
        <v>0</v>
      </c>
      <c r="Q1366" t="n">
        <v>0</v>
      </c>
      <c r="R1366" s="2" t="inlineStr"/>
    </row>
    <row r="1367" ht="15" customHeight="1">
      <c r="A1367" t="inlineStr">
        <is>
          <t>A 29973-2025</t>
        </is>
      </c>
      <c r="B1367" s="1" t="n">
        <v>45826.49049768518</v>
      </c>
      <c r="C1367" s="1" t="n">
        <v>45961</v>
      </c>
      <c r="D1367" t="inlineStr">
        <is>
          <t>VÄSTERNORRLANDS LÄN</t>
        </is>
      </c>
      <c r="E1367" t="inlineStr">
        <is>
          <t>SUNDSVALL</t>
        </is>
      </c>
      <c r="F1367" t="inlineStr">
        <is>
          <t>Naturvårdsverket</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4659-2021</t>
        </is>
      </c>
      <c r="B1368" s="1" t="n">
        <v>44224</v>
      </c>
      <c r="C1368" s="1" t="n">
        <v>45961</v>
      </c>
      <c r="D1368" t="inlineStr">
        <is>
          <t>VÄSTERNORRLANDS LÄN</t>
        </is>
      </c>
      <c r="E1368" t="inlineStr">
        <is>
          <t>SUNDSVALL</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3161-2022</t>
        </is>
      </c>
      <c r="B1369" s="1" t="n">
        <v>44582.58618055555</v>
      </c>
      <c r="C1369" s="1" t="n">
        <v>45961</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15609-2025</t>
        </is>
      </c>
      <c r="B1370" s="1" t="n">
        <v>45748.34819444444</v>
      </c>
      <c r="C1370" s="1" t="n">
        <v>45961</v>
      </c>
      <c r="D1370" t="inlineStr">
        <is>
          <t>VÄSTERNORRLANDS LÄN</t>
        </is>
      </c>
      <c r="E1370" t="inlineStr">
        <is>
          <t>SUNDSVALL</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29955-2025</t>
        </is>
      </c>
      <c r="B1371" s="1" t="n">
        <v>45826.47030092592</v>
      </c>
      <c r="C1371" s="1" t="n">
        <v>45961</v>
      </c>
      <c r="D1371" t="inlineStr">
        <is>
          <t>VÄSTERNORRLANDS LÄN</t>
        </is>
      </c>
      <c r="E1371" t="inlineStr">
        <is>
          <t>SUNDSVALL</t>
        </is>
      </c>
      <c r="F1371" t="inlineStr">
        <is>
          <t>Naturvårdsverket</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41200-2024</t>
        </is>
      </c>
      <c r="B1372" s="1" t="n">
        <v>45559.51616898148</v>
      </c>
      <c r="C1372" s="1" t="n">
        <v>45961</v>
      </c>
      <c r="D1372" t="inlineStr">
        <is>
          <t>VÄSTERNORRLANDS LÄN</t>
        </is>
      </c>
      <c r="E1372" t="inlineStr">
        <is>
          <t>SUNDSVALL</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29954-2025</t>
        </is>
      </c>
      <c r="B1373" s="1" t="n">
        <v>45826.47004629629</v>
      </c>
      <c r="C1373" s="1" t="n">
        <v>45961</v>
      </c>
      <c r="D1373" t="inlineStr">
        <is>
          <t>VÄSTERNORRLANDS LÄN</t>
        </is>
      </c>
      <c r="E1373" t="inlineStr">
        <is>
          <t>SUNDSVALL</t>
        </is>
      </c>
      <c r="F1373" t="inlineStr">
        <is>
          <t>Naturvårdsverket</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29970-2025</t>
        </is>
      </c>
      <c r="B1374" s="1" t="n">
        <v>45826.49003472222</v>
      </c>
      <c r="C1374" s="1" t="n">
        <v>45961</v>
      </c>
      <c r="D1374" t="inlineStr">
        <is>
          <t>VÄSTERNORRLANDS LÄN</t>
        </is>
      </c>
      <c r="E1374" t="inlineStr">
        <is>
          <t>SUNDSVALL</t>
        </is>
      </c>
      <c r="F1374" t="inlineStr">
        <is>
          <t>Naturvårdsverket</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13834-2024</t>
        </is>
      </c>
      <c r="B1375" s="1" t="n">
        <v>45390</v>
      </c>
      <c r="C1375" s="1" t="n">
        <v>45961</v>
      </c>
      <c r="D1375" t="inlineStr">
        <is>
          <t>VÄSTERNORRLANDS LÄN</t>
        </is>
      </c>
      <c r="E1375" t="inlineStr">
        <is>
          <t>SUNDSVALL</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7612-2025</t>
        </is>
      </c>
      <c r="B1376" s="1" t="n">
        <v>45705.67758101852</v>
      </c>
      <c r="C1376" s="1" t="n">
        <v>45961</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20514-2021</t>
        </is>
      </c>
      <c r="B1377" s="1" t="n">
        <v>44315</v>
      </c>
      <c r="C1377" s="1" t="n">
        <v>45961</v>
      </c>
      <c r="D1377" t="inlineStr">
        <is>
          <t>VÄSTERNORRLANDS LÄN</t>
        </is>
      </c>
      <c r="E1377" t="inlineStr">
        <is>
          <t>SUNDSVALL</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34931-2021</t>
        </is>
      </c>
      <c r="B1378" s="1" t="n">
        <v>44379</v>
      </c>
      <c r="C1378" s="1" t="n">
        <v>45961</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10890-2022</t>
        </is>
      </c>
      <c r="B1379" s="1" t="n">
        <v>44627</v>
      </c>
      <c r="C1379" s="1" t="n">
        <v>45961</v>
      </c>
      <c r="D1379" t="inlineStr">
        <is>
          <t>VÄSTERNORRLANDS LÄN</t>
        </is>
      </c>
      <c r="E1379" t="inlineStr">
        <is>
          <t>SUNDSVALL</t>
        </is>
      </c>
      <c r="F1379" t="inlineStr">
        <is>
          <t>Kommuner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730-2025</t>
        </is>
      </c>
      <c r="B1380" s="1" t="n">
        <v>45665</v>
      </c>
      <c r="C1380" s="1" t="n">
        <v>45961</v>
      </c>
      <c r="D1380" t="inlineStr">
        <is>
          <t>VÄSTERNORRLANDS LÄN</t>
        </is>
      </c>
      <c r="E1380" t="inlineStr">
        <is>
          <t>SUNDSVALL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29952-2025</t>
        </is>
      </c>
      <c r="B1381" s="1" t="n">
        <v>45826.46950231482</v>
      </c>
      <c r="C1381" s="1" t="n">
        <v>45961</v>
      </c>
      <c r="D1381" t="inlineStr">
        <is>
          <t>VÄSTERNORRLANDS LÄN</t>
        </is>
      </c>
      <c r="E1381" t="inlineStr">
        <is>
          <t>SUNDSVALL</t>
        </is>
      </c>
      <c r="F1381" t="inlineStr">
        <is>
          <t>Naturvårdsverket</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3214-2025</t>
        </is>
      </c>
      <c r="B1382" s="1" t="n">
        <v>45679.46192129629</v>
      </c>
      <c r="C1382" s="1" t="n">
        <v>45961</v>
      </c>
      <c r="D1382" t="inlineStr">
        <is>
          <t>VÄSTERNORRLANDS LÄN</t>
        </is>
      </c>
      <c r="E1382" t="inlineStr">
        <is>
          <t>SUNDSVALL</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18819-2025</t>
        </is>
      </c>
      <c r="B1383" s="1" t="n">
        <v>45764.37483796296</v>
      </c>
      <c r="C1383" s="1" t="n">
        <v>45961</v>
      </c>
      <c r="D1383" t="inlineStr">
        <is>
          <t>VÄSTERNORRLANDS LÄN</t>
        </is>
      </c>
      <c r="E1383" t="inlineStr">
        <is>
          <t>SUNDSVALL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18826-2025</t>
        </is>
      </c>
      <c r="B1384" s="1" t="n">
        <v>45764.38604166666</v>
      </c>
      <c r="C1384" s="1" t="n">
        <v>45961</v>
      </c>
      <c r="D1384" t="inlineStr">
        <is>
          <t>VÄSTERNORRLANDS LÄN</t>
        </is>
      </c>
      <c r="E1384" t="inlineStr">
        <is>
          <t>SUNDSVALL</t>
        </is>
      </c>
      <c r="F1384" t="inlineStr">
        <is>
          <t>Naturvårdsverket</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29700-2025</t>
        </is>
      </c>
      <c r="B1385" s="1" t="n">
        <v>45825.55259259259</v>
      </c>
      <c r="C1385" s="1" t="n">
        <v>45961</v>
      </c>
      <c r="D1385" t="inlineStr">
        <is>
          <t>VÄSTERNORRLANDS LÄN</t>
        </is>
      </c>
      <c r="E1385" t="inlineStr">
        <is>
          <t>SUNDSVALL</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59770-2022</t>
        </is>
      </c>
      <c r="B1386" s="1" t="n">
        <v>44908</v>
      </c>
      <c r="C1386" s="1" t="n">
        <v>45961</v>
      </c>
      <c r="D1386" t="inlineStr">
        <is>
          <t>VÄSTERNORRLANDS LÄN</t>
        </is>
      </c>
      <c r="E1386" t="inlineStr">
        <is>
          <t>SUNDSVALL</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18467-2025</t>
        </is>
      </c>
      <c r="B1387" s="1" t="n">
        <v>45762.70768518518</v>
      </c>
      <c r="C1387" s="1" t="n">
        <v>45961</v>
      </c>
      <c r="D1387" t="inlineStr">
        <is>
          <t>VÄSTERNORRLANDS LÄN</t>
        </is>
      </c>
      <c r="E1387" t="inlineStr">
        <is>
          <t>SUNDSVALL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30464-2025</t>
        </is>
      </c>
      <c r="B1388" s="1" t="n">
        <v>45827.72248842593</v>
      </c>
      <c r="C1388" s="1" t="n">
        <v>45961</v>
      </c>
      <c r="D1388" t="inlineStr">
        <is>
          <t>VÄSTERNORRLANDS LÄN</t>
        </is>
      </c>
      <c r="E1388" t="inlineStr">
        <is>
          <t>SUNDSVALL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29298-2024</t>
        </is>
      </c>
      <c r="B1389" s="1" t="n">
        <v>45483</v>
      </c>
      <c r="C1389" s="1" t="n">
        <v>45961</v>
      </c>
      <c r="D1389" t="inlineStr">
        <is>
          <t>VÄSTERNORRLANDS LÄN</t>
        </is>
      </c>
      <c r="E1389" t="inlineStr">
        <is>
          <t>SUNDSVALL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16223-2024</t>
        </is>
      </c>
      <c r="B1390" s="1" t="n">
        <v>45406.96440972222</v>
      </c>
      <c r="C1390" s="1" t="n">
        <v>45961</v>
      </c>
      <c r="D1390" t="inlineStr">
        <is>
          <t>VÄSTERNORRLANDS LÄN</t>
        </is>
      </c>
      <c r="E1390" t="inlineStr">
        <is>
          <t>SUNDSVALL</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30259-2025</t>
        </is>
      </c>
      <c r="B1391" s="1" t="n">
        <v>45827.42768518518</v>
      </c>
      <c r="C1391" s="1" t="n">
        <v>45961</v>
      </c>
      <c r="D1391" t="inlineStr">
        <is>
          <t>VÄSTERNORRLANDS LÄN</t>
        </is>
      </c>
      <c r="E1391" t="inlineStr">
        <is>
          <t>SUNDSVALL</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30268-2025</t>
        </is>
      </c>
      <c r="B1392" s="1" t="n">
        <v>45827.44883101852</v>
      </c>
      <c r="C1392" s="1" t="n">
        <v>45961</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14732-2025</t>
        </is>
      </c>
      <c r="B1393" s="1" t="n">
        <v>45742.63611111111</v>
      </c>
      <c r="C1393" s="1" t="n">
        <v>45961</v>
      </c>
      <c r="D1393" t="inlineStr">
        <is>
          <t>VÄSTERNORRLANDS LÄN</t>
        </is>
      </c>
      <c r="E1393" t="inlineStr">
        <is>
          <t>SUNDSVALL</t>
        </is>
      </c>
      <c r="F1393" t="inlineStr">
        <is>
          <t>Kommuner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57900-2020</t>
        </is>
      </c>
      <c r="B1394" s="1" t="n">
        <v>44140</v>
      </c>
      <c r="C1394" s="1" t="n">
        <v>45961</v>
      </c>
      <c r="D1394" t="inlineStr">
        <is>
          <t>VÄSTERNORRLANDS LÄN</t>
        </is>
      </c>
      <c r="E1394" t="inlineStr">
        <is>
          <t>SUNDSVALL</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34605-2021</t>
        </is>
      </c>
      <c r="B1395" s="1" t="n">
        <v>44379</v>
      </c>
      <c r="C1395" s="1" t="n">
        <v>45961</v>
      </c>
      <c r="D1395" t="inlineStr">
        <is>
          <t>VÄSTERNORRLANDS LÄN</t>
        </is>
      </c>
      <c r="E1395" t="inlineStr">
        <is>
          <t>SUNDSVALL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23951-2021</t>
        </is>
      </c>
      <c r="B1396" s="1" t="n">
        <v>44335</v>
      </c>
      <c r="C1396" s="1" t="n">
        <v>45961</v>
      </c>
      <c r="D1396" t="inlineStr">
        <is>
          <t>VÄSTERNORRLANDS LÄN</t>
        </is>
      </c>
      <c r="E1396" t="inlineStr">
        <is>
          <t>SUNDSVALL</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2591-2025</t>
        </is>
      </c>
      <c r="B1397" s="1" t="n">
        <v>45674.69960648148</v>
      </c>
      <c r="C1397" s="1" t="n">
        <v>45961</v>
      </c>
      <c r="D1397" t="inlineStr">
        <is>
          <t>VÄSTERNORRLANDS LÄN</t>
        </is>
      </c>
      <c r="E1397" t="inlineStr">
        <is>
          <t>SUNDSVALL</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2595-2025</t>
        </is>
      </c>
      <c r="B1398" s="1" t="n">
        <v>45674.70722222222</v>
      </c>
      <c r="C1398" s="1" t="n">
        <v>45961</v>
      </c>
      <c r="D1398" t="inlineStr">
        <is>
          <t>VÄSTERNORRLANDS LÄN</t>
        </is>
      </c>
      <c r="E1398" t="inlineStr">
        <is>
          <t>SUNDSVALL</t>
        </is>
      </c>
      <c r="F1398" t="inlineStr">
        <is>
          <t>Kommuner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3740-2025</t>
        </is>
      </c>
      <c r="B1399" s="1" t="n">
        <v>45681.57350694444</v>
      </c>
      <c r="C1399" s="1" t="n">
        <v>45961</v>
      </c>
      <c r="D1399" t="inlineStr">
        <is>
          <t>VÄSTERNORRLANDS LÄN</t>
        </is>
      </c>
      <c r="E1399" t="inlineStr">
        <is>
          <t>SUNDSVALL</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18171-2023</t>
        </is>
      </c>
      <c r="B1400" s="1" t="n">
        <v>45040.94369212963</v>
      </c>
      <c r="C1400" s="1" t="n">
        <v>45961</v>
      </c>
      <c r="D1400" t="inlineStr">
        <is>
          <t>VÄSTERNORRLANDS LÄN</t>
        </is>
      </c>
      <c r="E1400" t="inlineStr">
        <is>
          <t>SUNDSVALL</t>
        </is>
      </c>
      <c r="F1400" t="inlineStr">
        <is>
          <t>SCA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31114-2025</t>
        </is>
      </c>
      <c r="B1401" s="1" t="n">
        <v>45832.61521990741</v>
      </c>
      <c r="C1401" s="1" t="n">
        <v>45961</v>
      </c>
      <c r="D1401" t="inlineStr">
        <is>
          <t>VÄSTERNORRLANDS LÄN</t>
        </is>
      </c>
      <c r="E1401" t="inlineStr">
        <is>
          <t>SUNDSVALL</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4332-2022</t>
        </is>
      </c>
      <c r="B1402" s="1" t="n">
        <v>44588</v>
      </c>
      <c r="C1402" s="1" t="n">
        <v>45961</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20079-2025</t>
        </is>
      </c>
      <c r="B1403" s="1" t="n">
        <v>45772.44902777778</v>
      </c>
      <c r="C1403" s="1" t="n">
        <v>45961</v>
      </c>
      <c r="D1403" t="inlineStr">
        <is>
          <t>VÄSTERNORRLANDS LÄN</t>
        </is>
      </c>
      <c r="E1403" t="inlineStr">
        <is>
          <t>SUNDSVALL</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55916-2023</t>
        </is>
      </c>
      <c r="B1404" s="1" t="n">
        <v>45239.9684375</v>
      </c>
      <c r="C1404" s="1" t="n">
        <v>45961</v>
      </c>
      <c r="D1404" t="inlineStr">
        <is>
          <t>VÄSTERNORRLANDS LÄN</t>
        </is>
      </c>
      <c r="E1404" t="inlineStr">
        <is>
          <t>SUNDSVALL</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30810-2025</t>
        </is>
      </c>
      <c r="B1405" s="1" t="n">
        <v>45831.65712962963</v>
      </c>
      <c r="C1405" s="1" t="n">
        <v>45961</v>
      </c>
      <c r="D1405" t="inlineStr">
        <is>
          <t>VÄSTERNORRLANDS LÄN</t>
        </is>
      </c>
      <c r="E1405" t="inlineStr">
        <is>
          <t>SUNDSVALL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18987-2022</t>
        </is>
      </c>
      <c r="B1406" s="1" t="n">
        <v>44690.92653935185</v>
      </c>
      <c r="C1406" s="1" t="n">
        <v>45961</v>
      </c>
      <c r="D1406" t="inlineStr">
        <is>
          <t>VÄSTERNORRLANDS LÄN</t>
        </is>
      </c>
      <c r="E1406" t="inlineStr">
        <is>
          <t>SUNDSVALL</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46266-2025</t>
        </is>
      </c>
      <c r="B1407" s="1" t="n">
        <v>45925.36525462963</v>
      </c>
      <c r="C1407" s="1" t="n">
        <v>45961</v>
      </c>
      <c r="D1407" t="inlineStr">
        <is>
          <t>VÄSTERNORRLANDS LÄN</t>
        </is>
      </c>
      <c r="E1407" t="inlineStr">
        <is>
          <t>SUNDSVALL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12190-2025</t>
        </is>
      </c>
      <c r="B1408" s="1" t="n">
        <v>45729.46947916667</v>
      </c>
      <c r="C1408" s="1" t="n">
        <v>45961</v>
      </c>
      <c r="D1408" t="inlineStr">
        <is>
          <t>VÄSTERNORRLANDS LÄN</t>
        </is>
      </c>
      <c r="E1408" t="inlineStr">
        <is>
          <t>SUNDSVALL</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26337-2022</t>
        </is>
      </c>
      <c r="B1409" s="1" t="n">
        <v>44735</v>
      </c>
      <c r="C1409" s="1" t="n">
        <v>45961</v>
      </c>
      <c r="D1409" t="inlineStr">
        <is>
          <t>VÄSTERNORRLANDS LÄN</t>
        </is>
      </c>
      <c r="E1409" t="inlineStr">
        <is>
          <t>SUNDSVALL</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5918-2024</t>
        </is>
      </c>
      <c r="B1410" s="1" t="n">
        <v>45335</v>
      </c>
      <c r="C1410" s="1" t="n">
        <v>45961</v>
      </c>
      <c r="D1410" t="inlineStr">
        <is>
          <t>VÄSTERNORRLANDS LÄN</t>
        </is>
      </c>
      <c r="E1410" t="inlineStr">
        <is>
          <t>SUNDSVALL</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58285-2022</t>
        </is>
      </c>
      <c r="B1411" s="1" t="n">
        <v>44901.49482638889</v>
      </c>
      <c r="C1411" s="1" t="n">
        <v>45961</v>
      </c>
      <c r="D1411" t="inlineStr">
        <is>
          <t>VÄSTERNORRLANDS LÄN</t>
        </is>
      </c>
      <c r="E1411" t="inlineStr">
        <is>
          <t>SUNDSVALL</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19715-2025</t>
        </is>
      </c>
      <c r="B1412" s="1" t="n">
        <v>45771</v>
      </c>
      <c r="C1412" s="1" t="n">
        <v>45961</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19720-2025</t>
        </is>
      </c>
      <c r="B1413" s="1" t="n">
        <v>45771.35729166667</v>
      </c>
      <c r="C1413" s="1" t="n">
        <v>45961</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19733-2025</t>
        </is>
      </c>
      <c r="B1414" s="1" t="n">
        <v>45771.36633101852</v>
      </c>
      <c r="C1414" s="1" t="n">
        <v>45961</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31115-2025</t>
        </is>
      </c>
      <c r="B1415" s="1" t="n">
        <v>45832.61564814814</v>
      </c>
      <c r="C1415" s="1" t="n">
        <v>45961</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40946-2022</t>
        </is>
      </c>
      <c r="B1416" s="1" t="n">
        <v>44823</v>
      </c>
      <c r="C1416" s="1" t="n">
        <v>45961</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19654-2023</t>
        </is>
      </c>
      <c r="B1417" s="1" t="n">
        <v>45050</v>
      </c>
      <c r="C1417" s="1" t="n">
        <v>45961</v>
      </c>
      <c r="D1417" t="inlineStr">
        <is>
          <t>VÄSTERNORRLANDS LÄN</t>
        </is>
      </c>
      <c r="E1417" t="inlineStr">
        <is>
          <t>SUNDSVALL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1100-2022</t>
        </is>
      </c>
      <c r="B1418" s="1" t="n">
        <v>44571</v>
      </c>
      <c r="C1418" s="1" t="n">
        <v>45961</v>
      </c>
      <c r="D1418" t="inlineStr">
        <is>
          <t>VÄSTERNORRLANDS LÄN</t>
        </is>
      </c>
      <c r="E1418" t="inlineStr">
        <is>
          <t>SUNDSVALL</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47455-2025</t>
        </is>
      </c>
      <c r="B1419" s="1" t="n">
        <v>45930</v>
      </c>
      <c r="C1419" s="1" t="n">
        <v>45961</v>
      </c>
      <c r="D1419" t="inlineStr">
        <is>
          <t>VÄSTERNORRLANDS LÄN</t>
        </is>
      </c>
      <c r="E1419" t="inlineStr">
        <is>
          <t>SUNDSVALL</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19573-2025</t>
        </is>
      </c>
      <c r="B1420" s="1" t="n">
        <v>45770.55274305555</v>
      </c>
      <c r="C1420" s="1" t="n">
        <v>45961</v>
      </c>
      <c r="D1420" t="inlineStr">
        <is>
          <t>VÄSTERNORRLANDS LÄN</t>
        </is>
      </c>
      <c r="E1420" t="inlineStr">
        <is>
          <t>SUNDSVALL</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1561-2021</t>
        </is>
      </c>
      <c r="B1421" s="1" t="n">
        <v>44209.44822916666</v>
      </c>
      <c r="C1421" s="1" t="n">
        <v>45961</v>
      </c>
      <c r="D1421" t="inlineStr">
        <is>
          <t>VÄSTERNORRLANDS LÄN</t>
        </is>
      </c>
      <c r="E1421" t="inlineStr">
        <is>
          <t>SUNDSVALL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40763-2023</t>
        </is>
      </c>
      <c r="B1422" s="1" t="n">
        <v>45170</v>
      </c>
      <c r="C1422" s="1" t="n">
        <v>45961</v>
      </c>
      <c r="D1422" t="inlineStr">
        <is>
          <t>VÄSTERNORRLANDS LÄN</t>
        </is>
      </c>
      <c r="E1422" t="inlineStr">
        <is>
          <t>SUNDSVALL</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20557-2025</t>
        </is>
      </c>
      <c r="B1423" s="1" t="n">
        <v>45775.64427083333</v>
      </c>
      <c r="C1423" s="1" t="n">
        <v>45961</v>
      </c>
      <c r="D1423" t="inlineStr">
        <is>
          <t>VÄSTERNORRLANDS LÄN</t>
        </is>
      </c>
      <c r="E1423" t="inlineStr">
        <is>
          <t>SUNDSVALL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31695-2025</t>
        </is>
      </c>
      <c r="B1424" s="1" t="n">
        <v>45834.40709490741</v>
      </c>
      <c r="C1424" s="1" t="n">
        <v>45961</v>
      </c>
      <c r="D1424" t="inlineStr">
        <is>
          <t>VÄSTERNORRLANDS LÄN</t>
        </is>
      </c>
      <c r="E1424" t="inlineStr">
        <is>
          <t>SUNDSVALL</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31424-2025</t>
        </is>
      </c>
      <c r="B1425" s="1" t="n">
        <v>45833.49002314815</v>
      </c>
      <c r="C1425" s="1" t="n">
        <v>45961</v>
      </c>
      <c r="D1425" t="inlineStr">
        <is>
          <t>VÄSTERNORRLANDS LÄN</t>
        </is>
      </c>
      <c r="E1425" t="inlineStr">
        <is>
          <t>SUNDSVALL</t>
        </is>
      </c>
      <c r="F1425" t="inlineStr">
        <is>
          <t>Naturvårdsverket</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31229-2025</t>
        </is>
      </c>
      <c r="B1426" s="1" t="n">
        <v>45832.81157407408</v>
      </c>
      <c r="C1426" s="1" t="n">
        <v>45961</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31319-2025</t>
        </is>
      </c>
      <c r="B1427" s="1" t="n">
        <v>45833</v>
      </c>
      <c r="C1427" s="1" t="n">
        <v>45961</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20264-2023</t>
        </is>
      </c>
      <c r="B1428" s="1" t="n">
        <v>45055</v>
      </c>
      <c r="C1428" s="1" t="n">
        <v>45961</v>
      </c>
      <c r="D1428" t="inlineStr">
        <is>
          <t>VÄSTERNORRLANDS LÄN</t>
        </is>
      </c>
      <c r="E1428" t="inlineStr">
        <is>
          <t>SUNDSVALL</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15049-2025</t>
        </is>
      </c>
      <c r="B1429" s="1" t="n">
        <v>45743</v>
      </c>
      <c r="C1429" s="1" t="n">
        <v>45961</v>
      </c>
      <c r="D1429" t="inlineStr">
        <is>
          <t>VÄSTERNORRLANDS LÄN</t>
        </is>
      </c>
      <c r="E1429" t="inlineStr">
        <is>
          <t>SUNDSVALL</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31270-2025</t>
        </is>
      </c>
      <c r="B1430" s="1" t="n">
        <v>45833.33703703704</v>
      </c>
      <c r="C1430" s="1" t="n">
        <v>45961</v>
      </c>
      <c r="D1430" t="inlineStr">
        <is>
          <t>VÄSTERNORRLANDS LÄN</t>
        </is>
      </c>
      <c r="E1430" t="inlineStr">
        <is>
          <t>SUNDSVALL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31322-2025</t>
        </is>
      </c>
      <c r="B1431" s="1" t="n">
        <v>45833</v>
      </c>
      <c r="C1431" s="1" t="n">
        <v>45961</v>
      </c>
      <c r="D1431" t="inlineStr">
        <is>
          <t>VÄSTERNORRLANDS LÄN</t>
        </is>
      </c>
      <c r="E1431" t="inlineStr">
        <is>
          <t>SUNDSVALL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57775-2023</t>
        </is>
      </c>
      <c r="B1432" s="1" t="n">
        <v>45246</v>
      </c>
      <c r="C1432" s="1" t="n">
        <v>45961</v>
      </c>
      <c r="D1432" t="inlineStr">
        <is>
          <t>VÄSTERNORRLANDS LÄN</t>
        </is>
      </c>
      <c r="E1432" t="inlineStr">
        <is>
          <t>SUNDSVALL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31388-2025</t>
        </is>
      </c>
      <c r="B1433" s="1" t="n">
        <v>45833.45306712963</v>
      </c>
      <c r="C1433" s="1" t="n">
        <v>45961</v>
      </c>
      <c r="D1433" t="inlineStr">
        <is>
          <t>VÄSTERNORRLANDS LÄN</t>
        </is>
      </c>
      <c r="E1433" t="inlineStr">
        <is>
          <t>SUNDSVALL</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24155-2023</t>
        </is>
      </c>
      <c r="B1434" s="1" t="n">
        <v>45076</v>
      </c>
      <c r="C1434" s="1" t="n">
        <v>45961</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10786-2023</t>
        </is>
      </c>
      <c r="B1435" s="1" t="n">
        <v>44988</v>
      </c>
      <c r="C1435" s="1" t="n">
        <v>45961</v>
      </c>
      <c r="D1435" t="inlineStr">
        <is>
          <t>VÄSTERNORRLANDS LÄN</t>
        </is>
      </c>
      <c r="E1435" t="inlineStr">
        <is>
          <t>SUNDSVALL</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46552-2023</t>
        </is>
      </c>
      <c r="B1436" s="1" t="n">
        <v>45197</v>
      </c>
      <c r="C1436" s="1" t="n">
        <v>45961</v>
      </c>
      <c r="D1436" t="inlineStr">
        <is>
          <t>VÄSTERNORRLANDS LÄN</t>
        </is>
      </c>
      <c r="E1436" t="inlineStr">
        <is>
          <t>SUNDSVALL</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21639-2023</t>
        </is>
      </c>
      <c r="B1437" s="1" t="n">
        <v>45063</v>
      </c>
      <c r="C1437" s="1" t="n">
        <v>45961</v>
      </c>
      <c r="D1437" t="inlineStr">
        <is>
          <t>VÄSTERNORRLANDS LÄN</t>
        </is>
      </c>
      <c r="E1437" t="inlineStr">
        <is>
          <t>SUNDSVALL</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6702-2025</t>
        </is>
      </c>
      <c r="B1438" s="1" t="n">
        <v>45700.5427199074</v>
      </c>
      <c r="C1438" s="1" t="n">
        <v>45961</v>
      </c>
      <c r="D1438" t="inlineStr">
        <is>
          <t>VÄSTERNORRLANDS LÄN</t>
        </is>
      </c>
      <c r="E1438" t="inlineStr">
        <is>
          <t>SUNDSVALL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18700-2023</t>
        </is>
      </c>
      <c r="B1439" s="1" t="n">
        <v>45042</v>
      </c>
      <c r="C1439" s="1" t="n">
        <v>45961</v>
      </c>
      <c r="D1439" t="inlineStr">
        <is>
          <t>VÄSTERNORRLANDS LÄN</t>
        </is>
      </c>
      <c r="E1439" t="inlineStr">
        <is>
          <t>SUNDSVALL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31385-2025</t>
        </is>
      </c>
      <c r="B1440" s="1" t="n">
        <v>45833.45167824074</v>
      </c>
      <c r="C1440" s="1" t="n">
        <v>45961</v>
      </c>
      <c r="D1440" t="inlineStr">
        <is>
          <t>VÄSTERNORRLANDS LÄN</t>
        </is>
      </c>
      <c r="E1440" t="inlineStr">
        <is>
          <t>SUNDSVALL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31708-2025</t>
        </is>
      </c>
      <c r="B1441" s="1" t="n">
        <v>45834.42398148148</v>
      </c>
      <c r="C1441" s="1" t="n">
        <v>45961</v>
      </c>
      <c r="D1441" t="inlineStr">
        <is>
          <t>VÄSTERNORRLANDS LÄN</t>
        </is>
      </c>
      <c r="E1441" t="inlineStr">
        <is>
          <t>SUNDSVALL</t>
        </is>
      </c>
      <c r="F1441" t="inlineStr">
        <is>
          <t>Kommuner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42201-2021</t>
        </is>
      </c>
      <c r="B1442" s="1" t="n">
        <v>44426</v>
      </c>
      <c r="C1442" s="1" t="n">
        <v>45961</v>
      </c>
      <c r="D1442" t="inlineStr">
        <is>
          <t>VÄSTERNORRLANDS LÄN</t>
        </is>
      </c>
      <c r="E1442" t="inlineStr">
        <is>
          <t>SUNDSVALL</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46542-2023</t>
        </is>
      </c>
      <c r="B1443" s="1" t="n">
        <v>45197.92253472222</v>
      </c>
      <c r="C1443" s="1" t="n">
        <v>45961</v>
      </c>
      <c r="D1443" t="inlineStr">
        <is>
          <t>VÄSTERNORRLANDS LÄN</t>
        </is>
      </c>
      <c r="E1443" t="inlineStr">
        <is>
          <t>SUNDSVALL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31382-2025</t>
        </is>
      </c>
      <c r="B1444" s="1" t="n">
        <v>45833.4502199074</v>
      </c>
      <c r="C1444" s="1" t="n">
        <v>45961</v>
      </c>
      <c r="D1444" t="inlineStr">
        <is>
          <t>VÄSTERNORRLANDS LÄN</t>
        </is>
      </c>
      <c r="E1444" t="inlineStr">
        <is>
          <t>SUNDSVALL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31486-2025</t>
        </is>
      </c>
      <c r="B1445" s="1" t="n">
        <v>45833.57436342593</v>
      </c>
      <c r="C1445" s="1" t="n">
        <v>45961</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31295-2025</t>
        </is>
      </c>
      <c r="B1446" s="1" t="n">
        <v>45833.36490740741</v>
      </c>
      <c r="C1446" s="1" t="n">
        <v>45961</v>
      </c>
      <c r="D1446" t="inlineStr">
        <is>
          <t>VÄSTERNORRLANDS LÄN</t>
        </is>
      </c>
      <c r="E1446" t="inlineStr">
        <is>
          <t>SUNDSVALL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31261-2025</t>
        </is>
      </c>
      <c r="B1447" s="1" t="n">
        <v>45833.32525462963</v>
      </c>
      <c r="C1447" s="1" t="n">
        <v>45961</v>
      </c>
      <c r="D1447" t="inlineStr">
        <is>
          <t>VÄSTERNORRLANDS LÄN</t>
        </is>
      </c>
      <c r="E1447" t="inlineStr">
        <is>
          <t>SUNDSVALL</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2108-2023</t>
        </is>
      </c>
      <c r="B1448" s="1" t="n">
        <v>44939.92412037037</v>
      </c>
      <c r="C1448" s="1" t="n">
        <v>45961</v>
      </c>
      <c r="D1448" t="inlineStr">
        <is>
          <t>VÄSTERNORRLANDS LÄN</t>
        </is>
      </c>
      <c r="E1448" t="inlineStr">
        <is>
          <t>SUNDSVALL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43419-2023</t>
        </is>
      </c>
      <c r="B1449" s="1" t="n">
        <v>45183.95748842593</v>
      </c>
      <c r="C1449" s="1" t="n">
        <v>45961</v>
      </c>
      <c r="D1449" t="inlineStr">
        <is>
          <t>VÄSTERNORRLANDS LÄN</t>
        </is>
      </c>
      <c r="E1449" t="inlineStr">
        <is>
          <t>SUNDSVALL</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5022-2025</t>
        </is>
      </c>
      <c r="B1450" s="1" t="n">
        <v>45691.406875</v>
      </c>
      <c r="C1450" s="1" t="n">
        <v>45961</v>
      </c>
      <c r="D1450" t="inlineStr">
        <is>
          <t>VÄSTERNORRLANDS LÄN</t>
        </is>
      </c>
      <c r="E1450" t="inlineStr">
        <is>
          <t>SUNDSVALL</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31931-2025</t>
        </is>
      </c>
      <c r="B1451" s="1" t="n">
        <v>45834.95619212963</v>
      </c>
      <c r="C1451" s="1" t="n">
        <v>45961</v>
      </c>
      <c r="D1451" t="inlineStr">
        <is>
          <t>VÄSTERNORRLANDS LÄN</t>
        </is>
      </c>
      <c r="E1451" t="inlineStr">
        <is>
          <t>SUNDSVALL</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39913-2022</t>
        </is>
      </c>
      <c r="B1452" s="1" t="n">
        <v>44819</v>
      </c>
      <c r="C1452" s="1" t="n">
        <v>45961</v>
      </c>
      <c r="D1452" t="inlineStr">
        <is>
          <t>VÄSTERNORRLANDS LÄN</t>
        </is>
      </c>
      <c r="E1452" t="inlineStr">
        <is>
          <t>SUNDSVALL</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28492-2025</t>
        </is>
      </c>
      <c r="B1453" s="1" t="n">
        <v>45819</v>
      </c>
      <c r="C1453" s="1" t="n">
        <v>45961</v>
      </c>
      <c r="D1453" t="inlineStr">
        <is>
          <t>VÄSTERNORRLANDS LÄN</t>
        </is>
      </c>
      <c r="E1453" t="inlineStr">
        <is>
          <t>SUNDSVALL</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4123-2021</t>
        </is>
      </c>
      <c r="B1454" s="1" t="n">
        <v>44222</v>
      </c>
      <c r="C1454" s="1" t="n">
        <v>45961</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13859-2025</t>
        </is>
      </c>
      <c r="B1455" s="1" t="n">
        <v>45737</v>
      </c>
      <c r="C1455" s="1" t="n">
        <v>45961</v>
      </c>
      <c r="D1455" t="inlineStr">
        <is>
          <t>VÄSTERNORRLANDS LÄN</t>
        </is>
      </c>
      <c r="E1455" t="inlineStr">
        <is>
          <t>SUNDSVALL</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32359-2025</t>
        </is>
      </c>
      <c r="B1456" s="1" t="n">
        <v>45837.59410879629</v>
      </c>
      <c r="C1456" s="1" t="n">
        <v>45961</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63786-2020</t>
        </is>
      </c>
      <c r="B1457" s="1" t="n">
        <v>44166</v>
      </c>
      <c r="C1457" s="1" t="n">
        <v>45961</v>
      </c>
      <c r="D1457" t="inlineStr">
        <is>
          <t>VÄSTERNORRLANDS LÄN</t>
        </is>
      </c>
      <c r="E1457" t="inlineStr">
        <is>
          <t>SUNDSVALL</t>
        </is>
      </c>
      <c r="F1457" t="inlineStr">
        <is>
          <t>Kommuner</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4784-2025</t>
        </is>
      </c>
      <c r="B1458" s="1" t="n">
        <v>45688.53841435185</v>
      </c>
      <c r="C1458" s="1" t="n">
        <v>45961</v>
      </c>
      <c r="D1458" t="inlineStr">
        <is>
          <t>VÄSTERNORRLANDS LÄN</t>
        </is>
      </c>
      <c r="E1458" t="inlineStr">
        <is>
          <t>SUNDSVALL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49539-2022</t>
        </is>
      </c>
      <c r="B1459" s="1" t="n">
        <v>44861.95814814815</v>
      </c>
      <c r="C1459" s="1" t="n">
        <v>45961</v>
      </c>
      <c r="D1459" t="inlineStr">
        <is>
          <t>VÄSTERNORRLANDS LÄN</t>
        </is>
      </c>
      <c r="E1459" t="inlineStr">
        <is>
          <t>SUNDSVALL</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57067-2023</t>
        </is>
      </c>
      <c r="B1460" s="1" t="n">
        <v>45244</v>
      </c>
      <c r="C1460" s="1" t="n">
        <v>45961</v>
      </c>
      <c r="D1460" t="inlineStr">
        <is>
          <t>VÄSTERNORRLANDS LÄN</t>
        </is>
      </c>
      <c r="E1460" t="inlineStr">
        <is>
          <t>SUNDSVALL</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32385-2025</t>
        </is>
      </c>
      <c r="B1461" s="1" t="n">
        <v>45837.80767361111</v>
      </c>
      <c r="C1461" s="1" t="n">
        <v>45961</v>
      </c>
      <c r="D1461" t="inlineStr">
        <is>
          <t>VÄSTERNORRLANDS LÄN</t>
        </is>
      </c>
      <c r="E1461" t="inlineStr">
        <is>
          <t>SUNDSVALL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21339-2024</t>
        </is>
      </c>
      <c r="B1462" s="1" t="n">
        <v>45440</v>
      </c>
      <c r="C1462" s="1" t="n">
        <v>45961</v>
      </c>
      <c r="D1462" t="inlineStr">
        <is>
          <t>VÄSTERNORRLANDS LÄN</t>
        </is>
      </c>
      <c r="E1462" t="inlineStr">
        <is>
          <t>SUNDSVALL</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32351-2025</t>
        </is>
      </c>
      <c r="B1463" s="1" t="n">
        <v>45837.4900462963</v>
      </c>
      <c r="C1463" s="1" t="n">
        <v>45961</v>
      </c>
      <c r="D1463" t="inlineStr">
        <is>
          <t>VÄSTERNORRLANDS LÄN</t>
        </is>
      </c>
      <c r="E1463" t="inlineStr">
        <is>
          <t>SUNDSVALL</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32360-2025</t>
        </is>
      </c>
      <c r="B1464" s="1" t="n">
        <v>45837.59423611111</v>
      </c>
      <c r="C1464" s="1" t="n">
        <v>45961</v>
      </c>
      <c r="D1464" t="inlineStr">
        <is>
          <t>VÄSTERNORRLANDS LÄN</t>
        </is>
      </c>
      <c r="E1464" t="inlineStr">
        <is>
          <t>SUNDSVALL</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32350-2025</t>
        </is>
      </c>
      <c r="B1465" s="1" t="n">
        <v>45837.48990740741</v>
      </c>
      <c r="C1465" s="1" t="n">
        <v>45961</v>
      </c>
      <c r="D1465" t="inlineStr">
        <is>
          <t>VÄSTERNORRLANDS LÄN</t>
        </is>
      </c>
      <c r="E1465" t="inlineStr">
        <is>
          <t>SUNDSVALL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31932-2025</t>
        </is>
      </c>
      <c r="B1466" s="1" t="n">
        <v>45834.95900462963</v>
      </c>
      <c r="C1466" s="1" t="n">
        <v>45961</v>
      </c>
      <c r="D1466" t="inlineStr">
        <is>
          <t>VÄSTERNORRLANDS LÄN</t>
        </is>
      </c>
      <c r="E1466" t="inlineStr">
        <is>
          <t>SUNDSVALL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17821-2023</t>
        </is>
      </c>
      <c r="B1467" s="1" t="n">
        <v>45037</v>
      </c>
      <c r="C1467" s="1" t="n">
        <v>45961</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39037-2024</t>
        </is>
      </c>
      <c r="B1468" s="1" t="n">
        <v>45548.47015046296</v>
      </c>
      <c r="C1468" s="1" t="n">
        <v>45961</v>
      </c>
      <c r="D1468" t="inlineStr">
        <is>
          <t>VÄSTERNORRLANDS LÄN</t>
        </is>
      </c>
      <c r="E1468" t="inlineStr">
        <is>
          <t>SUNDSVALL</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32275-2025</t>
        </is>
      </c>
      <c r="B1469" s="1" t="n">
        <v>45835.65856481482</v>
      </c>
      <c r="C1469" s="1" t="n">
        <v>45961</v>
      </c>
      <c r="D1469" t="inlineStr">
        <is>
          <t>VÄSTERNORRLANDS LÄN</t>
        </is>
      </c>
      <c r="E1469" t="inlineStr">
        <is>
          <t>SUNDSVALL</t>
        </is>
      </c>
      <c r="F1469" t="inlineStr">
        <is>
          <t>Kyrkan</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61723-2020</t>
        </is>
      </c>
      <c r="B1470" s="1" t="n">
        <v>44158</v>
      </c>
      <c r="C1470" s="1" t="n">
        <v>45961</v>
      </c>
      <c r="D1470" t="inlineStr">
        <is>
          <t>VÄSTERNORRLANDS LÄN</t>
        </is>
      </c>
      <c r="E1470" t="inlineStr">
        <is>
          <t>SUNDSVALL</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32285-2025</t>
        </is>
      </c>
      <c r="B1471" s="1" t="n">
        <v>45835.68939814815</v>
      </c>
      <c r="C1471" s="1" t="n">
        <v>45961</v>
      </c>
      <c r="D1471" t="inlineStr">
        <is>
          <t>VÄSTERNORRLANDS LÄN</t>
        </is>
      </c>
      <c r="E1471" t="inlineStr">
        <is>
          <t>SUNDSVALL</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32288-2025</t>
        </is>
      </c>
      <c r="B1472" s="1" t="n">
        <v>45835.69495370371</v>
      </c>
      <c r="C1472" s="1" t="n">
        <v>45961</v>
      </c>
      <c r="D1472" t="inlineStr">
        <is>
          <t>VÄSTERNORRLANDS LÄN</t>
        </is>
      </c>
      <c r="E1472" t="inlineStr">
        <is>
          <t>SUNDSVALL</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19828-2025</t>
        </is>
      </c>
      <c r="B1473" s="1" t="n">
        <v>45771.46931712963</v>
      </c>
      <c r="C1473" s="1" t="n">
        <v>45961</v>
      </c>
      <c r="D1473" t="inlineStr">
        <is>
          <t>VÄSTERNORRLANDS LÄN</t>
        </is>
      </c>
      <c r="E1473" t="inlineStr">
        <is>
          <t>SUNDSVALL</t>
        </is>
      </c>
      <c r="F1473" t="inlineStr">
        <is>
          <t>Naturvårdsverket</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19830-2025</t>
        </is>
      </c>
      <c r="B1474" s="1" t="n">
        <v>45771.46956018519</v>
      </c>
      <c r="C1474" s="1" t="n">
        <v>45961</v>
      </c>
      <c r="D1474" t="inlineStr">
        <is>
          <t>VÄSTERNORRLANDS LÄN</t>
        </is>
      </c>
      <c r="E1474" t="inlineStr">
        <is>
          <t>SUNDSVALL</t>
        </is>
      </c>
      <c r="F1474" t="inlineStr">
        <is>
          <t>Naturvårdsverket</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33206-2021</t>
        </is>
      </c>
      <c r="B1475" s="1" t="n">
        <v>44376.93366898148</v>
      </c>
      <c r="C1475" s="1" t="n">
        <v>45961</v>
      </c>
      <c r="D1475" t="inlineStr">
        <is>
          <t>VÄSTERNORRLANDS LÄN</t>
        </is>
      </c>
      <c r="E1475" t="inlineStr">
        <is>
          <t>SUNDSVALL</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32492-2025</t>
        </is>
      </c>
      <c r="B1476" s="1" t="n">
        <v>45838.44849537037</v>
      </c>
      <c r="C1476" s="1" t="n">
        <v>45961</v>
      </c>
      <c r="D1476" t="inlineStr">
        <is>
          <t>VÄSTERNORRLANDS LÄN</t>
        </is>
      </c>
      <c r="E1476" t="inlineStr">
        <is>
          <t>SUNDSVALL</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45062-2023</t>
        </is>
      </c>
      <c r="B1477" s="1" t="n">
        <v>45191</v>
      </c>
      <c r="C1477" s="1" t="n">
        <v>45961</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13794-2025</t>
        </is>
      </c>
      <c r="B1478" s="1" t="n">
        <v>45737.46950231482</v>
      </c>
      <c r="C1478" s="1" t="n">
        <v>45961</v>
      </c>
      <c r="D1478" t="inlineStr">
        <is>
          <t>VÄSTERNORRLANDS LÄN</t>
        </is>
      </c>
      <c r="E1478" t="inlineStr">
        <is>
          <t>SUNDSVALL</t>
        </is>
      </c>
      <c r="F1478" t="inlineStr">
        <is>
          <t>Kommuner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19228-2023</t>
        </is>
      </c>
      <c r="B1479" s="1" t="n">
        <v>45048</v>
      </c>
      <c r="C1479" s="1" t="n">
        <v>45961</v>
      </c>
      <c r="D1479" t="inlineStr">
        <is>
          <t>VÄSTERNORRLANDS LÄN</t>
        </is>
      </c>
      <c r="E1479" t="inlineStr">
        <is>
          <t>SUNDSVALL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14462-2022</t>
        </is>
      </c>
      <c r="B1480" s="1" t="n">
        <v>44654.62800925926</v>
      </c>
      <c r="C1480" s="1" t="n">
        <v>45961</v>
      </c>
      <c r="D1480" t="inlineStr">
        <is>
          <t>VÄSTERNORRLANDS LÄN</t>
        </is>
      </c>
      <c r="E1480" t="inlineStr">
        <is>
          <t>SUNDSVALL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34607-2024</t>
        </is>
      </c>
      <c r="B1481" s="1" t="n">
        <v>45526</v>
      </c>
      <c r="C1481" s="1" t="n">
        <v>45961</v>
      </c>
      <c r="D1481" t="inlineStr">
        <is>
          <t>VÄSTERNORRLANDS LÄN</t>
        </is>
      </c>
      <c r="E1481" t="inlineStr">
        <is>
          <t>SUNDSVALL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44966-2023</t>
        </is>
      </c>
      <c r="B1482" s="1" t="n">
        <v>45190.92496527778</v>
      </c>
      <c r="C1482" s="1" t="n">
        <v>45961</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32068-2025</t>
        </is>
      </c>
      <c r="B1483" s="1" t="n">
        <v>45835.44856481482</v>
      </c>
      <c r="C1483" s="1" t="n">
        <v>45961</v>
      </c>
      <c r="D1483" t="inlineStr">
        <is>
          <t>VÄSTERNORRLANDS LÄN</t>
        </is>
      </c>
      <c r="E1483" t="inlineStr">
        <is>
          <t>SUNDSVALL</t>
        </is>
      </c>
      <c r="F1483" t="inlineStr">
        <is>
          <t>Naturvårdsverket</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31933-2025</t>
        </is>
      </c>
      <c r="B1484" s="1" t="n">
        <v>45834.96138888889</v>
      </c>
      <c r="C1484" s="1" t="n">
        <v>45961</v>
      </c>
      <c r="D1484" t="inlineStr">
        <is>
          <t>VÄSTERNORRLANDS LÄN</t>
        </is>
      </c>
      <c r="E1484" t="inlineStr">
        <is>
          <t>SUNDSVALL</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31934-2025</t>
        </is>
      </c>
      <c r="B1485" s="1" t="n">
        <v>45834.96792824074</v>
      </c>
      <c r="C1485" s="1" t="n">
        <v>45961</v>
      </c>
      <c r="D1485" t="inlineStr">
        <is>
          <t>VÄSTERNORRLANDS LÄN</t>
        </is>
      </c>
      <c r="E1485" t="inlineStr">
        <is>
          <t>SUNDSVALL</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32356-2025</t>
        </is>
      </c>
      <c r="B1486" s="1" t="n">
        <v>45837.57331018519</v>
      </c>
      <c r="C1486" s="1" t="n">
        <v>45961</v>
      </c>
      <c r="D1486" t="inlineStr">
        <is>
          <t>VÄSTERNORRLANDS LÄN</t>
        </is>
      </c>
      <c r="E1486" t="inlineStr">
        <is>
          <t>SUNDSVALL</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32357-2025</t>
        </is>
      </c>
      <c r="B1487" s="1" t="n">
        <v>45837.5734375</v>
      </c>
      <c r="C1487" s="1" t="n">
        <v>45961</v>
      </c>
      <c r="D1487" t="inlineStr">
        <is>
          <t>VÄSTERNORRLANDS LÄN</t>
        </is>
      </c>
      <c r="E1487" t="inlineStr">
        <is>
          <t>SUNDSVALL</t>
        </is>
      </c>
      <c r="F1487" t="inlineStr">
        <is>
          <t>SCA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49631-2024</t>
        </is>
      </c>
      <c r="B1488" s="1" t="n">
        <v>45596.59438657408</v>
      </c>
      <c r="C1488" s="1" t="n">
        <v>45961</v>
      </c>
      <c r="D1488" t="inlineStr">
        <is>
          <t>VÄSTERNORRLANDS LÄN</t>
        </is>
      </c>
      <c r="E1488" t="inlineStr">
        <is>
          <t>SUNDSVALL</t>
        </is>
      </c>
      <c r="F1488" t="inlineStr">
        <is>
          <t>Holmen skog AB</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32383-2025</t>
        </is>
      </c>
      <c r="B1489" s="1" t="n">
        <v>45837.80671296296</v>
      </c>
      <c r="C1489" s="1" t="n">
        <v>45961</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16564-2023</t>
        </is>
      </c>
      <c r="B1490" s="1" t="n">
        <v>45029.94174768519</v>
      </c>
      <c r="C1490" s="1" t="n">
        <v>45961</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1573-2023</t>
        </is>
      </c>
      <c r="B1491" s="1" t="n">
        <v>44937.61605324074</v>
      </c>
      <c r="C1491" s="1" t="n">
        <v>45961</v>
      </c>
      <c r="D1491" t="inlineStr">
        <is>
          <t>VÄSTERNORRLANDS LÄN</t>
        </is>
      </c>
      <c r="E1491" t="inlineStr">
        <is>
          <t>SUNDSVALL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43194-2021</t>
        </is>
      </c>
      <c r="B1492" s="1" t="n">
        <v>44431</v>
      </c>
      <c r="C1492" s="1" t="n">
        <v>45961</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9744-2023</t>
        </is>
      </c>
      <c r="B1493" s="1" t="n">
        <v>44984</v>
      </c>
      <c r="C1493" s="1" t="n">
        <v>45961</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64491-2023</t>
        </is>
      </c>
      <c r="B1494" s="1" t="n">
        <v>45280</v>
      </c>
      <c r="C1494" s="1" t="n">
        <v>45961</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16479-2025</t>
        </is>
      </c>
      <c r="B1495" s="1" t="n">
        <v>45751</v>
      </c>
      <c r="C1495" s="1" t="n">
        <v>45961</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6704-2025</t>
        </is>
      </c>
      <c r="B1496" s="1" t="n">
        <v>45700.54395833334</v>
      </c>
      <c r="C1496" s="1" t="n">
        <v>45961</v>
      </c>
      <c r="D1496" t="inlineStr">
        <is>
          <t>VÄSTERNORRLANDS LÄN</t>
        </is>
      </c>
      <c r="E1496" t="inlineStr">
        <is>
          <t>SUNDSVALL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62184-2021</t>
        </is>
      </c>
      <c r="B1497" s="1" t="n">
        <v>44502</v>
      </c>
      <c r="C1497" s="1" t="n">
        <v>45961</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10684-2025</t>
        </is>
      </c>
      <c r="B1498" s="1" t="n">
        <v>45721.95054398148</v>
      </c>
      <c r="C1498" s="1" t="n">
        <v>45961</v>
      </c>
      <c r="D1498" t="inlineStr">
        <is>
          <t>VÄSTERNORRLANDS LÄN</t>
        </is>
      </c>
      <c r="E1498" t="inlineStr">
        <is>
          <t>SUNDSVALL</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10686-2025</t>
        </is>
      </c>
      <c r="B1499" s="1" t="n">
        <v>45721.9587962963</v>
      </c>
      <c r="C1499" s="1" t="n">
        <v>45961</v>
      </c>
      <c r="D1499" t="inlineStr">
        <is>
          <t>VÄSTERNORRLANDS LÄN</t>
        </is>
      </c>
      <c r="E1499" t="inlineStr">
        <is>
          <t>SUNDSVALL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18825-2025</t>
        </is>
      </c>
      <c r="B1500" s="1" t="n">
        <v>45764.38601851852</v>
      </c>
      <c r="C1500" s="1" t="n">
        <v>45961</v>
      </c>
      <c r="D1500" t="inlineStr">
        <is>
          <t>VÄSTERNORRLANDS LÄN</t>
        </is>
      </c>
      <c r="E1500" t="inlineStr">
        <is>
          <t>SUNDSVALL</t>
        </is>
      </c>
      <c r="F1500" t="inlineStr">
        <is>
          <t>Naturvårdsverket</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63055-2023</t>
        </is>
      </c>
      <c r="B1501" s="1" t="n">
        <v>45272</v>
      </c>
      <c r="C1501" s="1" t="n">
        <v>45961</v>
      </c>
      <c r="D1501" t="inlineStr">
        <is>
          <t>VÄSTERNORRLANDS LÄN</t>
        </is>
      </c>
      <c r="E1501" t="inlineStr">
        <is>
          <t>SUNDSVALL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14231-2021</t>
        </is>
      </c>
      <c r="B1502" s="1" t="n">
        <v>44277</v>
      </c>
      <c r="C1502" s="1" t="n">
        <v>45961</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29597-2023</t>
        </is>
      </c>
      <c r="B1503" s="1" t="n">
        <v>45106</v>
      </c>
      <c r="C1503" s="1" t="n">
        <v>45961</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25996-2023</t>
        </is>
      </c>
      <c r="B1504" s="1" t="n">
        <v>45090.92568287037</v>
      </c>
      <c r="C1504" s="1" t="n">
        <v>45961</v>
      </c>
      <c r="D1504" t="inlineStr">
        <is>
          <t>VÄSTERNORRLANDS LÄN</t>
        </is>
      </c>
      <c r="E1504" t="inlineStr">
        <is>
          <t>SUNDSVALL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58243-2023</t>
        </is>
      </c>
      <c r="B1505" s="1" t="n">
        <v>45250</v>
      </c>
      <c r="C1505" s="1" t="n">
        <v>45961</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13371-2025</t>
        </is>
      </c>
      <c r="B1506" s="1" t="n">
        <v>45735.66290509259</v>
      </c>
      <c r="C1506" s="1" t="n">
        <v>45961</v>
      </c>
      <c r="D1506" t="inlineStr">
        <is>
          <t>VÄSTERNORRLANDS LÄN</t>
        </is>
      </c>
      <c r="E1506" t="inlineStr">
        <is>
          <t>SUNDSVALL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46716-2022</t>
        </is>
      </c>
      <c r="B1507" s="1" t="n">
        <v>44851</v>
      </c>
      <c r="C1507" s="1" t="n">
        <v>45961</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26200-2024</t>
        </is>
      </c>
      <c r="B1508" s="1" t="n">
        <v>45468</v>
      </c>
      <c r="C1508" s="1" t="n">
        <v>45961</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22564-2023</t>
        </is>
      </c>
      <c r="B1509" s="1" t="n">
        <v>45071.44974537037</v>
      </c>
      <c r="C1509" s="1" t="n">
        <v>45961</v>
      </c>
      <c r="D1509" t="inlineStr">
        <is>
          <t>VÄSTERNORRLANDS LÄN</t>
        </is>
      </c>
      <c r="E1509" t="inlineStr">
        <is>
          <t>SUNDSVALL</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20073-2025</t>
        </is>
      </c>
      <c r="B1510" s="1" t="n">
        <v>45772.44826388889</v>
      </c>
      <c r="C1510" s="1" t="n">
        <v>45961</v>
      </c>
      <c r="D1510" t="inlineStr">
        <is>
          <t>VÄSTERNORRLANDS LÄN</t>
        </is>
      </c>
      <c r="E1510" t="inlineStr">
        <is>
          <t>SUNDSVALL</t>
        </is>
      </c>
      <c r="F1510" t="inlineStr">
        <is>
          <t>Naturvårdsverket</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25695-2024</t>
        </is>
      </c>
      <c r="B1511" s="1" t="n">
        <v>45463</v>
      </c>
      <c r="C1511" s="1" t="n">
        <v>45961</v>
      </c>
      <c r="D1511" t="inlineStr">
        <is>
          <t>VÄSTERNORRLANDS LÄN</t>
        </is>
      </c>
      <c r="E1511" t="inlineStr">
        <is>
          <t>SUNDSVALL</t>
        </is>
      </c>
      <c r="F1511" t="inlineStr">
        <is>
          <t>SCA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18286-2025</t>
        </is>
      </c>
      <c r="B1512" s="1" t="n">
        <v>45762.40010416666</v>
      </c>
      <c r="C1512" s="1" t="n">
        <v>45961</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13180-2025</t>
        </is>
      </c>
      <c r="B1513" s="1" t="n">
        <v>45735.38108796296</v>
      </c>
      <c r="C1513" s="1" t="n">
        <v>45961</v>
      </c>
      <c r="D1513" t="inlineStr">
        <is>
          <t>VÄSTERNORRLANDS LÄN</t>
        </is>
      </c>
      <c r="E1513" t="inlineStr">
        <is>
          <t>SUNDSVALL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33646-2025</t>
        </is>
      </c>
      <c r="B1514" s="1" t="n">
        <v>45841.65662037037</v>
      </c>
      <c r="C1514" s="1" t="n">
        <v>45961</v>
      </c>
      <c r="D1514" t="inlineStr">
        <is>
          <t>VÄSTERNORRLANDS LÄN</t>
        </is>
      </c>
      <c r="E1514" t="inlineStr">
        <is>
          <t>SUNDSVALL</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39008-2025</t>
        </is>
      </c>
      <c r="B1515" s="1" t="n">
        <v>45888.34532407407</v>
      </c>
      <c r="C1515" s="1" t="n">
        <v>45961</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33934-2025</t>
        </is>
      </c>
      <c r="B1516" s="1" t="n">
        <v>45842.63596064815</v>
      </c>
      <c r="C1516" s="1" t="n">
        <v>45961</v>
      </c>
      <c r="D1516" t="inlineStr">
        <is>
          <t>VÄSTERNORRLANDS LÄN</t>
        </is>
      </c>
      <c r="E1516" t="inlineStr">
        <is>
          <t>SUNDSVALL</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42507-2023</t>
        </is>
      </c>
      <c r="B1517" s="1" t="n">
        <v>45180.95899305555</v>
      </c>
      <c r="C1517" s="1" t="n">
        <v>45961</v>
      </c>
      <c r="D1517" t="inlineStr">
        <is>
          <t>VÄSTERNORRLANDS LÄN</t>
        </is>
      </c>
      <c r="E1517" t="inlineStr">
        <is>
          <t>SUNDSVALL</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56682-2023</t>
        </is>
      </c>
      <c r="B1518" s="1" t="n">
        <v>45243</v>
      </c>
      <c r="C1518" s="1" t="n">
        <v>45961</v>
      </c>
      <c r="D1518" t="inlineStr">
        <is>
          <t>VÄSTERNORRLANDS LÄN</t>
        </is>
      </c>
      <c r="E1518" t="inlineStr">
        <is>
          <t>SUNDSVALL</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33899-2025</t>
        </is>
      </c>
      <c r="B1519" s="1" t="n">
        <v>45842.59440972222</v>
      </c>
      <c r="C1519" s="1" t="n">
        <v>45961</v>
      </c>
      <c r="D1519" t="inlineStr">
        <is>
          <t>VÄSTERNORRLANDS LÄN</t>
        </is>
      </c>
      <c r="E1519" t="inlineStr">
        <is>
          <t>SUNDSVALL</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54998-2022</t>
        </is>
      </c>
      <c r="B1520" s="1" t="n">
        <v>44881</v>
      </c>
      <c r="C1520" s="1" t="n">
        <v>45961</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19036-2025</t>
        </is>
      </c>
      <c r="B1521" s="1" t="n">
        <v>45764.67304398148</v>
      </c>
      <c r="C1521" s="1" t="n">
        <v>45961</v>
      </c>
      <c r="D1521" t="inlineStr">
        <is>
          <t>VÄSTERNORRLANDS LÄN</t>
        </is>
      </c>
      <c r="E1521" t="inlineStr">
        <is>
          <t>SUNDSVALL</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3546-2022</t>
        </is>
      </c>
      <c r="B1522" s="1" t="n">
        <v>44585</v>
      </c>
      <c r="C1522" s="1" t="n">
        <v>45961</v>
      </c>
      <c r="D1522" t="inlineStr">
        <is>
          <t>VÄSTERNORRLANDS LÄN</t>
        </is>
      </c>
      <c r="E1522" t="inlineStr">
        <is>
          <t>SUNDSVALL</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50213-2024</t>
        </is>
      </c>
      <c r="B1523" s="1" t="n">
        <v>45600.51435185185</v>
      </c>
      <c r="C1523" s="1" t="n">
        <v>45961</v>
      </c>
      <c r="D1523" t="inlineStr">
        <is>
          <t>VÄSTERNORRLANDS LÄN</t>
        </is>
      </c>
      <c r="E1523" t="inlineStr">
        <is>
          <t>SUNDSVALL</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50221-2024</t>
        </is>
      </c>
      <c r="B1524" s="1" t="n">
        <v>45600.53409722223</v>
      </c>
      <c r="C1524" s="1" t="n">
        <v>45961</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54314-2024</t>
        </is>
      </c>
      <c r="B1525" s="1" t="n">
        <v>45617.34430555555</v>
      </c>
      <c r="C1525" s="1" t="n">
        <v>45961</v>
      </c>
      <c r="D1525" t="inlineStr">
        <is>
          <t>VÄSTERNORRLANDS LÄN</t>
        </is>
      </c>
      <c r="E1525" t="inlineStr">
        <is>
          <t>SUNDSVALL</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47482-2025</t>
        </is>
      </c>
      <c r="B1526" s="1" t="n">
        <v>45930</v>
      </c>
      <c r="C1526" s="1" t="n">
        <v>45961</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51476-2024</t>
        </is>
      </c>
      <c r="B1527" s="1" t="n">
        <v>45604</v>
      </c>
      <c r="C1527" s="1" t="n">
        <v>45961</v>
      </c>
      <c r="D1527" t="inlineStr">
        <is>
          <t>VÄSTERNORRLANDS LÄN</t>
        </is>
      </c>
      <c r="E1527" t="inlineStr">
        <is>
          <t>SUNDSVALL</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59341-2023</t>
        </is>
      </c>
      <c r="B1528" s="1" t="n">
        <v>45253.65173611111</v>
      </c>
      <c r="C1528" s="1" t="n">
        <v>45961</v>
      </c>
      <c r="D1528" t="inlineStr">
        <is>
          <t>VÄSTERNORRLANDS LÄN</t>
        </is>
      </c>
      <c r="E1528" t="inlineStr">
        <is>
          <t>SUNDSVALL</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33433-2025</t>
        </is>
      </c>
      <c r="B1529" s="1" t="n">
        <v>45841.4485300926</v>
      </c>
      <c r="C1529" s="1" t="n">
        <v>45961</v>
      </c>
      <c r="D1529" t="inlineStr">
        <is>
          <t>VÄSTERNORRLANDS LÄN</t>
        </is>
      </c>
      <c r="E1529" t="inlineStr">
        <is>
          <t>SUNDSVALL</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43195-2021</t>
        </is>
      </c>
      <c r="B1530" s="1" t="n">
        <v>44431</v>
      </c>
      <c r="C1530" s="1" t="n">
        <v>45961</v>
      </c>
      <c r="D1530" t="inlineStr">
        <is>
          <t>VÄSTERNORRLANDS LÄN</t>
        </is>
      </c>
      <c r="E1530" t="inlineStr">
        <is>
          <t>SUNDSVALL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51360-2022</t>
        </is>
      </c>
      <c r="B1531" s="1" t="n">
        <v>44869</v>
      </c>
      <c r="C1531" s="1" t="n">
        <v>45961</v>
      </c>
      <c r="D1531" t="inlineStr">
        <is>
          <t>VÄSTERNORRLANDS LÄN</t>
        </is>
      </c>
      <c r="E1531" t="inlineStr">
        <is>
          <t>SUNDSVALL</t>
        </is>
      </c>
      <c r="G1531" t="n">
        <v>30.9</v>
      </c>
      <c r="H1531" t="n">
        <v>0</v>
      </c>
      <c r="I1531" t="n">
        <v>0</v>
      </c>
      <c r="J1531" t="n">
        <v>0</v>
      </c>
      <c r="K1531" t="n">
        <v>0</v>
      </c>
      <c r="L1531" t="n">
        <v>0</v>
      </c>
      <c r="M1531" t="n">
        <v>0</v>
      </c>
      <c r="N1531" t="n">
        <v>0</v>
      </c>
      <c r="O1531" t="n">
        <v>0</v>
      </c>
      <c r="P1531" t="n">
        <v>0</v>
      </c>
      <c r="Q1531" t="n">
        <v>0</v>
      </c>
      <c r="R1531" s="2" t="inlineStr"/>
    </row>
    <row r="1532" ht="15" customHeight="1">
      <c r="A1532" t="inlineStr">
        <is>
          <t>A 33649-2025</t>
        </is>
      </c>
      <c r="B1532" s="1" t="n">
        <v>45841.65697916667</v>
      </c>
      <c r="C1532" s="1" t="n">
        <v>45961</v>
      </c>
      <c r="D1532" t="inlineStr">
        <is>
          <t>VÄSTERNORRLANDS LÄN</t>
        </is>
      </c>
      <c r="E1532" t="inlineStr">
        <is>
          <t>SUNDSVALL</t>
        </is>
      </c>
      <c r="F1532" t="inlineStr">
        <is>
          <t>SCA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25988-2023</t>
        </is>
      </c>
      <c r="B1533" s="1" t="n">
        <v>45090.9250462963</v>
      </c>
      <c r="C1533" s="1" t="n">
        <v>45961</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52119-2023</t>
        </is>
      </c>
      <c r="B1534" s="1" t="n">
        <v>45223</v>
      </c>
      <c r="C1534" s="1" t="n">
        <v>45961</v>
      </c>
      <c r="D1534" t="inlineStr">
        <is>
          <t>VÄSTERNORRLANDS LÄN</t>
        </is>
      </c>
      <c r="E1534" t="inlineStr">
        <is>
          <t>SUNDSVALL</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60165-2022</t>
        </is>
      </c>
      <c r="B1535" s="1" t="n">
        <v>44909</v>
      </c>
      <c r="C1535" s="1" t="n">
        <v>45961</v>
      </c>
      <c r="D1535" t="inlineStr">
        <is>
          <t>VÄSTERNORRLANDS LÄN</t>
        </is>
      </c>
      <c r="E1535" t="inlineStr">
        <is>
          <t>SUNDSVALL</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7879-2021</t>
        </is>
      </c>
      <c r="B1536" s="1" t="n">
        <v>44242</v>
      </c>
      <c r="C1536" s="1" t="n">
        <v>45961</v>
      </c>
      <c r="D1536" t="inlineStr">
        <is>
          <t>VÄSTERNORRLANDS LÄN</t>
        </is>
      </c>
      <c r="E1536" t="inlineStr">
        <is>
          <t>SUNDSVALL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38665-2022</t>
        </is>
      </c>
      <c r="B1537" s="1" t="n">
        <v>44813</v>
      </c>
      <c r="C1537" s="1" t="n">
        <v>45961</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712-2023</t>
        </is>
      </c>
      <c r="B1538" s="1" t="n">
        <v>44930.92733796296</v>
      </c>
      <c r="C1538" s="1" t="n">
        <v>45961</v>
      </c>
      <c r="D1538" t="inlineStr">
        <is>
          <t>VÄSTERNORRLANDS LÄN</t>
        </is>
      </c>
      <c r="E1538" t="inlineStr">
        <is>
          <t>SUNDSVALL</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512-2023</t>
        </is>
      </c>
      <c r="B1539" s="1" t="n">
        <v>44930</v>
      </c>
      <c r="C1539" s="1" t="n">
        <v>45961</v>
      </c>
      <c r="D1539" t="inlineStr">
        <is>
          <t>VÄSTERNORRLANDS LÄN</t>
        </is>
      </c>
      <c r="E1539" t="inlineStr">
        <is>
          <t>SUNDSVALL</t>
        </is>
      </c>
      <c r="F1539" t="inlineStr">
        <is>
          <t>Holmen skog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31317-2024</t>
        </is>
      </c>
      <c r="B1540" s="1" t="n">
        <v>45504</v>
      </c>
      <c r="C1540" s="1" t="n">
        <v>45961</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23802-2024</t>
        </is>
      </c>
      <c r="B1541" s="1" t="n">
        <v>45455.43813657408</v>
      </c>
      <c r="C1541" s="1" t="n">
        <v>45961</v>
      </c>
      <c r="D1541" t="inlineStr">
        <is>
          <t>VÄSTERNORRLANDS LÄN</t>
        </is>
      </c>
      <c r="E1541" t="inlineStr">
        <is>
          <t>SUNDSVALL</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6673-2025</t>
        </is>
      </c>
      <c r="B1542" s="1" t="n">
        <v>45700.47215277778</v>
      </c>
      <c r="C1542" s="1" t="n">
        <v>45961</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10530-2023</t>
        </is>
      </c>
      <c r="B1543" s="1" t="n">
        <v>44987.92324074074</v>
      </c>
      <c r="C1543" s="1" t="n">
        <v>45961</v>
      </c>
      <c r="D1543" t="inlineStr">
        <is>
          <t>VÄSTERNORRLANDS LÄN</t>
        </is>
      </c>
      <c r="E1543" t="inlineStr">
        <is>
          <t>SUNDSVALL</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34390-2025</t>
        </is>
      </c>
      <c r="B1544" s="1" t="n">
        <v>45846.57333333333</v>
      </c>
      <c r="C1544" s="1" t="n">
        <v>45961</v>
      </c>
      <c r="D1544" t="inlineStr">
        <is>
          <t>VÄSTERNORRLANDS LÄN</t>
        </is>
      </c>
      <c r="E1544" t="inlineStr">
        <is>
          <t>SUNDSVALL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13691-2023</t>
        </is>
      </c>
      <c r="B1545" s="1" t="n">
        <v>45006</v>
      </c>
      <c r="C1545" s="1" t="n">
        <v>45961</v>
      </c>
      <c r="D1545" t="inlineStr">
        <is>
          <t>VÄSTERNORRLANDS LÄN</t>
        </is>
      </c>
      <c r="E1545" t="inlineStr">
        <is>
          <t>SUNDSVALL</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16768-2023</t>
        </is>
      </c>
      <c r="B1546" s="1" t="n">
        <v>45030</v>
      </c>
      <c r="C1546" s="1" t="n">
        <v>45961</v>
      </c>
      <c r="D1546" t="inlineStr">
        <is>
          <t>VÄSTERNORRLANDS LÄN</t>
        </is>
      </c>
      <c r="E1546" t="inlineStr">
        <is>
          <t>SUNDSVALL</t>
        </is>
      </c>
      <c r="F1546" t="inlineStr">
        <is>
          <t>SCA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34383-2025</t>
        </is>
      </c>
      <c r="B1547" s="1" t="n">
        <v>45846.55236111111</v>
      </c>
      <c r="C1547" s="1" t="n">
        <v>45961</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34261-2025</t>
        </is>
      </c>
      <c r="B1548" s="1" t="n">
        <v>45845.71960648148</v>
      </c>
      <c r="C1548" s="1" t="n">
        <v>45961</v>
      </c>
      <c r="D1548" t="inlineStr">
        <is>
          <t>VÄSTERNORRLANDS LÄN</t>
        </is>
      </c>
      <c r="E1548" t="inlineStr">
        <is>
          <t>SUNDSVALL</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5267-2025</t>
        </is>
      </c>
      <c r="B1549" s="1" t="n">
        <v>45692.38988425926</v>
      </c>
      <c r="C1549" s="1" t="n">
        <v>45961</v>
      </c>
      <c r="D1549" t="inlineStr">
        <is>
          <t>VÄSTERNORRLANDS LÄN</t>
        </is>
      </c>
      <c r="E1549" t="inlineStr">
        <is>
          <t>SUNDSVALL</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44663-2024</t>
        </is>
      </c>
      <c r="B1550" s="1" t="n">
        <v>45574.53215277778</v>
      </c>
      <c r="C1550" s="1" t="n">
        <v>45961</v>
      </c>
      <c r="D1550" t="inlineStr">
        <is>
          <t>VÄSTERNORRLANDS LÄN</t>
        </is>
      </c>
      <c r="E1550" t="inlineStr">
        <is>
          <t>SUNDSVALL</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34389-2025</t>
        </is>
      </c>
      <c r="B1551" s="1" t="n">
        <v>45846.57326388889</v>
      </c>
      <c r="C1551" s="1" t="n">
        <v>45961</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48864-2021</t>
        </is>
      </c>
      <c r="B1552" s="1" t="n">
        <v>44452.94085648148</v>
      </c>
      <c r="C1552" s="1" t="n">
        <v>45961</v>
      </c>
      <c r="D1552" t="inlineStr">
        <is>
          <t>VÄSTERNORRLANDS LÄN</t>
        </is>
      </c>
      <c r="E1552" t="inlineStr">
        <is>
          <t>SUNDSVALL</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18933-2024</t>
        </is>
      </c>
      <c r="B1553" s="1" t="n">
        <v>45427.44076388889</v>
      </c>
      <c r="C1553" s="1" t="n">
        <v>45961</v>
      </c>
      <c r="D1553" t="inlineStr">
        <is>
          <t>VÄSTERNORRLANDS LÄN</t>
        </is>
      </c>
      <c r="E1553" t="inlineStr">
        <is>
          <t>SUNDSVALL</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39370-2024</t>
        </is>
      </c>
      <c r="B1554" s="1" t="n">
        <v>45551</v>
      </c>
      <c r="C1554" s="1" t="n">
        <v>45961</v>
      </c>
      <c r="D1554" t="inlineStr">
        <is>
          <t>VÄSTERNORRLANDS LÄN</t>
        </is>
      </c>
      <c r="E1554" t="inlineStr">
        <is>
          <t>SUNDSVALL</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34558-2025</t>
        </is>
      </c>
      <c r="B1555" s="1" t="n">
        <v>45847.57377314815</v>
      </c>
      <c r="C1555" s="1" t="n">
        <v>45961</v>
      </c>
      <c r="D1555" t="inlineStr">
        <is>
          <t>VÄSTERNORRLANDS LÄN</t>
        </is>
      </c>
      <c r="E1555" t="inlineStr">
        <is>
          <t>SUNDSVALL</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55158-2021</t>
        </is>
      </c>
      <c r="B1556" s="1" t="n">
        <v>44474</v>
      </c>
      <c r="C1556" s="1" t="n">
        <v>45961</v>
      </c>
      <c r="D1556" t="inlineStr">
        <is>
          <t>VÄSTERNORRLANDS LÄN</t>
        </is>
      </c>
      <c r="E1556" t="inlineStr">
        <is>
          <t>SUNDSVALL</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34668-2025</t>
        </is>
      </c>
      <c r="B1557" s="1" t="n">
        <v>45848.38586805556</v>
      </c>
      <c r="C1557" s="1" t="n">
        <v>45961</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29598-2023</t>
        </is>
      </c>
      <c r="B1558" s="1" t="n">
        <v>45106</v>
      </c>
      <c r="C1558" s="1" t="n">
        <v>45961</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34556-2025</t>
        </is>
      </c>
      <c r="B1559" s="1" t="n">
        <v>45847.57347222222</v>
      </c>
      <c r="C1559" s="1" t="n">
        <v>45961</v>
      </c>
      <c r="D1559" t="inlineStr">
        <is>
          <t>VÄSTERNORRLANDS LÄN</t>
        </is>
      </c>
      <c r="E1559" t="inlineStr">
        <is>
          <t>SUNDSVALL</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34557-2025</t>
        </is>
      </c>
      <c r="B1560" s="1" t="n">
        <v>45847.57372685185</v>
      </c>
      <c r="C1560" s="1" t="n">
        <v>45961</v>
      </c>
      <c r="D1560" t="inlineStr">
        <is>
          <t>VÄSTERNORRLANDS LÄN</t>
        </is>
      </c>
      <c r="E1560" t="inlineStr">
        <is>
          <t>SUNDSVALL</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52334-2022</t>
        </is>
      </c>
      <c r="B1561" s="1" t="n">
        <v>44873</v>
      </c>
      <c r="C1561" s="1" t="n">
        <v>45961</v>
      </c>
      <c r="D1561" t="inlineStr">
        <is>
          <t>VÄSTERNORRLANDS LÄN</t>
        </is>
      </c>
      <c r="E1561" t="inlineStr">
        <is>
          <t>SUNDSVALL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54789-2024</t>
        </is>
      </c>
      <c r="B1562" s="1" t="n">
        <v>45618.4962962963</v>
      </c>
      <c r="C1562" s="1" t="n">
        <v>45961</v>
      </c>
      <c r="D1562" t="inlineStr">
        <is>
          <t>VÄSTERNORRLANDS LÄN</t>
        </is>
      </c>
      <c r="E1562" t="inlineStr">
        <is>
          <t>SUNDSVALL</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47380-2025</t>
        </is>
      </c>
      <c r="B1563" s="1" t="n">
        <v>45930.59491898148</v>
      </c>
      <c r="C1563" s="1" t="n">
        <v>45961</v>
      </c>
      <c r="D1563" t="inlineStr">
        <is>
          <t>VÄSTERNORRLANDS LÄN</t>
        </is>
      </c>
      <c r="E1563" t="inlineStr">
        <is>
          <t>SUNDSVALL</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3618-2024</t>
        </is>
      </c>
      <c r="B1564" s="1" t="n">
        <v>45320.95255787037</v>
      </c>
      <c r="C1564" s="1" t="n">
        <v>45961</v>
      </c>
      <c r="D1564" t="inlineStr">
        <is>
          <t>VÄSTERNORRLANDS LÄN</t>
        </is>
      </c>
      <c r="E1564" t="inlineStr">
        <is>
          <t>SUNDSVALL</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21144-2023</t>
        </is>
      </c>
      <c r="B1565" s="1" t="n">
        <v>45057</v>
      </c>
      <c r="C1565" s="1" t="n">
        <v>45961</v>
      </c>
      <c r="D1565" t="inlineStr">
        <is>
          <t>VÄSTERNORRLANDS LÄN</t>
        </is>
      </c>
      <c r="E1565" t="inlineStr">
        <is>
          <t>SUNDSVALL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60911-2021</t>
        </is>
      </c>
      <c r="B1566" s="1" t="n">
        <v>44497</v>
      </c>
      <c r="C1566" s="1" t="n">
        <v>45961</v>
      </c>
      <c r="D1566" t="inlineStr">
        <is>
          <t>VÄSTERNORRLANDS LÄN</t>
        </is>
      </c>
      <c r="E1566" t="inlineStr">
        <is>
          <t>SUNDSVALL</t>
        </is>
      </c>
      <c r="F1566" t="inlineStr">
        <is>
          <t>Kommuner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17490-2025</t>
        </is>
      </c>
      <c r="B1567" s="1" t="n">
        <v>45757.51084490741</v>
      </c>
      <c r="C1567" s="1" t="n">
        <v>45961</v>
      </c>
      <c r="D1567" t="inlineStr">
        <is>
          <t>VÄSTERNORRLANDS LÄN</t>
        </is>
      </c>
      <c r="E1567" t="inlineStr">
        <is>
          <t>SUNDSVALL</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8888-2024</t>
        </is>
      </c>
      <c r="B1568" s="1" t="n">
        <v>45357</v>
      </c>
      <c r="C1568" s="1" t="n">
        <v>45961</v>
      </c>
      <c r="D1568" t="inlineStr">
        <is>
          <t>VÄSTERNORRLANDS LÄN</t>
        </is>
      </c>
      <c r="E1568" t="inlineStr">
        <is>
          <t>SUNDSVALL</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25147-2021</t>
        </is>
      </c>
      <c r="B1569" s="1" t="n">
        <v>44341</v>
      </c>
      <c r="C1569" s="1" t="n">
        <v>45961</v>
      </c>
      <c r="D1569" t="inlineStr">
        <is>
          <t>VÄSTERNORRLANDS LÄN</t>
        </is>
      </c>
      <c r="E1569" t="inlineStr">
        <is>
          <t>SUNDSVALL</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23652-2025</t>
        </is>
      </c>
      <c r="B1570" s="1" t="n">
        <v>45792</v>
      </c>
      <c r="C1570" s="1" t="n">
        <v>45961</v>
      </c>
      <c r="D1570" t="inlineStr">
        <is>
          <t>VÄSTERNORRLANDS LÄN</t>
        </is>
      </c>
      <c r="E1570" t="inlineStr">
        <is>
          <t>SUNDSVALL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57007-2022</t>
        </is>
      </c>
      <c r="B1571" s="1" t="n">
        <v>44894.9578125</v>
      </c>
      <c r="C1571" s="1" t="n">
        <v>45961</v>
      </c>
      <c r="D1571" t="inlineStr">
        <is>
          <t>VÄSTERNORRLANDS LÄN</t>
        </is>
      </c>
      <c r="E1571" t="inlineStr">
        <is>
          <t>SUNDSVALL</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2129-2023</t>
        </is>
      </c>
      <c r="B1572" s="1" t="n">
        <v>44939.93967592593</v>
      </c>
      <c r="C1572" s="1" t="n">
        <v>45961</v>
      </c>
      <c r="D1572" t="inlineStr">
        <is>
          <t>VÄSTERNORRLANDS LÄN</t>
        </is>
      </c>
      <c r="E1572" t="inlineStr">
        <is>
          <t>SUNDSVALL</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50205-2024</t>
        </is>
      </c>
      <c r="B1573" s="1" t="n">
        <v>45600.49386574074</v>
      </c>
      <c r="C1573" s="1" t="n">
        <v>45961</v>
      </c>
      <c r="D1573" t="inlineStr">
        <is>
          <t>VÄSTERNORRLANDS LÄN</t>
        </is>
      </c>
      <c r="E1573" t="inlineStr">
        <is>
          <t>SUNDSVALL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54052-2023</t>
        </is>
      </c>
      <c r="B1574" s="1" t="n">
        <v>45231.96819444445</v>
      </c>
      <c r="C1574" s="1" t="n">
        <v>45961</v>
      </c>
      <c r="D1574" t="inlineStr">
        <is>
          <t>VÄSTERNORRLANDS LÄN</t>
        </is>
      </c>
      <c r="E1574" t="inlineStr">
        <is>
          <t>SUNDSVALL</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54059-2023</t>
        </is>
      </c>
      <c r="B1575" s="1" t="n">
        <v>45231.96899305555</v>
      </c>
      <c r="C1575" s="1" t="n">
        <v>45961</v>
      </c>
      <c r="D1575" t="inlineStr">
        <is>
          <t>VÄSTERNORRLANDS LÄN</t>
        </is>
      </c>
      <c r="E1575" t="inlineStr">
        <is>
          <t>SUNDSVALL</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13570-2025</t>
        </is>
      </c>
      <c r="B1576" s="1" t="n">
        <v>45736.57355324074</v>
      </c>
      <c r="C1576" s="1" t="n">
        <v>45961</v>
      </c>
      <c r="D1576" t="inlineStr">
        <is>
          <t>VÄSTERNORRLANDS LÄN</t>
        </is>
      </c>
      <c r="E1576" t="inlineStr">
        <is>
          <t>SUNDSVALL</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59335-2022</t>
        </is>
      </c>
      <c r="B1577" s="1" t="n">
        <v>44904.658125</v>
      </c>
      <c r="C1577" s="1" t="n">
        <v>45961</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34375-2025</t>
        </is>
      </c>
      <c r="B1578" s="1" t="n">
        <v>45846</v>
      </c>
      <c r="C1578" s="1" t="n">
        <v>45961</v>
      </c>
      <c r="D1578" t="inlineStr">
        <is>
          <t>VÄSTERNORRLANDS LÄN</t>
        </is>
      </c>
      <c r="E1578" t="inlineStr">
        <is>
          <t>SUNDSVALL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26229-2024</t>
        </is>
      </c>
      <c r="B1579" s="1" t="n">
        <v>45468.6143287037</v>
      </c>
      <c r="C1579" s="1" t="n">
        <v>45961</v>
      </c>
      <c r="D1579" t="inlineStr">
        <is>
          <t>VÄSTERNORRLANDS LÄN</t>
        </is>
      </c>
      <c r="E1579" t="inlineStr">
        <is>
          <t>SUNDSVALL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22628-2024</t>
        </is>
      </c>
      <c r="B1580" s="1" t="n">
        <v>45447.66850694444</v>
      </c>
      <c r="C1580" s="1" t="n">
        <v>45961</v>
      </c>
      <c r="D1580" t="inlineStr">
        <is>
          <t>VÄSTERNORRLANDS LÄN</t>
        </is>
      </c>
      <c r="E1580" t="inlineStr">
        <is>
          <t>SUNDSVALL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35120-2025</t>
        </is>
      </c>
      <c r="B1581" s="1" t="n">
        <v>45852</v>
      </c>
      <c r="C1581" s="1" t="n">
        <v>45961</v>
      </c>
      <c r="D1581" t="inlineStr">
        <is>
          <t>VÄSTERNORRLANDS LÄN</t>
        </is>
      </c>
      <c r="E1581" t="inlineStr">
        <is>
          <t>SUNDSVALL</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18582-2024</t>
        </is>
      </c>
      <c r="B1582" s="1" t="n">
        <v>45425</v>
      </c>
      <c r="C1582" s="1" t="n">
        <v>45961</v>
      </c>
      <c r="D1582" t="inlineStr">
        <is>
          <t>VÄSTERNORRLANDS LÄN</t>
        </is>
      </c>
      <c r="E1582" t="inlineStr">
        <is>
          <t>SUNDSVALL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13347-2024</t>
        </is>
      </c>
      <c r="B1583" s="1" t="n">
        <v>45386</v>
      </c>
      <c r="C1583" s="1" t="n">
        <v>45961</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13353-2024</t>
        </is>
      </c>
      <c r="B1584" s="1" t="n">
        <v>45387.33446759259</v>
      </c>
      <c r="C1584" s="1" t="n">
        <v>45961</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17902-2024</t>
        </is>
      </c>
      <c r="B1585" s="1" t="n">
        <v>45419</v>
      </c>
      <c r="C1585" s="1" t="n">
        <v>45961</v>
      </c>
      <c r="D1585" t="inlineStr">
        <is>
          <t>VÄSTERNORRLANDS LÄN</t>
        </is>
      </c>
      <c r="E1585" t="inlineStr">
        <is>
          <t>SUNDSVALL</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47032-2023</t>
        </is>
      </c>
      <c r="B1586" s="1" t="n">
        <v>45196</v>
      </c>
      <c r="C1586" s="1" t="n">
        <v>45961</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22053-2025</t>
        </is>
      </c>
      <c r="B1587" s="1" t="n">
        <v>45785.3650462963</v>
      </c>
      <c r="C1587" s="1" t="n">
        <v>45961</v>
      </c>
      <c r="D1587" t="inlineStr">
        <is>
          <t>VÄSTERNORRLANDS LÄN</t>
        </is>
      </c>
      <c r="E1587" t="inlineStr">
        <is>
          <t>SUNDSVALL</t>
        </is>
      </c>
      <c r="F1587" t="inlineStr">
        <is>
          <t>SCA</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21630-2023</t>
        </is>
      </c>
      <c r="B1588" s="1" t="n">
        <v>45063</v>
      </c>
      <c r="C1588" s="1" t="n">
        <v>45961</v>
      </c>
      <c r="D1588" t="inlineStr">
        <is>
          <t>VÄSTERNORRLANDS LÄN</t>
        </is>
      </c>
      <c r="E1588" t="inlineStr">
        <is>
          <t>SUNDSVALL</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7005-2023</t>
        </is>
      </c>
      <c r="B1589" s="1" t="n">
        <v>44967.92928240741</v>
      </c>
      <c r="C1589" s="1" t="n">
        <v>45961</v>
      </c>
      <c r="D1589" t="inlineStr">
        <is>
          <t>VÄSTERNORRLANDS LÄN</t>
        </is>
      </c>
      <c r="E1589" t="inlineStr">
        <is>
          <t>SUNDSVALL</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46936-2025</t>
        </is>
      </c>
      <c r="B1590" s="1" t="n">
        <v>45929.44827546296</v>
      </c>
      <c r="C1590" s="1" t="n">
        <v>45961</v>
      </c>
      <c r="D1590" t="inlineStr">
        <is>
          <t>VÄSTERNORRLANDS LÄN</t>
        </is>
      </c>
      <c r="E1590" t="inlineStr">
        <is>
          <t>SUNDSVALL</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62301-2023</t>
        </is>
      </c>
      <c r="B1591" s="1" t="n">
        <v>45267</v>
      </c>
      <c r="C1591" s="1" t="n">
        <v>45961</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10993-2022</t>
        </is>
      </c>
      <c r="B1592" s="1" t="n">
        <v>44628.46541666667</v>
      </c>
      <c r="C1592" s="1" t="n">
        <v>45961</v>
      </c>
      <c r="D1592" t="inlineStr">
        <is>
          <t>VÄSTERNORRLANDS LÄN</t>
        </is>
      </c>
      <c r="E1592" t="inlineStr">
        <is>
          <t>SUNDSVALL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56214-2024</t>
        </is>
      </c>
      <c r="B1593" s="1" t="n">
        <v>45624</v>
      </c>
      <c r="C1593" s="1" t="n">
        <v>45961</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20102-2025</t>
        </is>
      </c>
      <c r="B1594" s="1" t="n">
        <v>45772.46934027778</v>
      </c>
      <c r="C1594" s="1" t="n">
        <v>45961</v>
      </c>
      <c r="D1594" t="inlineStr">
        <is>
          <t>VÄSTERNORRLANDS LÄN</t>
        </is>
      </c>
      <c r="E1594" t="inlineStr">
        <is>
          <t>SUNDSVALL</t>
        </is>
      </c>
      <c r="F1594" t="inlineStr">
        <is>
          <t>Naturvårdsverket</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55878-2022</t>
        </is>
      </c>
      <c r="B1595" s="1" t="n">
        <v>44888</v>
      </c>
      <c r="C1595" s="1" t="n">
        <v>45961</v>
      </c>
      <c r="D1595" t="inlineStr">
        <is>
          <t>VÄSTERNORRLANDS LÄN</t>
        </is>
      </c>
      <c r="E1595" t="inlineStr">
        <is>
          <t>SUNDSVALL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55890-2022</t>
        </is>
      </c>
      <c r="B1596" s="1" t="n">
        <v>44888</v>
      </c>
      <c r="C1596" s="1" t="n">
        <v>45961</v>
      </c>
      <c r="D1596" t="inlineStr">
        <is>
          <t>VÄSTERNORRLANDS LÄN</t>
        </is>
      </c>
      <c r="E1596" t="inlineStr">
        <is>
          <t>SUNDSVALL</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18838-2022</t>
        </is>
      </c>
      <c r="B1597" s="1" t="n">
        <v>44690</v>
      </c>
      <c r="C1597" s="1" t="n">
        <v>45961</v>
      </c>
      <c r="D1597" t="inlineStr">
        <is>
          <t>VÄSTERNORRLANDS LÄN</t>
        </is>
      </c>
      <c r="E1597" t="inlineStr">
        <is>
          <t>SUNDSVALL</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7943-2022</t>
        </is>
      </c>
      <c r="B1598" s="1" t="n">
        <v>44608</v>
      </c>
      <c r="C1598" s="1" t="n">
        <v>45961</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23650-2025</t>
        </is>
      </c>
      <c r="B1599" s="1" t="n">
        <v>45792</v>
      </c>
      <c r="C1599" s="1" t="n">
        <v>45961</v>
      </c>
      <c r="D1599" t="inlineStr">
        <is>
          <t>VÄSTERNORRLANDS LÄN</t>
        </is>
      </c>
      <c r="E1599" t="inlineStr">
        <is>
          <t>SUNDSVALL</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35461-2025</t>
        </is>
      </c>
      <c r="B1600" s="1" t="n">
        <v>45855.61505787037</v>
      </c>
      <c r="C1600" s="1" t="n">
        <v>45961</v>
      </c>
      <c r="D1600" t="inlineStr">
        <is>
          <t>VÄSTERNORRLANDS LÄN</t>
        </is>
      </c>
      <c r="E1600" t="inlineStr">
        <is>
          <t>SUNDSVALL</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56420-2022</t>
        </is>
      </c>
      <c r="B1601" s="1" t="n">
        <v>44890.95302083333</v>
      </c>
      <c r="C1601" s="1" t="n">
        <v>45961</v>
      </c>
      <c r="D1601" t="inlineStr">
        <is>
          <t>VÄSTERNORRLANDS LÄN</t>
        </is>
      </c>
      <c r="E1601" t="inlineStr">
        <is>
          <t>SUNDSVALL</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30686-2024</t>
        </is>
      </c>
      <c r="B1602" s="1" t="n">
        <v>45495</v>
      </c>
      <c r="C1602" s="1" t="n">
        <v>45961</v>
      </c>
      <c r="D1602" t="inlineStr">
        <is>
          <t>VÄSTERNORRLANDS LÄN</t>
        </is>
      </c>
      <c r="E1602" t="inlineStr">
        <is>
          <t>SUNDSVALL</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17767-2025</t>
        </is>
      </c>
      <c r="B1603" s="1" t="n">
        <v>45758.50361111111</v>
      </c>
      <c r="C1603" s="1" t="n">
        <v>45961</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1048-2024</t>
        </is>
      </c>
      <c r="B1604" s="1" t="n">
        <v>45301</v>
      </c>
      <c r="C1604" s="1" t="n">
        <v>45961</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35716-2025</t>
        </is>
      </c>
      <c r="B1605" s="1" t="n">
        <v>45860.42753472222</v>
      </c>
      <c r="C1605" s="1" t="n">
        <v>45961</v>
      </c>
      <c r="D1605" t="inlineStr">
        <is>
          <t>VÄSTERNORRLANDS LÄN</t>
        </is>
      </c>
      <c r="E1605" t="inlineStr">
        <is>
          <t>SUNDSVALL</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50013-2024</t>
        </is>
      </c>
      <c r="B1606" s="1" t="n">
        <v>45598.85898148148</v>
      </c>
      <c r="C1606" s="1" t="n">
        <v>45961</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40473-2024</t>
        </is>
      </c>
      <c r="B1607" s="1" t="n">
        <v>45555.53165509259</v>
      </c>
      <c r="C1607" s="1" t="n">
        <v>45961</v>
      </c>
      <c r="D1607" t="inlineStr">
        <is>
          <t>VÄSTERNORRLANDS LÄN</t>
        </is>
      </c>
      <c r="E1607" t="inlineStr">
        <is>
          <t>SUNDSVALL</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36844-2023</t>
        </is>
      </c>
      <c r="B1608" s="1" t="n">
        <v>45154</v>
      </c>
      <c r="C1608" s="1" t="n">
        <v>45961</v>
      </c>
      <c r="D1608" t="inlineStr">
        <is>
          <t>VÄSTERNORRLANDS LÄN</t>
        </is>
      </c>
      <c r="E1608" t="inlineStr">
        <is>
          <t>SUNDSVALL</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14153-2024</t>
        </is>
      </c>
      <c r="B1609" s="1" t="n">
        <v>45392</v>
      </c>
      <c r="C1609" s="1" t="n">
        <v>45961</v>
      </c>
      <c r="D1609" t="inlineStr">
        <is>
          <t>VÄSTERNORRLANDS LÄN</t>
        </is>
      </c>
      <c r="E1609" t="inlineStr">
        <is>
          <t>SUNDSVALL</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38864-2024</t>
        </is>
      </c>
      <c r="B1610" s="1" t="n">
        <v>45547.63525462963</v>
      </c>
      <c r="C1610" s="1" t="n">
        <v>45961</v>
      </c>
      <c r="D1610" t="inlineStr">
        <is>
          <t>VÄSTERNORRLANDS LÄN</t>
        </is>
      </c>
      <c r="E1610" t="inlineStr">
        <is>
          <t>SUNDSVALL</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11668-2025</t>
        </is>
      </c>
      <c r="B1611" s="1" t="n">
        <v>45727.51084490741</v>
      </c>
      <c r="C1611" s="1" t="n">
        <v>45961</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19586-2024</t>
        </is>
      </c>
      <c r="B1612" s="1" t="n">
        <v>45429</v>
      </c>
      <c r="C1612" s="1" t="n">
        <v>45961</v>
      </c>
      <c r="D1612" t="inlineStr">
        <is>
          <t>VÄSTERNORRLANDS LÄN</t>
        </is>
      </c>
      <c r="E1612" t="inlineStr">
        <is>
          <t>SUNDSVALL</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35780-2025</t>
        </is>
      </c>
      <c r="B1613" s="1" t="n">
        <v>45860.70089120371</v>
      </c>
      <c r="C1613" s="1" t="n">
        <v>45961</v>
      </c>
      <c r="D1613" t="inlineStr">
        <is>
          <t>VÄSTERNORRLANDS LÄN</t>
        </is>
      </c>
      <c r="E1613" t="inlineStr">
        <is>
          <t>SUNDSVALL</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38353-2023</t>
        </is>
      </c>
      <c r="B1614" s="1" t="n">
        <v>45161</v>
      </c>
      <c r="C1614" s="1" t="n">
        <v>45961</v>
      </c>
      <c r="D1614" t="inlineStr">
        <is>
          <t>VÄSTERNORRLANDS LÄN</t>
        </is>
      </c>
      <c r="E1614" t="inlineStr">
        <is>
          <t>SUNDSVALL</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38357-2023</t>
        </is>
      </c>
      <c r="B1615" s="1" t="n">
        <v>45161</v>
      </c>
      <c r="C1615" s="1" t="n">
        <v>45961</v>
      </c>
      <c r="D1615" t="inlineStr">
        <is>
          <t>VÄSTERNORRLANDS LÄN</t>
        </is>
      </c>
      <c r="E1615" t="inlineStr">
        <is>
          <t>SUNDSVALL</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59901-2024</t>
        </is>
      </c>
      <c r="B1616" s="1" t="n">
        <v>45641.59461805555</v>
      </c>
      <c r="C1616" s="1" t="n">
        <v>45961</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8463-2025</t>
        </is>
      </c>
      <c r="B1617" s="1" t="n">
        <v>45709.46928240741</v>
      </c>
      <c r="C1617" s="1" t="n">
        <v>45961</v>
      </c>
      <c r="D1617" t="inlineStr">
        <is>
          <t>VÄSTERNORRLANDS LÄN</t>
        </is>
      </c>
      <c r="E1617" t="inlineStr">
        <is>
          <t>SUNDSVALL</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8479-2025</t>
        </is>
      </c>
      <c r="B1618" s="1" t="n">
        <v>45709.4887962963</v>
      </c>
      <c r="C1618" s="1" t="n">
        <v>45961</v>
      </c>
      <c r="D1618" t="inlineStr">
        <is>
          <t>VÄSTERNORRLANDS LÄN</t>
        </is>
      </c>
      <c r="E1618" t="inlineStr">
        <is>
          <t>SUNDSVALL</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20364-2023</t>
        </is>
      </c>
      <c r="B1619" s="1" t="n">
        <v>45054</v>
      </c>
      <c r="C1619" s="1" t="n">
        <v>45961</v>
      </c>
      <c r="D1619" t="inlineStr">
        <is>
          <t>VÄSTERNORRLANDS LÄN</t>
        </is>
      </c>
      <c r="E1619" t="inlineStr">
        <is>
          <t>SUNDSVALL</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35500-2023</t>
        </is>
      </c>
      <c r="B1620" s="1" t="n">
        <v>45146.9228125</v>
      </c>
      <c r="C1620" s="1" t="n">
        <v>45961</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63774-2020</t>
        </is>
      </c>
      <c r="B1621" s="1" t="n">
        <v>44166</v>
      </c>
      <c r="C1621" s="1" t="n">
        <v>45961</v>
      </c>
      <c r="D1621" t="inlineStr">
        <is>
          <t>VÄSTERNORRLANDS LÄN</t>
        </is>
      </c>
      <c r="E1621" t="inlineStr">
        <is>
          <t>SUNDSVALL</t>
        </is>
      </c>
      <c r="F1621" t="inlineStr">
        <is>
          <t>Kommuner</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13818-2024</t>
        </is>
      </c>
      <c r="B1622" s="1" t="n">
        <v>45391</v>
      </c>
      <c r="C1622" s="1" t="n">
        <v>45961</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63655-2021</t>
        </is>
      </c>
      <c r="B1623" s="1" t="n">
        <v>44508</v>
      </c>
      <c r="C1623" s="1" t="n">
        <v>45961</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63661-2021</t>
        </is>
      </c>
      <c r="B1624" s="1" t="n">
        <v>44508</v>
      </c>
      <c r="C1624" s="1" t="n">
        <v>45961</v>
      </c>
      <c r="D1624" t="inlineStr">
        <is>
          <t>VÄSTERNORRLANDS LÄN</t>
        </is>
      </c>
      <c r="E1624" t="inlineStr">
        <is>
          <t>SUNDSVALL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35881-2025</t>
        </is>
      </c>
      <c r="B1625" s="1" t="n">
        <v>45862.38577546296</v>
      </c>
      <c r="C1625" s="1" t="n">
        <v>45961</v>
      </c>
      <c r="D1625" t="inlineStr">
        <is>
          <t>VÄSTERNORRLANDS LÄN</t>
        </is>
      </c>
      <c r="E1625" t="inlineStr">
        <is>
          <t>SUNDSVALL</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27759-2023</t>
        </is>
      </c>
      <c r="B1626" s="1" t="n">
        <v>45093</v>
      </c>
      <c r="C1626" s="1" t="n">
        <v>45961</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47565-2021</t>
        </is>
      </c>
      <c r="B1627" s="1" t="n">
        <v>44447</v>
      </c>
      <c r="C1627" s="1" t="n">
        <v>45961</v>
      </c>
      <c r="D1627" t="inlineStr">
        <is>
          <t>VÄSTERNORRLANDS LÄN</t>
        </is>
      </c>
      <c r="E1627" t="inlineStr">
        <is>
          <t>SUNDSVALL</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3197-2024</t>
        </is>
      </c>
      <c r="B1628" s="1" t="n">
        <v>45316</v>
      </c>
      <c r="C1628" s="1" t="n">
        <v>45961</v>
      </c>
      <c r="D1628" t="inlineStr">
        <is>
          <t>VÄSTERNORRLANDS LÄN</t>
        </is>
      </c>
      <c r="E1628" t="inlineStr">
        <is>
          <t>SUNDSVALL</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35926-2025</t>
        </is>
      </c>
      <c r="B1629" s="1" t="n">
        <v>45862.59415509259</v>
      </c>
      <c r="C1629" s="1" t="n">
        <v>45961</v>
      </c>
      <c r="D1629" t="inlineStr">
        <is>
          <t>VÄSTERNORRLANDS LÄN</t>
        </is>
      </c>
      <c r="E1629" t="inlineStr">
        <is>
          <t>SUNDSVALL</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35927-2025</t>
        </is>
      </c>
      <c r="B1630" s="1" t="n">
        <v>45862.5943287037</v>
      </c>
      <c r="C1630" s="1" t="n">
        <v>45961</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35901-2025</t>
        </is>
      </c>
      <c r="B1631" s="1" t="n">
        <v>45862.48984953704</v>
      </c>
      <c r="C1631" s="1" t="n">
        <v>45961</v>
      </c>
      <c r="D1631" t="inlineStr">
        <is>
          <t>VÄSTERNORRLANDS LÄN</t>
        </is>
      </c>
      <c r="E1631" t="inlineStr">
        <is>
          <t>SUNDSVALL</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34192-2023</t>
        </is>
      </c>
      <c r="B1632" s="1" t="n">
        <v>45138</v>
      </c>
      <c r="C1632" s="1" t="n">
        <v>45961</v>
      </c>
      <c r="D1632" t="inlineStr">
        <is>
          <t>VÄSTERNORRLANDS LÄN</t>
        </is>
      </c>
      <c r="E1632" t="inlineStr">
        <is>
          <t>SUNDSVALL</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35861-2025</t>
        </is>
      </c>
      <c r="B1633" s="1" t="n">
        <v>45861.65689814815</v>
      </c>
      <c r="C1633" s="1" t="n">
        <v>45961</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35942-2025</t>
        </is>
      </c>
      <c r="B1634" s="1" t="n">
        <v>45862.6775</v>
      </c>
      <c r="C1634" s="1" t="n">
        <v>45961</v>
      </c>
      <c r="D1634" t="inlineStr">
        <is>
          <t>VÄSTERNORRLANDS LÄN</t>
        </is>
      </c>
      <c r="E1634" t="inlineStr">
        <is>
          <t>SUNDSVALL</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48752-2023</t>
        </is>
      </c>
      <c r="B1635" s="1" t="n">
        <v>45208.89585648148</v>
      </c>
      <c r="C1635" s="1" t="n">
        <v>45961</v>
      </c>
      <c r="D1635" t="inlineStr">
        <is>
          <t>VÄSTERNORRLANDS LÄN</t>
        </is>
      </c>
      <c r="E1635" t="inlineStr">
        <is>
          <t>SUNDSVALL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36073-2025</t>
        </is>
      </c>
      <c r="B1636" s="1" t="n">
        <v>45866.4346412037</v>
      </c>
      <c r="C1636" s="1" t="n">
        <v>45961</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28186-2024</t>
        </is>
      </c>
      <c r="B1637" s="1" t="n">
        <v>45477</v>
      </c>
      <c r="C1637" s="1" t="n">
        <v>45961</v>
      </c>
      <c r="D1637" t="inlineStr">
        <is>
          <t>VÄSTERNORRLANDS LÄN</t>
        </is>
      </c>
      <c r="E1637" t="inlineStr">
        <is>
          <t>SUNDSVALL</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35979-2025</t>
        </is>
      </c>
      <c r="B1638" s="1" t="n">
        <v>45863.44825231482</v>
      </c>
      <c r="C1638" s="1" t="n">
        <v>45961</v>
      </c>
      <c r="D1638" t="inlineStr">
        <is>
          <t>VÄSTERNORRLANDS LÄN</t>
        </is>
      </c>
      <c r="E1638" t="inlineStr">
        <is>
          <t>SUNDSVALL</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35973-2025</t>
        </is>
      </c>
      <c r="B1639" s="1" t="n">
        <v>45863.42748842593</v>
      </c>
      <c r="C1639" s="1" t="n">
        <v>45961</v>
      </c>
      <c r="D1639" t="inlineStr">
        <is>
          <t>VÄSTERNORRLANDS LÄN</t>
        </is>
      </c>
      <c r="E1639" t="inlineStr">
        <is>
          <t>SUNDSVALL</t>
        </is>
      </c>
      <c r="F1639" t="inlineStr">
        <is>
          <t>SCA</t>
        </is>
      </c>
      <c r="G1639" t="n">
        <v>15.5</v>
      </c>
      <c r="H1639" t="n">
        <v>0</v>
      </c>
      <c r="I1639" t="n">
        <v>0</v>
      </c>
      <c r="J1639" t="n">
        <v>0</v>
      </c>
      <c r="K1639" t="n">
        <v>0</v>
      </c>
      <c r="L1639" t="n">
        <v>0</v>
      </c>
      <c r="M1639" t="n">
        <v>0</v>
      </c>
      <c r="N1639" t="n">
        <v>0</v>
      </c>
      <c r="O1639" t="n">
        <v>0</v>
      </c>
      <c r="P1639" t="n">
        <v>0</v>
      </c>
      <c r="Q1639" t="n">
        <v>0</v>
      </c>
      <c r="R1639" s="2" t="inlineStr"/>
    </row>
    <row r="1640" ht="15" customHeight="1">
      <c r="A1640" t="inlineStr">
        <is>
          <t>A 2373-2024</t>
        </is>
      </c>
      <c r="B1640" s="1" t="n">
        <v>45310</v>
      </c>
      <c r="C1640" s="1" t="n">
        <v>45961</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23990-2022</t>
        </is>
      </c>
      <c r="B1641" s="1" t="n">
        <v>44722</v>
      </c>
      <c r="C1641" s="1" t="n">
        <v>45961</v>
      </c>
      <c r="D1641" t="inlineStr">
        <is>
          <t>VÄSTERNORRLANDS LÄN</t>
        </is>
      </c>
      <c r="E1641" t="inlineStr">
        <is>
          <t>SUNDSVALL</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64313-2023</t>
        </is>
      </c>
      <c r="B1642" s="1" t="n">
        <v>45279</v>
      </c>
      <c r="C1642" s="1" t="n">
        <v>45961</v>
      </c>
      <c r="D1642" t="inlineStr">
        <is>
          <t>VÄSTERNORRLANDS LÄN</t>
        </is>
      </c>
      <c r="E1642" t="inlineStr">
        <is>
          <t>SUNDSVALL</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63987-2023</t>
        </is>
      </c>
      <c r="B1643" s="1" t="n">
        <v>45278</v>
      </c>
      <c r="C1643" s="1" t="n">
        <v>45961</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63989-2023</t>
        </is>
      </c>
      <c r="B1644" s="1" t="n">
        <v>45278</v>
      </c>
      <c r="C1644" s="1" t="n">
        <v>45961</v>
      </c>
      <c r="D1644" t="inlineStr">
        <is>
          <t>VÄSTERNORRLANDS LÄN</t>
        </is>
      </c>
      <c r="E1644" t="inlineStr">
        <is>
          <t>SUNDSVALL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13488-2025</t>
        </is>
      </c>
      <c r="B1645" s="1" t="n">
        <v>45736</v>
      </c>
      <c r="C1645" s="1" t="n">
        <v>45961</v>
      </c>
      <c r="D1645" t="inlineStr">
        <is>
          <t>VÄSTERNORRLANDS LÄN</t>
        </is>
      </c>
      <c r="E1645" t="inlineStr">
        <is>
          <t>SUNDSVALL</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1428-2024</t>
        </is>
      </c>
      <c r="B1646" s="1" t="n">
        <v>45303</v>
      </c>
      <c r="C1646" s="1" t="n">
        <v>45961</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34744-2022</t>
        </is>
      </c>
      <c r="B1647" s="1" t="n">
        <v>44795.62546296296</v>
      </c>
      <c r="C1647" s="1" t="n">
        <v>45961</v>
      </c>
      <c r="D1647" t="inlineStr">
        <is>
          <t>VÄSTERNORRLANDS LÄN</t>
        </is>
      </c>
      <c r="E1647" t="inlineStr">
        <is>
          <t>SUNDSVALL</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59723-2021</t>
        </is>
      </c>
      <c r="B1648" s="1" t="n">
        <v>44494.42824074074</v>
      </c>
      <c r="C1648" s="1" t="n">
        <v>45961</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32653-2024</t>
        </is>
      </c>
      <c r="B1649" s="1" t="n">
        <v>45513.9644675926</v>
      </c>
      <c r="C1649" s="1" t="n">
        <v>45961</v>
      </c>
      <c r="D1649" t="inlineStr">
        <is>
          <t>VÄSTERNORRLANDS LÄN</t>
        </is>
      </c>
      <c r="E1649" t="inlineStr">
        <is>
          <t>SUNDSVALL</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36329-2025</t>
        </is>
      </c>
      <c r="B1650" s="1" t="n">
        <v>45868.42763888889</v>
      </c>
      <c r="C1650" s="1" t="n">
        <v>45961</v>
      </c>
      <c r="D1650" t="inlineStr">
        <is>
          <t>VÄSTERNORRLANDS LÄN</t>
        </is>
      </c>
      <c r="E1650" t="inlineStr">
        <is>
          <t>SUNDSVALL</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36330-2025</t>
        </is>
      </c>
      <c r="B1651" s="1" t="n">
        <v>45868.42768518518</v>
      </c>
      <c r="C1651" s="1" t="n">
        <v>45961</v>
      </c>
      <c r="D1651" t="inlineStr">
        <is>
          <t>VÄSTERNORRLANDS LÄN</t>
        </is>
      </c>
      <c r="E1651" t="inlineStr">
        <is>
          <t>SUNDSVALL</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3958-2024</t>
        </is>
      </c>
      <c r="B1652" s="1" t="n">
        <v>45322</v>
      </c>
      <c r="C1652" s="1" t="n">
        <v>45961</v>
      </c>
      <c r="D1652" t="inlineStr">
        <is>
          <t>VÄSTERNORRLANDS LÄN</t>
        </is>
      </c>
      <c r="E1652" t="inlineStr">
        <is>
          <t>SUNDSVALL</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19760-2025</t>
        </is>
      </c>
      <c r="B1653" s="1" t="n">
        <v>45771.40658564815</v>
      </c>
      <c r="C1653" s="1" t="n">
        <v>45961</v>
      </c>
      <c r="D1653" t="inlineStr">
        <is>
          <t>VÄSTERNORRLANDS LÄN</t>
        </is>
      </c>
      <c r="E1653" t="inlineStr">
        <is>
          <t>SUNDSVALL</t>
        </is>
      </c>
      <c r="F1653" t="inlineStr">
        <is>
          <t>SCA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36622-2025</t>
        </is>
      </c>
      <c r="B1654" s="1" t="n">
        <v>45870.65707175926</v>
      </c>
      <c r="C1654" s="1" t="n">
        <v>45961</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35504-2023</t>
        </is>
      </c>
      <c r="B1655" s="1" t="n">
        <v>45146.94744212963</v>
      </c>
      <c r="C1655" s="1" t="n">
        <v>45961</v>
      </c>
      <c r="D1655" t="inlineStr">
        <is>
          <t>VÄSTERNORRLANDS LÄN</t>
        </is>
      </c>
      <c r="E1655" t="inlineStr">
        <is>
          <t>SUNDSVALL</t>
        </is>
      </c>
      <c r="F1655" t="inlineStr">
        <is>
          <t>Naturvårdsverket</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28480-2022</t>
        </is>
      </c>
      <c r="B1656" s="1" t="n">
        <v>44747</v>
      </c>
      <c r="C1656" s="1" t="n">
        <v>45961</v>
      </c>
      <c r="D1656" t="inlineStr">
        <is>
          <t>VÄSTERNORRLANDS LÄN</t>
        </is>
      </c>
      <c r="E1656" t="inlineStr">
        <is>
          <t>SUNDSVALL</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36546-2025</t>
        </is>
      </c>
      <c r="B1657" s="1" t="n">
        <v>45869.69824074074</v>
      </c>
      <c r="C1657" s="1" t="n">
        <v>45961</v>
      </c>
      <c r="D1657" t="inlineStr">
        <is>
          <t>VÄSTERNORRLANDS LÄN</t>
        </is>
      </c>
      <c r="E1657" t="inlineStr">
        <is>
          <t>SUNDSVALL</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36458-2025</t>
        </is>
      </c>
      <c r="B1658" s="1" t="n">
        <v>45869.44858796296</v>
      </c>
      <c r="C1658" s="1" t="n">
        <v>45961</v>
      </c>
      <c r="D1658" t="inlineStr">
        <is>
          <t>VÄSTERNORRLANDS LÄN</t>
        </is>
      </c>
      <c r="E1658" t="inlineStr">
        <is>
          <t>SUNDSVALL</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47346-2025</t>
        </is>
      </c>
      <c r="B1659" s="1" t="n">
        <v>45930.57329861111</v>
      </c>
      <c r="C1659" s="1" t="n">
        <v>45961</v>
      </c>
      <c r="D1659" t="inlineStr">
        <is>
          <t>VÄSTERNORRLANDS LÄN</t>
        </is>
      </c>
      <c r="E1659" t="inlineStr">
        <is>
          <t>SUNDSVALL</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47379-2025</t>
        </is>
      </c>
      <c r="B1660" s="1" t="n">
        <v>45930.59488425926</v>
      </c>
      <c r="C1660" s="1" t="n">
        <v>45961</v>
      </c>
      <c r="D1660" t="inlineStr">
        <is>
          <t>VÄSTERNORRLANDS LÄN</t>
        </is>
      </c>
      <c r="E1660" t="inlineStr">
        <is>
          <t>SUNDSVALL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31185-2025</t>
        </is>
      </c>
      <c r="B1661" s="1" t="n">
        <v>45832.67805555555</v>
      </c>
      <c r="C1661" s="1" t="n">
        <v>45961</v>
      </c>
      <c r="D1661" t="inlineStr">
        <is>
          <t>VÄSTERNORRLANDS LÄN</t>
        </is>
      </c>
      <c r="E1661" t="inlineStr">
        <is>
          <t>SUNDSVALL</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47071-2025</t>
        </is>
      </c>
      <c r="B1662" s="1" t="n">
        <v>45929.63642361111</v>
      </c>
      <c r="C1662" s="1" t="n">
        <v>45961</v>
      </c>
      <c r="D1662" t="inlineStr">
        <is>
          <t>VÄSTERNORRLANDS LÄN</t>
        </is>
      </c>
      <c r="E1662" t="inlineStr">
        <is>
          <t>SUNDSVALL</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7959-2025</t>
        </is>
      </c>
      <c r="B1663" s="1" t="n">
        <v>45707.43788194445</v>
      </c>
      <c r="C1663" s="1" t="n">
        <v>45961</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36950-2025</t>
        </is>
      </c>
      <c r="B1664" s="1" t="n">
        <v>45874.60196759259</v>
      </c>
      <c r="C1664" s="1" t="n">
        <v>45961</v>
      </c>
      <c r="D1664" t="inlineStr">
        <is>
          <t>VÄSTERNORRLANDS LÄN</t>
        </is>
      </c>
      <c r="E1664" t="inlineStr">
        <is>
          <t>SUNDSVALL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3948-2025</t>
        </is>
      </c>
      <c r="B1665" s="1" t="n">
        <v>45684.49009259259</v>
      </c>
      <c r="C1665" s="1" t="n">
        <v>45961</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52502-2023</t>
        </is>
      </c>
      <c r="B1666" s="1" t="n">
        <v>45225</v>
      </c>
      <c r="C1666" s="1" t="n">
        <v>45961</v>
      </c>
      <c r="D1666" t="inlineStr">
        <is>
          <t>VÄSTERNORRLANDS LÄN</t>
        </is>
      </c>
      <c r="E1666" t="inlineStr">
        <is>
          <t>SUNDSVALL</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36743-2025</t>
        </is>
      </c>
      <c r="B1667" s="1" t="n">
        <v>45873.53770833334</v>
      </c>
      <c r="C1667" s="1" t="n">
        <v>45961</v>
      </c>
      <c r="D1667" t="inlineStr">
        <is>
          <t>VÄSTERNORRLANDS LÄN</t>
        </is>
      </c>
      <c r="E1667" t="inlineStr">
        <is>
          <t>SUNDSVALL</t>
        </is>
      </c>
      <c r="G1667" t="n">
        <v>11.2</v>
      </c>
      <c r="H1667" t="n">
        <v>0</v>
      </c>
      <c r="I1667" t="n">
        <v>0</v>
      </c>
      <c r="J1667" t="n">
        <v>0</v>
      </c>
      <c r="K1667" t="n">
        <v>0</v>
      </c>
      <c r="L1667" t="n">
        <v>0</v>
      </c>
      <c r="M1667" t="n">
        <v>0</v>
      </c>
      <c r="N1667" t="n">
        <v>0</v>
      </c>
      <c r="O1667" t="n">
        <v>0</v>
      </c>
      <c r="P1667" t="n">
        <v>0</v>
      </c>
      <c r="Q1667" t="n">
        <v>0</v>
      </c>
      <c r="R1667" s="2" t="inlineStr"/>
    </row>
    <row r="1668" ht="15" customHeight="1">
      <c r="A1668" t="inlineStr">
        <is>
          <t>A 36667-2025</t>
        </is>
      </c>
      <c r="B1668" s="1" t="n">
        <v>45873.381875</v>
      </c>
      <c r="C1668" s="1" t="n">
        <v>45961</v>
      </c>
      <c r="D1668" t="inlineStr">
        <is>
          <t>VÄSTERNORRLANDS LÄN</t>
        </is>
      </c>
      <c r="E1668" t="inlineStr">
        <is>
          <t>SUNDSVALL</t>
        </is>
      </c>
      <c r="F1668" t="inlineStr">
        <is>
          <t>Holmen skog AB</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50652-2022</t>
        </is>
      </c>
      <c r="B1669" s="1" t="n">
        <v>44866</v>
      </c>
      <c r="C1669" s="1" t="n">
        <v>45961</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36946-2025</t>
        </is>
      </c>
      <c r="B1670" s="1" t="n">
        <v>45874.59483796296</v>
      </c>
      <c r="C1670" s="1" t="n">
        <v>45961</v>
      </c>
      <c r="D1670" t="inlineStr">
        <is>
          <t>VÄSTERNORRLANDS LÄN</t>
        </is>
      </c>
      <c r="E1670" t="inlineStr">
        <is>
          <t>SUNDSVALL</t>
        </is>
      </c>
      <c r="F1670" t="inlineStr">
        <is>
          <t>SCA</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34423-2023</t>
        </is>
      </c>
      <c r="B1671" s="1" t="n">
        <v>45139.60361111111</v>
      </c>
      <c r="C1671" s="1" t="n">
        <v>45961</v>
      </c>
      <c r="D1671" t="inlineStr">
        <is>
          <t>VÄSTERNORRLANDS LÄN</t>
        </is>
      </c>
      <c r="E1671" t="inlineStr">
        <is>
          <t>SUNDSVALL</t>
        </is>
      </c>
      <c r="F1671" t="inlineStr">
        <is>
          <t>Holmen skog AB</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13506-2023</t>
        </is>
      </c>
      <c r="B1672" s="1" t="n">
        <v>45006</v>
      </c>
      <c r="C1672" s="1" t="n">
        <v>45961</v>
      </c>
      <c r="D1672" t="inlineStr">
        <is>
          <t>VÄSTERNORRLANDS LÄN</t>
        </is>
      </c>
      <c r="E1672" t="inlineStr">
        <is>
          <t>SUNDSVALL</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37009-2025</t>
        </is>
      </c>
      <c r="B1673" s="1" t="n">
        <v>45874.70120370371</v>
      </c>
      <c r="C1673" s="1" t="n">
        <v>45961</v>
      </c>
      <c r="D1673" t="inlineStr">
        <is>
          <t>VÄSTERNORRLANDS LÄN</t>
        </is>
      </c>
      <c r="E1673" t="inlineStr">
        <is>
          <t>SUNDSVALL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199-2024</t>
        </is>
      </c>
      <c r="B1674" s="1" t="n">
        <v>45294.63547453703</v>
      </c>
      <c r="C1674" s="1" t="n">
        <v>45961</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32380-2023</t>
        </is>
      </c>
      <c r="B1675" s="1" t="n">
        <v>45120.58898148148</v>
      </c>
      <c r="C1675" s="1" t="n">
        <v>45961</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36755-2025</t>
        </is>
      </c>
      <c r="B1676" s="1" t="n">
        <v>45873.56207175926</v>
      </c>
      <c r="C1676" s="1" t="n">
        <v>45961</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36972-2025</t>
        </is>
      </c>
      <c r="B1677" s="1" t="n">
        <v>45874.63732638889</v>
      </c>
      <c r="C1677" s="1" t="n">
        <v>45961</v>
      </c>
      <c r="D1677" t="inlineStr">
        <is>
          <t>VÄSTERNORRLANDS LÄN</t>
        </is>
      </c>
      <c r="E1677" t="inlineStr">
        <is>
          <t>SUNDSVALL</t>
        </is>
      </c>
      <c r="F1677" t="inlineStr">
        <is>
          <t>SCA</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5296-2025</t>
        </is>
      </c>
      <c r="B1678" s="1" t="n">
        <v>45692.45554398148</v>
      </c>
      <c r="C1678" s="1" t="n">
        <v>45961</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37001-2025</t>
        </is>
      </c>
      <c r="B1679" s="1" t="n">
        <v>45874.68542824074</v>
      </c>
      <c r="C1679" s="1" t="n">
        <v>45961</v>
      </c>
      <c r="D1679" t="inlineStr">
        <is>
          <t>VÄSTERNORRLANDS LÄN</t>
        </is>
      </c>
      <c r="E1679" t="inlineStr">
        <is>
          <t>SUNDSVALL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37003-2025</t>
        </is>
      </c>
      <c r="B1680" s="1" t="n">
        <v>45874.68918981482</v>
      </c>
      <c r="C1680" s="1" t="n">
        <v>45961</v>
      </c>
      <c r="D1680" t="inlineStr">
        <is>
          <t>VÄSTERNORRLANDS LÄN</t>
        </is>
      </c>
      <c r="E1680" t="inlineStr">
        <is>
          <t>SUNDSVALL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47129-2025</t>
        </is>
      </c>
      <c r="B1681" s="1" t="n">
        <v>45929</v>
      </c>
      <c r="C1681" s="1" t="n">
        <v>45961</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36772-2025</t>
        </is>
      </c>
      <c r="B1682" s="1" t="n">
        <v>45873</v>
      </c>
      <c r="C1682" s="1" t="n">
        <v>45961</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37113-2025</t>
        </is>
      </c>
      <c r="B1683" s="1" t="n">
        <v>45875.51104166666</v>
      </c>
      <c r="C1683" s="1" t="n">
        <v>45961</v>
      </c>
      <c r="D1683" t="inlineStr">
        <is>
          <t>VÄSTERNORRLANDS LÄN</t>
        </is>
      </c>
      <c r="E1683" t="inlineStr">
        <is>
          <t>SUNDSVALL</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27693-2023</t>
        </is>
      </c>
      <c r="B1684" s="1" t="n">
        <v>45097.9384375</v>
      </c>
      <c r="C1684" s="1" t="n">
        <v>45961</v>
      </c>
      <c r="D1684" t="inlineStr">
        <is>
          <t>VÄSTERNORRLANDS LÄN</t>
        </is>
      </c>
      <c r="E1684" t="inlineStr">
        <is>
          <t>SUNDSVALL</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37329-2025</t>
        </is>
      </c>
      <c r="B1685" s="1" t="n">
        <v>45876</v>
      </c>
      <c r="C1685" s="1" t="n">
        <v>45961</v>
      </c>
      <c r="D1685" t="inlineStr">
        <is>
          <t>VÄSTERNORRLANDS LÄN</t>
        </is>
      </c>
      <c r="E1685" t="inlineStr">
        <is>
          <t>SUNDSVALL</t>
        </is>
      </c>
      <c r="F1685" t="inlineStr">
        <is>
          <t>SCA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12743-2023</t>
        </is>
      </c>
      <c r="B1686" s="1" t="n">
        <v>45000.94775462963</v>
      </c>
      <c r="C1686" s="1" t="n">
        <v>45961</v>
      </c>
      <c r="D1686" t="inlineStr">
        <is>
          <t>VÄSTERNORRLANDS LÄN</t>
        </is>
      </c>
      <c r="E1686" t="inlineStr">
        <is>
          <t>SUNDSVALL</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7003-2023</t>
        </is>
      </c>
      <c r="B1687" s="1" t="n">
        <v>44967.92920138889</v>
      </c>
      <c r="C1687" s="1" t="n">
        <v>45961</v>
      </c>
      <c r="D1687" t="inlineStr">
        <is>
          <t>VÄSTERNORRLANDS LÄN</t>
        </is>
      </c>
      <c r="E1687" t="inlineStr">
        <is>
          <t>SUNDSVALL</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37081-2025</t>
        </is>
      </c>
      <c r="B1688" s="1" t="n">
        <v>45875.43229166666</v>
      </c>
      <c r="C1688" s="1" t="n">
        <v>45961</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51050-2024</t>
        </is>
      </c>
      <c r="B1689" s="1" t="n">
        <v>45603.4465625</v>
      </c>
      <c r="C1689" s="1" t="n">
        <v>45961</v>
      </c>
      <c r="D1689" t="inlineStr">
        <is>
          <t>VÄSTERNORRLANDS LÄN</t>
        </is>
      </c>
      <c r="E1689" t="inlineStr">
        <is>
          <t>SUNDSVALL</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37114-2025</t>
        </is>
      </c>
      <c r="B1690" s="1" t="n">
        <v>45875.5112037037</v>
      </c>
      <c r="C1690" s="1" t="n">
        <v>45961</v>
      </c>
      <c r="D1690" t="inlineStr">
        <is>
          <t>VÄSTERNORRLANDS LÄN</t>
        </is>
      </c>
      <c r="E1690" t="inlineStr">
        <is>
          <t>SUNDSVALL</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31440-2024</t>
        </is>
      </c>
      <c r="B1691" s="1" t="n">
        <v>45505</v>
      </c>
      <c r="C1691" s="1" t="n">
        <v>45961</v>
      </c>
      <c r="D1691" t="inlineStr">
        <is>
          <t>VÄSTERNORRLANDS LÄN</t>
        </is>
      </c>
      <c r="E1691" t="inlineStr">
        <is>
          <t>SUNDSVALL</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37205-2025</t>
        </is>
      </c>
      <c r="B1692" s="1" t="n">
        <v>45875.69844907407</v>
      </c>
      <c r="C1692" s="1" t="n">
        <v>45961</v>
      </c>
      <c r="D1692" t="inlineStr">
        <is>
          <t>VÄSTERNORRLANDS LÄN</t>
        </is>
      </c>
      <c r="E1692" t="inlineStr">
        <is>
          <t>SUNDSVALL</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36971-2025</t>
        </is>
      </c>
      <c r="B1693" s="1" t="n">
        <v>45874.6371875</v>
      </c>
      <c r="C1693" s="1" t="n">
        <v>45961</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37080-2025</t>
        </is>
      </c>
      <c r="B1694" s="1" t="n">
        <v>45875.42811342593</v>
      </c>
      <c r="C1694" s="1" t="n">
        <v>45961</v>
      </c>
      <c r="D1694" t="inlineStr">
        <is>
          <t>VÄSTERNORRLANDS LÄN</t>
        </is>
      </c>
      <c r="E1694" t="inlineStr">
        <is>
          <t>SUNDSVALL</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37165-2025</t>
        </is>
      </c>
      <c r="B1695" s="1" t="n">
        <v>45875.60496527778</v>
      </c>
      <c r="C1695" s="1" t="n">
        <v>45961</v>
      </c>
      <c r="D1695" t="inlineStr">
        <is>
          <t>VÄSTERNORRLANDS LÄN</t>
        </is>
      </c>
      <c r="E1695" t="inlineStr">
        <is>
          <t>SUNDSVALL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46899-2025</t>
        </is>
      </c>
      <c r="B1696" s="1" t="n">
        <v>45929.3870949074</v>
      </c>
      <c r="C1696" s="1" t="n">
        <v>45961</v>
      </c>
      <c r="D1696" t="inlineStr">
        <is>
          <t>VÄSTERNORRLANDS LÄN</t>
        </is>
      </c>
      <c r="E1696" t="inlineStr">
        <is>
          <t>SUNDSVALL</t>
        </is>
      </c>
      <c r="F1696" t="inlineStr">
        <is>
          <t>SCA</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35010-2023</t>
        </is>
      </c>
      <c r="B1697" s="1" t="n">
        <v>45142</v>
      </c>
      <c r="C1697" s="1" t="n">
        <v>45961</v>
      </c>
      <c r="D1697" t="inlineStr">
        <is>
          <t>VÄSTERNORRLANDS LÄN</t>
        </is>
      </c>
      <c r="E1697" t="inlineStr">
        <is>
          <t>SUNDSVALL</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47378-2025</t>
        </is>
      </c>
      <c r="B1698" s="1" t="n">
        <v>45930.59487268519</v>
      </c>
      <c r="C1698" s="1" t="n">
        <v>45961</v>
      </c>
      <c r="D1698" t="inlineStr">
        <is>
          <t>VÄSTERNORRLANDS LÄN</t>
        </is>
      </c>
      <c r="E1698" t="inlineStr">
        <is>
          <t>SUNDSVALL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26084-2024</t>
        </is>
      </c>
      <c r="B1699" s="1" t="n">
        <v>45468</v>
      </c>
      <c r="C1699" s="1" t="n">
        <v>45961</v>
      </c>
      <c r="D1699" t="inlineStr">
        <is>
          <t>VÄSTERNORRLANDS LÄN</t>
        </is>
      </c>
      <c r="E1699" t="inlineStr">
        <is>
          <t>SUNDSVALL</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59910-2023</t>
        </is>
      </c>
      <c r="B1700" s="1" t="n">
        <v>45257.63450231482</v>
      </c>
      <c r="C1700" s="1" t="n">
        <v>45961</v>
      </c>
      <c r="D1700" t="inlineStr">
        <is>
          <t>VÄSTERNORRLANDS LÄN</t>
        </is>
      </c>
      <c r="E1700" t="inlineStr">
        <is>
          <t>SUNDSVALL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25011-2022</t>
        </is>
      </c>
      <c r="B1701" s="1" t="n">
        <v>44728.92876157408</v>
      </c>
      <c r="C1701" s="1" t="n">
        <v>45961</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37577-2025</t>
        </is>
      </c>
      <c r="B1702" s="1" t="n">
        <v>45880.38368055555</v>
      </c>
      <c r="C1702" s="1" t="n">
        <v>45961</v>
      </c>
      <c r="D1702" t="inlineStr">
        <is>
          <t>VÄSTERNORRLANDS LÄN</t>
        </is>
      </c>
      <c r="E1702" t="inlineStr">
        <is>
          <t>SUNDSVALL</t>
        </is>
      </c>
      <c r="F1702" t="inlineStr">
        <is>
          <t>Holmen skog AB</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37598-2025</t>
        </is>
      </c>
      <c r="B1703" s="1" t="n">
        <v>45880.41893518518</v>
      </c>
      <c r="C1703" s="1" t="n">
        <v>45961</v>
      </c>
      <c r="D1703" t="inlineStr">
        <is>
          <t>VÄSTERNORRLANDS LÄN</t>
        </is>
      </c>
      <c r="E1703" t="inlineStr">
        <is>
          <t>SUNDSVALL</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13302-2025</t>
        </is>
      </c>
      <c r="B1704" s="1" t="n">
        <v>45735.5747337963</v>
      </c>
      <c r="C1704" s="1" t="n">
        <v>45961</v>
      </c>
      <c r="D1704" t="inlineStr">
        <is>
          <t>VÄSTERNORRLANDS LÄN</t>
        </is>
      </c>
      <c r="E1704" t="inlineStr">
        <is>
          <t>SUNDSVALL</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45571-2025</t>
        </is>
      </c>
      <c r="B1705" s="1" t="n">
        <v>45922.65731481482</v>
      </c>
      <c r="C1705" s="1" t="n">
        <v>45961</v>
      </c>
      <c r="D1705" t="inlineStr">
        <is>
          <t>VÄSTERNORRLANDS LÄN</t>
        </is>
      </c>
      <c r="E1705" t="inlineStr">
        <is>
          <t>SUNDSVALL</t>
        </is>
      </c>
      <c r="F1705" t="inlineStr">
        <is>
          <t>SCA</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25153-2025</t>
        </is>
      </c>
      <c r="B1706" s="1" t="n">
        <v>45800.42759259259</v>
      </c>
      <c r="C1706" s="1" t="n">
        <v>45961</v>
      </c>
      <c r="D1706" t="inlineStr">
        <is>
          <t>VÄSTERNORRLANDS LÄN</t>
        </is>
      </c>
      <c r="E1706" t="inlineStr">
        <is>
          <t>SUNDSVALL</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27959-2021</t>
        </is>
      </c>
      <c r="B1707" s="1" t="n">
        <v>44354</v>
      </c>
      <c r="C1707" s="1" t="n">
        <v>45961</v>
      </c>
      <c r="D1707" t="inlineStr">
        <is>
          <t>VÄSTERNORRLANDS LÄN</t>
        </is>
      </c>
      <c r="E1707" t="inlineStr">
        <is>
          <t>SUNDSVALL</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50203-2024</t>
        </is>
      </c>
      <c r="B1708" s="1" t="n">
        <v>45600.49369212963</v>
      </c>
      <c r="C1708" s="1" t="n">
        <v>45961</v>
      </c>
      <c r="D1708" t="inlineStr">
        <is>
          <t>VÄSTERNORRLANDS LÄN</t>
        </is>
      </c>
      <c r="E1708" t="inlineStr">
        <is>
          <t>SUNDSVALL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29035-2023</t>
        </is>
      </c>
      <c r="B1709" s="1" t="n">
        <v>45104</v>
      </c>
      <c r="C1709" s="1" t="n">
        <v>45961</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8794-2025</t>
        </is>
      </c>
      <c r="B1710" s="1" t="n">
        <v>45712.64390046296</v>
      </c>
      <c r="C1710" s="1" t="n">
        <v>45961</v>
      </c>
      <c r="D1710" t="inlineStr">
        <is>
          <t>VÄSTERNORRLANDS LÄN</t>
        </is>
      </c>
      <c r="E1710" t="inlineStr">
        <is>
          <t>SUNDSVALL</t>
        </is>
      </c>
      <c r="G1710" t="n">
        <v>16.6</v>
      </c>
      <c r="H1710" t="n">
        <v>0</v>
      </c>
      <c r="I1710" t="n">
        <v>0</v>
      </c>
      <c r="J1710" t="n">
        <v>0</v>
      </c>
      <c r="K1710" t="n">
        <v>0</v>
      </c>
      <c r="L1710" t="n">
        <v>0</v>
      </c>
      <c r="M1710" t="n">
        <v>0</v>
      </c>
      <c r="N1710" t="n">
        <v>0</v>
      </c>
      <c r="O1710" t="n">
        <v>0</v>
      </c>
      <c r="P1710" t="n">
        <v>0</v>
      </c>
      <c r="Q1710" t="n">
        <v>0</v>
      </c>
      <c r="R1710" s="2" t="inlineStr"/>
    </row>
    <row r="1711" ht="15" customHeight="1">
      <c r="A1711" t="inlineStr">
        <is>
          <t>A 7229-2024</t>
        </is>
      </c>
      <c r="B1711" s="1" t="n">
        <v>45344</v>
      </c>
      <c r="C1711" s="1" t="n">
        <v>45961</v>
      </c>
      <c r="D1711" t="inlineStr">
        <is>
          <t>VÄSTERNORRLANDS LÄN</t>
        </is>
      </c>
      <c r="E1711" t="inlineStr">
        <is>
          <t>SUNDSVALL</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45094-2025</t>
        </is>
      </c>
      <c r="B1712" s="1" t="n">
        <v>45919.38578703703</v>
      </c>
      <c r="C1712" s="1" t="n">
        <v>45961</v>
      </c>
      <c r="D1712" t="inlineStr">
        <is>
          <t>VÄSTERNORRLANDS LÄN</t>
        </is>
      </c>
      <c r="E1712" t="inlineStr">
        <is>
          <t>SUNDSVALL</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50405-2022</t>
        </is>
      </c>
      <c r="B1713" s="1" t="n">
        <v>44861</v>
      </c>
      <c r="C1713" s="1" t="n">
        <v>45961</v>
      </c>
      <c r="D1713" t="inlineStr">
        <is>
          <t>VÄSTERNORRLANDS LÄN</t>
        </is>
      </c>
      <c r="E1713" t="inlineStr">
        <is>
          <t>SUNDSVALL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231-2024</t>
        </is>
      </c>
      <c r="B1714" s="1" t="n">
        <v>45294</v>
      </c>
      <c r="C1714" s="1" t="n">
        <v>45961</v>
      </c>
      <c r="D1714" t="inlineStr">
        <is>
          <t>VÄSTERNORRLANDS LÄN</t>
        </is>
      </c>
      <c r="E1714" t="inlineStr">
        <is>
          <t>SUNDSVALL</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45517-2025</t>
        </is>
      </c>
      <c r="B1715" s="1" t="n">
        <v>45922.58853009259</v>
      </c>
      <c r="C1715" s="1" t="n">
        <v>45961</v>
      </c>
      <c r="D1715" t="inlineStr">
        <is>
          <t>VÄSTERNORRLANDS LÄN</t>
        </is>
      </c>
      <c r="E1715" t="inlineStr">
        <is>
          <t>SUNDSVALL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37927-2023</t>
        </is>
      </c>
      <c r="B1716" s="1" t="n">
        <v>45160.50259259259</v>
      </c>
      <c r="C1716" s="1" t="n">
        <v>45961</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2585-2025</t>
        </is>
      </c>
      <c r="B1717" s="1" t="n">
        <v>45674.68055555555</v>
      </c>
      <c r="C1717" s="1" t="n">
        <v>45961</v>
      </c>
      <c r="D1717" t="inlineStr">
        <is>
          <t>VÄSTERNORRLANDS LÄN</t>
        </is>
      </c>
      <c r="E1717" t="inlineStr">
        <is>
          <t>SUNDSVALL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12015-2022</t>
        </is>
      </c>
      <c r="B1718" s="1" t="n">
        <v>44635.94351851852</v>
      </c>
      <c r="C1718" s="1" t="n">
        <v>45961</v>
      </c>
      <c r="D1718" t="inlineStr">
        <is>
          <t>VÄSTERNORRLANDS LÄN</t>
        </is>
      </c>
      <c r="E1718" t="inlineStr">
        <is>
          <t>SUNDSVALL</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45234-2025</t>
        </is>
      </c>
      <c r="B1719" s="1" t="n">
        <v>45919.59416666667</v>
      </c>
      <c r="C1719" s="1" t="n">
        <v>45961</v>
      </c>
      <c r="D1719" t="inlineStr">
        <is>
          <t>VÄSTERNORRLANDS LÄN</t>
        </is>
      </c>
      <c r="E1719" t="inlineStr">
        <is>
          <t>SUNDSVALL</t>
        </is>
      </c>
      <c r="F1719" t="inlineStr">
        <is>
          <t>SCA</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23557-2024</t>
        </is>
      </c>
      <c r="B1720" s="1" t="n">
        <v>45453.95444444445</v>
      </c>
      <c r="C1720" s="1" t="n">
        <v>45961</v>
      </c>
      <c r="D1720" t="inlineStr">
        <is>
          <t>VÄSTERNORRLANDS LÄN</t>
        </is>
      </c>
      <c r="E1720" t="inlineStr">
        <is>
          <t>SUNDSVALL</t>
        </is>
      </c>
      <c r="F1720" t="inlineStr">
        <is>
          <t>SCA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37588-2025</t>
        </is>
      </c>
      <c r="B1721" s="1" t="n">
        <v>45880.40707175926</v>
      </c>
      <c r="C1721" s="1" t="n">
        <v>45961</v>
      </c>
      <c r="D1721" t="inlineStr">
        <is>
          <t>VÄSTERNORRLANDS LÄN</t>
        </is>
      </c>
      <c r="E1721" t="inlineStr">
        <is>
          <t>SUNDSVALL</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47030-2023</t>
        </is>
      </c>
      <c r="B1722" s="1" t="n">
        <v>45196</v>
      </c>
      <c r="C1722" s="1" t="n">
        <v>45961</v>
      </c>
      <c r="D1722" t="inlineStr">
        <is>
          <t>VÄSTERNORRLANDS LÄN</t>
        </is>
      </c>
      <c r="E1722" t="inlineStr">
        <is>
          <t>SUNDSVALL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47149-2025</t>
        </is>
      </c>
      <c r="B1723" s="1" t="n">
        <v>45929.71913194445</v>
      </c>
      <c r="C1723" s="1" t="n">
        <v>45961</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37597-2025</t>
        </is>
      </c>
      <c r="B1724" s="1" t="n">
        <v>45880.41709490741</v>
      </c>
      <c r="C1724" s="1" t="n">
        <v>45961</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45134-2025</t>
        </is>
      </c>
      <c r="B1725" s="1" t="n">
        <v>45919.44836805556</v>
      </c>
      <c r="C1725" s="1" t="n">
        <v>45961</v>
      </c>
      <c r="D1725" t="inlineStr">
        <is>
          <t>VÄSTERNORRLANDS LÄN</t>
        </is>
      </c>
      <c r="E1725" t="inlineStr">
        <is>
          <t>SUNDSVALL</t>
        </is>
      </c>
      <c r="F1725" t="inlineStr">
        <is>
          <t>SCA</t>
        </is>
      </c>
      <c r="G1725" t="n">
        <v>17.6</v>
      </c>
      <c r="H1725" t="n">
        <v>0</v>
      </c>
      <c r="I1725" t="n">
        <v>0</v>
      </c>
      <c r="J1725" t="n">
        <v>0</v>
      </c>
      <c r="K1725" t="n">
        <v>0</v>
      </c>
      <c r="L1725" t="n">
        <v>0</v>
      </c>
      <c r="M1725" t="n">
        <v>0</v>
      </c>
      <c r="N1725" t="n">
        <v>0</v>
      </c>
      <c r="O1725" t="n">
        <v>0</v>
      </c>
      <c r="P1725" t="n">
        <v>0</v>
      </c>
      <c r="Q1725" t="n">
        <v>0</v>
      </c>
      <c r="R1725" s="2" t="inlineStr"/>
    </row>
    <row r="1726" ht="15" customHeight="1">
      <c r="A1726" t="inlineStr">
        <is>
          <t>A 20754-2024</t>
        </is>
      </c>
      <c r="B1726" s="1" t="n">
        <v>45436</v>
      </c>
      <c r="C1726" s="1" t="n">
        <v>45961</v>
      </c>
      <c r="D1726" t="inlineStr">
        <is>
          <t>VÄSTERNORRLANDS LÄN</t>
        </is>
      </c>
      <c r="E1726" t="inlineStr">
        <is>
          <t>SUNDSVALL</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58757-2024</t>
        </is>
      </c>
      <c r="B1727" s="1" t="n">
        <v>45635.71940972222</v>
      </c>
      <c r="C1727" s="1" t="n">
        <v>45961</v>
      </c>
      <c r="D1727" t="inlineStr">
        <is>
          <t>VÄSTERNORRLANDS LÄN</t>
        </is>
      </c>
      <c r="E1727" t="inlineStr">
        <is>
          <t>SUNDSVALL</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19805-2025</t>
        </is>
      </c>
      <c r="B1728" s="1" t="n">
        <v>45771</v>
      </c>
      <c r="C1728" s="1" t="n">
        <v>45961</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11028-2025</t>
        </is>
      </c>
      <c r="B1729" s="1" t="n">
        <v>45723.46983796296</v>
      </c>
      <c r="C1729" s="1" t="n">
        <v>45961</v>
      </c>
      <c r="D1729" t="inlineStr">
        <is>
          <t>VÄSTERNORRLANDS LÄN</t>
        </is>
      </c>
      <c r="E1729" t="inlineStr">
        <is>
          <t>SUNDSVALL</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37567-2025</t>
        </is>
      </c>
      <c r="B1730" s="1" t="n">
        <v>45880</v>
      </c>
      <c r="C1730" s="1" t="n">
        <v>45961</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58967-2023</t>
        </is>
      </c>
      <c r="B1731" s="1" t="n">
        <v>45250</v>
      </c>
      <c r="C1731" s="1" t="n">
        <v>45961</v>
      </c>
      <c r="D1731" t="inlineStr">
        <is>
          <t>VÄSTERNORRLANDS LÄN</t>
        </is>
      </c>
      <c r="E1731" t="inlineStr">
        <is>
          <t>SUNDSVALL</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37896-2025</t>
        </is>
      </c>
      <c r="B1732" s="1" t="n">
        <v>45881.55258101852</v>
      </c>
      <c r="C1732" s="1" t="n">
        <v>45961</v>
      </c>
      <c r="D1732" t="inlineStr">
        <is>
          <t>VÄSTERNORRLANDS LÄN</t>
        </is>
      </c>
      <c r="E1732" t="inlineStr">
        <is>
          <t>SUNDSVALL</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46187-2025</t>
        </is>
      </c>
      <c r="B1733" s="1" t="n">
        <v>45924.66307870371</v>
      </c>
      <c r="C1733" s="1" t="n">
        <v>45961</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57521-2024</t>
        </is>
      </c>
      <c r="B1734" s="1" t="n">
        <v>45629</v>
      </c>
      <c r="C1734" s="1" t="n">
        <v>45961</v>
      </c>
      <c r="D1734" t="inlineStr">
        <is>
          <t>VÄSTERNORRLANDS LÄN</t>
        </is>
      </c>
      <c r="E1734" t="inlineStr">
        <is>
          <t>SUNDSVALL</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2785-2025</t>
        </is>
      </c>
      <c r="B1735" s="1" t="n">
        <v>45677</v>
      </c>
      <c r="C1735" s="1" t="n">
        <v>45961</v>
      </c>
      <c r="D1735" t="inlineStr">
        <is>
          <t>VÄSTERNORRLANDS LÄN</t>
        </is>
      </c>
      <c r="E1735" t="inlineStr">
        <is>
          <t>SUNDSVALL</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3944-2024</t>
        </is>
      </c>
      <c r="B1736" s="1" t="n">
        <v>45322</v>
      </c>
      <c r="C1736" s="1" t="n">
        <v>45961</v>
      </c>
      <c r="D1736" t="inlineStr">
        <is>
          <t>VÄSTERNORRLANDS LÄN</t>
        </is>
      </c>
      <c r="E1736" t="inlineStr">
        <is>
          <t>SUNDSVALL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47280-2023</t>
        </is>
      </c>
      <c r="B1737" s="1" t="n">
        <v>45196</v>
      </c>
      <c r="C1737" s="1" t="n">
        <v>45961</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20660-2021</t>
        </is>
      </c>
      <c r="B1738" s="1" t="n">
        <v>44316.43309027778</v>
      </c>
      <c r="C1738" s="1" t="n">
        <v>45961</v>
      </c>
      <c r="D1738" t="inlineStr">
        <is>
          <t>VÄSTERNORRLANDS LÄN</t>
        </is>
      </c>
      <c r="E1738" t="inlineStr">
        <is>
          <t>SUNDSVALL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45972-2025</t>
        </is>
      </c>
      <c r="B1739" s="1" t="n">
        <v>45924</v>
      </c>
      <c r="C1739" s="1" t="n">
        <v>45961</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15551-2025</t>
        </is>
      </c>
      <c r="B1740" s="1" t="n">
        <v>45747.67410879629</v>
      </c>
      <c r="C1740" s="1" t="n">
        <v>45961</v>
      </c>
      <c r="D1740" t="inlineStr">
        <is>
          <t>VÄSTERNORRLANDS LÄN</t>
        </is>
      </c>
      <c r="E1740" t="inlineStr">
        <is>
          <t>SUNDSVALL</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19091-2025</t>
        </is>
      </c>
      <c r="B1741" s="1" t="n">
        <v>45767.47315972222</v>
      </c>
      <c r="C1741" s="1" t="n">
        <v>45961</v>
      </c>
      <c r="D1741" t="inlineStr">
        <is>
          <t>VÄSTERNORRLANDS LÄN</t>
        </is>
      </c>
      <c r="E1741" t="inlineStr">
        <is>
          <t>SUNDSVALL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7939-2025</t>
        </is>
      </c>
      <c r="B1742" s="1" t="n">
        <v>45707.40217592593</v>
      </c>
      <c r="C1742" s="1" t="n">
        <v>45961</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7960-2025</t>
        </is>
      </c>
      <c r="B1743" s="1" t="n">
        <v>45707.44020833333</v>
      </c>
      <c r="C1743" s="1" t="n">
        <v>45961</v>
      </c>
      <c r="D1743" t="inlineStr">
        <is>
          <t>VÄSTERNORRLANDS LÄN</t>
        </is>
      </c>
      <c r="E1743" t="inlineStr">
        <is>
          <t>SUNDSVALL</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7962-2025</t>
        </is>
      </c>
      <c r="B1744" s="1" t="n">
        <v>45707.44831018519</v>
      </c>
      <c r="C1744" s="1" t="n">
        <v>45961</v>
      </c>
      <c r="D1744" t="inlineStr">
        <is>
          <t>VÄSTERNORRLANDS LÄN</t>
        </is>
      </c>
      <c r="E1744" t="inlineStr">
        <is>
          <t>SUNDSVALL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7967-2025</t>
        </is>
      </c>
      <c r="B1745" s="1" t="n">
        <v>45707.45425925926</v>
      </c>
      <c r="C1745" s="1" t="n">
        <v>45961</v>
      </c>
      <c r="D1745" t="inlineStr">
        <is>
          <t>VÄSTERNORRLANDS LÄN</t>
        </is>
      </c>
      <c r="E1745" t="inlineStr">
        <is>
          <t>SUNDSVALL</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45840-2025</t>
        </is>
      </c>
      <c r="B1746" s="1" t="n">
        <v>45923.61502314815</v>
      </c>
      <c r="C1746" s="1" t="n">
        <v>45961</v>
      </c>
      <c r="D1746" t="inlineStr">
        <is>
          <t>VÄSTERNORRLANDS LÄN</t>
        </is>
      </c>
      <c r="E1746" t="inlineStr">
        <is>
          <t>SUNDSVALL</t>
        </is>
      </c>
      <c r="F1746" t="inlineStr">
        <is>
          <t>SCA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45845-2025</t>
        </is>
      </c>
      <c r="B1747" s="1" t="n">
        <v>45923.61579861111</v>
      </c>
      <c r="C1747" s="1" t="n">
        <v>45961</v>
      </c>
      <c r="D1747" t="inlineStr">
        <is>
          <t>VÄSTERNORRLANDS LÄN</t>
        </is>
      </c>
      <c r="E1747" t="inlineStr">
        <is>
          <t>SUNDSVALL</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45753-2025</t>
        </is>
      </c>
      <c r="B1748" s="1" t="n">
        <v>45923.49008101852</v>
      </c>
      <c r="C1748" s="1" t="n">
        <v>45961</v>
      </c>
      <c r="D1748" t="inlineStr">
        <is>
          <t>VÄSTERNORRLANDS LÄN</t>
        </is>
      </c>
      <c r="E1748" t="inlineStr">
        <is>
          <t>SUNDSVALL</t>
        </is>
      </c>
      <c r="F1748" t="inlineStr">
        <is>
          <t>SCA</t>
        </is>
      </c>
      <c r="G1748" t="n">
        <v>14.5</v>
      </c>
      <c r="H1748" t="n">
        <v>0</v>
      </c>
      <c r="I1748" t="n">
        <v>0</v>
      </c>
      <c r="J1748" t="n">
        <v>0</v>
      </c>
      <c r="K1748" t="n">
        <v>0</v>
      </c>
      <c r="L1748" t="n">
        <v>0</v>
      </c>
      <c r="M1748" t="n">
        <v>0</v>
      </c>
      <c r="N1748" t="n">
        <v>0</v>
      </c>
      <c r="O1748" t="n">
        <v>0</v>
      </c>
      <c r="P1748" t="n">
        <v>0</v>
      </c>
      <c r="Q1748" t="n">
        <v>0</v>
      </c>
      <c r="R1748" s="2" t="inlineStr"/>
    </row>
    <row r="1749" ht="15" customHeight="1">
      <c r="A1749" t="inlineStr">
        <is>
          <t>A 32204-2023</t>
        </is>
      </c>
      <c r="B1749" s="1" t="n">
        <v>45119.92628472222</v>
      </c>
      <c r="C1749" s="1" t="n">
        <v>45961</v>
      </c>
      <c r="D1749" t="inlineStr">
        <is>
          <t>VÄSTERNORRLANDS LÄN</t>
        </is>
      </c>
      <c r="E1749" t="inlineStr">
        <is>
          <t>SUNDSVALL</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45968-2025</t>
        </is>
      </c>
      <c r="B1750" s="1" t="n">
        <v>45924</v>
      </c>
      <c r="C1750" s="1" t="n">
        <v>45961</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10716-2023</t>
        </is>
      </c>
      <c r="B1751" s="1" t="n">
        <v>44988.64170138889</v>
      </c>
      <c r="C1751" s="1" t="n">
        <v>45961</v>
      </c>
      <c r="D1751" t="inlineStr">
        <is>
          <t>VÄSTERNORRLANDS LÄN</t>
        </is>
      </c>
      <c r="E1751" t="inlineStr">
        <is>
          <t>SUNDSVALL</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45874-2025</t>
        </is>
      </c>
      <c r="B1752" s="1" t="n">
        <v>45923.65667824074</v>
      </c>
      <c r="C1752" s="1" t="n">
        <v>45961</v>
      </c>
      <c r="D1752" t="inlineStr">
        <is>
          <t>VÄSTERNORRLANDS LÄN</t>
        </is>
      </c>
      <c r="E1752" t="inlineStr">
        <is>
          <t>SUNDSVALL</t>
        </is>
      </c>
      <c r="F1752" t="inlineStr">
        <is>
          <t>SCA</t>
        </is>
      </c>
      <c r="G1752" t="n">
        <v>16.3</v>
      </c>
      <c r="H1752" t="n">
        <v>0</v>
      </c>
      <c r="I1752" t="n">
        <v>0</v>
      </c>
      <c r="J1752" t="n">
        <v>0</v>
      </c>
      <c r="K1752" t="n">
        <v>0</v>
      </c>
      <c r="L1752" t="n">
        <v>0</v>
      </c>
      <c r="M1752" t="n">
        <v>0</v>
      </c>
      <c r="N1752" t="n">
        <v>0</v>
      </c>
      <c r="O1752" t="n">
        <v>0</v>
      </c>
      <c r="P1752" t="n">
        <v>0</v>
      </c>
      <c r="Q1752" t="n">
        <v>0</v>
      </c>
      <c r="R1752" s="2" t="inlineStr"/>
    </row>
    <row r="1753" ht="15" customHeight="1">
      <c r="A1753" t="inlineStr">
        <is>
          <t>A 45768-2025</t>
        </is>
      </c>
      <c r="B1753" s="1" t="n">
        <v>45923.53170138889</v>
      </c>
      <c r="C1753" s="1" t="n">
        <v>45961</v>
      </c>
      <c r="D1753" t="inlineStr">
        <is>
          <t>VÄSTERNORRLANDS LÄN</t>
        </is>
      </c>
      <c r="E1753" t="inlineStr">
        <is>
          <t>SUNDSVALL</t>
        </is>
      </c>
      <c r="F1753" t="inlineStr">
        <is>
          <t>SCA</t>
        </is>
      </c>
      <c r="G1753" t="n">
        <v>9.5</v>
      </c>
      <c r="H1753" t="n">
        <v>0</v>
      </c>
      <c r="I1753" t="n">
        <v>0</v>
      </c>
      <c r="J1753" t="n">
        <v>0</v>
      </c>
      <c r="K1753" t="n">
        <v>0</v>
      </c>
      <c r="L1753" t="n">
        <v>0</v>
      </c>
      <c r="M1753" t="n">
        <v>0</v>
      </c>
      <c r="N1753" t="n">
        <v>0</v>
      </c>
      <c r="O1753" t="n">
        <v>0</v>
      </c>
      <c r="P1753" t="n">
        <v>0</v>
      </c>
      <c r="Q1753" t="n">
        <v>0</v>
      </c>
      <c r="R1753" s="2" t="inlineStr"/>
      <c r="U1753">
        <f>HYPERLINK("https://klasma.github.io/Logging_2281/knärot/A 45768-2025 karta knärot.png", "A 45768-2025")</f>
        <v/>
      </c>
      <c r="V1753">
        <f>HYPERLINK("https://klasma.github.io/Logging_2281/klagomål/A 45768-2025 FSC-klagomål.docx", "A 45768-2025")</f>
        <v/>
      </c>
      <c r="W1753">
        <f>HYPERLINK("https://klasma.github.io/Logging_2281/klagomålsmail/A 45768-2025 FSC-klagomål mail.docx", "A 45768-2025")</f>
        <v/>
      </c>
      <c r="X1753">
        <f>HYPERLINK("https://klasma.github.io/Logging_2281/tillsyn/A 45768-2025 tillsynsbegäran.docx", "A 45768-2025")</f>
        <v/>
      </c>
      <c r="Y1753">
        <f>HYPERLINK("https://klasma.github.io/Logging_2281/tillsynsmail/A 45768-2025 tillsynsbegäran mail.docx", "A 45768-2025")</f>
        <v/>
      </c>
    </row>
    <row r="1754" ht="15" customHeight="1">
      <c r="A1754" t="inlineStr">
        <is>
          <t>A 37933-2025</t>
        </is>
      </c>
      <c r="B1754" s="1" t="n">
        <v>45881.59413194445</v>
      </c>
      <c r="C1754" s="1" t="n">
        <v>45961</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46120-2025</t>
        </is>
      </c>
      <c r="B1755" s="1" t="n">
        <v>45924.58050925926</v>
      </c>
      <c r="C1755" s="1" t="n">
        <v>45961</v>
      </c>
      <c r="D1755" t="inlineStr">
        <is>
          <t>VÄSTERNORRLANDS LÄN</t>
        </is>
      </c>
      <c r="E1755" t="inlineStr">
        <is>
          <t>SUNDSVALL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45048-2023</t>
        </is>
      </c>
      <c r="B1756" s="1" t="n">
        <v>45187</v>
      </c>
      <c r="C1756" s="1" t="n">
        <v>45961</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45057-2023</t>
        </is>
      </c>
      <c r="B1757" s="1" t="n">
        <v>45187</v>
      </c>
      <c r="C1757" s="1" t="n">
        <v>45961</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52196-2024</t>
        </is>
      </c>
      <c r="B1758" s="1" t="n">
        <v>45607</v>
      </c>
      <c r="C1758" s="1" t="n">
        <v>45961</v>
      </c>
      <c r="D1758" t="inlineStr">
        <is>
          <t>VÄSTERNORRLANDS LÄN</t>
        </is>
      </c>
      <c r="E1758" t="inlineStr">
        <is>
          <t>SUNDSVALL</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13335-2023</t>
        </is>
      </c>
      <c r="B1759" s="1" t="n">
        <v>45005.4337037037</v>
      </c>
      <c r="C1759" s="1" t="n">
        <v>45961</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48048-2025</t>
        </is>
      </c>
      <c r="B1760" s="1" t="n">
        <v>45932.67753472222</v>
      </c>
      <c r="C1760" s="1" t="n">
        <v>45961</v>
      </c>
      <c r="D1760" t="inlineStr">
        <is>
          <t>VÄSTERNORRLANDS LÄN</t>
        </is>
      </c>
      <c r="E1760" t="inlineStr">
        <is>
          <t>SUNDSVALL</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18352-2023</t>
        </is>
      </c>
      <c r="B1761" s="1" t="n">
        <v>45040</v>
      </c>
      <c r="C1761" s="1" t="n">
        <v>45961</v>
      </c>
      <c r="D1761" t="inlineStr">
        <is>
          <t>VÄSTERNORRLANDS LÄN</t>
        </is>
      </c>
      <c r="E1761" t="inlineStr">
        <is>
          <t>SUNDSVALL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39488-2025</t>
        </is>
      </c>
      <c r="B1762" s="1" t="n">
        <v>45890.36520833334</v>
      </c>
      <c r="C1762" s="1" t="n">
        <v>45961</v>
      </c>
      <c r="D1762" t="inlineStr">
        <is>
          <t>VÄSTERNORRLANDS LÄN</t>
        </is>
      </c>
      <c r="E1762" t="inlineStr">
        <is>
          <t>SUNDSVALL</t>
        </is>
      </c>
      <c r="F1762" t="inlineStr">
        <is>
          <t>SCA</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39415-2025</t>
        </is>
      </c>
      <c r="B1763" s="1" t="n">
        <v>45889.65715277778</v>
      </c>
      <c r="C1763" s="1" t="n">
        <v>45961</v>
      </c>
      <c r="D1763" t="inlineStr">
        <is>
          <t>VÄSTERNORRLANDS LÄN</t>
        </is>
      </c>
      <c r="E1763" t="inlineStr">
        <is>
          <t>SUNDSVALL</t>
        </is>
      </c>
      <c r="F1763" t="inlineStr">
        <is>
          <t>SCA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13551-2024</t>
        </is>
      </c>
      <c r="B1764" s="1" t="n">
        <v>45387.95395833333</v>
      </c>
      <c r="C1764" s="1" t="n">
        <v>45961</v>
      </c>
      <c r="D1764" t="inlineStr">
        <is>
          <t>VÄSTERNORRLANDS LÄN</t>
        </is>
      </c>
      <c r="E1764" t="inlineStr">
        <is>
          <t>SUNDSVALL</t>
        </is>
      </c>
      <c r="F1764" t="inlineStr">
        <is>
          <t>SCA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45846-2025</t>
        </is>
      </c>
      <c r="B1765" s="1" t="n">
        <v>45923.61597222222</v>
      </c>
      <c r="C1765" s="1" t="n">
        <v>45961</v>
      </c>
      <c r="D1765" t="inlineStr">
        <is>
          <t>VÄSTERNORRLANDS LÄN</t>
        </is>
      </c>
      <c r="E1765" t="inlineStr">
        <is>
          <t>SUNDSVALL</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47670-2025</t>
        </is>
      </c>
      <c r="B1766" s="1" t="n">
        <v>45931.57358796296</v>
      </c>
      <c r="C1766" s="1" t="n">
        <v>45961</v>
      </c>
      <c r="D1766" t="inlineStr">
        <is>
          <t>VÄSTERNORRLANDS LÄN</t>
        </is>
      </c>
      <c r="E1766" t="inlineStr">
        <is>
          <t>SUNDSVALL</t>
        </is>
      </c>
      <c r="F1766" t="inlineStr">
        <is>
          <t>SCA</t>
        </is>
      </c>
      <c r="G1766" t="n">
        <v>20.8</v>
      </c>
      <c r="H1766" t="n">
        <v>0</v>
      </c>
      <c r="I1766" t="n">
        <v>0</v>
      </c>
      <c r="J1766" t="n">
        <v>0</v>
      </c>
      <c r="K1766" t="n">
        <v>0</v>
      </c>
      <c r="L1766" t="n">
        <v>0</v>
      </c>
      <c r="M1766" t="n">
        <v>0</v>
      </c>
      <c r="N1766" t="n">
        <v>0</v>
      </c>
      <c r="O1766" t="n">
        <v>0</v>
      </c>
      <c r="P1766" t="n">
        <v>0</v>
      </c>
      <c r="Q1766" t="n">
        <v>0</v>
      </c>
      <c r="R1766" s="2" t="inlineStr"/>
    </row>
    <row r="1767" ht="15" customHeight="1">
      <c r="A1767" t="inlineStr">
        <is>
          <t>A 47673-2025</t>
        </is>
      </c>
      <c r="B1767" s="1" t="n">
        <v>45931.57407407407</v>
      </c>
      <c r="C1767" s="1" t="n">
        <v>45961</v>
      </c>
      <c r="D1767" t="inlineStr">
        <is>
          <t>VÄSTERNORRLANDS LÄN</t>
        </is>
      </c>
      <c r="E1767" t="inlineStr">
        <is>
          <t>SUNDSVALL</t>
        </is>
      </c>
      <c r="F1767" t="inlineStr">
        <is>
          <t>SCA</t>
        </is>
      </c>
      <c r="G1767" t="n">
        <v>15.3</v>
      </c>
      <c r="H1767" t="n">
        <v>0</v>
      </c>
      <c r="I1767" t="n">
        <v>0</v>
      </c>
      <c r="J1767" t="n">
        <v>0</v>
      </c>
      <c r="K1767" t="n">
        <v>0</v>
      </c>
      <c r="L1767" t="n">
        <v>0</v>
      </c>
      <c r="M1767" t="n">
        <v>0</v>
      </c>
      <c r="N1767" t="n">
        <v>0</v>
      </c>
      <c r="O1767" t="n">
        <v>0</v>
      </c>
      <c r="P1767" t="n">
        <v>0</v>
      </c>
      <c r="Q1767" t="n">
        <v>0</v>
      </c>
      <c r="R1767" s="2" t="inlineStr"/>
    </row>
    <row r="1768" ht="15" customHeight="1">
      <c r="A1768" t="inlineStr">
        <is>
          <t>A 29127-2022</t>
        </is>
      </c>
      <c r="B1768" s="1" t="n">
        <v>44750.45601851852</v>
      </c>
      <c r="C1768" s="1" t="n">
        <v>45961</v>
      </c>
      <c r="D1768" t="inlineStr">
        <is>
          <t>VÄSTERNORRLANDS LÄN</t>
        </is>
      </c>
      <c r="E1768" t="inlineStr">
        <is>
          <t>SUNDSVALL</t>
        </is>
      </c>
      <c r="G1768" t="n">
        <v>7.4</v>
      </c>
      <c r="H1768" t="n">
        <v>0</v>
      </c>
      <c r="I1768" t="n">
        <v>0</v>
      </c>
      <c r="J1768" t="n">
        <v>0</v>
      </c>
      <c r="K1768" t="n">
        <v>0</v>
      </c>
      <c r="L1768" t="n">
        <v>0</v>
      </c>
      <c r="M1768" t="n">
        <v>0</v>
      </c>
      <c r="N1768" t="n">
        <v>0</v>
      </c>
      <c r="O1768" t="n">
        <v>0</v>
      </c>
      <c r="P1768" t="n">
        <v>0</v>
      </c>
      <c r="Q1768" t="n">
        <v>0</v>
      </c>
      <c r="R1768" s="2" t="inlineStr"/>
      <c r="U1768">
        <f>HYPERLINK("https://klasma.github.io/Logging_2281/knärot/A 29127-2022 karta knärot.png", "A 29127-2022")</f>
        <v/>
      </c>
      <c r="V1768">
        <f>HYPERLINK("https://klasma.github.io/Logging_2281/klagomål/A 29127-2022 FSC-klagomål.docx", "A 29127-2022")</f>
        <v/>
      </c>
      <c r="W1768">
        <f>HYPERLINK("https://klasma.github.io/Logging_2281/klagomålsmail/A 29127-2022 FSC-klagomål mail.docx", "A 29127-2022")</f>
        <v/>
      </c>
      <c r="X1768">
        <f>HYPERLINK("https://klasma.github.io/Logging_2281/tillsyn/A 29127-2022 tillsynsbegäran.docx", "A 29127-2022")</f>
        <v/>
      </c>
      <c r="Y1768">
        <f>HYPERLINK("https://klasma.github.io/Logging_2281/tillsynsmail/A 29127-2022 tillsynsbegäran mail.docx", "A 29127-2022")</f>
        <v/>
      </c>
    </row>
    <row r="1769" ht="15" customHeight="1">
      <c r="A1769" t="inlineStr">
        <is>
          <t>A 47672-2025</t>
        </is>
      </c>
      <c r="B1769" s="1" t="n">
        <v>45931.57385416667</v>
      </c>
      <c r="C1769" s="1" t="n">
        <v>45961</v>
      </c>
      <c r="D1769" t="inlineStr">
        <is>
          <t>VÄSTERNORRLANDS LÄN</t>
        </is>
      </c>
      <c r="E1769" t="inlineStr">
        <is>
          <t>SUNDSVALL</t>
        </is>
      </c>
      <c r="F1769" t="inlineStr">
        <is>
          <t>SCA</t>
        </is>
      </c>
      <c r="G1769" t="n">
        <v>16.6</v>
      </c>
      <c r="H1769" t="n">
        <v>0</v>
      </c>
      <c r="I1769" t="n">
        <v>0</v>
      </c>
      <c r="J1769" t="n">
        <v>0</v>
      </c>
      <c r="K1769" t="n">
        <v>0</v>
      </c>
      <c r="L1769" t="n">
        <v>0</v>
      </c>
      <c r="M1769" t="n">
        <v>0</v>
      </c>
      <c r="N1769" t="n">
        <v>0</v>
      </c>
      <c r="O1769" t="n">
        <v>0</v>
      </c>
      <c r="P1769" t="n">
        <v>0</v>
      </c>
      <c r="Q1769" t="n">
        <v>0</v>
      </c>
      <c r="R1769" s="2" t="inlineStr"/>
    </row>
    <row r="1770" ht="15" customHeight="1">
      <c r="A1770" t="inlineStr">
        <is>
          <t>A 38621-2025</t>
        </is>
      </c>
      <c r="B1770" s="1" t="n">
        <v>45884.55306712963</v>
      </c>
      <c r="C1770" s="1" t="n">
        <v>45961</v>
      </c>
      <c r="D1770" t="inlineStr">
        <is>
          <t>VÄSTERNORRLANDS LÄN</t>
        </is>
      </c>
      <c r="E1770" t="inlineStr">
        <is>
          <t>SUNDSVALL</t>
        </is>
      </c>
      <c r="F1770" t="inlineStr">
        <is>
          <t>Naturvårdsverket</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28794-2024</t>
        </is>
      </c>
      <c r="B1771" s="1" t="n">
        <v>45478.61696759259</v>
      </c>
      <c r="C1771" s="1" t="n">
        <v>45961</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43946-2023</t>
        </is>
      </c>
      <c r="B1772" s="1" t="n">
        <v>45187</v>
      </c>
      <c r="C1772" s="1" t="n">
        <v>45961</v>
      </c>
      <c r="D1772" t="inlineStr">
        <is>
          <t>VÄSTERNORRLANDS LÄN</t>
        </is>
      </c>
      <c r="E1772" t="inlineStr">
        <is>
          <t>SUNDSVALL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63068-2023</t>
        </is>
      </c>
      <c r="B1773" s="1" t="n">
        <v>45272</v>
      </c>
      <c r="C1773" s="1" t="n">
        <v>45961</v>
      </c>
      <c r="D1773" t="inlineStr">
        <is>
          <t>VÄSTERNORRLANDS LÄN</t>
        </is>
      </c>
      <c r="E1773" t="inlineStr">
        <is>
          <t>SUNDSVALL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39417-2025</t>
        </is>
      </c>
      <c r="B1774" s="1" t="n">
        <v>45889.65730324074</v>
      </c>
      <c r="C1774" s="1" t="n">
        <v>45961</v>
      </c>
      <c r="D1774" t="inlineStr">
        <is>
          <t>VÄSTERNORRLANDS LÄN</t>
        </is>
      </c>
      <c r="E1774" t="inlineStr">
        <is>
          <t>SUNDSVALL</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47769-2024</t>
        </is>
      </c>
      <c r="B1775" s="1" t="n">
        <v>45588.56342592592</v>
      </c>
      <c r="C1775" s="1" t="n">
        <v>45961</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47671-2025</t>
        </is>
      </c>
      <c r="B1776" s="1" t="n">
        <v>45931.57368055556</v>
      </c>
      <c r="C1776" s="1" t="n">
        <v>45961</v>
      </c>
      <c r="D1776" t="inlineStr">
        <is>
          <t>VÄSTERNORRLANDS LÄN</t>
        </is>
      </c>
      <c r="E1776" t="inlineStr">
        <is>
          <t>SUNDSVALL</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59660-2023</t>
        </is>
      </c>
      <c r="B1777" s="1" t="n">
        <v>45254</v>
      </c>
      <c r="C1777" s="1" t="n">
        <v>45961</v>
      </c>
      <c r="D1777" t="inlineStr">
        <is>
          <t>VÄSTERNORRLANDS LÄN</t>
        </is>
      </c>
      <c r="E1777" t="inlineStr">
        <is>
          <t>SUNDSVALL</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59661-2023</t>
        </is>
      </c>
      <c r="B1778" s="1" t="n">
        <v>45254</v>
      </c>
      <c r="C1778" s="1" t="n">
        <v>45961</v>
      </c>
      <c r="D1778" t="inlineStr">
        <is>
          <t>VÄSTERNORRLANDS LÄN</t>
        </is>
      </c>
      <c r="E1778" t="inlineStr">
        <is>
          <t>SUNDSVALL</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61474-2023</t>
        </is>
      </c>
      <c r="B1779" s="1" t="n">
        <v>45264.92684027777</v>
      </c>
      <c r="C1779" s="1" t="n">
        <v>45961</v>
      </c>
      <c r="D1779" t="inlineStr">
        <is>
          <t>VÄSTERNORRLANDS LÄN</t>
        </is>
      </c>
      <c r="E1779" t="inlineStr">
        <is>
          <t>SUNDSVALL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61475-2023</t>
        </is>
      </c>
      <c r="B1780" s="1" t="n">
        <v>45264.92688657407</v>
      </c>
      <c r="C1780" s="1" t="n">
        <v>45961</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39620-2025</t>
        </is>
      </c>
      <c r="B1781" s="1" t="n">
        <v>45890.57363425926</v>
      </c>
      <c r="C1781" s="1" t="n">
        <v>45961</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48054-2025</t>
        </is>
      </c>
      <c r="B1782" s="1" t="n">
        <v>45932.67890046296</v>
      </c>
      <c r="C1782" s="1" t="n">
        <v>45961</v>
      </c>
      <c r="D1782" t="inlineStr">
        <is>
          <t>VÄSTERNORRLANDS LÄN</t>
        </is>
      </c>
      <c r="E1782" t="inlineStr">
        <is>
          <t>SUNDSVALL</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39489-2025</t>
        </is>
      </c>
      <c r="B1783" s="1" t="n">
        <v>45890.36534722222</v>
      </c>
      <c r="C1783" s="1" t="n">
        <v>45961</v>
      </c>
      <c r="D1783" t="inlineStr">
        <is>
          <t>VÄSTERNORRLANDS LÄN</t>
        </is>
      </c>
      <c r="E1783" t="inlineStr">
        <is>
          <t>SUNDSVALL</t>
        </is>
      </c>
      <c r="F1783" t="inlineStr">
        <is>
          <t>SCA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47824-2025</t>
        </is>
      </c>
      <c r="B1784" s="1" t="n">
        <v>45932.34465277778</v>
      </c>
      <c r="C1784" s="1" t="n">
        <v>45961</v>
      </c>
      <c r="D1784" t="inlineStr">
        <is>
          <t>VÄSTERNORRLANDS LÄN</t>
        </is>
      </c>
      <c r="E1784" t="inlineStr">
        <is>
          <t>SUNDSVALL</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48136-2025</t>
        </is>
      </c>
      <c r="B1785" s="1" t="n">
        <v>45933.37855324074</v>
      </c>
      <c r="C1785" s="1" t="n">
        <v>45961</v>
      </c>
      <c r="D1785" t="inlineStr">
        <is>
          <t>VÄSTERNORRLANDS LÄN</t>
        </is>
      </c>
      <c r="E1785" t="inlineStr">
        <is>
          <t>SUNDSVALL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39758-2025</t>
        </is>
      </c>
      <c r="B1786" s="1" t="n">
        <v>45891.43140046296</v>
      </c>
      <c r="C1786" s="1" t="n">
        <v>45961</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48471-2025</t>
        </is>
      </c>
      <c r="B1787" s="1" t="n">
        <v>45936.34520833333</v>
      </c>
      <c r="C1787" s="1" t="n">
        <v>45961</v>
      </c>
      <c r="D1787" t="inlineStr">
        <is>
          <t>VÄSTERNORRLANDS LÄN</t>
        </is>
      </c>
      <c r="E1787" t="inlineStr">
        <is>
          <t>SUNDSVALL</t>
        </is>
      </c>
      <c r="F1787" t="inlineStr">
        <is>
          <t>SCA</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39771-2025</t>
        </is>
      </c>
      <c r="B1788" s="1" t="n">
        <v>45891.45181712963</v>
      </c>
      <c r="C1788" s="1" t="n">
        <v>45961</v>
      </c>
      <c r="D1788" t="inlineStr">
        <is>
          <t>VÄSTERNORRLANDS LÄN</t>
        </is>
      </c>
      <c r="E1788" t="inlineStr">
        <is>
          <t>SUNDSVALL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40178-2025</t>
        </is>
      </c>
      <c r="B1789" s="1" t="n">
        <v>45894.6366087963</v>
      </c>
      <c r="C1789" s="1" t="n">
        <v>45961</v>
      </c>
      <c r="D1789" t="inlineStr">
        <is>
          <t>VÄSTERNORRLANDS LÄN</t>
        </is>
      </c>
      <c r="E1789" t="inlineStr">
        <is>
          <t>SUNDSVALL</t>
        </is>
      </c>
      <c r="F1789" t="inlineStr">
        <is>
          <t>Naturvårdsverket</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48629-2025</t>
        </is>
      </c>
      <c r="B1790" s="1" t="n">
        <v>45936.51148148148</v>
      </c>
      <c r="C1790" s="1" t="n">
        <v>45961</v>
      </c>
      <c r="D1790" t="inlineStr">
        <is>
          <t>VÄSTERNORRLANDS LÄN</t>
        </is>
      </c>
      <c r="E1790" t="inlineStr">
        <is>
          <t>SUNDSVALL</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48472-2025</t>
        </is>
      </c>
      <c r="B1791" s="1" t="n">
        <v>45936.34538194445</v>
      </c>
      <c r="C1791" s="1" t="n">
        <v>45961</v>
      </c>
      <c r="D1791" t="inlineStr">
        <is>
          <t>VÄSTERNORRLANDS LÄN</t>
        </is>
      </c>
      <c r="E1791" t="inlineStr">
        <is>
          <t>SUNDSVALL</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48352-2025</t>
        </is>
      </c>
      <c r="B1792" s="1" t="n">
        <v>45933</v>
      </c>
      <c r="C1792" s="1" t="n">
        <v>45961</v>
      </c>
      <c r="D1792" t="inlineStr">
        <is>
          <t>VÄSTERNORRLANDS LÄN</t>
        </is>
      </c>
      <c r="E1792" t="inlineStr">
        <is>
          <t>SUNDSVALL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48239-2025</t>
        </is>
      </c>
      <c r="B1793" s="1" t="n">
        <v>45933.53252314815</v>
      </c>
      <c r="C1793" s="1" t="n">
        <v>45961</v>
      </c>
      <c r="D1793" t="inlineStr">
        <is>
          <t>VÄSTERNORRLANDS LÄN</t>
        </is>
      </c>
      <c r="E1793" t="inlineStr">
        <is>
          <t>SUNDSVALL</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30213-2025</t>
        </is>
      </c>
      <c r="B1794" s="1" t="n">
        <v>45827.36622685185</v>
      </c>
      <c r="C1794" s="1" t="n">
        <v>45961</v>
      </c>
      <c r="D1794" t="inlineStr">
        <is>
          <t>VÄSTERNORRLANDS LÄN</t>
        </is>
      </c>
      <c r="E1794" t="inlineStr">
        <is>
          <t>SUNDSVALL</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39915-2025</t>
        </is>
      </c>
      <c r="B1795" s="1" t="n">
        <v>45891.65678240741</v>
      </c>
      <c r="C1795" s="1" t="n">
        <v>45961</v>
      </c>
      <c r="D1795" t="inlineStr">
        <is>
          <t>VÄSTERNORRLANDS LÄN</t>
        </is>
      </c>
      <c r="E1795" t="inlineStr">
        <is>
          <t>SUNDSVALL</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48402-2025</t>
        </is>
      </c>
      <c r="B1796" s="1" t="n">
        <v>45934.34449074074</v>
      </c>
      <c r="C1796" s="1" t="n">
        <v>45961</v>
      </c>
      <c r="D1796" t="inlineStr">
        <is>
          <t>VÄSTERNORRLANDS LÄN</t>
        </is>
      </c>
      <c r="E1796" t="inlineStr">
        <is>
          <t>SUNDSVALL</t>
        </is>
      </c>
      <c r="F1796" t="inlineStr">
        <is>
          <t>SCA</t>
        </is>
      </c>
      <c r="G1796" t="n">
        <v>15.2</v>
      </c>
      <c r="H1796" t="n">
        <v>0</v>
      </c>
      <c r="I1796" t="n">
        <v>0</v>
      </c>
      <c r="J1796" t="n">
        <v>0</v>
      </c>
      <c r="K1796" t="n">
        <v>0</v>
      </c>
      <c r="L1796" t="n">
        <v>0</v>
      </c>
      <c r="M1796" t="n">
        <v>0</v>
      </c>
      <c r="N1796" t="n">
        <v>0</v>
      </c>
      <c r="O1796" t="n">
        <v>0</v>
      </c>
      <c r="P1796" t="n">
        <v>0</v>
      </c>
      <c r="Q1796" t="n">
        <v>0</v>
      </c>
      <c r="R1796" s="2" t="inlineStr"/>
    </row>
    <row r="1797" ht="15" customHeight="1">
      <c r="A1797" t="inlineStr">
        <is>
          <t>A 48442-2025</t>
        </is>
      </c>
      <c r="B1797" s="1" t="n">
        <v>45935.53334490741</v>
      </c>
      <c r="C1797" s="1" t="n">
        <v>45961</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48350-2025</t>
        </is>
      </c>
      <c r="B1798" s="1" t="n">
        <v>45933.65699074074</v>
      </c>
      <c r="C1798" s="1" t="n">
        <v>45961</v>
      </c>
      <c r="D1798" t="inlineStr">
        <is>
          <t>VÄSTERNORRLANDS LÄN</t>
        </is>
      </c>
      <c r="E1798" t="inlineStr">
        <is>
          <t>SUNDSVALL</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21997-2023</t>
        </is>
      </c>
      <c r="B1799" s="1" t="n">
        <v>45068</v>
      </c>
      <c r="C1799" s="1" t="n">
        <v>45961</v>
      </c>
      <c r="D1799" t="inlineStr">
        <is>
          <t>VÄSTERNORRLANDS LÄN</t>
        </is>
      </c>
      <c r="E1799" t="inlineStr">
        <is>
          <t>SUNDSVALL</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48336-2025</t>
        </is>
      </c>
      <c r="B1800" s="1" t="n">
        <v>45933</v>
      </c>
      <c r="C1800" s="1" t="n">
        <v>45961</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39914-2025</t>
        </is>
      </c>
      <c r="B1801" s="1" t="n">
        <v>45891.65660879629</v>
      </c>
      <c r="C1801" s="1" t="n">
        <v>45961</v>
      </c>
      <c r="D1801" t="inlineStr">
        <is>
          <t>VÄSTERNORRLANDS LÄN</t>
        </is>
      </c>
      <c r="E1801" t="inlineStr">
        <is>
          <t>SUNDSVALL</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40061-2025</t>
        </is>
      </c>
      <c r="B1802" s="1" t="n">
        <v>45894.42767361111</v>
      </c>
      <c r="C1802" s="1" t="n">
        <v>45961</v>
      </c>
      <c r="D1802" t="inlineStr">
        <is>
          <t>VÄSTERNORRLANDS LÄN</t>
        </is>
      </c>
      <c r="E1802" t="inlineStr">
        <is>
          <t>SUNDSVALL</t>
        </is>
      </c>
      <c r="F1802" t="inlineStr">
        <is>
          <t>Naturvårdsverket</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48668-2025</t>
        </is>
      </c>
      <c r="B1803" s="1" t="n">
        <v>45936.5741550926</v>
      </c>
      <c r="C1803" s="1" t="n">
        <v>45961</v>
      </c>
      <c r="D1803" t="inlineStr">
        <is>
          <t>VÄSTERNORRLANDS LÄN</t>
        </is>
      </c>
      <c r="E1803" t="inlineStr">
        <is>
          <t>SUNDSVALL</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39775-2025</t>
        </is>
      </c>
      <c r="B1804" s="1" t="n">
        <v>45891.46113425926</v>
      </c>
      <c r="C1804" s="1" t="n">
        <v>45961</v>
      </c>
      <c r="D1804" t="inlineStr">
        <is>
          <t>VÄSTERNORRLANDS LÄN</t>
        </is>
      </c>
      <c r="E1804" t="inlineStr">
        <is>
          <t>SUNDSVALL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48605-2025</t>
        </is>
      </c>
      <c r="B1805" s="1" t="n">
        <v>45936.46971064815</v>
      </c>
      <c r="C1805" s="1" t="n">
        <v>45961</v>
      </c>
      <c r="D1805" t="inlineStr">
        <is>
          <t>VÄSTERNORRLANDS LÄN</t>
        </is>
      </c>
      <c r="E1805" t="inlineStr">
        <is>
          <t>SUNDSVALL</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39765-2025</t>
        </is>
      </c>
      <c r="B1806" s="1" t="n">
        <v>45891.44422453704</v>
      </c>
      <c r="C1806" s="1" t="n">
        <v>45961</v>
      </c>
      <c r="D1806" t="inlineStr">
        <is>
          <t>VÄSTERNORRLANDS LÄN</t>
        </is>
      </c>
      <c r="E1806" t="inlineStr">
        <is>
          <t>SUNDSVALL</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39751-2025</t>
        </is>
      </c>
      <c r="B1807" s="1" t="n">
        <v>45891.40678240741</v>
      </c>
      <c r="C1807" s="1" t="n">
        <v>45961</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39756-2025</t>
        </is>
      </c>
      <c r="B1808" s="1" t="n">
        <v>45891.42266203704</v>
      </c>
      <c r="C1808" s="1" t="n">
        <v>45961</v>
      </c>
      <c r="D1808" t="inlineStr">
        <is>
          <t>VÄSTERNORRLANDS LÄN</t>
        </is>
      </c>
      <c r="E1808" t="inlineStr">
        <is>
          <t>SUNDSVALL</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39757-2025</t>
        </is>
      </c>
      <c r="B1809" s="1" t="n">
        <v>45891.42677083334</v>
      </c>
      <c r="C1809" s="1" t="n">
        <v>45961</v>
      </c>
      <c r="D1809" t="inlineStr">
        <is>
          <t>VÄSTERNORRLANDS LÄN</t>
        </is>
      </c>
      <c r="E1809" t="inlineStr">
        <is>
          <t>SUNDSVALL</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39761-2025</t>
        </is>
      </c>
      <c r="B1810" s="1" t="n">
        <v>45891.43866898148</v>
      </c>
      <c r="C1810" s="1" t="n">
        <v>45961</v>
      </c>
      <c r="D1810" t="inlineStr">
        <is>
          <t>VÄSTERNORRLANDS LÄN</t>
        </is>
      </c>
      <c r="E1810" t="inlineStr">
        <is>
          <t>SUNDSVALL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48233-2025</t>
        </is>
      </c>
      <c r="B1811" s="1" t="n">
        <v>45933.53196759259</v>
      </c>
      <c r="C1811" s="1" t="n">
        <v>45961</v>
      </c>
      <c r="D1811" t="inlineStr">
        <is>
          <t>VÄSTERNORRLANDS LÄN</t>
        </is>
      </c>
      <c r="E1811" t="inlineStr">
        <is>
          <t>SUNDSVALL</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48192-2025</t>
        </is>
      </c>
      <c r="B1812" s="1" t="n">
        <v>45933.4696875</v>
      </c>
      <c r="C1812" s="1" t="n">
        <v>45961</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39760-2025</t>
        </is>
      </c>
      <c r="B1813" s="1" t="n">
        <v>45891.43445601852</v>
      </c>
      <c r="C1813" s="1" t="n">
        <v>45961</v>
      </c>
      <c r="D1813" t="inlineStr">
        <is>
          <t>VÄSTERNORRLANDS LÄN</t>
        </is>
      </c>
      <c r="E1813" t="inlineStr">
        <is>
          <t>SUNDSVALL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39763-2025</t>
        </is>
      </c>
      <c r="B1814" s="1" t="n">
        <v>45891.44114583333</v>
      </c>
      <c r="C1814" s="1" t="n">
        <v>45961</v>
      </c>
      <c r="D1814" t="inlineStr">
        <is>
          <t>VÄSTERNORRLANDS LÄN</t>
        </is>
      </c>
      <c r="E1814" t="inlineStr">
        <is>
          <t>SUNDSVALL</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49055-2025</t>
        </is>
      </c>
      <c r="B1815" s="1" t="n">
        <v>45937.64056712963</v>
      </c>
      <c r="C1815" s="1" t="n">
        <v>45961</v>
      </c>
      <c r="D1815" t="inlineStr">
        <is>
          <t>VÄSTERNORRLANDS LÄN</t>
        </is>
      </c>
      <c r="E1815" t="inlineStr">
        <is>
          <t>SUNDSVALL</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40566-2025</t>
        </is>
      </c>
      <c r="B1816" s="1" t="n">
        <v>45896.46934027778</v>
      </c>
      <c r="C1816" s="1" t="n">
        <v>45961</v>
      </c>
      <c r="D1816" t="inlineStr">
        <is>
          <t>VÄSTERNORRLANDS LÄN</t>
        </is>
      </c>
      <c r="E1816" t="inlineStr">
        <is>
          <t>SUNDSVALL</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48426-2025</t>
        </is>
      </c>
      <c r="B1817" s="1" t="n">
        <v>45934.71929398148</v>
      </c>
      <c r="C1817" s="1" t="n">
        <v>45961</v>
      </c>
      <c r="D1817" t="inlineStr">
        <is>
          <t>VÄSTERNORRLANDS LÄN</t>
        </is>
      </c>
      <c r="E1817" t="inlineStr">
        <is>
          <t>SUNDSVALL</t>
        </is>
      </c>
      <c r="F1817" t="inlineStr">
        <is>
          <t>SCA</t>
        </is>
      </c>
      <c r="G1817" t="n">
        <v>19.9</v>
      </c>
      <c r="H1817" t="n">
        <v>0</v>
      </c>
      <c r="I1817" t="n">
        <v>0</v>
      </c>
      <c r="J1817" t="n">
        <v>0</v>
      </c>
      <c r="K1817" t="n">
        <v>0</v>
      </c>
      <c r="L1817" t="n">
        <v>0</v>
      </c>
      <c r="M1817" t="n">
        <v>0</v>
      </c>
      <c r="N1817" t="n">
        <v>0</v>
      </c>
      <c r="O1817" t="n">
        <v>0</v>
      </c>
      <c r="P1817" t="n">
        <v>0</v>
      </c>
      <c r="Q1817" t="n">
        <v>0</v>
      </c>
      <c r="R1817" s="2" t="inlineStr"/>
    </row>
    <row r="1818" ht="15" customHeight="1">
      <c r="A1818" t="inlineStr">
        <is>
          <t>A 48819-2025</t>
        </is>
      </c>
      <c r="B1818" s="1" t="n">
        <v>45937.3687037037</v>
      </c>
      <c r="C1818" s="1" t="n">
        <v>45961</v>
      </c>
      <c r="D1818" t="inlineStr">
        <is>
          <t>VÄSTERNORRLANDS LÄN</t>
        </is>
      </c>
      <c r="E1818" t="inlineStr">
        <is>
          <t>SUNDSVALL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40465-2025</t>
        </is>
      </c>
      <c r="B1819" s="1" t="n">
        <v>45895.65664351852</v>
      </c>
      <c r="C1819" s="1" t="n">
        <v>45961</v>
      </c>
      <c r="D1819" t="inlineStr">
        <is>
          <t>VÄSTERNORRLANDS LÄN</t>
        </is>
      </c>
      <c r="E1819" t="inlineStr">
        <is>
          <t>SUNDSVALL</t>
        </is>
      </c>
      <c r="F1819" t="inlineStr">
        <is>
          <t>Naturvårdsverket</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40565-2025</t>
        </is>
      </c>
      <c r="B1820" s="1" t="n">
        <v>45896.46916666667</v>
      </c>
      <c r="C1820" s="1" t="n">
        <v>45961</v>
      </c>
      <c r="D1820" t="inlineStr">
        <is>
          <t>VÄSTERNORRLANDS LÄN</t>
        </is>
      </c>
      <c r="E1820" t="inlineStr">
        <is>
          <t>SUNDSVALL</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48795-2025</t>
        </is>
      </c>
      <c r="B1821" s="1" t="n">
        <v>45937.34444444445</v>
      </c>
      <c r="C1821" s="1" t="n">
        <v>45961</v>
      </c>
      <c r="D1821" t="inlineStr">
        <is>
          <t>VÄSTERNORRLANDS LÄN</t>
        </is>
      </c>
      <c r="E1821" t="inlineStr">
        <is>
          <t>SUNDSVALL</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40451-2025</t>
        </is>
      </c>
      <c r="B1822" s="1" t="n">
        <v>45895.6360300926</v>
      </c>
      <c r="C1822" s="1" t="n">
        <v>45961</v>
      </c>
      <c r="D1822" t="inlineStr">
        <is>
          <t>VÄSTERNORRLANDS LÄN</t>
        </is>
      </c>
      <c r="E1822" t="inlineStr">
        <is>
          <t>SUNDSVALL</t>
        </is>
      </c>
      <c r="F1822" t="inlineStr">
        <is>
          <t>Naturvårdsverket</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48814-2025</t>
        </is>
      </c>
      <c r="B1823" s="1" t="n">
        <v>45937.36435185185</v>
      </c>
      <c r="C1823" s="1" t="n">
        <v>45961</v>
      </c>
      <c r="D1823" t="inlineStr">
        <is>
          <t>VÄSTERNORRLANDS LÄN</t>
        </is>
      </c>
      <c r="E1823" t="inlineStr">
        <is>
          <t>SUNDSVALL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48831-2025</t>
        </is>
      </c>
      <c r="B1824" s="1" t="n">
        <v>45937.3866087963</v>
      </c>
      <c r="C1824" s="1" t="n">
        <v>45961</v>
      </c>
      <c r="D1824" t="inlineStr">
        <is>
          <t>VÄSTERNORRLANDS LÄN</t>
        </is>
      </c>
      <c r="E1824" t="inlineStr">
        <is>
          <t>SUNDSVALL</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48913-2025</t>
        </is>
      </c>
      <c r="B1825" s="1" t="n">
        <v>45937.49005787037</v>
      </c>
      <c r="C1825" s="1" t="n">
        <v>45961</v>
      </c>
      <c r="D1825" t="inlineStr">
        <is>
          <t>VÄSTERNORRLANDS LÄN</t>
        </is>
      </c>
      <c r="E1825" t="inlineStr">
        <is>
          <t>SUNDSVALL</t>
        </is>
      </c>
      <c r="F1825" t="inlineStr">
        <is>
          <t>Naturvårdsverket</t>
        </is>
      </c>
      <c r="G1825" t="n">
        <v>9.9</v>
      </c>
      <c r="H1825" t="n">
        <v>0</v>
      </c>
      <c r="I1825" t="n">
        <v>0</v>
      </c>
      <c r="J1825" t="n">
        <v>0</v>
      </c>
      <c r="K1825" t="n">
        <v>0</v>
      </c>
      <c r="L1825" t="n">
        <v>0</v>
      </c>
      <c r="M1825" t="n">
        <v>0</v>
      </c>
      <c r="N1825" t="n">
        <v>0</v>
      </c>
      <c r="O1825" t="n">
        <v>0</v>
      </c>
      <c r="P1825" t="n">
        <v>0</v>
      </c>
      <c r="Q1825" t="n">
        <v>0</v>
      </c>
      <c r="R1825" s="2" t="inlineStr"/>
    </row>
    <row r="1826" ht="15" customHeight="1">
      <c r="A1826" t="inlineStr">
        <is>
          <t>A 48410-2025</t>
        </is>
      </c>
      <c r="B1826" s="1" t="n">
        <v>45934.42759259259</v>
      </c>
      <c r="C1826" s="1" t="n">
        <v>45961</v>
      </c>
      <c r="D1826" t="inlineStr">
        <is>
          <t>VÄSTERNORRLANDS LÄN</t>
        </is>
      </c>
      <c r="E1826" t="inlineStr">
        <is>
          <t>SUNDSVALL</t>
        </is>
      </c>
      <c r="F1826" t="inlineStr">
        <is>
          <t>SCA</t>
        </is>
      </c>
      <c r="G1826" t="n">
        <v>16.5</v>
      </c>
      <c r="H1826" t="n">
        <v>0</v>
      </c>
      <c r="I1826" t="n">
        <v>0</v>
      </c>
      <c r="J1826" t="n">
        <v>0</v>
      </c>
      <c r="K1826" t="n">
        <v>0</v>
      </c>
      <c r="L1826" t="n">
        <v>0</v>
      </c>
      <c r="M1826" t="n">
        <v>0</v>
      </c>
      <c r="N1826" t="n">
        <v>0</v>
      </c>
      <c r="O1826" t="n">
        <v>0</v>
      </c>
      <c r="P1826" t="n">
        <v>0</v>
      </c>
      <c r="Q1826" t="n">
        <v>0</v>
      </c>
      <c r="R1826" s="2" t="inlineStr"/>
    </row>
    <row r="1827" ht="15" customHeight="1">
      <c r="A1827" t="inlineStr">
        <is>
          <t>A 40655-2025</t>
        </is>
      </c>
      <c r="B1827" s="1" t="n">
        <v>45896.63645833333</v>
      </c>
      <c r="C1827" s="1" t="n">
        <v>45961</v>
      </c>
      <c r="D1827" t="inlineStr">
        <is>
          <t>VÄSTERNORRLANDS LÄN</t>
        </is>
      </c>
      <c r="E1827" t="inlineStr">
        <is>
          <t>SUNDSVALL</t>
        </is>
      </c>
      <c r="F1827" t="inlineStr">
        <is>
          <t>Naturvårdsverket</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40957-2025</t>
        </is>
      </c>
      <c r="B1828" s="1" t="n">
        <v>45897.67841435185</v>
      </c>
      <c r="C1828" s="1" t="n">
        <v>45961</v>
      </c>
      <c r="D1828" t="inlineStr">
        <is>
          <t>VÄSTERNORRLANDS LÄN</t>
        </is>
      </c>
      <c r="E1828" t="inlineStr">
        <is>
          <t>SUNDSVALL</t>
        </is>
      </c>
      <c r="F1828" t="inlineStr">
        <is>
          <t>Naturvårdsverket</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40999-2025</t>
        </is>
      </c>
      <c r="B1829" s="1" t="n">
        <v>45898.34481481482</v>
      </c>
      <c r="C1829" s="1" t="n">
        <v>45961</v>
      </c>
      <c r="D1829" t="inlineStr">
        <is>
          <t>VÄSTERNORRLANDS LÄN</t>
        </is>
      </c>
      <c r="E1829" t="inlineStr">
        <is>
          <t>SUNDSVALL</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41014-2025</t>
        </is>
      </c>
      <c r="B1830" s="1" t="n">
        <v>45898.35866898148</v>
      </c>
      <c r="C1830" s="1" t="n">
        <v>45961</v>
      </c>
      <c r="D1830" t="inlineStr">
        <is>
          <t>VÄSTERNORRLANDS LÄN</t>
        </is>
      </c>
      <c r="E1830" t="inlineStr">
        <is>
          <t>SUNDSVALL</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40811-2025</t>
        </is>
      </c>
      <c r="B1831" s="1" t="n">
        <v>45897</v>
      </c>
      <c r="C1831" s="1" t="n">
        <v>45961</v>
      </c>
      <c r="D1831" t="inlineStr">
        <is>
          <t>VÄSTERNORRLANDS LÄN</t>
        </is>
      </c>
      <c r="E1831" t="inlineStr">
        <is>
          <t>SUNDSVALL</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49529-2025</t>
        </is>
      </c>
      <c r="B1832" s="1" t="n">
        <v>45939.4068287037</v>
      </c>
      <c r="C1832" s="1" t="n">
        <v>45961</v>
      </c>
      <c r="D1832" t="inlineStr">
        <is>
          <t>VÄSTERNORRLANDS LÄN</t>
        </is>
      </c>
      <c r="E1832" t="inlineStr">
        <is>
          <t>SUNDSVALL</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40719-2025</t>
        </is>
      </c>
      <c r="B1833" s="1" t="n">
        <v>45897.34493055556</v>
      </c>
      <c r="C1833" s="1" t="n">
        <v>45961</v>
      </c>
      <c r="D1833" t="inlineStr">
        <is>
          <t>VÄSTERNORRLANDS LÄN</t>
        </is>
      </c>
      <c r="E1833" t="inlineStr">
        <is>
          <t>SUNDSVALL</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40722-2025</t>
        </is>
      </c>
      <c r="B1834" s="1" t="n">
        <v>45897.345</v>
      </c>
      <c r="C1834" s="1" t="n">
        <v>45961</v>
      </c>
      <c r="D1834" t="inlineStr">
        <is>
          <t>VÄSTERNORRLANDS LÄN</t>
        </is>
      </c>
      <c r="E1834" t="inlineStr">
        <is>
          <t>SUNDSVALL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49754-2025</t>
        </is>
      </c>
      <c r="B1835" s="1" t="n">
        <v>45940.34549768519</v>
      </c>
      <c r="C1835" s="1" t="n">
        <v>45961</v>
      </c>
      <c r="D1835" t="inlineStr">
        <is>
          <t>VÄSTERNORRLANDS LÄN</t>
        </is>
      </c>
      <c r="E1835" t="inlineStr">
        <is>
          <t>SUNDSVALL</t>
        </is>
      </c>
      <c r="F1835" t="inlineStr">
        <is>
          <t>Naturvårdsverket</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49752-2025</t>
        </is>
      </c>
      <c r="B1836" s="1" t="n">
        <v>45940.34524305556</v>
      </c>
      <c r="C1836" s="1" t="n">
        <v>45961</v>
      </c>
      <c r="D1836" t="inlineStr">
        <is>
          <t>VÄSTERNORRLANDS LÄN</t>
        </is>
      </c>
      <c r="E1836" t="inlineStr">
        <is>
          <t>SUNDSVALL</t>
        </is>
      </c>
      <c r="F1836" t="inlineStr">
        <is>
          <t>Naturvårdsverket</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49867-2025</t>
        </is>
      </c>
      <c r="B1837" s="1" t="n">
        <v>45940.53179398148</v>
      </c>
      <c r="C1837" s="1" t="n">
        <v>45961</v>
      </c>
      <c r="D1837" t="inlineStr">
        <is>
          <t>VÄSTERNORRLANDS LÄN</t>
        </is>
      </c>
      <c r="E1837" t="inlineStr">
        <is>
          <t>SUNDSVALL</t>
        </is>
      </c>
      <c r="F1837" t="inlineStr">
        <is>
          <t>Naturvårdsverket</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40833-2025</t>
        </is>
      </c>
      <c r="B1838" s="1" t="n">
        <v>45897.51123842593</v>
      </c>
      <c r="C1838" s="1" t="n">
        <v>45961</v>
      </c>
      <c r="D1838" t="inlineStr">
        <is>
          <t>VÄSTERNORRLANDS LÄN</t>
        </is>
      </c>
      <c r="E1838" t="inlineStr">
        <is>
          <t>SUNDSVALL</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40723-2025</t>
        </is>
      </c>
      <c r="B1839" s="1" t="n">
        <v>45897.34502314815</v>
      </c>
      <c r="C1839" s="1" t="n">
        <v>45961</v>
      </c>
      <c r="D1839" t="inlineStr">
        <is>
          <t>VÄSTERNORRLANDS LÄN</t>
        </is>
      </c>
      <c r="E1839" t="inlineStr">
        <is>
          <t>SUNDSVALL</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40769-2025</t>
        </is>
      </c>
      <c r="B1840" s="1" t="n">
        <v>45897.40708333333</v>
      </c>
      <c r="C1840" s="1" t="n">
        <v>45961</v>
      </c>
      <c r="D1840" t="inlineStr">
        <is>
          <t>VÄSTERNORRLANDS LÄN</t>
        </is>
      </c>
      <c r="E1840" t="inlineStr">
        <is>
          <t>SUNDSVALL</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46253-2025</t>
        </is>
      </c>
      <c r="B1841" s="1" t="n">
        <v>45925</v>
      </c>
      <c r="C1841" s="1" t="n">
        <v>45961</v>
      </c>
      <c r="D1841" t="inlineStr">
        <is>
          <t>VÄSTERNORRLANDS LÄN</t>
        </is>
      </c>
      <c r="E1841" t="inlineStr">
        <is>
          <t>SUNDSVALL</t>
        </is>
      </c>
      <c r="F1841" t="inlineStr">
        <is>
          <t>Naturvårdsverket</t>
        </is>
      </c>
      <c r="G1841" t="n">
        <v>19.4</v>
      </c>
      <c r="H1841" t="n">
        <v>0</v>
      </c>
      <c r="I1841" t="n">
        <v>0</v>
      </c>
      <c r="J1841" t="n">
        <v>0</v>
      </c>
      <c r="K1841" t="n">
        <v>0</v>
      </c>
      <c r="L1841" t="n">
        <v>0</v>
      </c>
      <c r="M1841" t="n">
        <v>0</v>
      </c>
      <c r="N1841" t="n">
        <v>0</v>
      </c>
      <c r="O1841" t="n">
        <v>0</v>
      </c>
      <c r="P1841" t="n">
        <v>0</v>
      </c>
      <c r="Q1841" t="n">
        <v>0</v>
      </c>
      <c r="R1841" s="2" t="inlineStr"/>
    </row>
    <row r="1842" ht="15" customHeight="1">
      <c r="A1842" t="inlineStr">
        <is>
          <t>A 40810-2025</t>
        </is>
      </c>
      <c r="B1842" s="1" t="n">
        <v>45897.46952546296</v>
      </c>
      <c r="C1842" s="1" t="n">
        <v>45961</v>
      </c>
      <c r="D1842" t="inlineStr">
        <is>
          <t>VÄSTERNORRLANDS LÄN</t>
        </is>
      </c>
      <c r="E1842" t="inlineStr">
        <is>
          <t>SUNDSVALL</t>
        </is>
      </c>
      <c r="F1842" t="inlineStr">
        <is>
          <t>SCA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49642-2025</t>
        </is>
      </c>
      <c r="B1843" s="1" t="n">
        <v>45939.61542824074</v>
      </c>
      <c r="C1843" s="1" t="n">
        <v>45961</v>
      </c>
      <c r="D1843" t="inlineStr">
        <is>
          <t>VÄSTERNORRLANDS LÄN</t>
        </is>
      </c>
      <c r="E1843" t="inlineStr">
        <is>
          <t>SUNDSVALL</t>
        </is>
      </c>
      <c r="F1843" t="inlineStr">
        <is>
          <t>SCA</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40958-2025</t>
        </is>
      </c>
      <c r="B1844" s="1" t="n">
        <v>45897.67865740741</v>
      </c>
      <c r="C1844" s="1" t="n">
        <v>45961</v>
      </c>
      <c r="D1844" t="inlineStr">
        <is>
          <t>VÄSTERNORRLANDS LÄN</t>
        </is>
      </c>
      <c r="E1844" t="inlineStr">
        <is>
          <t>SUNDSVALL</t>
        </is>
      </c>
      <c r="F1844" t="inlineStr">
        <is>
          <t>Naturvårdsverket</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40720-2025</t>
        </is>
      </c>
      <c r="B1845" s="1" t="n">
        <v>45897.3449537037</v>
      </c>
      <c r="C1845" s="1" t="n">
        <v>45961</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49641-2025</t>
        </is>
      </c>
      <c r="B1846" s="1" t="n">
        <v>45939.61519675926</v>
      </c>
      <c r="C1846" s="1" t="n">
        <v>45961</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41144-2025</t>
        </is>
      </c>
      <c r="B1847" s="1" t="n">
        <v>45898</v>
      </c>
      <c r="C1847" s="1" t="n">
        <v>45961</v>
      </c>
      <c r="D1847" t="inlineStr">
        <is>
          <t>VÄSTERNORRLANDS LÄN</t>
        </is>
      </c>
      <c r="E1847" t="inlineStr">
        <is>
          <t>SUNDSVALL</t>
        </is>
      </c>
      <c r="G1847" t="n">
        <v>12.3</v>
      </c>
      <c r="H1847" t="n">
        <v>0</v>
      </c>
      <c r="I1847" t="n">
        <v>0</v>
      </c>
      <c r="J1847" t="n">
        <v>0</v>
      </c>
      <c r="K1847" t="n">
        <v>0</v>
      </c>
      <c r="L1847" t="n">
        <v>0</v>
      </c>
      <c r="M1847" t="n">
        <v>0</v>
      </c>
      <c r="N1847" t="n">
        <v>0</v>
      </c>
      <c r="O1847" t="n">
        <v>0</v>
      </c>
      <c r="P1847" t="n">
        <v>0</v>
      </c>
      <c r="Q1847" t="n">
        <v>0</v>
      </c>
      <c r="R1847" s="2" t="inlineStr"/>
    </row>
    <row r="1848" ht="15" customHeight="1">
      <c r="A1848" t="inlineStr">
        <is>
          <t>A 40988-2025</t>
        </is>
      </c>
      <c r="B1848" s="1" t="n">
        <v>45898.31621527778</v>
      </c>
      <c r="C1848" s="1" t="n">
        <v>45961</v>
      </c>
      <c r="D1848" t="inlineStr">
        <is>
          <t>VÄSTERNORRLANDS LÄN</t>
        </is>
      </c>
      <c r="E1848" t="inlineStr">
        <is>
          <t>SUNDSVALL</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49697-2025</t>
        </is>
      </c>
      <c r="B1849" s="1" t="n">
        <v>45939.67776620371</v>
      </c>
      <c r="C1849" s="1" t="n">
        <v>45961</v>
      </c>
      <c r="D1849" t="inlineStr">
        <is>
          <t>VÄSTERNORRLANDS LÄN</t>
        </is>
      </c>
      <c r="E1849" t="inlineStr">
        <is>
          <t>SUNDSVALL</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40721-2025</t>
        </is>
      </c>
      <c r="B1850" s="1" t="n">
        <v>45897.34497685185</v>
      </c>
      <c r="C1850" s="1" t="n">
        <v>45961</v>
      </c>
      <c r="D1850" t="inlineStr">
        <is>
          <t>VÄSTERNORRLANDS LÄN</t>
        </is>
      </c>
      <c r="E1850" t="inlineStr">
        <is>
          <t>SUNDSVALL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50405-2025</t>
        </is>
      </c>
      <c r="B1851" s="1" t="n">
        <v>45944.63644675926</v>
      </c>
      <c r="C1851" s="1" t="n">
        <v>45961</v>
      </c>
      <c r="D1851" t="inlineStr">
        <is>
          <t>VÄSTERNORRLANDS LÄN</t>
        </is>
      </c>
      <c r="E1851" t="inlineStr">
        <is>
          <t>SUNDSVALL</t>
        </is>
      </c>
      <c r="F1851" t="inlineStr">
        <is>
          <t>SCA</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50407-2025</t>
        </is>
      </c>
      <c r="B1852" s="1" t="n">
        <v>45944.63677083333</v>
      </c>
      <c r="C1852" s="1" t="n">
        <v>45961</v>
      </c>
      <c r="D1852" t="inlineStr">
        <is>
          <t>VÄSTERNORRLANDS LÄN</t>
        </is>
      </c>
      <c r="E1852" t="inlineStr">
        <is>
          <t>SUNDSVALL</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41658-2025</t>
        </is>
      </c>
      <c r="B1853" s="1" t="n">
        <v>45902.34451388889</v>
      </c>
      <c r="C1853" s="1" t="n">
        <v>45961</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41696-2025</t>
        </is>
      </c>
      <c r="B1854" s="1" t="n">
        <v>45902.40671296296</v>
      </c>
      <c r="C1854" s="1" t="n">
        <v>45961</v>
      </c>
      <c r="D1854" t="inlineStr">
        <is>
          <t>VÄSTERNORRLANDS LÄN</t>
        </is>
      </c>
      <c r="E1854" t="inlineStr">
        <is>
          <t>SUNDSVALL</t>
        </is>
      </c>
      <c r="F1854" t="inlineStr">
        <is>
          <t>SCA</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50265-2025</t>
        </is>
      </c>
      <c r="B1855" s="1" t="n">
        <v>45944.34559027778</v>
      </c>
      <c r="C1855" s="1" t="n">
        <v>45961</v>
      </c>
      <c r="D1855" t="inlineStr">
        <is>
          <t>VÄSTERNORRLANDS LÄN</t>
        </is>
      </c>
      <c r="E1855" t="inlineStr">
        <is>
          <t>SUNDSVALL</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41509-2025</t>
        </is>
      </c>
      <c r="B1856" s="1" t="n">
        <v>45901.53246527778</v>
      </c>
      <c r="C1856" s="1" t="n">
        <v>45961</v>
      </c>
      <c r="D1856" t="inlineStr">
        <is>
          <t>VÄSTERNORRLANDS LÄN</t>
        </is>
      </c>
      <c r="E1856" t="inlineStr">
        <is>
          <t>SUNDSVALL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50228-2025</t>
        </is>
      </c>
      <c r="B1857" s="1" t="n">
        <v>45943.69835648148</v>
      </c>
      <c r="C1857" s="1" t="n">
        <v>45961</v>
      </c>
      <c r="D1857" t="inlineStr">
        <is>
          <t>VÄSTERNORRLANDS LÄN</t>
        </is>
      </c>
      <c r="E1857" t="inlineStr">
        <is>
          <t>SUNDSVALL</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50293-2025</t>
        </is>
      </c>
      <c r="B1858" s="1" t="n">
        <v>45944.40810185186</v>
      </c>
      <c r="C1858" s="1" t="n">
        <v>45961</v>
      </c>
      <c r="D1858" t="inlineStr">
        <is>
          <t>VÄSTERNORRLANDS LÄN</t>
        </is>
      </c>
      <c r="E1858" t="inlineStr">
        <is>
          <t>SUNDSVALL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41673-2025</t>
        </is>
      </c>
      <c r="B1859" s="1" t="n">
        <v>45902.3650462963</v>
      </c>
      <c r="C1859" s="1" t="n">
        <v>45961</v>
      </c>
      <c r="D1859" t="inlineStr">
        <is>
          <t>VÄSTERNORRLANDS LÄN</t>
        </is>
      </c>
      <c r="E1859" t="inlineStr">
        <is>
          <t>SUNDSVALL</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50401-2025</t>
        </is>
      </c>
      <c r="B1860" s="1" t="n">
        <v>45944.63585648148</v>
      </c>
      <c r="C1860" s="1" t="n">
        <v>45961</v>
      </c>
      <c r="D1860" t="inlineStr">
        <is>
          <t>VÄSTERNORRLANDS LÄN</t>
        </is>
      </c>
      <c r="E1860" t="inlineStr">
        <is>
          <t>SUNDSVALL</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41774-2025</t>
        </is>
      </c>
      <c r="B1861" s="1" t="n">
        <v>45902.56362268519</v>
      </c>
      <c r="C1861" s="1" t="n">
        <v>45961</v>
      </c>
      <c r="D1861" t="inlineStr">
        <is>
          <t>VÄSTERNORRLANDS LÄN</t>
        </is>
      </c>
      <c r="E1861" t="inlineStr">
        <is>
          <t>SUNDSVALL</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41660-2025</t>
        </is>
      </c>
      <c r="B1862" s="1" t="n">
        <v>45902.34475694445</v>
      </c>
      <c r="C1862" s="1" t="n">
        <v>45961</v>
      </c>
      <c r="D1862" t="inlineStr">
        <is>
          <t>VÄSTERNORRLANDS LÄN</t>
        </is>
      </c>
      <c r="E1862" t="inlineStr">
        <is>
          <t>SUNDSVALL</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41505-2025</t>
        </is>
      </c>
      <c r="B1863" s="1" t="n">
        <v>45901.52425925926</v>
      </c>
      <c r="C1863" s="1" t="n">
        <v>45961</v>
      </c>
      <c r="D1863" t="inlineStr">
        <is>
          <t>VÄSTERNORRLANDS LÄN</t>
        </is>
      </c>
      <c r="E1863" t="inlineStr">
        <is>
          <t>SUNDSVALL</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50180-2025</t>
        </is>
      </c>
      <c r="B1864" s="1" t="n">
        <v>45943.61502314815</v>
      </c>
      <c r="C1864" s="1" t="n">
        <v>45961</v>
      </c>
      <c r="D1864" t="inlineStr">
        <is>
          <t>VÄSTERNORRLANDS LÄN</t>
        </is>
      </c>
      <c r="E1864" t="inlineStr">
        <is>
          <t>SUNDSVALL</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49960-2025</t>
        </is>
      </c>
      <c r="B1865" s="1" t="n">
        <v>45941.34421296296</v>
      </c>
      <c r="C1865" s="1" t="n">
        <v>45961</v>
      </c>
      <c r="D1865" t="inlineStr">
        <is>
          <t>VÄSTERNORRLANDS LÄN</t>
        </is>
      </c>
      <c r="E1865" t="inlineStr">
        <is>
          <t>SUNDSVALL</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41944-2025</t>
        </is>
      </c>
      <c r="B1866" s="1" t="n">
        <v>45903</v>
      </c>
      <c r="C1866" s="1" t="n">
        <v>45961</v>
      </c>
      <c r="D1866" t="inlineStr">
        <is>
          <t>VÄSTERNORRLANDS LÄN</t>
        </is>
      </c>
      <c r="E1866" t="inlineStr">
        <is>
          <t>SUNDSVALL</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50294-2025</t>
        </is>
      </c>
      <c r="B1867" s="1" t="n">
        <v>45944.408125</v>
      </c>
      <c r="C1867" s="1" t="n">
        <v>45961</v>
      </c>
      <c r="D1867" t="inlineStr">
        <is>
          <t>VÄSTERNORRLANDS LÄN</t>
        </is>
      </c>
      <c r="E1867" t="inlineStr">
        <is>
          <t>SUNDSVALL</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41405-2025</t>
        </is>
      </c>
      <c r="B1868" s="1" t="n">
        <v>45901.34476851852</v>
      </c>
      <c r="C1868" s="1" t="n">
        <v>45961</v>
      </c>
      <c r="D1868" t="inlineStr">
        <is>
          <t>VÄSTERNORRLANDS LÄN</t>
        </is>
      </c>
      <c r="E1868" t="inlineStr">
        <is>
          <t>SUNDSVALL</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50567-2025</t>
        </is>
      </c>
      <c r="B1869" s="1" t="n">
        <v>45945.5684375</v>
      </c>
      <c r="C1869" s="1" t="n">
        <v>45961</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10487-2025</t>
        </is>
      </c>
      <c r="B1870" s="1" t="n">
        <v>45721.34428240741</v>
      </c>
      <c r="C1870" s="1" t="n">
        <v>45961</v>
      </c>
      <c r="D1870" t="inlineStr">
        <is>
          <t>VÄSTERNORRLANDS LÄN</t>
        </is>
      </c>
      <c r="E1870" t="inlineStr">
        <is>
          <t>SUNDSVALL</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50800-2025</t>
        </is>
      </c>
      <c r="B1871" s="1" t="n">
        <v>45946.49042824074</v>
      </c>
      <c r="C1871" s="1" t="n">
        <v>45961</v>
      </c>
      <c r="D1871" t="inlineStr">
        <is>
          <t>VÄSTERNORRLANDS LÄN</t>
        </is>
      </c>
      <c r="E1871" t="inlineStr">
        <is>
          <t>SUNDSVALL</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50809-2025</t>
        </is>
      </c>
      <c r="B1872" s="1" t="n">
        <v>45946.51101851852</v>
      </c>
      <c r="C1872" s="1" t="n">
        <v>45961</v>
      </c>
      <c r="D1872" t="inlineStr">
        <is>
          <t>VÄSTERNORRLANDS LÄN</t>
        </is>
      </c>
      <c r="E1872" t="inlineStr">
        <is>
          <t>SUNDSVALL</t>
        </is>
      </c>
      <c r="F1872" t="inlineStr">
        <is>
          <t>SCA</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50828-2025</t>
        </is>
      </c>
      <c r="B1873" s="1" t="n">
        <v>45946.55261574074</v>
      </c>
      <c r="C1873" s="1" t="n">
        <v>45961</v>
      </c>
      <c r="D1873" t="inlineStr">
        <is>
          <t>VÄSTERNORRLANDS LÄN</t>
        </is>
      </c>
      <c r="E1873" t="inlineStr">
        <is>
          <t>SUNDSVALL</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50861-2025</t>
        </is>
      </c>
      <c r="B1874" s="1" t="n">
        <v>45946.59496527778</v>
      </c>
      <c r="C1874" s="1" t="n">
        <v>45961</v>
      </c>
      <c r="D1874" t="inlineStr">
        <is>
          <t>VÄSTERNORRLANDS LÄN</t>
        </is>
      </c>
      <c r="E1874" t="inlineStr">
        <is>
          <t>SUNDSVALL</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50863-2025</t>
        </is>
      </c>
      <c r="B1875" s="1" t="n">
        <v>45946.59517361111</v>
      </c>
      <c r="C1875" s="1" t="n">
        <v>45961</v>
      </c>
      <c r="D1875" t="inlineStr">
        <is>
          <t>VÄSTERNORRLANDS LÄN</t>
        </is>
      </c>
      <c r="E1875" t="inlineStr">
        <is>
          <t>SUNDSVALL</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30179-2024</t>
        </is>
      </c>
      <c r="B1876" s="1" t="n">
        <v>45489.92717592593</v>
      </c>
      <c r="C1876" s="1" t="n">
        <v>45961</v>
      </c>
      <c r="D1876" t="inlineStr">
        <is>
          <t>VÄSTERNORRLANDS LÄN</t>
        </is>
      </c>
      <c r="E1876" t="inlineStr">
        <is>
          <t>SUNDSVALL</t>
        </is>
      </c>
      <c r="F1876" t="inlineStr">
        <is>
          <t>Kyrkan</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50799-2025</t>
        </is>
      </c>
      <c r="B1877" s="1" t="n">
        <v>45946.49013888889</v>
      </c>
      <c r="C1877" s="1" t="n">
        <v>45961</v>
      </c>
      <c r="D1877" t="inlineStr">
        <is>
          <t>VÄSTERNORRLANDS LÄN</t>
        </is>
      </c>
      <c r="E1877" t="inlineStr">
        <is>
          <t>SUNDSVALL</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50743-2025</t>
        </is>
      </c>
      <c r="B1878" s="1" t="n">
        <v>45946.38587962963</v>
      </c>
      <c r="C1878" s="1" t="n">
        <v>45961</v>
      </c>
      <c r="D1878" t="inlineStr">
        <is>
          <t>VÄSTERNORRLANDS LÄN</t>
        </is>
      </c>
      <c r="E1878" t="inlineStr">
        <is>
          <t>SUNDSVALL</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42000-2025</t>
        </is>
      </c>
      <c r="B1879" s="1" t="n">
        <v>45903.55262731481</v>
      </c>
      <c r="C1879" s="1" t="n">
        <v>45961</v>
      </c>
      <c r="D1879" t="inlineStr">
        <is>
          <t>VÄSTERNORRLANDS LÄN</t>
        </is>
      </c>
      <c r="E1879" t="inlineStr">
        <is>
          <t>SUNDSVALL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50569-2025</t>
        </is>
      </c>
      <c r="B1880" s="1" t="n">
        <v>45945.57335648148</v>
      </c>
      <c r="C1880" s="1" t="n">
        <v>45961</v>
      </c>
      <c r="D1880" t="inlineStr">
        <is>
          <t>VÄSTERNORRLANDS LÄN</t>
        </is>
      </c>
      <c r="E1880" t="inlineStr">
        <is>
          <t>SUNDSVALL</t>
        </is>
      </c>
      <c r="F1880" t="inlineStr">
        <is>
          <t>SCA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50576-2025</t>
        </is>
      </c>
      <c r="B1881" s="1" t="n">
        <v>45945.58091435185</v>
      </c>
      <c r="C1881" s="1" t="n">
        <v>45961</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42202-2025</t>
        </is>
      </c>
      <c r="B1882" s="1" t="n">
        <v>45904.4900462963</v>
      </c>
      <c r="C1882" s="1" t="n">
        <v>45961</v>
      </c>
      <c r="D1882" t="inlineStr">
        <is>
          <t>VÄSTERNORRLANDS LÄN</t>
        </is>
      </c>
      <c r="E1882" t="inlineStr">
        <is>
          <t>SUNDSVALL</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41883-2025</t>
        </is>
      </c>
      <c r="B1883" s="1" t="n">
        <v>45903.36512731481</v>
      </c>
      <c r="C1883" s="1" t="n">
        <v>45961</v>
      </c>
      <c r="D1883" t="inlineStr">
        <is>
          <t>VÄSTERNORRLANDS LÄN</t>
        </is>
      </c>
      <c r="E1883" t="inlineStr">
        <is>
          <t>SUNDSVALL</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42024-2025</t>
        </is>
      </c>
      <c r="B1884" s="1" t="n">
        <v>45903.59418981482</v>
      </c>
      <c r="C1884" s="1" t="n">
        <v>45961</v>
      </c>
      <c r="D1884" t="inlineStr">
        <is>
          <t>VÄSTERNORRLANDS LÄN</t>
        </is>
      </c>
      <c r="E1884" t="inlineStr">
        <is>
          <t>SUNDSVALL</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50748-2025</t>
        </is>
      </c>
      <c r="B1885" s="1" t="n">
        <v>45946.38806712963</v>
      </c>
      <c r="C1885" s="1" t="n">
        <v>45961</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50457-2025</t>
        </is>
      </c>
      <c r="B1886" s="1" t="n">
        <v>45945</v>
      </c>
      <c r="C1886" s="1" t="n">
        <v>45961</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50512-2025</t>
        </is>
      </c>
      <c r="B1887" s="1" t="n">
        <v>45945.44846064815</v>
      </c>
      <c r="C1887" s="1" t="n">
        <v>45961</v>
      </c>
      <c r="D1887" t="inlineStr">
        <is>
          <t>VÄSTERNORRLANDS LÄN</t>
        </is>
      </c>
      <c r="E1887" t="inlineStr">
        <is>
          <t>SUNDSVALL</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50926-2025</t>
        </is>
      </c>
      <c r="B1888" s="1" t="n">
        <v>45946.67871527778</v>
      </c>
      <c r="C1888" s="1" t="n">
        <v>45961</v>
      </c>
      <c r="D1888" t="inlineStr">
        <is>
          <t>VÄSTERNORRLANDS LÄN</t>
        </is>
      </c>
      <c r="E1888" t="inlineStr">
        <is>
          <t>SUNDSVALL</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50935-2025</t>
        </is>
      </c>
      <c r="B1889" s="1" t="n">
        <v>45946.69409722222</v>
      </c>
      <c r="C1889" s="1" t="n">
        <v>45961</v>
      </c>
      <c r="D1889" t="inlineStr">
        <is>
          <t>VÄSTERNORRLANDS LÄN</t>
        </is>
      </c>
      <c r="E1889" t="inlineStr">
        <is>
          <t>SUNDSVALL</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42467-2025</t>
        </is>
      </c>
      <c r="B1890" s="1" t="n">
        <v>45904</v>
      </c>
      <c r="C1890" s="1" t="n">
        <v>45961</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41999-2025</t>
        </is>
      </c>
      <c r="B1891" s="1" t="n">
        <v>45903.55244212963</v>
      </c>
      <c r="C1891" s="1" t="n">
        <v>45961</v>
      </c>
      <c r="D1891" t="inlineStr">
        <is>
          <t>VÄSTERNORRLANDS LÄN</t>
        </is>
      </c>
      <c r="E1891" t="inlineStr">
        <is>
          <t>SUNDSVALL</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30546-2025</t>
        </is>
      </c>
      <c r="B1892" s="1" t="n">
        <v>45831</v>
      </c>
      <c r="C1892" s="1" t="n">
        <v>45961</v>
      </c>
      <c r="D1892" t="inlineStr">
        <is>
          <t>VÄSTERNORRLANDS LÄN</t>
        </is>
      </c>
      <c r="E1892" t="inlineStr">
        <is>
          <t>SUNDSVALL</t>
        </is>
      </c>
      <c r="F1892" t="inlineStr">
        <is>
          <t>Kyrkan</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50925-2025</t>
        </is>
      </c>
      <c r="B1893" s="1" t="n">
        <v>45946.67796296296</v>
      </c>
      <c r="C1893" s="1" t="n">
        <v>45961</v>
      </c>
      <c r="D1893" t="inlineStr">
        <is>
          <t>VÄSTERNORRLANDS LÄN</t>
        </is>
      </c>
      <c r="E1893" t="inlineStr">
        <is>
          <t>SUNDSVALL</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50575-2025</t>
        </is>
      </c>
      <c r="B1894" s="1" t="n">
        <v>45945.57913194445</v>
      </c>
      <c r="C1894" s="1" t="n">
        <v>45961</v>
      </c>
      <c r="D1894" t="inlineStr">
        <is>
          <t>VÄSTERNORRLANDS LÄN</t>
        </is>
      </c>
      <c r="E1894" t="inlineStr">
        <is>
          <t>SUNDSVALL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42909-2025</t>
        </is>
      </c>
      <c r="B1895" s="1" t="n">
        <v>45908.69828703703</v>
      </c>
      <c r="C1895" s="1" t="n">
        <v>45961</v>
      </c>
      <c r="D1895" t="inlineStr">
        <is>
          <t>VÄSTERNORRLANDS LÄN</t>
        </is>
      </c>
      <c r="E1895" t="inlineStr">
        <is>
          <t>SUNDSVALL</t>
        </is>
      </c>
      <c r="F1895" t="inlineStr">
        <is>
          <t>Naturvårdsverket</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51239-2025</t>
        </is>
      </c>
      <c r="B1896" s="1" t="n">
        <v>45947.69834490741</v>
      </c>
      <c r="C1896" s="1" t="n">
        <v>45961</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42762-2025</t>
        </is>
      </c>
      <c r="B1897" s="1" t="n">
        <v>45905</v>
      </c>
      <c r="C1897" s="1" t="n">
        <v>45961</v>
      </c>
      <c r="D1897" t="inlineStr">
        <is>
          <t>VÄSTERNORRLANDS LÄN</t>
        </is>
      </c>
      <c r="E1897" t="inlineStr">
        <is>
          <t>SUNDSVALL</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43728-2025</t>
        </is>
      </c>
      <c r="B1898" s="1" t="n">
        <v>45912</v>
      </c>
      <c r="C1898" s="1" t="n">
        <v>45961</v>
      </c>
      <c r="D1898" t="inlineStr">
        <is>
          <t>VÄSTERNORRLANDS LÄN</t>
        </is>
      </c>
      <c r="E1898" t="inlineStr">
        <is>
          <t>SUNDSVALL</t>
        </is>
      </c>
      <c r="G1898" t="n">
        <v>24.2</v>
      </c>
      <c r="H1898" t="n">
        <v>0</v>
      </c>
      <c r="I1898" t="n">
        <v>0</v>
      </c>
      <c r="J1898" t="n">
        <v>0</v>
      </c>
      <c r="K1898" t="n">
        <v>0</v>
      </c>
      <c r="L1898" t="n">
        <v>0</v>
      </c>
      <c r="M1898" t="n">
        <v>0</v>
      </c>
      <c r="N1898" t="n">
        <v>0</v>
      </c>
      <c r="O1898" t="n">
        <v>0</v>
      </c>
      <c r="P1898" t="n">
        <v>0</v>
      </c>
      <c r="Q1898" t="n">
        <v>0</v>
      </c>
      <c r="R1898" s="2" t="inlineStr"/>
    </row>
    <row r="1899" ht="15" customHeight="1">
      <c r="A1899" t="inlineStr">
        <is>
          <t>A 19699-2025</t>
        </is>
      </c>
      <c r="B1899" s="1" t="n">
        <v>45771.32137731482</v>
      </c>
      <c r="C1899" s="1" t="n">
        <v>45961</v>
      </c>
      <c r="D1899" t="inlineStr">
        <is>
          <t>VÄSTERNORRLANDS LÄN</t>
        </is>
      </c>
      <c r="E1899" t="inlineStr">
        <is>
          <t>SUNDSVALL</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51112-2025</t>
        </is>
      </c>
      <c r="B1900" s="1" t="n">
        <v>45947.51068287037</v>
      </c>
      <c r="C1900" s="1" t="n">
        <v>45961</v>
      </c>
      <c r="D1900" t="inlineStr">
        <is>
          <t>VÄSTERNORRLANDS LÄN</t>
        </is>
      </c>
      <c r="E1900" t="inlineStr">
        <is>
          <t>SUNDSVALL</t>
        </is>
      </c>
      <c r="F1900" t="inlineStr">
        <is>
          <t>Holmen skog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51378-2025</t>
        </is>
      </c>
      <c r="B1901" s="1" t="n">
        <v>45950.45506944445</v>
      </c>
      <c r="C1901" s="1" t="n">
        <v>45961</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50577-2025</t>
        </is>
      </c>
      <c r="B1902" s="1" t="n">
        <v>45945</v>
      </c>
      <c r="C1902" s="1" t="n">
        <v>45961</v>
      </c>
      <c r="D1902" t="inlineStr">
        <is>
          <t>VÄSTERNORRLANDS LÄN</t>
        </is>
      </c>
      <c r="E1902" t="inlineStr">
        <is>
          <t>SUNDSVALL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51409-2025</t>
        </is>
      </c>
      <c r="B1903" s="1" t="n">
        <v>45950.49034722222</v>
      </c>
      <c r="C1903" s="1" t="n">
        <v>45961</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42428-2025</t>
        </is>
      </c>
      <c r="B1904" s="1" t="n">
        <v>45905.4219212963</v>
      </c>
      <c r="C1904" s="1" t="n">
        <v>45961</v>
      </c>
      <c r="D1904" t="inlineStr">
        <is>
          <t>VÄSTERNORRLANDS LÄN</t>
        </is>
      </c>
      <c r="E1904" t="inlineStr">
        <is>
          <t>SUNDSVALL</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42689-2025</t>
        </is>
      </c>
      <c r="B1905" s="1" t="n">
        <v>45908.35649305556</v>
      </c>
      <c r="C1905" s="1" t="n">
        <v>45961</v>
      </c>
      <c r="D1905" t="inlineStr">
        <is>
          <t>VÄSTERNORRLANDS LÄN</t>
        </is>
      </c>
      <c r="E1905" t="inlineStr">
        <is>
          <t>SUNDSVALL</t>
        </is>
      </c>
      <c r="F1905" t="inlineStr">
        <is>
          <t>Holmen skog AB</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42726-2025</t>
        </is>
      </c>
      <c r="B1906" s="1" t="n">
        <v>45905</v>
      </c>
      <c r="C1906" s="1" t="n">
        <v>45961</v>
      </c>
      <c r="D1906" t="inlineStr">
        <is>
          <t>VÄSTERNORRLANDS LÄN</t>
        </is>
      </c>
      <c r="E1906" t="inlineStr">
        <is>
          <t>SUNDSVALL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41196-2024</t>
        </is>
      </c>
      <c r="B1907" s="1" t="n">
        <v>45559.51123842593</v>
      </c>
      <c r="C1907" s="1" t="n">
        <v>45961</v>
      </c>
      <c r="D1907" t="inlineStr">
        <is>
          <t>VÄSTERNORRLANDS LÄN</t>
        </is>
      </c>
      <c r="E1907" t="inlineStr">
        <is>
          <t>SUNDSVALL</t>
        </is>
      </c>
      <c r="G1907" t="n">
        <v>13.2</v>
      </c>
      <c r="H1907" t="n">
        <v>0</v>
      </c>
      <c r="I1907" t="n">
        <v>0</v>
      </c>
      <c r="J1907" t="n">
        <v>0</v>
      </c>
      <c r="K1907" t="n">
        <v>0</v>
      </c>
      <c r="L1907" t="n">
        <v>0</v>
      </c>
      <c r="M1907" t="n">
        <v>0</v>
      </c>
      <c r="N1907" t="n">
        <v>0</v>
      </c>
      <c r="O1907" t="n">
        <v>0</v>
      </c>
      <c r="P1907" t="n">
        <v>0</v>
      </c>
      <c r="Q1907" t="n">
        <v>0</v>
      </c>
      <c r="R1907" s="2" t="inlineStr"/>
    </row>
    <row r="1908" ht="15" customHeight="1">
      <c r="A1908" t="inlineStr">
        <is>
          <t>A 51018-2025</t>
        </is>
      </c>
      <c r="B1908" s="1" t="n">
        <v>45947.38604166666</v>
      </c>
      <c r="C1908" s="1" t="n">
        <v>45961</v>
      </c>
      <c r="D1908" t="inlineStr">
        <is>
          <t>VÄSTERNORRLANDS LÄN</t>
        </is>
      </c>
      <c r="E1908" t="inlineStr">
        <is>
          <t>SUNDSVALL</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51583-2025</t>
        </is>
      </c>
      <c r="B1909" s="1" t="n">
        <v>45951.34568287037</v>
      </c>
      <c r="C1909" s="1" t="n">
        <v>45961</v>
      </c>
      <c r="D1909" t="inlineStr">
        <is>
          <t>VÄSTERNORRLANDS LÄN</t>
        </is>
      </c>
      <c r="E1909" t="inlineStr">
        <is>
          <t>SUNDSVALL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51586-2025</t>
        </is>
      </c>
      <c r="B1910" s="1" t="n">
        <v>45951.34594907407</v>
      </c>
      <c r="C1910" s="1" t="n">
        <v>45961</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51846-2025</t>
        </is>
      </c>
      <c r="B1911" s="1" t="n">
        <v>45952.34964120371</v>
      </c>
      <c r="C1911" s="1" t="n">
        <v>45961</v>
      </c>
      <c r="D1911" t="inlineStr">
        <is>
          <t>VÄSTERNORRLANDS LÄN</t>
        </is>
      </c>
      <c r="E1911" t="inlineStr">
        <is>
          <t>SUNDSVALL</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51933-2025</t>
        </is>
      </c>
      <c r="B1912" s="1" t="n">
        <v>45952.51125</v>
      </c>
      <c r="C1912" s="1" t="n">
        <v>45961</v>
      </c>
      <c r="D1912" t="inlineStr">
        <is>
          <t>VÄSTERNORRLANDS LÄN</t>
        </is>
      </c>
      <c r="E1912" t="inlineStr">
        <is>
          <t>SUNDSVALL</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51731-2025</t>
        </is>
      </c>
      <c r="B1913" s="1" t="n">
        <v>45951.59444444445</v>
      </c>
      <c r="C1913" s="1" t="n">
        <v>45961</v>
      </c>
      <c r="D1913" t="inlineStr">
        <is>
          <t>VÄSTERNORRLANDS LÄN</t>
        </is>
      </c>
      <c r="E1913" t="inlineStr">
        <is>
          <t>SUNDSVALL</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43331-2025</t>
        </is>
      </c>
      <c r="B1914" s="1" t="n">
        <v>45910.69842592593</v>
      </c>
      <c r="C1914" s="1" t="n">
        <v>45961</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51578-2025</t>
        </is>
      </c>
      <c r="B1915" s="1" t="n">
        <v>45951.34520833333</v>
      </c>
      <c r="C1915" s="1" t="n">
        <v>45961</v>
      </c>
      <c r="D1915" t="inlineStr">
        <is>
          <t>VÄSTERNORRLANDS LÄN</t>
        </is>
      </c>
      <c r="E1915" t="inlineStr">
        <is>
          <t>SUNDSVALL</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51581-2025</t>
        </is>
      </c>
      <c r="B1916" s="1" t="n">
        <v>45951.34552083333</v>
      </c>
      <c r="C1916" s="1" t="n">
        <v>45961</v>
      </c>
      <c r="D1916" t="inlineStr">
        <is>
          <t>VÄSTERNORRLANDS LÄN</t>
        </is>
      </c>
      <c r="E1916" t="inlineStr">
        <is>
          <t>SUNDSVALL</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51714-2025</t>
        </is>
      </c>
      <c r="B1917" s="1" t="n">
        <v>45950</v>
      </c>
      <c r="C1917" s="1" t="n">
        <v>45961</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51861-2025</t>
        </is>
      </c>
      <c r="B1918" s="1" t="n">
        <v>45952.36784722222</v>
      </c>
      <c r="C1918" s="1" t="n">
        <v>45961</v>
      </c>
      <c r="D1918" t="inlineStr">
        <is>
          <t>VÄSTERNORRLANDS LÄN</t>
        </is>
      </c>
      <c r="E1918" t="inlineStr">
        <is>
          <t>SUNDSVALL</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43152-2025</t>
        </is>
      </c>
      <c r="B1919" s="1" t="n">
        <v>45910.34438657408</v>
      </c>
      <c r="C1919" s="1" t="n">
        <v>45961</v>
      </c>
      <c r="D1919" t="inlineStr">
        <is>
          <t>VÄSTERNORRLANDS LÄN</t>
        </is>
      </c>
      <c r="E1919" t="inlineStr">
        <is>
          <t>SUNDSVALL</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51814-2025</t>
        </is>
      </c>
      <c r="B1920" s="1" t="n">
        <v>45951.83572916667</v>
      </c>
      <c r="C1920" s="1" t="n">
        <v>45961</v>
      </c>
      <c r="D1920" t="inlineStr">
        <is>
          <t>VÄSTERNORRLANDS LÄN</t>
        </is>
      </c>
      <c r="E1920" t="inlineStr">
        <is>
          <t>SUNDSVALL</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43108-2025</t>
        </is>
      </c>
      <c r="B1921" s="1" t="n">
        <v>45909.65167824074</v>
      </c>
      <c r="C1921" s="1" t="n">
        <v>45961</v>
      </c>
      <c r="D1921" t="inlineStr">
        <is>
          <t>VÄSTERNORRLANDS LÄN</t>
        </is>
      </c>
      <c r="E1921" t="inlineStr">
        <is>
          <t>SUNDSVALL</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43615-2025</t>
        </is>
      </c>
      <c r="B1922" s="1" t="n">
        <v>45911.67784722222</v>
      </c>
      <c r="C1922" s="1" t="n">
        <v>45961</v>
      </c>
      <c r="D1922" t="inlineStr">
        <is>
          <t>VÄSTERNORRLANDS LÄN</t>
        </is>
      </c>
      <c r="E1922" t="inlineStr">
        <is>
          <t>SUNDSVALL</t>
        </is>
      </c>
      <c r="F1922" t="inlineStr">
        <is>
          <t>Naturvårdsverket</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43488-2025</t>
        </is>
      </c>
      <c r="B1923" s="1" t="n">
        <v>45911.51083333333</v>
      </c>
      <c r="C1923" s="1" t="n">
        <v>45961</v>
      </c>
      <c r="D1923" t="inlineStr">
        <is>
          <t>VÄSTERNORRLANDS LÄN</t>
        </is>
      </c>
      <c r="E1923" t="inlineStr">
        <is>
          <t>SUNDSVALL</t>
        </is>
      </c>
      <c r="F1923" t="inlineStr">
        <is>
          <t>SCA</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43814-2025</t>
        </is>
      </c>
      <c r="B1924" s="1" t="n">
        <v>45912.59471064815</v>
      </c>
      <c r="C1924" s="1" t="n">
        <v>45961</v>
      </c>
      <c r="D1924" t="inlineStr">
        <is>
          <t>VÄSTERNORRLANDS LÄN</t>
        </is>
      </c>
      <c r="E1924" t="inlineStr">
        <is>
          <t>SUNDSVALL</t>
        </is>
      </c>
      <c r="F1924" t="inlineStr">
        <is>
          <t>Naturvårdsverket</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52636-2025</t>
        </is>
      </c>
      <c r="B1925" s="1" t="n">
        <v>45954.74804398148</v>
      </c>
      <c r="C1925" s="1" t="n">
        <v>45961</v>
      </c>
      <c r="D1925" t="inlineStr">
        <is>
          <t>VÄSTERNORRLANDS LÄN</t>
        </is>
      </c>
      <c r="E1925" t="inlineStr">
        <is>
          <t>SUNDSVALL</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52148-2025</t>
        </is>
      </c>
      <c r="B1926" s="1" t="n">
        <v>45953.34452546296</v>
      </c>
      <c r="C1926" s="1" t="n">
        <v>45961</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43865-2025</t>
        </is>
      </c>
      <c r="B1927" s="1" t="n">
        <v>45912.65709490741</v>
      </c>
      <c r="C1927" s="1" t="n">
        <v>45961</v>
      </c>
      <c r="D1927" t="inlineStr">
        <is>
          <t>VÄSTERNORRLANDS LÄN</t>
        </is>
      </c>
      <c r="E1927" t="inlineStr">
        <is>
          <t>SUNDSVALL</t>
        </is>
      </c>
      <c r="F1927" t="inlineStr">
        <is>
          <t>Kommuner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52149-2025</t>
        </is>
      </c>
      <c r="B1928" s="1" t="n">
        <v>45953.34471064815</v>
      </c>
      <c r="C1928" s="1" t="n">
        <v>45961</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52252-2025</t>
        </is>
      </c>
      <c r="B1929" s="1" t="n">
        <v>45953.49189814815</v>
      </c>
      <c r="C1929" s="1" t="n">
        <v>45961</v>
      </c>
      <c r="D1929" t="inlineStr">
        <is>
          <t>VÄSTERNORRLANDS LÄN</t>
        </is>
      </c>
      <c r="E1929" t="inlineStr">
        <is>
          <t>SUNDSVALL</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52616-2025</t>
        </is>
      </c>
      <c r="B1930" s="1" t="n">
        <v>45954.67804398148</v>
      </c>
      <c r="C1930" s="1" t="n">
        <v>45961</v>
      </c>
      <c r="D1930" t="inlineStr">
        <is>
          <t>VÄSTERNORRLANDS LÄN</t>
        </is>
      </c>
      <c r="E1930" t="inlineStr">
        <is>
          <t>SUNDSVALL</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52282-2025</t>
        </is>
      </c>
      <c r="B1931" s="1" t="n">
        <v>45953.57335648148</v>
      </c>
      <c r="C1931" s="1" t="n">
        <v>45961</v>
      </c>
      <c r="D1931" t="inlineStr">
        <is>
          <t>VÄSTERNORRLANDS LÄN</t>
        </is>
      </c>
      <c r="E1931" t="inlineStr">
        <is>
          <t>SUNDSVALL</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47248-2025</t>
        </is>
      </c>
      <c r="B1932" s="1" t="n">
        <v>45930</v>
      </c>
      <c r="C1932" s="1" t="n">
        <v>45961</v>
      </c>
      <c r="D1932" t="inlineStr">
        <is>
          <t>VÄSTERNORRLANDS LÄN</t>
        </is>
      </c>
      <c r="E1932" t="inlineStr">
        <is>
          <t>SUNDSVALL</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52615-2025</t>
        </is>
      </c>
      <c r="B1933" s="1" t="n">
        <v>45954.6778125</v>
      </c>
      <c r="C1933" s="1" t="n">
        <v>45961</v>
      </c>
      <c r="D1933" t="inlineStr">
        <is>
          <t>VÄSTERNORRLANDS LÄN</t>
        </is>
      </c>
      <c r="E1933" t="inlineStr">
        <is>
          <t>SUNDSVALL</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43592-2025</t>
        </is>
      </c>
      <c r="B1934" s="1" t="n">
        <v>45911.65704861111</v>
      </c>
      <c r="C1934" s="1" t="n">
        <v>45961</v>
      </c>
      <c r="D1934" t="inlineStr">
        <is>
          <t>VÄSTERNORRLANDS LÄN</t>
        </is>
      </c>
      <c r="E1934" t="inlineStr">
        <is>
          <t>SUNDSVALL</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44297-2025</t>
        </is>
      </c>
      <c r="B1935" s="1" t="n">
        <v>45916.36524305555</v>
      </c>
      <c r="C1935" s="1" t="n">
        <v>45961</v>
      </c>
      <c r="D1935" t="inlineStr">
        <is>
          <t>VÄSTERNORRLANDS LÄN</t>
        </is>
      </c>
      <c r="E1935" t="inlineStr">
        <is>
          <t>SUNDSVALL</t>
        </is>
      </c>
      <c r="F1935" t="inlineStr">
        <is>
          <t>Naturvårdsverket</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44054-2025</t>
        </is>
      </c>
      <c r="B1936" s="1" t="n">
        <v>45915.51605324074</v>
      </c>
      <c r="C1936" s="1" t="n">
        <v>45961</v>
      </c>
      <c r="D1936" t="inlineStr">
        <is>
          <t>VÄSTERNORRLANDS LÄN</t>
        </is>
      </c>
      <c r="E1936" t="inlineStr">
        <is>
          <t>SUNDSVALL</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52923-2025</t>
        </is>
      </c>
      <c r="B1937" s="1" t="n">
        <v>45957.61545138889</v>
      </c>
      <c r="C1937" s="1" t="n">
        <v>45961</v>
      </c>
      <c r="D1937" t="inlineStr">
        <is>
          <t>VÄSTERNORRLANDS LÄN</t>
        </is>
      </c>
      <c r="E1937" t="inlineStr">
        <is>
          <t>SUNDSVALL</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44307-2025</t>
        </is>
      </c>
      <c r="B1938" s="1" t="n">
        <v>45915</v>
      </c>
      <c r="C1938" s="1" t="n">
        <v>45961</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53251-2025</t>
        </is>
      </c>
      <c r="B1939" s="1" t="n">
        <v>45958.66457175926</v>
      </c>
      <c r="C1939" s="1" t="n">
        <v>45961</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53254-2025</t>
        </is>
      </c>
      <c r="B1940" s="1" t="n">
        <v>45958.66876157407</v>
      </c>
      <c r="C1940" s="1" t="n">
        <v>45961</v>
      </c>
      <c r="D1940" t="inlineStr">
        <is>
          <t>VÄSTERNORRLANDS LÄN</t>
        </is>
      </c>
      <c r="E1940" t="inlineStr">
        <is>
          <t>SUNDSVALL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43981-2025</t>
        </is>
      </c>
      <c r="B1941" s="1" t="n">
        <v>45915.42752314815</v>
      </c>
      <c r="C1941" s="1" t="n">
        <v>45961</v>
      </c>
      <c r="D1941" t="inlineStr">
        <is>
          <t>VÄSTERNORRLANDS LÄN</t>
        </is>
      </c>
      <c r="E1941" t="inlineStr">
        <is>
          <t>SUNDSVALL</t>
        </is>
      </c>
      <c r="F1941" t="inlineStr">
        <is>
          <t>Naturvårdsverket</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44276-2025</t>
        </is>
      </c>
      <c r="B1942" s="1" t="n">
        <v>45916.34459490741</v>
      </c>
      <c r="C1942" s="1" t="n">
        <v>45961</v>
      </c>
      <c r="D1942" t="inlineStr">
        <is>
          <t>VÄSTERNORRLANDS LÄN</t>
        </is>
      </c>
      <c r="E1942" t="inlineStr">
        <is>
          <t>SUNDSVALL</t>
        </is>
      </c>
      <c r="F1942" t="inlineStr">
        <is>
          <t>Naturvårdsverket</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53105-2025</t>
        </is>
      </c>
      <c r="B1943" s="1" t="n">
        <v>45958.4336574074</v>
      </c>
      <c r="C1943" s="1" t="n">
        <v>45961</v>
      </c>
      <c r="D1943" t="inlineStr">
        <is>
          <t>VÄSTERNORRLANDS LÄN</t>
        </is>
      </c>
      <c r="E1943" t="inlineStr">
        <is>
          <t>SUNDSVALL</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44150-2025</t>
        </is>
      </c>
      <c r="B1944" s="1" t="n">
        <v>45915.59415509259</v>
      </c>
      <c r="C1944" s="1" t="n">
        <v>45961</v>
      </c>
      <c r="D1944" t="inlineStr">
        <is>
          <t>VÄSTERNORRLANDS LÄN</t>
        </is>
      </c>
      <c r="E1944" t="inlineStr">
        <is>
          <t>SUNDSVALL</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44151-2025</t>
        </is>
      </c>
      <c r="B1945" s="1" t="n">
        <v>45915.59424768519</v>
      </c>
      <c r="C1945" s="1" t="n">
        <v>45961</v>
      </c>
      <c r="D1945" t="inlineStr">
        <is>
          <t>VÄSTERNORRLANDS LÄN</t>
        </is>
      </c>
      <c r="E1945" t="inlineStr">
        <is>
          <t>SUNDSVALL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44278-2025</t>
        </is>
      </c>
      <c r="B1946" s="1" t="n">
        <v>45916.34482638889</v>
      </c>
      <c r="C1946" s="1" t="n">
        <v>45961</v>
      </c>
      <c r="D1946" t="inlineStr">
        <is>
          <t>VÄSTERNORRLANDS LÄN</t>
        </is>
      </c>
      <c r="E1946" t="inlineStr">
        <is>
          <t>SUNDSVALL</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44283-2025</t>
        </is>
      </c>
      <c r="B1947" s="1" t="n">
        <v>45916.34541666666</v>
      </c>
      <c r="C1947" s="1" t="n">
        <v>45961</v>
      </c>
      <c r="D1947" t="inlineStr">
        <is>
          <t>VÄSTERNORRLANDS LÄN</t>
        </is>
      </c>
      <c r="E1947" t="inlineStr">
        <is>
          <t>SUNDSVALL</t>
        </is>
      </c>
      <c r="F1947" t="inlineStr">
        <is>
          <t>SCA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44284-2025</t>
        </is>
      </c>
      <c r="B1948" s="1" t="n">
        <v>45916.34548611111</v>
      </c>
      <c r="C1948" s="1" t="n">
        <v>45961</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44426-2025</t>
        </is>
      </c>
      <c r="B1949" s="1" t="n">
        <v>45916</v>
      </c>
      <c r="C1949" s="1" t="n">
        <v>45961</v>
      </c>
      <c r="D1949" t="inlineStr">
        <is>
          <t>VÄSTERNORRLANDS LÄN</t>
        </is>
      </c>
      <c r="E1949" t="inlineStr">
        <is>
          <t>SUNDSVALL</t>
        </is>
      </c>
      <c r="G1949" t="n">
        <v>2.4</v>
      </c>
      <c r="H1949" t="n">
        <v>0</v>
      </c>
      <c r="I1949" t="n">
        <v>0</v>
      </c>
      <c r="J1949" t="n">
        <v>0</v>
      </c>
      <c r="K1949" t="n">
        <v>0</v>
      </c>
      <c r="L1949" t="n">
        <v>0</v>
      </c>
      <c r="M1949" t="n">
        <v>0</v>
      </c>
      <c r="N1949" t="n">
        <v>0</v>
      </c>
      <c r="O1949" t="n">
        <v>0</v>
      </c>
      <c r="P1949" t="n">
        <v>0</v>
      </c>
      <c r="Q1949" t="n">
        <v>0</v>
      </c>
      <c r="R1949" s="2" t="inlineStr"/>
      <c r="U1949">
        <f>HYPERLINK("https://klasma.github.io/Logging_2281/knärot/A 44426-2025 karta knärot.png", "A 44426-2025")</f>
        <v/>
      </c>
      <c r="V1949">
        <f>HYPERLINK("https://klasma.github.io/Logging_2281/klagomål/A 44426-2025 FSC-klagomål.docx", "A 44426-2025")</f>
        <v/>
      </c>
      <c r="W1949">
        <f>HYPERLINK("https://klasma.github.io/Logging_2281/klagomålsmail/A 44426-2025 FSC-klagomål mail.docx", "A 44426-2025")</f>
        <v/>
      </c>
      <c r="X1949">
        <f>HYPERLINK("https://klasma.github.io/Logging_2281/tillsyn/A 44426-2025 tillsynsbegäran.docx", "A 44426-2025")</f>
        <v/>
      </c>
      <c r="Y1949">
        <f>HYPERLINK("https://klasma.github.io/Logging_2281/tillsynsmail/A 44426-2025 tillsynsbegäran mail.docx", "A 44426-2025")</f>
        <v/>
      </c>
    </row>
    <row r="1950" ht="15" customHeight="1">
      <c r="A1950" t="inlineStr">
        <is>
          <t>A 44388-2025</t>
        </is>
      </c>
      <c r="B1950" s="1" t="n">
        <v>45916.49010416667</v>
      </c>
      <c r="C1950" s="1" t="n">
        <v>45961</v>
      </c>
      <c r="D1950" t="inlineStr">
        <is>
          <t>VÄSTERNORRLANDS LÄN</t>
        </is>
      </c>
      <c r="E1950" t="inlineStr">
        <is>
          <t>SUNDSVALL</t>
        </is>
      </c>
      <c r="F1950" t="inlineStr">
        <is>
          <t>Naturvårdsverket</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44437-2025</t>
        </is>
      </c>
      <c r="B1951" s="1" t="n">
        <v>45916.58321759259</v>
      </c>
      <c r="C1951" s="1" t="n">
        <v>45961</v>
      </c>
      <c r="D1951" t="inlineStr">
        <is>
          <t>VÄSTERNORRLANDS LÄN</t>
        </is>
      </c>
      <c r="E1951" t="inlineStr">
        <is>
          <t>SUNDSVALL</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44837-2025</t>
        </is>
      </c>
      <c r="B1952" s="1" t="n">
        <v>45918.42329861111</v>
      </c>
      <c r="C1952" s="1" t="n">
        <v>45961</v>
      </c>
      <c r="D1952" t="inlineStr">
        <is>
          <t>VÄSTERNORRLANDS LÄN</t>
        </is>
      </c>
      <c r="E1952" t="inlineStr">
        <is>
          <t>SUNDSVALL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53313-2025</t>
        </is>
      </c>
      <c r="B1953" s="1" t="n">
        <v>45959.34465277778</v>
      </c>
      <c r="C1953" s="1" t="n">
        <v>45961</v>
      </c>
      <c r="D1953" t="inlineStr">
        <is>
          <t>VÄSTERNORRLANDS LÄN</t>
        </is>
      </c>
      <c r="E1953" t="inlineStr">
        <is>
          <t>SUNDSVALL</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44582-2025</t>
        </is>
      </c>
      <c r="B1954" s="1" t="n">
        <v>45917.40690972222</v>
      </c>
      <c r="C1954" s="1" t="n">
        <v>45961</v>
      </c>
      <c r="D1954" t="inlineStr">
        <is>
          <t>VÄSTERNORRLANDS LÄN</t>
        </is>
      </c>
      <c r="E1954" t="inlineStr">
        <is>
          <t>SUNDSVALL</t>
        </is>
      </c>
      <c r="F1954" t="inlineStr">
        <is>
          <t>Naturvårdsverket</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44932-2025</t>
        </is>
      </c>
      <c r="B1955" s="1" t="n">
        <v>45918.57347222222</v>
      </c>
      <c r="C1955" s="1" t="n">
        <v>45961</v>
      </c>
      <c r="D1955" t="inlineStr">
        <is>
          <t>VÄSTERNORRLANDS LÄN</t>
        </is>
      </c>
      <c r="E1955" t="inlineStr">
        <is>
          <t>SUNDSVALL</t>
        </is>
      </c>
      <c r="F1955" t="inlineStr">
        <is>
          <t>Naturvårdsverket</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52993-2025</t>
        </is>
      </c>
      <c r="B1956" s="1" t="n">
        <v>45957</v>
      </c>
      <c r="C1956" s="1" t="n">
        <v>45961</v>
      </c>
      <c r="D1956" t="inlineStr">
        <is>
          <t>VÄSTERNORRLANDS LÄN</t>
        </is>
      </c>
      <c r="E1956" t="inlineStr">
        <is>
          <t>SUNDSVALL</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53034-2025</t>
        </is>
      </c>
      <c r="B1957" s="1" t="n">
        <v>45958</v>
      </c>
      <c r="C1957" s="1" t="n">
        <v>45961</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53611-2025</t>
        </is>
      </c>
      <c r="B1958" s="1" t="n">
        <v>45960.46984953704</v>
      </c>
      <c r="C1958" s="1" t="n">
        <v>45961</v>
      </c>
      <c r="D1958" t="inlineStr">
        <is>
          <t>VÄSTERNORRLANDS LÄN</t>
        </is>
      </c>
      <c r="E1958" t="inlineStr">
        <is>
          <t>SUNDSVALL</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45018-2025</t>
        </is>
      </c>
      <c r="B1959" s="1" t="n">
        <v>45918.67739583334</v>
      </c>
      <c r="C1959" s="1" t="n">
        <v>45961</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53463-2025</t>
        </is>
      </c>
      <c r="B1960" s="1" t="n">
        <v>45959.68188657407</v>
      </c>
      <c r="C1960" s="1" t="n">
        <v>45961</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c r="A1961" t="inlineStr">
        <is>
          <t>A 53258-2025</t>
        </is>
      </c>
      <c r="B1961" s="1" t="n">
        <v>45958.6775</v>
      </c>
      <c r="C1961" s="1" t="n">
        <v>45961</v>
      </c>
      <c r="D1961" t="inlineStr">
        <is>
          <t>VÄSTERNORRLANDS LÄN</t>
        </is>
      </c>
      <c r="E1961" t="inlineStr">
        <is>
          <t>SUNDSVALL</t>
        </is>
      </c>
      <c r="F1961" t="inlineStr">
        <is>
          <t>SCA</t>
        </is>
      </c>
      <c r="G1961" t="n">
        <v>5</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2025-10-31T10:03:35Z</dcterms:created>
  <dcterms:modified xmlns:dcterms="http://purl.org/dc/terms/" xmlns:xsi="http://www.w3.org/2001/XMLSchema-instance" xsi:type="dcterms:W3CDTF">2025-10-31T10:03:45Z</dcterms:modified>
</cp:coreProperties>
</file>