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45694</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45694</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45694</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45694</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45694</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45694</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45694</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45694</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45694</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45694</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45694</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45694</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45694</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45694</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45694</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45694</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45694</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45694</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45694</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45694</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45694</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45694</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45694</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45694</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45694</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45694</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45694</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45694</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45694</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45694</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45694</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45694</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45694</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45694</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45694</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45694</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45694</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45694</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45694</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45694</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45694</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45694</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45694</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45694</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45694</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45694</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45694</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45694</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45694</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45694</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45694</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45694</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45694</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45694</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45694</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45694</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45694</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45694</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45694</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45694</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45694</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45694</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45694</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45694</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45694</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45694</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45694</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45694</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45694</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45694</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45694</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45694</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45694</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45694</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45694</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45694</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45694</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45694</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45694</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45694</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45694</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45694</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45694</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45694</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45694</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45694</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45694</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45694</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45694</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45694</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45694</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45694</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45694</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45694</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45694</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45694</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45694</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45694</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45694</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45694</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45694</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45694</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45694</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45694</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45694</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45694</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45694</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45694</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45694</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45694</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45694</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45694</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45694</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45694</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45694</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45694</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45694</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45694</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45694</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45694</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45694</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45694</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45694</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45694</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45694</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45694</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45694</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45694</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45694</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45694</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45694</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45694</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45694</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45694</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45694</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45694</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45694</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45694</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45694</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45694</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45694</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45694</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45694</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45694</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45694</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45694</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45694</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45694</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45694</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45694</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45694</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45694</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45694</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45694</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45694</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45694</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45694</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45694</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45694</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45694</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45694</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45694</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45694</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45694</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45694</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45694</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45694</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45694</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45694</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45694</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45694</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45694</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45694</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4878-2025</t>
        </is>
      </c>
      <c r="B196" s="1" t="n">
        <v>45688</v>
      </c>
      <c r="C196" s="1" t="n">
        <v>45694</v>
      </c>
      <c r="D196" t="inlineStr">
        <is>
          <t>VÄSTERNORRLANDS LÄN</t>
        </is>
      </c>
      <c r="E196" t="inlineStr">
        <is>
          <t>SUNDSVALL</t>
        </is>
      </c>
      <c r="F196" t="inlineStr">
        <is>
          <t>SCA</t>
        </is>
      </c>
      <c r="G196" t="n">
        <v>4.2</v>
      </c>
      <c r="H196" t="n">
        <v>1</v>
      </c>
      <c r="I196" t="n">
        <v>0</v>
      </c>
      <c r="J196" t="n">
        <v>0</v>
      </c>
      <c r="K196" t="n">
        <v>1</v>
      </c>
      <c r="L196" t="n">
        <v>0</v>
      </c>
      <c r="M196" t="n">
        <v>0</v>
      </c>
      <c r="N196" t="n">
        <v>0</v>
      </c>
      <c r="O196" t="n">
        <v>1</v>
      </c>
      <c r="P196" t="n">
        <v>1</v>
      </c>
      <c r="Q196" t="n">
        <v>1</v>
      </c>
      <c r="R196" s="2" t="inlineStr">
        <is>
          <t>Knärot</t>
        </is>
      </c>
      <c r="S196">
        <f>HYPERLINK("https://klasma.github.io/Logging_2281/artfynd/A 4878-2025 artfynd.xlsx", "A 4878-2025")</f>
        <v/>
      </c>
      <c r="T196">
        <f>HYPERLINK("https://klasma.github.io/Logging_2281/kartor/A 4878-2025 karta.png", "A 4878-2025")</f>
        <v/>
      </c>
      <c r="U196">
        <f>HYPERLINK("https://klasma.github.io/Logging_2281/knärot/A 4878-2025 karta knärot.png", "A 4878-2025")</f>
        <v/>
      </c>
      <c r="V196">
        <f>HYPERLINK("https://klasma.github.io/Logging_2281/klagomål/A 4878-2025 FSC-klagomål.docx", "A 4878-2025")</f>
        <v/>
      </c>
      <c r="W196">
        <f>HYPERLINK("https://klasma.github.io/Logging_2281/klagomålsmail/A 4878-2025 FSC-klagomål mail.docx", "A 4878-2025")</f>
        <v/>
      </c>
      <c r="X196">
        <f>HYPERLINK("https://klasma.github.io/Logging_2281/tillsyn/A 4878-2025 tillsynsbegäran.docx", "A 4878-2025")</f>
        <v/>
      </c>
      <c r="Y196">
        <f>HYPERLINK("https://klasma.github.io/Logging_2281/tillsynsmail/A 4878-2025 tillsynsbegäran mail.docx", "A 4878-2025")</f>
        <v/>
      </c>
    </row>
    <row r="197" ht="15" customHeight="1">
      <c r="A197" t="inlineStr">
        <is>
          <t>A 4896-2025</t>
        </is>
      </c>
      <c r="B197" s="1" t="n">
        <v>45688</v>
      </c>
      <c r="C197" s="1" t="n">
        <v>45694</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4856-2025</t>
        </is>
      </c>
      <c r="B198" s="1" t="n">
        <v>45688</v>
      </c>
      <c r="C198" s="1" t="n">
        <v>45694</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18070-2019</t>
        </is>
      </c>
      <c r="B199" s="1" t="n">
        <v>43557</v>
      </c>
      <c r="C199" s="1" t="n">
        <v>45694</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45694</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45694</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45694</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45694</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45694</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45694</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45694</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45694</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45694</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45694</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45694</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45694</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45694</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45694</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45694</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45694</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45694</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45694</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45694</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45694</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45694</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45694</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45694</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45694</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45694</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45694</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45694</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45694</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45694</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45694</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45694</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45694</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45694</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45694</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45694</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45694</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45694</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45694</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45694</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45694</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45694</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45694</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45694</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45694</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45694</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45694</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45694</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45694</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45694</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45694</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45694</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45694</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45694</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45694</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45694</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45694</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45694</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45694</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45694</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45694</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45694</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45694</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45694</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45694</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45694</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45694</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45694</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45694</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45694</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45694</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45694</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45694</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45694</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45694</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45694</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45694</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45694</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45694</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45694</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45694</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45694</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45694</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45694</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45694</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45694</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45694</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45694</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45694</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45694</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45694</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45694</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45694</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45694</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45694</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45694</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45694</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45694</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45694</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45694</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45694</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45694</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45694</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45694</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45694</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45694</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45694</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45694</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45694</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45694</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45694</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45694</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45694</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45694</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45694</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45694</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45694</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45694</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45694</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45694</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45694</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45694</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45694</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45694</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45694</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45694</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45694</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45694</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45694</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45694</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45694</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45694</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45694</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45694</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45694</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45694</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45694</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45694</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45694</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45694</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45694</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45694</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45694</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45694</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45694</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45694</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45694</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45694</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45694</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45694</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45694</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45694</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45694</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45694</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45694</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45694</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45694</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45694</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45694</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45694</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45694</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45694</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45694</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45694</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45694</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45694</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45694</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45694</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45694</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45694</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45694</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45694</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45694</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45694</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45694</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45694</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45694</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45694</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45694</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45694</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45694</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45694</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45694</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45694</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45694</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45694</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45694</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45694</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45694</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45694</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45694</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45694</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45694</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45694</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45694</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45694</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45694</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45694</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45694</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45694</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45694</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45694</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45694</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45694</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45694</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45694</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45694</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45694</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45694</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45694</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45694</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45694</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45694</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45694</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45694</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45694</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45694</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45694</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45694</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45694</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45694</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45694</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45694</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45694</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45694</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45694</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45694</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45694</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45694</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45694</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45694</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45694</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45694</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45694</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45694</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45694</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45694</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45694</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45694</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45694</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45694</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45694</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45694</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45694</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45694</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45694</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45694</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45694</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45694</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45694</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45694</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45694</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45694</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45694</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45694</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45694</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45694</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45694</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45694</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45694</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45694</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45694</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45694</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45694</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45694</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45694</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45694</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45694</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45694</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45694</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45694</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45694</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45694</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45694</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45694</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45694</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45694</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45694</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45694</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45694</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45694</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45694</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45694</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45694</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45694</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45694</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45694</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45694</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45694</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45694</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45694</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45694</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45694</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45694</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45694</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45694</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45694</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45694</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45694</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45694</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45694</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45694</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45694</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45694</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45694</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45694</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45694</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45694</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45694</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45694</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45694</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45694</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45694</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45694</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45694</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45694</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45694</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45694</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45694</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45694</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45694</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45694</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45694</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45694</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45694</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45694</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45694</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45694</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45694</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45694</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45694</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45694</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45694</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45694</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45694</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45694</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45694</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45694</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45694</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45694</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45694</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45694</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45694</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45694</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45694</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45694</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45694</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45694</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45694</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45694</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45694</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45694</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45694</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45694</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45694</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45694</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45694</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45694</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45694</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45694</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45694</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45694</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45694</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45694</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45694</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45694</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45694</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45694</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45694</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45694</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45694</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45694</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45694</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45694</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45694</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45694</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45694</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45694</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45694</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45694</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45694</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45694</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45694</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45694</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45694</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45694</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45694</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45694</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45694</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45694</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45694</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45694</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45694</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45694</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45694</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45694</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45694</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45694</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45694</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45694</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45694</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45694</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45694</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45694</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45694</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45694</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45694</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45694</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45694</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45694</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45694</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45694</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45694</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45694</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45694</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45694</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45694</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45694</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45694</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45694</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45694</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45694</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45694</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45694</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45694</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45694</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45694</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45694</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45694</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45694</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45694</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45694</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45694</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45694</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45694</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45694</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45694</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45694</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45694</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45694</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45694</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45694</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45694</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45694</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45694</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45694</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45694</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45694</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45694</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45694</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45694</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45694</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45694</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45694</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45694</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45694</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45694</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45694</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45694</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45694</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45694</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45694</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45694</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45694</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45694</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45694</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45694</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45694</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45694</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45694</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45694</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45694</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45694</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45694</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45694</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45694</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45694</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45694</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45694</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45694</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45694</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45694</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45694</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45694</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45694</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45694</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45694</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45694</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45694</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45694</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45694</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45694</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45694</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45694</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45694</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45694</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45694</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45694</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45694</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45694</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45694</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45694</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45694</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45694</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45694</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45694</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45694</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45694</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45694</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45694</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45694</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45694</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45694</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45694</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45694</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45694</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45694</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45694</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45694</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45694</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45694</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45694</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45694</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45694</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45694</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45694</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45694</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45694</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45694</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45694</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45694</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45694</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45694</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45694</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45694</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45694</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45694</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45694</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45694</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45694</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45694</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45694</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45694</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45694</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45694</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45694</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45694</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45694</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45694</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45694</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45694</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45694</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45694</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45694</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45694</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45694</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45694</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45694</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45694</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45694</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45694</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45694</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45694</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45694</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45694</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45694</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45694</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45694</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45694</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45694</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45694</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45694</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45694</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45694</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45694</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45694</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45694</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45694</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45694</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45694</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45694</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45694</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45694</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45694</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45694</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45694</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45694</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45694</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45694</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45694</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45694</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45694</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45694</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45694</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45694</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45694</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45694</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45694</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45694</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45694</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45694</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45694</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45694</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45694</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45694</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45694</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45694</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45694</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45694</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45694</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45694</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45694</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45694</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45694</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45694</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45694</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45694</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45694</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45694</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45694</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45694</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45694</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45694</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45694</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45694</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45694</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45694</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45694</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45694</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45694</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45694</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45694</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45694</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45694</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45694</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45694</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45694</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45694</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45694</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45694</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45694</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45694</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45694</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45694</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45694</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45694</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45694</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45694</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45694</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45694</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45694</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45694</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45694</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45694</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45694</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45694</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45694</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45694</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45694</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45694</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45694</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45694</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45694</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45694</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45694</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45694</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45694</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45694</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45694</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45694</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45694</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45694</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45694</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45694</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45694</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45694</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45694</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45694</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45694</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45694</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45694</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45694</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45694</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45694</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45694</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45694</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45694</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45694</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45694</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45694</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45694</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45694</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45694</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45694</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45694</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45694</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45694</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45694</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45694</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45694</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45694</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45694</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45694</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45694</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45694</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45694</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45694</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45694</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45694</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45694</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45694</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45694</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45694</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45694</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45694</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45694</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45694</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45694</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45694</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45694</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45694</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45694</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45694</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45694</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45694</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45694</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45694</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45694</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45694</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45694</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45694</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45694</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45694</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45694</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45694</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45694</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45694</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45694</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45694</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45694</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45694</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45694</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45694</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45694</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45694</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45694</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45694</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45694</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45694</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45694</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45694</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45694</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45694</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45694</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45694</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45694</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45694</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45694</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45694</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45694</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45694</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45694</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45694</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45694</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45694</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45694</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45694</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45694</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45694</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45694</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45694</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45694</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45694</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45694</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45694</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45694</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45694</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45694</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45694</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45694</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45694</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45694</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45694</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45694</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45694</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45694</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45694</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45694</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45694</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45694</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45694</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45694</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45694</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45694</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45694</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45694</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45694</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45694</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45694</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45694</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45694</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45694</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45694</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45694</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45694</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45694</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45694</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45694</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45694</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45694</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45694</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45694</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45694</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45694</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45694</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45694</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45694</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45694</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45694</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45694</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45694</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45694</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45694</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45694</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45694</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45694</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45694</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45694</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45694</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45694</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45694</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45694</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45694</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45694</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45694</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45694</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45694</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45694</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45694</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45694</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45694</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45694</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45694</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45694</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45694</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45694</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45694</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45694</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45694</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45694</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45694</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45694</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45694</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45694</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45694</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45694</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45694</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45694</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45694</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45694</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45694</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45694</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45694</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45694</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45694</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45694</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45694</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45694</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45694</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45694</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45694</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45694</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45694</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45694</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45694</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45694</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45694</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45694</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45694</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45694</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45694</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45694</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45694</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45694</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45694</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45694</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45694</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45694</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45694</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45694</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45694</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45694</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45694</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45694</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45694</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45694</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45694</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45694</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45694</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45694</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45694</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45694</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45694</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45694</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45694</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45694</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45694</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45694</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45694</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45694</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45694</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45694</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45694</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45694</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45694</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45694</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45694</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45694</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45694</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45694</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45694</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45694</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45694</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45694</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45694</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45694</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45694</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45694</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45694</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45694</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45694</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45694</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45694</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45694</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45694</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45694</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45694</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45694</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45694</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45694</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45694</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45694</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45694</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45694</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45694</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45694</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45694</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45694</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45694</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45694</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45694</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45694</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45694</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45694</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45694</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45694</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45694</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45694</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45694</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45694</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45694</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45694</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45694</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45694</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45694</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45694</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45694</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45694</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45694</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45694</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45694</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45694</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45694</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45694</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45694</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45694</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45694</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45694</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45694</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45694</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45694</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45694</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45694</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45694</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45694</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45694</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45694</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45694</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45694</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45694</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45694</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45694</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45694</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45694</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45694</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45694</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45694</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45694</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45694</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45694</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45694</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45694</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45694</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45694</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45694</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45694</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45694</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45694</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45694</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45694</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45694</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45694</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45694</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45694</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45694</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45694</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45694</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45694</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45694</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45694</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45694</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45694</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45694</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45694</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45694</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45694</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45694</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45694</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45694</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45694</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45694</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45694</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45694</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45694</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45694</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45694</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45694</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45694</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45694</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45694</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45694</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45694</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45694</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45694</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45694</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45694</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45694</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45694</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45694</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45694</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45694</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45694</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45694</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45694</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45694</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45694</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45694</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45694</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45694</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45694</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45694</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45694</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45694</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45694</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45694</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45694</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45694</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45694</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45694</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45694</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45694</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45694</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45694</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45694</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45694</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45694</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45694</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45694</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45694</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45694</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45694</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45694</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45694</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45694</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45694</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45694</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45694</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45694</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45694</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45694</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45694</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45694</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45694</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45694</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45694</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45694</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45694</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45694</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45694</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45694</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45694</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45694</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45694</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45694</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45694</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45694</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45694</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45694</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45694</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45694</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45694</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45694</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45694</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45694</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45694</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45694</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45694</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45694</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45694</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45694</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45694</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45694</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45694</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45694</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45694</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45694</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45694</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45694</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45694</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45694</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45694</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45694</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45694</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45694</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45694</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45694</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45694</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45694</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45694</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45694</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45694</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45694</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45694</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45694</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45694</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45694</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45694</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45694</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45694</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45694</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45694</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45694</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45694</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45694</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45694</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45694</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45694</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45694</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45694</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45694</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45694</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45694</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45694</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45694</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45694</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45694</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45694</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45694</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45694</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45694</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45694</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45694</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45694</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45694</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45694</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45694</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45694</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45694</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45694</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45694</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45694</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45694</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45694</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45694</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45694</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45694</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45694</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45694</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45694</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45694</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45694</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45694</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45694</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45694</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45694</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45694</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45694</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45694</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45694</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45694</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45694</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45694</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45694</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45694</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45694</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45694</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45694</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45694</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45694</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45694</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45694</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45694</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45694</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45694</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45694</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45694</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45694</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45694</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45694</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45694</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45694</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45694</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45694</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45694</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45694</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45694</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45694</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45694</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45694</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45694</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45694</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45694</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45694</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45694</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45694</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45694</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45694</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45694</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45694</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45694</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45694</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45694</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45694</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45694</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45694</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45694</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45694</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45694</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45694</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45694</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45694</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45694</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45694</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45694</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45694</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45694</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45694</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45694</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45694</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45694</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45694</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45694</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45694</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45694</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45694</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45694</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45694</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45694</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45694</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45694</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45694</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45694</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45694</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45694</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45694</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45694</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45694</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45694</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45694</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45694</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45694</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45694</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45694</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45694</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45694</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45694</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45694</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45694</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45694</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45694</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45694</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45694</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45694</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45694</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45694</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45694</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45694</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45694</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45694</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45694</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45694</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45694</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45694</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45694</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45694</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45694</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45694</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45694</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45694</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45694</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45694</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45694</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45694</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45694</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45694</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45694</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45694</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45694</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45694</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45694</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45694</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45694</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45694</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45694</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45694</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45694</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45694</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45694</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45694</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45694</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45694</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45694</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45694</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45694</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45694</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45694</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45694</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45694</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45694</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45694</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45694</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45694</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45694</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45694</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45694</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45694</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45694</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45694</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45694</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45694</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45694</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45694</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45694</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45694</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45694</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45694</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45694</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45694</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45694</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45694</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45694</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45694</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45694</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45694</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45694</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45694</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45694</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45694</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45694</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45694</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45694</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45694</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45694</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45694</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45694</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45694</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45694</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45694</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45694</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45694</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45694</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45694</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45694</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45694</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45694</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45694</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45694</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45694</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45694</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45694</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45694</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45694</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45694</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45694</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45694</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45694</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45694</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45694</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45694</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45694</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45694</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45694</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45694</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45694</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45694</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45694</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45694</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45694</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45694</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45694</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45694</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45694</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45694</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45694</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45694</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45694</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45694</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45694</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45694</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45694</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45694</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45694</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45694</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45694</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45694</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45694</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45694</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45694</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45694</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45694</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45694</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45694</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45694</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45694</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45694</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45694</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45694</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45694</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45694</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45694</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45694</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45694</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45694</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45694</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45694</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45694</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45694</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45694</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45694</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45694</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45694</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45694</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45694</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45694</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45694</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45694</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45694</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45694</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45694</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45694</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45694</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45694</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45694</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45694</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45694</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45694</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45694</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45694</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45694</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45694</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45694</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45694</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45694</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45694</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45694</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45694</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45694</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45694</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45694</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45694</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45694</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45694</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45694</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45694</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45694</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45694</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45694</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45694</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45694</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45694</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45694</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45694</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45694</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45694</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45694</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45694</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45694</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45694</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45694</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45694</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45694</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45694</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45694</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45694</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45694</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45694</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45694</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45694</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45694</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45694</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45694</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45694</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45694</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45694</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45694</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45694</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45694</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45694</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45694</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45694</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45694</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45694</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45694</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45694</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45694</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45694</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45694</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45694</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45694</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45694</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45694</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45694</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45694</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45694</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45694</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45694</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45694</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45694</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45694</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45694</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45694</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45694</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45694</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45694</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45694</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45694</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45694</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45694</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45694</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45694</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45694</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45694</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45694</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45694</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45694</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45694</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45694</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45694</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45694</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45694</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45694</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45694</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45694</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45694</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45694</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45694</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45694</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45694</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45694</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45694</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45694</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45694</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45694</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45694</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45694</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45694</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45694</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45694</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45694</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45694</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45694</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45694</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45694</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45694</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45694</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45694</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45694</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45694</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45694</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45694</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45694</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45694</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45694</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45694</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45694</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45694</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45694</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45694</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45694</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45694</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45694</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45694</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45694</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45694</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45694</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45694</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45694</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45694</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45694</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45694</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45694</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45694</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45694</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45694</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45694</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45694</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45694</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45694</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45694</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45694</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45694</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45694</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45694</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45694</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45694</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45694</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45694</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45694</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45694</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45694</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45694</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45694</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45694</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45694</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45694</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45694</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45694</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45694</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45694</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45694</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45694</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45694</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45694</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45694</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45694</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45694</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45694</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45694</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45694</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45694</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45694</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45694</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45694</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45694</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45694</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45694</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45694</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45694</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45694</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45694</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45694</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45694</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45694</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45694</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45694</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45694</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45694</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45694</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45694</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45694</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45694</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45694</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45694</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45694</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45694</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45694</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45694</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45694</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45694</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45694</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45694</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45694</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45694</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45694</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45694</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45694</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45694</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45694</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45694</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45694</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45694</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45694</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45694</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45694</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45694</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45694</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45694</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45694</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45694</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45694</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45694</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45694</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45694</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45694</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45694</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45694</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45694</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45694</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45694</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45694</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45694</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45694</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45694</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45694</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45694</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45694</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45694</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45694</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45694</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45694</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45694</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45694</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45694</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45694</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45694</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45694</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45694</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45694</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45694</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45694</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45694</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45694</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45694</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45694</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45694</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45694</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45694</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45694</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45694</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45694</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45694</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45694</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45694</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45694</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45694</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45694</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45694</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45694</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45694</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45694</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45694</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45694</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45694</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45694</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45694</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45694</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45694</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45694</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45694</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45694</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45694</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45694</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45694</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45694</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45694</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45694</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45694</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45694</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45694</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45694</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45694</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45694</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45694</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45694</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45694</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45694</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45694</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45694</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45694</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45694</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45694</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45694</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45694</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45694</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45694</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45694</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45694</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45694</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45694</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45694</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45694</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45694</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45694</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45694</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45694</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45694</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45694</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45694</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45694</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45694</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45694</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45694</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45694</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45694</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45694</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45694</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45694</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45694</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45694</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45694</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45694</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45694</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45694</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45694</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45694</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45694</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45694</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45694</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45694</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45694</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45694</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45694</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45694</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45694</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45694</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45694</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45694</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45694</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45694</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45694</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45694</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45694</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45694</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45694</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45694</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45694</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45694</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45694</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45694</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45694</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45694</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45694</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45694</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45694</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45694</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45694</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45694</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45694</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45694</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45694</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45694</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45694</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45694</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45694</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45694</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45694</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45694</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45694</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45694</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45694</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45694</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45694</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45694</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45694</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45694</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45694</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45694</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45694</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45694</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45694</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45694</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45694</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45694</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45694</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45694</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45694</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45694</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45694</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45694</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45694</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45694</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45694</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45694</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45694</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45694</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45694</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45694</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45694</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45694</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45694</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45694</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45694</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45694</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45694</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45694</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45694</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45694</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45694</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45694</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45694</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45694</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45694</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45694</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45694</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45694</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45694</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45694</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45694</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45694</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45694</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45694</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45694</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45694</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45694</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45694</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45694</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45694</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45694</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45694</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45694</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45694</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45694</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45694</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45694</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45694</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45694</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45694</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45694</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45694</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45694</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45694</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45694</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45694</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45694</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45694</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45694</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45694</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45694</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45694</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45694</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45694</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45694</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45694</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45694</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45694</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45694</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45694</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45694</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45694</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45694</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45694</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45694</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45694</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45694</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45694</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45694</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45694</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45694</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45694</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45694</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45694</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45694</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45694</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45694</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45694</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45694</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45694</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45694</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45694</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45694</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45694</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45694</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45694</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45694</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45694</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45694</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45694</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45694</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45694</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45694</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45694</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45694</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45694</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45694</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45694</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45694</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45694</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45694</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45694</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45694</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45694</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45694</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45694</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45694</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45694</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45694</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45694</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45694</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45694</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45694</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45694</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45694</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45694</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45694</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45694</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45694</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45694</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45694</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45694</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45694</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45694</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45694</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45694</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45694</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45694</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45694</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45694</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45694</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45694</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45694</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45694</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45694</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45694</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45694</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45694</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45694</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45694</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45694</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45694</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45694</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45694</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45694</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45694</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45694</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45694</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45694</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45694</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45694</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45694</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45694</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45694</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45694</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45694</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45694</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45694</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45694</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45694</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45694</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45694</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45694</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45694</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45694</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45694</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45694</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45694</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45694</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45694</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45694</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45694</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45694</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45694</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45694</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45694</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45694</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45694</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45694</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45694</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45694</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45694</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45694</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45694</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45694</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45694</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45694</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45694</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45694</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45694</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45694</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45694</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45694</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45694</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45694</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45694</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45694</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45694</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45694</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45694</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45694</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45694</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45694</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45694</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45694</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45694</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45694</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45694</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45694</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45694</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45694</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45694</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45694</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45694</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45694</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45694</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45694</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45694</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45694</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45694</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45694</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45694</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45694</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45694</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45694</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45694</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45694</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45694</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45694</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45694</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45694</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45694</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45694</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45694</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45694</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45694</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45694</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45694</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45694</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45694</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45694</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45694</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45694</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45694</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45694</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45694</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45694</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45694</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45694</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45694</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45694</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45694</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45694</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45694</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45694</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45694</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45694</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45694</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45694</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45694</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45694</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45694</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45694</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45694</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45694</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45694</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45694</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45694</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45694</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45694</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45694</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45694</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45694</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45694</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45694</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45694</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45694</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45694</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45694</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45694</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45694</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45694</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45694</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45694</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45694</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45694</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45694</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45694</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45694</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45694</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45694</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45694</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45694</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45694</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45694</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45694</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45694</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45694</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45694</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45694</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45694</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45694</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45694</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45694</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45694</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45694</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45694</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45694</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45694</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45694</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45694</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45694</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45694</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45694</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45694</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45694</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45694</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45694</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45694</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45694</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45694</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45694</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45694</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45694</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45694</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45694</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45694</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45694</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45694</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45694</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45694</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45694</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45694</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45694</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45694</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45694</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45694</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45694</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45694</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45694</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45694</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45694</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45694</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45694</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45694</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45694</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45694</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45694</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45694</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45694</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45694</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45694</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45694</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45694</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45694</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45694</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45694</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45694</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45694</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45694</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45694</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45694</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45694</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45694</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45694</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45694</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45694</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45694</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45694</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45694</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45694</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45694</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45694</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45694</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45694</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45694</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45694</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45694</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45694</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45694</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45694</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45694</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45694</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45694</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45694</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45694</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45694</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45694</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45694</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45694</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45694</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45694</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45694</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45694</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45694</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45694</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45694</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45694</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45694</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45694</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45694</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45694</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45694</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45694</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45694</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45694</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45694</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45694</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45694</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45694</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45694</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45694</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45694</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45694</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45694</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45694</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45694</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45694</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45694</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45694</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45694</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45694</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45694</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45694</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45694</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45694</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45694</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45694</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45694</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45694</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45694</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45694</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45694</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45694</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45694</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45694</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45694</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45694</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45694</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45694</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45694</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45694</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45694</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45694</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45694</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45694</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45694</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45694</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45694</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45694</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45694</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45694</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45694</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45694</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45694</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45694</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45694</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45694</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45694</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45694</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45694</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45694</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45694</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45694</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45694</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45694</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45694</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45694</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45694</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45694</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45694</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45694</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45694</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45694</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45694</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45694</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45694</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45694</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45694</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45694</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45694</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45694</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45694</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45694</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45694</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45694</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45694</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45694</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45694</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45694</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45694</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45694</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45694</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45694</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45694</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45694</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45694</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45694</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45694</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45694</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45694</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45694</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45694</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45694</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45694</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45694</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45694</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45694</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45694</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45694</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45694</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45694</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45694</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45694</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45694</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45694</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45694</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45694</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45694</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45694</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45694</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45694</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45694</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45694</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45694</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45694</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45694</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45694</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45694</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45694</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45694</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45694</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45694</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45694</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45694</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45694</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45694</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45694</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45694</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45694</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45694</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45694</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45694</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45694</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45694</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45694</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45694</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45694</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45694</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45694</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45694</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45694</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45694</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45694</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45694</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45694</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45694</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45694</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45694</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45694</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45694</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45694</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45694</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45694</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45694</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45694</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45694</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45694</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45694</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45694</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45694</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45694</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45694</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45694</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45694</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45694</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45694</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45694</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45694</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45694</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45694</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45694</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45694</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45694</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45694</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45694</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45694</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45694</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45694</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45694</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45694</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45694</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45694</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45694</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45694</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45694</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45694</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45694</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45694</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45694</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45694</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45694</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45694</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45694</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45694</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45694</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45694</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45694</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45694</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45694</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45694</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45694</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45694</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45694</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45694</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45694</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45694</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45694</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45694</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45694</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45694</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45694</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45694</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45694</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45694</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45694</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45694</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45694</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45694</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45694</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45694</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45694</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45694</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45694</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45694</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45694</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45694</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45694</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45694</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45694</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45694</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45694</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45694</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45694</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45694</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45694</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45694</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45694</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45694</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45694</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45694</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45694</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45694</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45694</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45694</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45694</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45694</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45694</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45694</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45694</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45694</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45694</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45694</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45694</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45694</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45694</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45694</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45694</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45694</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45694</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45694</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45694</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45694</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45694</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45694</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45694</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45694</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45694</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45694</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45694</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45694</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45694</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45694</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45694</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45694</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45694</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45694</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45694</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45694</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45694</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45694</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45694</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45694</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45694</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45694</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45694</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45694</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45694</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45694</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45694</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45694</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45694</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45694</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45694</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45694</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45694</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45694</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45694</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45694</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45694</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45694</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45694</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45694</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45694</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45694</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45694</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45694</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45694</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45694</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45694</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45694</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45694</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45694</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45694</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45694</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45694</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45694</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45694</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45694</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45694</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45694</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45694</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45694</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45694</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45694</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45694</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45694</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45694</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45694</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45694</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45694</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45694</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45694</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45694</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45694</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45694</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45694</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45694</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45694</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45694</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45694</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45694</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45694</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45694</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45694</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45694</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45694</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45694</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45694</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45694</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45694</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45694</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45694</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45694</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45694</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45694</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45694</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45694</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45694</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45694</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45694</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45694</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45694</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45694</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45694</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45694</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45694</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45694</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45694</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45694</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45694</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45694</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45694</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45694</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45694</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45694</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45694</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45694</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45694</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45694</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45694</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45694</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45694</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45694</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45694</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45694</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45694</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45694</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45694</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45694</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45694</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45694</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45694</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45694</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45694</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45694</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45694</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45694</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45694</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45694</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45694</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45694</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45694</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45694</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45694</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45694</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45694</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45694</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45694</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45694</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45694</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45694</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45694</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45694</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45694</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45694</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45694</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45694</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45694</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45694</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45694</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45694</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45694</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45694</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45694</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45694</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45694</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45694</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45694</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45694</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45694</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45694</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45694</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45694</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45694</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45694</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45694</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45694</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45694</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45694</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45694</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45694</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45694</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45694</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45694</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45694</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45694</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45694</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45694</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45694</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45694</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45694</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45694</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45694</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45694</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45694</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45694</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45694</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45694</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45694</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45694</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45694</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45694</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45694</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45694</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45694</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45694</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45694</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45694</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45694</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45694</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45694</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45694</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45694</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45694</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45694</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45694</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45694</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45694</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45694</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45694</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45694</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45694</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45694</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45694</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45694</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45694</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974-2025</t>
        </is>
      </c>
      <c r="B2987" s="1" t="n">
        <v>45666</v>
      </c>
      <c r="C2987" s="1" t="n">
        <v>45694</v>
      </c>
      <c r="D2987" t="inlineStr">
        <is>
          <t>VÄSTERNORRLANDS LÄN</t>
        </is>
      </c>
      <c r="E2987" t="inlineStr">
        <is>
          <t>SUNDSVALL</t>
        </is>
      </c>
      <c r="F2987" t="inlineStr">
        <is>
          <t>SCA</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45694</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1116-2025</t>
        </is>
      </c>
      <c r="B2989" s="1" t="n">
        <v>45666</v>
      </c>
      <c r="C2989" s="1" t="n">
        <v>45694</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1296-2025</t>
        </is>
      </c>
      <c r="B2990" s="1" t="n">
        <v>45667</v>
      </c>
      <c r="C2990" s="1" t="n">
        <v>45694</v>
      </c>
      <c r="D2990" t="inlineStr">
        <is>
          <t>VÄSTERNORRLANDS LÄN</t>
        </is>
      </c>
      <c r="E2990" t="inlineStr">
        <is>
          <t>SUNDSVALL</t>
        </is>
      </c>
      <c r="F2990" t="inlineStr">
        <is>
          <t>SCA</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1398-2025</t>
        </is>
      </c>
      <c r="B2991" s="1" t="n">
        <v>45667</v>
      </c>
      <c r="C2991" s="1" t="n">
        <v>45694</v>
      </c>
      <c r="D2991" t="inlineStr">
        <is>
          <t>VÄSTERNORRLANDS LÄN</t>
        </is>
      </c>
      <c r="E2991" t="inlineStr">
        <is>
          <t>SUNDSVALL</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1188-2025</t>
        </is>
      </c>
      <c r="B2992" s="1" t="n">
        <v>45667</v>
      </c>
      <c r="C2992" s="1" t="n">
        <v>45694</v>
      </c>
      <c r="D2992" t="inlineStr">
        <is>
          <t>VÄSTERNORRLANDS LÄN</t>
        </is>
      </c>
      <c r="E2992" t="inlineStr">
        <is>
          <t>SUNDSVALL</t>
        </is>
      </c>
      <c r="F2992" t="inlineStr">
        <is>
          <t>Holmen skog AB</t>
        </is>
      </c>
      <c r="G2992" t="n">
        <v>25.4</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45694</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45694</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45694</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45694</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45694</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45694</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45694</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2493-2025</t>
        </is>
      </c>
      <c r="B3000" s="1" t="n">
        <v>45674</v>
      </c>
      <c r="C3000" s="1" t="n">
        <v>45694</v>
      </c>
      <c r="D3000" t="inlineStr">
        <is>
          <t>VÄSTERNORRLANDS LÄN</t>
        </is>
      </c>
      <c r="E3000" t="inlineStr">
        <is>
          <t>SUNDSVALL</t>
        </is>
      </c>
      <c r="F3000" t="inlineStr">
        <is>
          <t>SCA</t>
        </is>
      </c>
      <c r="G3000" t="n">
        <v>39.6</v>
      </c>
      <c r="H3000" t="n">
        <v>0</v>
      </c>
      <c r="I3000" t="n">
        <v>0</v>
      </c>
      <c r="J3000" t="n">
        <v>0</v>
      </c>
      <c r="K3000" t="n">
        <v>0</v>
      </c>
      <c r="L3000" t="n">
        <v>0</v>
      </c>
      <c r="M3000" t="n">
        <v>0</v>
      </c>
      <c r="N3000" t="n">
        <v>0</v>
      </c>
      <c r="O3000" t="n">
        <v>0</v>
      </c>
      <c r="P3000" t="n">
        <v>0</v>
      </c>
      <c r="Q3000" t="n">
        <v>0</v>
      </c>
      <c r="R3000" s="2" t="inlineStr"/>
    </row>
    <row r="3001" ht="15" customHeight="1">
      <c r="A3001" t="inlineStr">
        <is>
          <t>A 2427-2025</t>
        </is>
      </c>
      <c r="B3001" s="1" t="n">
        <v>45674</v>
      </c>
      <c r="C3001" s="1" t="n">
        <v>45694</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45694</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45694</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45694</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45694</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45694</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2595-2025</t>
        </is>
      </c>
      <c r="B3007" s="1" t="n">
        <v>45674</v>
      </c>
      <c r="C3007" s="1" t="n">
        <v>45694</v>
      </c>
      <c r="D3007" t="inlineStr">
        <is>
          <t>VÄSTERNORRLANDS LÄN</t>
        </is>
      </c>
      <c r="E3007" t="inlineStr">
        <is>
          <t>SUNDSVALL</t>
        </is>
      </c>
      <c r="F3007" t="inlineStr">
        <is>
          <t>Kommuner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2591-2025</t>
        </is>
      </c>
      <c r="B3008" s="1" t="n">
        <v>45674</v>
      </c>
      <c r="C3008" s="1" t="n">
        <v>45694</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2779-2025</t>
        </is>
      </c>
      <c r="B3009" s="1" t="n">
        <v>45677</v>
      </c>
      <c r="C3009" s="1" t="n">
        <v>45694</v>
      </c>
      <c r="D3009" t="inlineStr">
        <is>
          <t>VÄSTERNORRLANDS LÄN</t>
        </is>
      </c>
      <c r="E3009" t="inlineStr">
        <is>
          <t>SUNDSVALL</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2785-2025</t>
        </is>
      </c>
      <c r="B3010" s="1" t="n">
        <v>45677</v>
      </c>
      <c r="C3010" s="1" t="n">
        <v>45694</v>
      </c>
      <c r="D3010" t="inlineStr">
        <is>
          <t>VÄSTERNORRLANDS LÄN</t>
        </is>
      </c>
      <c r="E3010" t="inlineStr">
        <is>
          <t>SUNDSVALL</t>
        </is>
      </c>
      <c r="F3010" t="inlineStr">
        <is>
          <t>SCA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2831-2025</t>
        </is>
      </c>
      <c r="B3011" s="1" t="n">
        <v>45677</v>
      </c>
      <c r="C3011" s="1" t="n">
        <v>45694</v>
      </c>
      <c r="D3011" t="inlineStr">
        <is>
          <t>VÄSTERNORRLANDS LÄN</t>
        </is>
      </c>
      <c r="E3011" t="inlineStr">
        <is>
          <t>SUNDSVALL</t>
        </is>
      </c>
      <c r="G3011" t="n">
        <v>14.5</v>
      </c>
      <c r="H3011" t="n">
        <v>0</v>
      </c>
      <c r="I3011" t="n">
        <v>0</v>
      </c>
      <c r="J3011" t="n">
        <v>0</v>
      </c>
      <c r="K3011" t="n">
        <v>0</v>
      </c>
      <c r="L3011" t="n">
        <v>0</v>
      </c>
      <c r="M3011" t="n">
        <v>0</v>
      </c>
      <c r="N3011" t="n">
        <v>0</v>
      </c>
      <c r="O3011" t="n">
        <v>0</v>
      </c>
      <c r="P3011" t="n">
        <v>0</v>
      </c>
      <c r="Q3011" t="n">
        <v>0</v>
      </c>
      <c r="R3011" s="2" t="inlineStr"/>
    </row>
    <row r="3012" ht="15" customHeight="1">
      <c r="A3012" t="inlineStr">
        <is>
          <t>A 2881-2025</t>
        </is>
      </c>
      <c r="B3012" s="1" t="n">
        <v>45677</v>
      </c>
      <c r="C3012" s="1" t="n">
        <v>45694</v>
      </c>
      <c r="D3012" t="inlineStr">
        <is>
          <t>VÄSTERNORRLANDS LÄN</t>
        </is>
      </c>
      <c r="E3012" t="inlineStr">
        <is>
          <t>SUNDSVALL</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45694</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45694</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45694</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45694</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45694</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3217-2025</t>
        </is>
      </c>
      <c r="B3018" s="1" t="n">
        <v>45679</v>
      </c>
      <c r="C3018" s="1" t="n">
        <v>45694</v>
      </c>
      <c r="D3018" t="inlineStr">
        <is>
          <t>VÄSTERNORRLANDS LÄN</t>
        </is>
      </c>
      <c r="E3018" t="inlineStr">
        <is>
          <t>SUNDSVALL</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3216-2025</t>
        </is>
      </c>
      <c r="B3019" s="1" t="n">
        <v>45679</v>
      </c>
      <c r="C3019" s="1" t="n">
        <v>45694</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3214-2025</t>
        </is>
      </c>
      <c r="B3020" s="1" t="n">
        <v>45679</v>
      </c>
      <c r="C3020" s="1" t="n">
        <v>45694</v>
      </c>
      <c r="D3020" t="inlineStr">
        <is>
          <t>VÄSTERNORRLANDS LÄN</t>
        </is>
      </c>
      <c r="E3020" t="inlineStr">
        <is>
          <t>SUNDSVALL</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45694</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3215-2025</t>
        </is>
      </c>
      <c r="B3022" s="1" t="n">
        <v>45679</v>
      </c>
      <c r="C3022" s="1" t="n">
        <v>45694</v>
      </c>
      <c r="D3022" t="inlineStr">
        <is>
          <t>VÄSTERNORRLANDS LÄN</t>
        </is>
      </c>
      <c r="E3022" t="inlineStr">
        <is>
          <t>SUNDSVALL</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3232-2025</t>
        </is>
      </c>
      <c r="B3023" s="1" t="n">
        <v>45679</v>
      </c>
      <c r="C3023" s="1" t="n">
        <v>45694</v>
      </c>
      <c r="D3023" t="inlineStr">
        <is>
          <t>VÄSTERNORRLANDS LÄN</t>
        </is>
      </c>
      <c r="E3023" t="inlineStr">
        <is>
          <t>SUNDSVALL</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3188-2025</t>
        </is>
      </c>
      <c r="B3024" s="1" t="n">
        <v>45679</v>
      </c>
      <c r="C3024" s="1" t="n">
        <v>45694</v>
      </c>
      <c r="D3024" t="inlineStr">
        <is>
          <t>VÄSTERNORRLANDS LÄN</t>
        </is>
      </c>
      <c r="E3024" t="inlineStr">
        <is>
          <t>SUNDSVALL</t>
        </is>
      </c>
      <c r="F3024" t="inlineStr">
        <is>
          <t>SCA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45694</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45694</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3477-2025</t>
        </is>
      </c>
      <c r="B3027" s="1" t="n">
        <v>45680</v>
      </c>
      <c r="C3027" s="1" t="n">
        <v>45694</v>
      </c>
      <c r="D3027" t="inlineStr">
        <is>
          <t>VÄSTERNORRLANDS LÄN</t>
        </is>
      </c>
      <c r="E3027" t="inlineStr">
        <is>
          <t>SUNDSVALL</t>
        </is>
      </c>
      <c r="F3027" t="inlineStr">
        <is>
          <t>SCA</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45694</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45694</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45694</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45694</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45694</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45694</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45694</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3924-2025</t>
        </is>
      </c>
      <c r="B3035" s="1" t="n">
        <v>45684</v>
      </c>
      <c r="C3035" s="1" t="n">
        <v>45694</v>
      </c>
      <c r="D3035" t="inlineStr">
        <is>
          <t>VÄSTERNORRLANDS LÄN</t>
        </is>
      </c>
      <c r="E3035" t="inlineStr">
        <is>
          <t>SUNDSVALL</t>
        </is>
      </c>
      <c r="F3035" t="inlineStr">
        <is>
          <t>SCA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45694</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3948-2025</t>
        </is>
      </c>
      <c r="B3037" s="1" t="n">
        <v>45684</v>
      </c>
      <c r="C3037" s="1" t="n">
        <v>45694</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45694</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45694</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45694</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4810-2025</t>
        </is>
      </c>
      <c r="B3041" s="1" t="n">
        <v>45688</v>
      </c>
      <c r="C3041" s="1" t="n">
        <v>45694</v>
      </c>
      <c r="D3041" t="inlineStr">
        <is>
          <t>VÄSTERNORRLANDS LÄN</t>
        </is>
      </c>
      <c r="E3041" t="inlineStr">
        <is>
          <t>SUNDSVALL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45694</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4815-2025</t>
        </is>
      </c>
      <c r="B3043" s="1" t="n">
        <v>45688</v>
      </c>
      <c r="C3043" s="1" t="n">
        <v>45694</v>
      </c>
      <c r="D3043" t="inlineStr">
        <is>
          <t>VÄSTERNORRLANDS LÄN</t>
        </is>
      </c>
      <c r="E3043" t="inlineStr">
        <is>
          <t>SUNDSVALL</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4784-2025</t>
        </is>
      </c>
      <c r="B3044" s="1" t="n">
        <v>45688</v>
      </c>
      <c r="C3044" s="1" t="n">
        <v>45694</v>
      </c>
      <c r="D3044" t="inlineStr">
        <is>
          <t>VÄSTERNORRLANDS LÄN</t>
        </is>
      </c>
      <c r="E3044" t="inlineStr">
        <is>
          <t>SUNDSVALL</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4853-2025</t>
        </is>
      </c>
      <c r="B3045" s="1" t="n">
        <v>45688</v>
      </c>
      <c r="C3045" s="1" t="n">
        <v>45694</v>
      </c>
      <c r="D3045" t="inlineStr">
        <is>
          <t>VÄSTERNORRLANDS LÄN</t>
        </is>
      </c>
      <c r="E3045" t="inlineStr">
        <is>
          <t>SUNDSVALL</t>
        </is>
      </c>
      <c r="F3045" t="inlineStr">
        <is>
          <t>SCA</t>
        </is>
      </c>
      <c r="G3045" t="n">
        <v>18.3</v>
      </c>
      <c r="H3045" t="n">
        <v>0</v>
      </c>
      <c r="I3045" t="n">
        <v>0</v>
      </c>
      <c r="J3045" t="n">
        <v>0</v>
      </c>
      <c r="K3045" t="n">
        <v>0</v>
      </c>
      <c r="L3045" t="n">
        <v>0</v>
      </c>
      <c r="M3045" t="n">
        <v>0</v>
      </c>
      <c r="N3045" t="n">
        <v>0</v>
      </c>
      <c r="O3045" t="n">
        <v>0</v>
      </c>
      <c r="P3045" t="n">
        <v>0</v>
      </c>
      <c r="Q3045" t="n">
        <v>0</v>
      </c>
      <c r="R3045" s="2" t="inlineStr"/>
    </row>
    <row r="3046" ht="15" customHeight="1">
      <c r="A3046" t="inlineStr">
        <is>
          <t>A 4865-2025</t>
        </is>
      </c>
      <c r="B3046" s="1" t="n">
        <v>45688</v>
      </c>
      <c r="C3046" s="1" t="n">
        <v>45694</v>
      </c>
      <c r="D3046" t="inlineStr">
        <is>
          <t>VÄSTERNORRLANDS LÄN</t>
        </is>
      </c>
      <c r="E3046" t="inlineStr">
        <is>
          <t>SUNDSVALL</t>
        </is>
      </c>
      <c r="F3046" t="inlineStr">
        <is>
          <t>SCA</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45694</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45694</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4932-2025</t>
        </is>
      </c>
      <c r="B3049" s="1" t="n">
        <v>45688</v>
      </c>
      <c r="C3049" s="1" t="n">
        <v>45694</v>
      </c>
      <c r="D3049" t="inlineStr">
        <is>
          <t>VÄSTERNORRLANDS LÄN</t>
        </is>
      </c>
      <c r="E3049" t="inlineStr">
        <is>
          <t>SUNDSVALL</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4900-2025</t>
        </is>
      </c>
      <c r="B3050" s="1" t="n">
        <v>45688</v>
      </c>
      <c r="C3050" s="1" t="n">
        <v>45694</v>
      </c>
      <c r="D3050" t="inlineStr">
        <is>
          <t>VÄSTERNORRLANDS LÄN</t>
        </is>
      </c>
      <c r="E3050" t="inlineStr">
        <is>
          <t>SUNDSVALL</t>
        </is>
      </c>
      <c r="F3050" t="inlineStr">
        <is>
          <t>SCA</t>
        </is>
      </c>
      <c r="G3050" t="n">
        <v>10.4</v>
      </c>
      <c r="H3050" t="n">
        <v>0</v>
      </c>
      <c r="I3050" t="n">
        <v>0</v>
      </c>
      <c r="J3050" t="n">
        <v>0</v>
      </c>
      <c r="K3050" t="n">
        <v>0</v>
      </c>
      <c r="L3050" t="n">
        <v>0</v>
      </c>
      <c r="M3050" t="n">
        <v>0</v>
      </c>
      <c r="N3050" t="n">
        <v>0</v>
      </c>
      <c r="O3050" t="n">
        <v>0</v>
      </c>
      <c r="P3050" t="n">
        <v>0</v>
      </c>
      <c r="Q3050" t="n">
        <v>0</v>
      </c>
      <c r="R3050" s="2" t="inlineStr"/>
    </row>
    <row r="3051" ht="15" customHeight="1">
      <c r="A3051" t="inlineStr">
        <is>
          <t>A 4888-2025</t>
        </is>
      </c>
      <c r="B3051" s="1" t="n">
        <v>45688</v>
      </c>
      <c r="C3051" s="1" t="n">
        <v>45694</v>
      </c>
      <c r="D3051" t="inlineStr">
        <is>
          <t>VÄSTERNORRLANDS LÄN</t>
        </is>
      </c>
      <c r="E3051" t="inlineStr">
        <is>
          <t>SUNDSVALL</t>
        </is>
      </c>
      <c r="F3051" t="inlineStr">
        <is>
          <t>SCA</t>
        </is>
      </c>
      <c r="G3051" t="n">
        <v>8.6</v>
      </c>
      <c r="H3051" t="n">
        <v>0</v>
      </c>
      <c r="I3051" t="n">
        <v>0</v>
      </c>
      <c r="J3051" t="n">
        <v>0</v>
      </c>
      <c r="K3051" t="n">
        <v>0</v>
      </c>
      <c r="L3051" t="n">
        <v>0</v>
      </c>
      <c r="M3051" t="n">
        <v>0</v>
      </c>
      <c r="N3051" t="n">
        <v>0</v>
      </c>
      <c r="O3051" t="n">
        <v>0</v>
      </c>
      <c r="P3051" t="n">
        <v>0</v>
      </c>
      <c r="Q3051" t="n">
        <v>0</v>
      </c>
      <c r="R3051" s="2" t="inlineStr"/>
    </row>
    <row r="3052" ht="15" customHeight="1">
      <c r="A3052" t="inlineStr">
        <is>
          <t>A 4871-2025</t>
        </is>
      </c>
      <c r="B3052" s="1" t="n">
        <v>45688</v>
      </c>
      <c r="C3052" s="1" t="n">
        <v>45694</v>
      </c>
      <c r="D3052" t="inlineStr">
        <is>
          <t>VÄSTERNORRLANDS LÄN</t>
        </is>
      </c>
      <c r="E3052" t="inlineStr">
        <is>
          <t>SUNDSVALL</t>
        </is>
      </c>
      <c r="F3052" t="inlineStr">
        <is>
          <t>SCA</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4933-2025</t>
        </is>
      </c>
      <c r="B3053" s="1" t="n">
        <v>45688</v>
      </c>
      <c r="C3053" s="1" t="n">
        <v>45694</v>
      </c>
      <c r="D3053" t="inlineStr">
        <is>
          <t>VÄSTERNORRLANDS LÄN</t>
        </is>
      </c>
      <c r="E3053" t="inlineStr">
        <is>
          <t>SUNDSVALL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4917-2025</t>
        </is>
      </c>
      <c r="B3054" s="1" t="n">
        <v>45688</v>
      </c>
      <c r="C3054" s="1" t="n">
        <v>45694</v>
      </c>
      <c r="D3054" t="inlineStr">
        <is>
          <t>VÄSTERNORRLANDS LÄN</t>
        </is>
      </c>
      <c r="E3054" t="inlineStr">
        <is>
          <t>SUNDSVALL</t>
        </is>
      </c>
      <c r="F3054" t="inlineStr">
        <is>
          <t>SCA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45694</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45694</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45694</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45694</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45694</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5314-2025</t>
        </is>
      </c>
      <c r="B3060" s="1" t="n">
        <v>45692</v>
      </c>
      <c r="C3060" s="1" t="n">
        <v>45694</v>
      </c>
      <c r="D3060" t="inlineStr">
        <is>
          <t>VÄSTERNORRLANDS LÄN</t>
        </is>
      </c>
      <c r="E3060" t="inlineStr">
        <is>
          <t>SUNDSVALL</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45694</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45694</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5296-2025</t>
        </is>
      </c>
      <c r="B3063" s="1" t="n">
        <v>45692</v>
      </c>
      <c r="C3063" s="1" t="n">
        <v>45694</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5601-2025</t>
        </is>
      </c>
      <c r="B3064" s="1" t="n">
        <v>45693</v>
      </c>
      <c r="C3064" s="1" t="n">
        <v>45694</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45694</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5488-2025</t>
        </is>
      </c>
      <c r="B3066" s="1" t="n">
        <v>45693</v>
      </c>
      <c r="C3066" s="1" t="n">
        <v>45694</v>
      </c>
      <c r="D3066" t="inlineStr">
        <is>
          <t>VÄSTERNORRLANDS LÄN</t>
        </is>
      </c>
      <c r="E3066" t="inlineStr">
        <is>
          <t>SUNDSVALL</t>
        </is>
      </c>
      <c r="F3066" t="inlineStr">
        <is>
          <t>SCA</t>
        </is>
      </c>
      <c r="G3066" t="n">
        <v>5.6</v>
      </c>
      <c r="H3066" t="n">
        <v>0</v>
      </c>
      <c r="I3066" t="n">
        <v>0</v>
      </c>
      <c r="J3066" t="n">
        <v>0</v>
      </c>
      <c r="K3066" t="n">
        <v>0</v>
      </c>
      <c r="L3066" t="n">
        <v>0</v>
      </c>
      <c r="M3066" t="n">
        <v>0</v>
      </c>
      <c r="N3066" t="n">
        <v>0</v>
      </c>
      <c r="O3066" t="n">
        <v>0</v>
      </c>
      <c r="P3066" t="n">
        <v>0</v>
      </c>
      <c r="Q3066" t="n">
        <v>0</v>
      </c>
      <c r="R3066" s="2" t="inlineStr"/>
    </row>
    <row r="3067">
      <c r="A3067" t="inlineStr">
        <is>
          <t>A 5569-2025</t>
        </is>
      </c>
      <c r="B3067" s="1" t="n">
        <v>45693</v>
      </c>
      <c r="C3067" s="1" t="n">
        <v>45694</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2025-02-06T16:41:18Z</dcterms:created>
  <dcterms:modified xmlns:dcterms="http://purl.org/dc/terms/" xmlns:xsi="http://www.w3.org/2001/XMLSchema-instance" xsi:type="dcterms:W3CDTF">2025-02-06T16:41:20Z</dcterms:modified>
</cp:coreProperties>
</file>