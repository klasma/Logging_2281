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46181</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46181</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46181</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46181</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46181</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46181</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46181</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46181</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61826-2025</t>
        </is>
      </c>
      <c r="B10" s="1" t="n">
        <v>46003</v>
      </c>
      <c r="C10" s="1" t="n">
        <v>46181</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46181</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46181</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11088-2025</t>
        </is>
      </c>
      <c r="B13" s="1" t="n">
        <v>45723.57364583333</v>
      </c>
      <c r="C13" s="1" t="n">
        <v>46181</v>
      </c>
      <c r="D13" t="inlineStr">
        <is>
          <t>VÄSTERNORRLANDS LÄN</t>
        </is>
      </c>
      <c r="E13" t="inlineStr">
        <is>
          <t>SUNDSVALL</t>
        </is>
      </c>
      <c r="F13" t="inlineStr">
        <is>
          <t>SCA</t>
        </is>
      </c>
      <c r="G13" t="n">
        <v>10.6</v>
      </c>
      <c r="H13" t="n">
        <v>8</v>
      </c>
      <c r="I13" t="n">
        <v>6</v>
      </c>
      <c r="J13" t="n">
        <v>9</v>
      </c>
      <c r="K13" t="n">
        <v>2</v>
      </c>
      <c r="L13" t="n">
        <v>0</v>
      </c>
      <c r="M13" t="n">
        <v>0</v>
      </c>
      <c r="N13" t="n">
        <v>0</v>
      </c>
      <c r="O13" t="n">
        <v>11</v>
      </c>
      <c r="P13" t="n">
        <v>2</v>
      </c>
      <c r="Q13" t="n">
        <v>19</v>
      </c>
      <c r="R13" s="2" t="inlineStr">
        <is>
          <t>Aspgelélav
Knärot
Garnlav
Järpe
Lunglav
Spillkråka
Svartvit flugsnappare
Talltita
Tretåig hackspett
Ullticka
Violettgrå tagellav
Fjällig taggsvamp s.str.
Grönpyrola
Korallblylav
Skinnlav
Stor aspticka
Stuplav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51104-2025</t>
        </is>
      </c>
      <c r="B14" s="1" t="n">
        <v>45947</v>
      </c>
      <c r="C14" s="1" t="n">
        <v>46181</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13934-2025</t>
        </is>
      </c>
      <c r="B15" s="1" t="n">
        <v>45737</v>
      </c>
      <c r="C15" s="1" t="n">
        <v>46181</v>
      </c>
      <c r="D15" t="inlineStr">
        <is>
          <t>VÄSTERNORRLANDS LÄN</t>
        </is>
      </c>
      <c r="E15" t="inlineStr">
        <is>
          <t>SUNDSVALL</t>
        </is>
      </c>
      <c r="F15" t="inlineStr">
        <is>
          <t>SCA</t>
        </is>
      </c>
      <c r="G15" t="n">
        <v>11</v>
      </c>
      <c r="H15" t="n">
        <v>4</v>
      </c>
      <c r="I15" t="n">
        <v>5</v>
      </c>
      <c r="J15" t="n">
        <v>9</v>
      </c>
      <c r="K15" t="n">
        <v>3</v>
      </c>
      <c r="L15" t="n">
        <v>0</v>
      </c>
      <c r="M15" t="n">
        <v>0</v>
      </c>
      <c r="N15" t="n">
        <v>0</v>
      </c>
      <c r="O15" t="n">
        <v>12</v>
      </c>
      <c r="P15" t="n">
        <v>3</v>
      </c>
      <c r="Q15" t="n">
        <v>18</v>
      </c>
      <c r="R1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5">
        <f>HYPERLINK("https://klasma.github.io/Logging_2281/artfynd/A 13934-2025 artfynd.xlsx", "A 13934-2025")</f>
        <v/>
      </c>
      <c r="T15">
        <f>HYPERLINK("https://klasma.github.io/Logging_2281/kartor/A 13934-2025 karta.png", "A 13934-2025")</f>
        <v/>
      </c>
      <c r="U15">
        <f>HYPERLINK("https://klasma.github.io/Logging_2281/knärot/A 13934-2025 karta knärot.png", "A 13934-2025")</f>
        <v/>
      </c>
      <c r="V15">
        <f>HYPERLINK("https://klasma.github.io/Logging_2281/klagomål/A 13934-2025 FSC-klagomål.docx", "A 13934-2025")</f>
        <v/>
      </c>
      <c r="W15">
        <f>HYPERLINK("https://klasma.github.io/Logging_2281/klagomålsmail/A 13934-2025 FSC-klagomål mail.docx", "A 13934-2025")</f>
        <v/>
      </c>
      <c r="X15">
        <f>HYPERLINK("https://klasma.github.io/Logging_2281/tillsyn/A 13934-2025 tillsynsbegäran.docx", "A 13934-2025")</f>
        <v/>
      </c>
      <c r="Y15">
        <f>HYPERLINK("https://klasma.github.io/Logging_2281/tillsynsmail/A 13934-2025 tillsynsbegäran mail.docx", "A 13934-2025")</f>
        <v/>
      </c>
      <c r="Z15">
        <f>HYPERLINK("https://klasma.github.io/Logging_2281/fåglar/A 13934-2025 prioriterade fågelarter.docx", "A 13934-2025")</f>
        <v/>
      </c>
    </row>
    <row r="16" ht="15" customHeight="1">
      <c r="A16" t="inlineStr">
        <is>
          <t>A 21662-2022</t>
        </is>
      </c>
      <c r="B16" s="1" t="n">
        <v>44706</v>
      </c>
      <c r="C16" s="1" t="n">
        <v>46181</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16388-2023</t>
        </is>
      </c>
      <c r="B17" s="1" t="n">
        <v>45022</v>
      </c>
      <c r="C17" s="1" t="n">
        <v>46181</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19418-2023</t>
        </is>
      </c>
      <c r="B18" s="1" t="n">
        <v>45049</v>
      </c>
      <c r="C18" s="1" t="n">
        <v>46181</v>
      </c>
      <c r="D18" t="inlineStr">
        <is>
          <t>VÄSTERNORRLANDS LÄN</t>
        </is>
      </c>
      <c r="E18" t="inlineStr">
        <is>
          <t>SUNDSVALL</t>
        </is>
      </c>
      <c r="G18" t="n">
        <v>6.9</v>
      </c>
      <c r="H18" t="n">
        <v>3</v>
      </c>
      <c r="I18" t="n">
        <v>6</v>
      </c>
      <c r="J18" t="n">
        <v>8</v>
      </c>
      <c r="K18" t="n">
        <v>2</v>
      </c>
      <c r="L18" t="n">
        <v>0</v>
      </c>
      <c r="M18" t="n">
        <v>0</v>
      </c>
      <c r="N18" t="n">
        <v>0</v>
      </c>
      <c r="O18" t="n">
        <v>10</v>
      </c>
      <c r="P18" t="n">
        <v>2</v>
      </c>
      <c r="Q18" t="n">
        <v>17</v>
      </c>
      <c r="R18" s="2" t="inlineStr">
        <is>
          <t>Knärot
Rynkskinn
Doftskinn
Gammelgransskål
Garnlav
Granticka
Ullticka
Violettgrå tagellav
Vitgrynig nållav
Äggvaxskivling
Bronshjon
Kattfotslav
Spindelblomster
Trådticka
Vedticka
Vågbandad barkbock
Fläcknycklar</t>
        </is>
      </c>
      <c r="S18">
        <f>HYPERLINK("https://klasma.github.io/Logging_2281/artfynd/A 19418-2023 artfynd.xlsx", "A 19418-2023")</f>
        <v/>
      </c>
      <c r="T18">
        <f>HYPERLINK("https://klasma.github.io/Logging_2281/kartor/A 19418-2023 karta.png", "A 19418-2023")</f>
        <v/>
      </c>
      <c r="U18">
        <f>HYPERLINK("https://klasma.github.io/Logging_2281/knärot/A 19418-2023 karta knärot.png", "A 19418-2023")</f>
        <v/>
      </c>
      <c r="V18">
        <f>HYPERLINK("https://klasma.github.io/Logging_2281/klagomål/A 19418-2023 FSC-klagomål.docx", "A 19418-2023")</f>
        <v/>
      </c>
      <c r="W18">
        <f>HYPERLINK("https://klasma.github.io/Logging_2281/klagomålsmail/A 19418-2023 FSC-klagomål mail.docx", "A 19418-2023")</f>
        <v/>
      </c>
      <c r="X18">
        <f>HYPERLINK("https://klasma.github.io/Logging_2281/tillsyn/A 19418-2023 tillsynsbegäran.docx", "A 19418-2023")</f>
        <v/>
      </c>
      <c r="Y18">
        <f>HYPERLINK("https://klasma.github.io/Logging_2281/tillsynsmail/A 19418-2023 tillsynsbegäran mail.docx", "A 19418-2023")</f>
        <v/>
      </c>
    </row>
    <row r="19" ht="15" customHeight="1">
      <c r="A19" t="inlineStr">
        <is>
          <t>A 27027-2022</t>
        </is>
      </c>
      <c r="B19" s="1" t="n">
        <v>44740.94289351852</v>
      </c>
      <c r="C19" s="1" t="n">
        <v>46181</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16264-2026</t>
        </is>
      </c>
      <c r="B20" s="1" t="n">
        <v>46111.4796875</v>
      </c>
      <c r="C20" s="1" t="n">
        <v>46181</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46181</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59396-2022</t>
        </is>
      </c>
      <c r="B22" s="1" t="n">
        <v>44906</v>
      </c>
      <c r="C22" s="1" t="n">
        <v>46181</v>
      </c>
      <c r="D22" t="inlineStr">
        <is>
          <t>VÄSTERNORRLANDS LÄN</t>
        </is>
      </c>
      <c r="E22" t="inlineStr">
        <is>
          <t>SUNDSVALL</t>
        </is>
      </c>
      <c r="G22" t="n">
        <v>9.300000000000001</v>
      </c>
      <c r="H22" t="n">
        <v>2</v>
      </c>
      <c r="I22" t="n">
        <v>4</v>
      </c>
      <c r="J22" t="n">
        <v>10</v>
      </c>
      <c r="K22" t="n">
        <v>1</v>
      </c>
      <c r="L22" t="n">
        <v>0</v>
      </c>
      <c r="M22" t="n">
        <v>0</v>
      </c>
      <c r="N22" t="n">
        <v>0</v>
      </c>
      <c r="O22" t="n">
        <v>11</v>
      </c>
      <c r="P22" t="n">
        <v>1</v>
      </c>
      <c r="Q22" t="n">
        <v>16</v>
      </c>
      <c r="R22" s="2" t="inlineStr">
        <is>
          <t>Knärot
Blågrå svartspik
Dvärgbägarlav
Garnlav
Kolflarnlav
Mörk kolflarnlav
Tallticka
Ullticka
Vaddporing
Vedflamlav
Vedskivlav
Kattfotslav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49327-2023</t>
        </is>
      </c>
      <c r="B23" s="1" t="n">
        <v>45210</v>
      </c>
      <c r="C23" s="1" t="n">
        <v>46181</v>
      </c>
      <c r="D23" t="inlineStr">
        <is>
          <t>VÄSTERNORRLANDS LÄN</t>
        </is>
      </c>
      <c r="E23" t="inlineStr">
        <is>
          <t>SUNDSVALL</t>
        </is>
      </c>
      <c r="F23" t="inlineStr">
        <is>
          <t>SCA</t>
        </is>
      </c>
      <c r="G23" t="n">
        <v>6.4</v>
      </c>
      <c r="H23" t="n">
        <v>6</v>
      </c>
      <c r="I23" t="n">
        <v>3</v>
      </c>
      <c r="J23" t="n">
        <v>8</v>
      </c>
      <c r="K23" t="n">
        <v>2</v>
      </c>
      <c r="L23" t="n">
        <v>0</v>
      </c>
      <c r="M23" t="n">
        <v>0</v>
      </c>
      <c r="N23" t="n">
        <v>0</v>
      </c>
      <c r="O23" t="n">
        <v>10</v>
      </c>
      <c r="P23" t="n">
        <v>2</v>
      </c>
      <c r="Q23" t="n">
        <v>15</v>
      </c>
      <c r="R23" s="2" t="inlineStr">
        <is>
          <t>Knärot
Rynkskinn
Gammelgransskål
Garnlav
Lunglav
Rosenticka
Rödvingetrast
Spillkråka
Tretåig hackspett
Ullticka
Bårdlav
Stuplav
Vedticka
Grönsiska
Järnsparv</t>
        </is>
      </c>
      <c r="S23">
        <f>HYPERLINK("https://klasma.github.io/Logging_2281/artfynd/A 49327-2023 artfynd.xlsx", "A 49327-2023")</f>
        <v/>
      </c>
      <c r="T23">
        <f>HYPERLINK("https://klasma.github.io/Logging_2281/kartor/A 49327-2023 karta.png", "A 49327-2023")</f>
        <v/>
      </c>
      <c r="U23">
        <f>HYPERLINK("https://klasma.github.io/Logging_2281/knärot/A 49327-2023 karta knärot.png", "A 49327-2023")</f>
        <v/>
      </c>
      <c r="V23">
        <f>HYPERLINK("https://klasma.github.io/Logging_2281/klagomål/A 49327-2023 FSC-klagomål.docx", "A 49327-2023")</f>
        <v/>
      </c>
      <c r="W23">
        <f>HYPERLINK("https://klasma.github.io/Logging_2281/klagomålsmail/A 49327-2023 FSC-klagomål mail.docx", "A 49327-2023")</f>
        <v/>
      </c>
      <c r="X23">
        <f>HYPERLINK("https://klasma.github.io/Logging_2281/tillsyn/A 49327-2023 tillsynsbegäran.docx", "A 49327-2023")</f>
        <v/>
      </c>
      <c r="Y23">
        <f>HYPERLINK("https://klasma.github.io/Logging_2281/tillsynsmail/A 49327-2023 tillsynsbegäran mail.docx", "A 49327-2023")</f>
        <v/>
      </c>
      <c r="Z23">
        <f>HYPERLINK("https://klasma.github.io/Logging_2281/fåglar/A 49327-2023 prioriterade fågelarter.docx", "A 49327-2023")</f>
        <v/>
      </c>
    </row>
    <row r="24" ht="15" customHeight="1">
      <c r="A24" t="inlineStr">
        <is>
          <t>A 20708-2025</t>
        </is>
      </c>
      <c r="B24" s="1" t="n">
        <v>45776</v>
      </c>
      <c r="C24" s="1" t="n">
        <v>46181</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11213-2022</t>
        </is>
      </c>
      <c r="B25" s="1" t="n">
        <v>44629</v>
      </c>
      <c r="C25" s="1" t="n">
        <v>46181</v>
      </c>
      <c r="D25" t="inlineStr">
        <is>
          <t>VÄSTERNORRLANDS LÄN</t>
        </is>
      </c>
      <c r="E25" t="inlineStr">
        <is>
          <t>SUNDSVALL</t>
        </is>
      </c>
      <c r="G25" t="n">
        <v>42.4</v>
      </c>
      <c r="H25" t="n">
        <v>2</v>
      </c>
      <c r="I25" t="n">
        <v>7</v>
      </c>
      <c r="J25" t="n">
        <v>6</v>
      </c>
      <c r="K25" t="n">
        <v>2</v>
      </c>
      <c r="L25" t="n">
        <v>0</v>
      </c>
      <c r="M25" t="n">
        <v>0</v>
      </c>
      <c r="N25" t="n">
        <v>0</v>
      </c>
      <c r="O25" t="n">
        <v>8</v>
      </c>
      <c r="P25" t="n">
        <v>2</v>
      </c>
      <c r="Q25" t="n">
        <v>15</v>
      </c>
      <c r="R25" s="2" t="inlineStr">
        <is>
          <t>Knärot
Rynkskinn
Garnlav
Lunglav
Mörk kolflarnlav
Rosenticka
Tretåig hackspett
Ullticka
Bårdlav
Kattfotslav
Korallblylav
Rävticka
Skinnlav
Stuplav
Vedticka</t>
        </is>
      </c>
      <c r="S25">
        <f>HYPERLINK("https://klasma.github.io/Logging_2281/artfynd/A 11213-2022 artfynd.xlsx", "A 11213-2022")</f>
        <v/>
      </c>
      <c r="T25">
        <f>HYPERLINK("https://klasma.github.io/Logging_2281/kartor/A 11213-2022 karta.png", "A 11213-2022")</f>
        <v/>
      </c>
      <c r="U25">
        <f>HYPERLINK("https://klasma.github.io/Logging_2281/knärot/A 11213-2022 karta knärot.png", "A 11213-2022")</f>
        <v/>
      </c>
      <c r="V25">
        <f>HYPERLINK("https://klasma.github.io/Logging_2281/klagomål/A 11213-2022 FSC-klagomål.docx", "A 11213-2022")</f>
        <v/>
      </c>
      <c r="W25">
        <f>HYPERLINK("https://klasma.github.io/Logging_2281/klagomålsmail/A 11213-2022 FSC-klagomål mail.docx", "A 11213-2022")</f>
        <v/>
      </c>
      <c r="X25">
        <f>HYPERLINK("https://klasma.github.io/Logging_2281/tillsyn/A 11213-2022 tillsynsbegäran.docx", "A 11213-2022")</f>
        <v/>
      </c>
      <c r="Y25">
        <f>HYPERLINK("https://klasma.github.io/Logging_2281/tillsynsmail/A 11213-2022 tillsynsbegäran mail.docx", "A 11213-2022")</f>
        <v/>
      </c>
      <c r="Z25">
        <f>HYPERLINK("https://klasma.github.io/Logging_2281/fåglar/A 11213-2022 prioriterade fågelarter.docx", "A 11213-2022")</f>
        <v/>
      </c>
    </row>
    <row r="26" ht="15" customHeight="1">
      <c r="A26" t="inlineStr">
        <is>
          <t>A 30473-2024</t>
        </is>
      </c>
      <c r="B26" s="1" t="n">
        <v>45491</v>
      </c>
      <c r="C26" s="1" t="n">
        <v>46181</v>
      </c>
      <c r="D26" t="inlineStr">
        <is>
          <t>VÄSTERNORRLANDS LÄN</t>
        </is>
      </c>
      <c r="E26" t="inlineStr">
        <is>
          <t>SUNDSVALL</t>
        </is>
      </c>
      <c r="F26" t="inlineStr">
        <is>
          <t>Naturvårdsverket</t>
        </is>
      </c>
      <c r="G26" t="n">
        <v>24.1</v>
      </c>
      <c r="H26" t="n">
        <v>6</v>
      </c>
      <c r="I26" t="n">
        <v>4</v>
      </c>
      <c r="J26" t="n">
        <v>8</v>
      </c>
      <c r="K26" t="n">
        <v>1</v>
      </c>
      <c r="L26" t="n">
        <v>0</v>
      </c>
      <c r="M26" t="n">
        <v>0</v>
      </c>
      <c r="N26" t="n">
        <v>0</v>
      </c>
      <c r="O26" t="n">
        <v>9</v>
      </c>
      <c r="P26" t="n">
        <v>1</v>
      </c>
      <c r="Q26" t="n">
        <v>15</v>
      </c>
      <c r="R26" s="2" t="inlineStr">
        <is>
          <t>Knärot
Garnlav
Granticka
Orange taggsvamp
Rosenticka
Spillkråka
Svart taggsvamp agg.
Tretåig hackspett
Ullticka
Dropptaggsvamp
Plattlummer
Trådticka
Vedticka
Fläcknycklar
Revlummer</t>
        </is>
      </c>
      <c r="S26">
        <f>HYPERLINK("https://klasma.github.io/Logging_2281/artfynd/A 30473-2024 artfynd.xlsx", "A 30473-2024")</f>
        <v/>
      </c>
      <c r="T26">
        <f>HYPERLINK("https://klasma.github.io/Logging_2281/kartor/A 30473-2024 karta.png", "A 30473-2024")</f>
        <v/>
      </c>
      <c r="U26">
        <f>HYPERLINK("https://klasma.github.io/Logging_2281/knärot/A 30473-2024 karta knärot.png", "A 30473-2024")</f>
        <v/>
      </c>
      <c r="V26">
        <f>HYPERLINK("https://klasma.github.io/Logging_2281/klagomål/A 30473-2024 FSC-klagomål.docx", "A 30473-2024")</f>
        <v/>
      </c>
      <c r="W26">
        <f>HYPERLINK("https://klasma.github.io/Logging_2281/klagomålsmail/A 30473-2024 FSC-klagomål mail.docx", "A 30473-2024")</f>
        <v/>
      </c>
      <c r="X26">
        <f>HYPERLINK("https://klasma.github.io/Logging_2281/tillsyn/A 30473-2024 tillsynsbegäran.docx", "A 30473-2024")</f>
        <v/>
      </c>
      <c r="Y26">
        <f>HYPERLINK("https://klasma.github.io/Logging_2281/tillsynsmail/A 30473-2024 tillsynsbegäran mail.docx", "A 30473-2024")</f>
        <v/>
      </c>
      <c r="Z26">
        <f>HYPERLINK("https://klasma.github.io/Logging_2281/fåglar/A 30473-2024 prioriterade fågelarter.docx", "A 30473-2024")</f>
        <v/>
      </c>
    </row>
    <row r="27" ht="15" customHeight="1">
      <c r="A27" t="inlineStr">
        <is>
          <t>A 26089-2025</t>
        </is>
      </c>
      <c r="B27" s="1" t="n">
        <v>45805.34509259259</v>
      </c>
      <c r="C27" s="1" t="n">
        <v>46181</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46181</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3379-2026</t>
        </is>
      </c>
      <c r="B29" s="1" t="n">
        <v>46042</v>
      </c>
      <c r="C29" s="1" t="n">
        <v>46181</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46181</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50551-2024</t>
        </is>
      </c>
      <c r="B31" s="1" t="n">
        <v>45600</v>
      </c>
      <c r="C31" s="1" t="n">
        <v>46181</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48783-2023</t>
        </is>
      </c>
      <c r="B32" s="1" t="n">
        <v>45208</v>
      </c>
      <c r="C32" s="1" t="n">
        <v>46181</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46181</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23901-2026</t>
        </is>
      </c>
      <c r="B34" s="1" t="n">
        <v>46167.46954861111</v>
      </c>
      <c r="C34" s="1" t="n">
        <v>46181</v>
      </c>
      <c r="D34" t="inlineStr">
        <is>
          <t>VÄSTERNORRLANDS LÄN</t>
        </is>
      </c>
      <c r="E34" t="inlineStr">
        <is>
          <t>SUNDSVALL</t>
        </is>
      </c>
      <c r="F34" t="inlineStr">
        <is>
          <t>SCA</t>
        </is>
      </c>
      <c r="G34" t="n">
        <v>13.2</v>
      </c>
      <c r="H34" t="n">
        <v>1</v>
      </c>
      <c r="I34" t="n">
        <v>3</v>
      </c>
      <c r="J34" t="n">
        <v>6</v>
      </c>
      <c r="K34" t="n">
        <v>2</v>
      </c>
      <c r="L34" t="n">
        <v>0</v>
      </c>
      <c r="M34" t="n">
        <v>0</v>
      </c>
      <c r="N34" t="n">
        <v>0</v>
      </c>
      <c r="O34" t="n">
        <v>8</v>
      </c>
      <c r="P34" t="n">
        <v>2</v>
      </c>
      <c r="Q34" t="n">
        <v>11</v>
      </c>
      <c r="R34" s="2" t="inlineStr">
        <is>
          <t>Knärot
Rynkskinn
Gammelgransskål
Garnlav
Granticka
Lunglav
Rödbrun blekspik
Ullticka
Gulnål
Stor aspticka
Vedticka</t>
        </is>
      </c>
      <c r="S34">
        <f>HYPERLINK("https://klasma.github.io/Logging_2281/artfynd/A 23901-2026 artfynd.xlsx", "A 23901-2026")</f>
        <v/>
      </c>
      <c r="T34">
        <f>HYPERLINK("https://klasma.github.io/Logging_2281/kartor/A 23901-2026 karta.png", "A 23901-2026")</f>
        <v/>
      </c>
      <c r="U34">
        <f>HYPERLINK("https://klasma.github.io/Logging_2281/knärot/A 23901-2026 karta knärot.png", "A 23901-2026")</f>
        <v/>
      </c>
      <c r="V34">
        <f>HYPERLINK("https://klasma.github.io/Logging_2281/klagomål/A 23901-2026 FSC-klagomål.docx", "A 23901-2026")</f>
        <v/>
      </c>
      <c r="W34">
        <f>HYPERLINK("https://klasma.github.io/Logging_2281/klagomålsmail/A 23901-2026 FSC-klagomål mail.docx", "A 23901-2026")</f>
        <v/>
      </c>
      <c r="X34">
        <f>HYPERLINK("https://klasma.github.io/Logging_2281/tillsyn/A 23901-2026 tillsynsbegäran.docx", "A 23901-2026")</f>
        <v/>
      </c>
      <c r="Y34">
        <f>HYPERLINK("https://klasma.github.io/Logging_2281/tillsynsmail/A 23901-2026 tillsynsbegäran mail.docx", "A 23901-2026")</f>
        <v/>
      </c>
    </row>
    <row r="35" ht="15" customHeight="1">
      <c r="A35" t="inlineStr">
        <is>
          <t>A 40603-2022</t>
        </is>
      </c>
      <c r="B35" s="1" t="n">
        <v>44823</v>
      </c>
      <c r="C35" s="1" t="n">
        <v>46181</v>
      </c>
      <c r="D35" t="inlineStr">
        <is>
          <t>VÄSTERNORRLANDS LÄN</t>
        </is>
      </c>
      <c r="E35" t="inlineStr">
        <is>
          <t>SUNDSVALL</t>
        </is>
      </c>
      <c r="G35" t="n">
        <v>6.7</v>
      </c>
      <c r="H35" t="n">
        <v>3</v>
      </c>
      <c r="I35" t="n">
        <v>4</v>
      </c>
      <c r="J35" t="n">
        <v>4</v>
      </c>
      <c r="K35" t="n">
        <v>1</v>
      </c>
      <c r="L35" t="n">
        <v>0</v>
      </c>
      <c r="M35" t="n">
        <v>0</v>
      </c>
      <c r="N35" t="n">
        <v>0</v>
      </c>
      <c r="O35" t="n">
        <v>5</v>
      </c>
      <c r="P35" t="n">
        <v>1</v>
      </c>
      <c r="Q35" t="n">
        <v>11</v>
      </c>
      <c r="R35" s="2" t="inlineStr">
        <is>
          <t>Knärot
Garnlav
Orange taggsvamp
Tallticka
Violettgrå tagellav
Grönpyrola
Skinnlav
Stor aspticka
Vårärt
Nattviol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18981-2025</t>
        </is>
      </c>
      <c r="B36" s="1" t="n">
        <v>45764</v>
      </c>
      <c r="C36" s="1" t="n">
        <v>46181</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20024-2025</t>
        </is>
      </c>
      <c r="B37" s="1" t="n">
        <v>45772</v>
      </c>
      <c r="C37" s="1" t="n">
        <v>46181</v>
      </c>
      <c r="D37" t="inlineStr">
        <is>
          <t>VÄSTERNORRLANDS LÄN</t>
        </is>
      </c>
      <c r="E37" t="inlineStr">
        <is>
          <t>SUNDSVALL</t>
        </is>
      </c>
      <c r="F37" t="inlineStr">
        <is>
          <t>SCA</t>
        </is>
      </c>
      <c r="G37" t="n">
        <v>5.6</v>
      </c>
      <c r="H37" t="n">
        <v>6</v>
      </c>
      <c r="I37" t="n">
        <v>3</v>
      </c>
      <c r="J37" t="n">
        <v>5</v>
      </c>
      <c r="K37" t="n">
        <v>0</v>
      </c>
      <c r="L37" t="n">
        <v>0</v>
      </c>
      <c r="M37" t="n">
        <v>0</v>
      </c>
      <c r="N37" t="n">
        <v>0</v>
      </c>
      <c r="O37" t="n">
        <v>5</v>
      </c>
      <c r="P37" t="n">
        <v>0</v>
      </c>
      <c r="Q37" t="n">
        <v>11</v>
      </c>
      <c r="R37" s="2" t="inlineStr">
        <is>
          <t>Garnlav
Lunglav
Spillkråka
Stjärntagging
Tretåig hackspett
Skinnlav
Stor aspticka
Tvåblad
Kungsfågel
Tjäder
Mattlummer</t>
        </is>
      </c>
      <c r="S37">
        <f>HYPERLINK("https://klasma.github.io/Logging_2281/artfynd/A 20024-2025 artfynd.xlsx", "A 20024-2025")</f>
        <v/>
      </c>
      <c r="T37">
        <f>HYPERLINK("https://klasma.github.io/Logging_2281/kartor/A 20024-2025 karta.png", "A 20024-2025")</f>
        <v/>
      </c>
      <c r="V37">
        <f>HYPERLINK("https://klasma.github.io/Logging_2281/klagomål/A 20024-2025 FSC-klagomål.docx", "A 20024-2025")</f>
        <v/>
      </c>
      <c r="W37">
        <f>HYPERLINK("https://klasma.github.io/Logging_2281/klagomålsmail/A 20024-2025 FSC-klagomål mail.docx", "A 20024-2025")</f>
        <v/>
      </c>
      <c r="X37">
        <f>HYPERLINK("https://klasma.github.io/Logging_2281/tillsyn/A 20024-2025 tillsynsbegäran.docx", "A 20024-2025")</f>
        <v/>
      </c>
      <c r="Y37">
        <f>HYPERLINK("https://klasma.github.io/Logging_2281/tillsynsmail/A 20024-2025 tillsynsbegäran mail.docx", "A 20024-2025")</f>
        <v/>
      </c>
      <c r="Z37">
        <f>HYPERLINK("https://klasma.github.io/Logging_2281/fåglar/A 20024-2025 prioriterade fågelarter.docx", "A 20024-2025")</f>
        <v/>
      </c>
    </row>
    <row r="38" ht="15" customHeight="1">
      <c r="A38" t="inlineStr">
        <is>
          <t>A 9201-2022</t>
        </is>
      </c>
      <c r="B38" s="1" t="n">
        <v>44615.92618055556</v>
      </c>
      <c r="C38" s="1" t="n">
        <v>46181</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48961-2024</t>
        </is>
      </c>
      <c r="B39" s="1" t="n">
        <v>45594</v>
      </c>
      <c r="C39" s="1" t="n">
        <v>46181</v>
      </c>
      <c r="D39" t="inlineStr">
        <is>
          <t>VÄSTERNORRLANDS LÄN</t>
        </is>
      </c>
      <c r="E39" t="inlineStr">
        <is>
          <t>SUNDSVALL</t>
        </is>
      </c>
      <c r="F39" t="inlineStr">
        <is>
          <t>SCA</t>
        </is>
      </c>
      <c r="G39" t="n">
        <v>4.5</v>
      </c>
      <c r="H39" t="n">
        <v>7</v>
      </c>
      <c r="I39" t="n">
        <v>0</v>
      </c>
      <c r="J39" t="n">
        <v>7</v>
      </c>
      <c r="K39" t="n">
        <v>1</v>
      </c>
      <c r="L39" t="n">
        <v>0</v>
      </c>
      <c r="M39" t="n">
        <v>0</v>
      </c>
      <c r="N39" t="n">
        <v>0</v>
      </c>
      <c r="O39" t="n">
        <v>8</v>
      </c>
      <c r="P39" t="n">
        <v>1</v>
      </c>
      <c r="Q39" t="n">
        <v>10</v>
      </c>
      <c r="R39" s="2" t="inlineStr">
        <is>
          <t>Knärot
Garnlav
Järpe
Lunglav
Spillkråka
Svartvit flugsnappare
Tretåig hackspett
Ullticka
Tjäder
Revlummer</t>
        </is>
      </c>
      <c r="S39">
        <f>HYPERLINK("https://klasma.github.io/Logging_2281/artfynd/A 48961-2024 artfynd.xlsx", "A 48961-2024")</f>
        <v/>
      </c>
      <c r="T39">
        <f>HYPERLINK("https://klasma.github.io/Logging_2281/kartor/A 48961-2024 karta.png", "A 48961-2024")</f>
        <v/>
      </c>
      <c r="U39">
        <f>HYPERLINK("https://klasma.github.io/Logging_2281/knärot/A 48961-2024 karta knärot.png", "A 48961-2024")</f>
        <v/>
      </c>
      <c r="V39">
        <f>HYPERLINK("https://klasma.github.io/Logging_2281/klagomål/A 48961-2024 FSC-klagomål.docx", "A 48961-2024")</f>
        <v/>
      </c>
      <c r="W39">
        <f>HYPERLINK("https://klasma.github.io/Logging_2281/klagomålsmail/A 48961-2024 FSC-klagomål mail.docx", "A 48961-2024")</f>
        <v/>
      </c>
      <c r="X39">
        <f>HYPERLINK("https://klasma.github.io/Logging_2281/tillsyn/A 48961-2024 tillsynsbegäran.docx", "A 48961-2024")</f>
        <v/>
      </c>
      <c r="Y39">
        <f>HYPERLINK("https://klasma.github.io/Logging_2281/tillsynsmail/A 48961-2024 tillsynsbegäran mail.docx", "A 48961-2024")</f>
        <v/>
      </c>
      <c r="Z39">
        <f>HYPERLINK("https://klasma.github.io/Logging_2281/fåglar/A 48961-2024 prioriterade fågelarter.docx", "A 48961-2024")</f>
        <v/>
      </c>
    </row>
    <row r="40" ht="15" customHeight="1">
      <c r="A40" t="inlineStr">
        <is>
          <t>A 45976-2024</t>
        </is>
      </c>
      <c r="B40" s="1" t="n">
        <v>45580</v>
      </c>
      <c r="C40" s="1" t="n">
        <v>46181</v>
      </c>
      <c r="D40" t="inlineStr">
        <is>
          <t>VÄSTERNORRLANDS LÄN</t>
        </is>
      </c>
      <c r="E40" t="inlineStr">
        <is>
          <t>SUNDSVALL</t>
        </is>
      </c>
      <c r="F40" t="inlineStr">
        <is>
          <t>SCA</t>
        </is>
      </c>
      <c r="G40" t="n">
        <v>3</v>
      </c>
      <c r="H40" t="n">
        <v>6</v>
      </c>
      <c r="I40" t="n">
        <v>2</v>
      </c>
      <c r="J40" t="n">
        <v>5</v>
      </c>
      <c r="K40" t="n">
        <v>1</v>
      </c>
      <c r="L40" t="n">
        <v>0</v>
      </c>
      <c r="M40" t="n">
        <v>0</v>
      </c>
      <c r="N40" t="n">
        <v>0</v>
      </c>
      <c r="O40" t="n">
        <v>6</v>
      </c>
      <c r="P40" t="n">
        <v>1</v>
      </c>
      <c r="Q40" t="n">
        <v>10</v>
      </c>
      <c r="R40" s="2" t="inlineStr">
        <is>
          <t>Knärot
Lunglav
Spillkråka
Talltita
Tretåig hackspett
Ullticka
Grönpyrola
Jättesvampmal
Tjäder
Revlummer</t>
        </is>
      </c>
      <c r="S40">
        <f>HYPERLINK("https://klasma.github.io/Logging_2281/artfynd/A 45976-2024 artfynd.xlsx", "A 45976-2024")</f>
        <v/>
      </c>
      <c r="T40">
        <f>HYPERLINK("https://klasma.github.io/Logging_2281/kartor/A 45976-2024 karta.png", "A 45976-2024")</f>
        <v/>
      </c>
      <c r="U40">
        <f>HYPERLINK("https://klasma.github.io/Logging_2281/knärot/A 45976-2024 karta knärot.png", "A 45976-2024")</f>
        <v/>
      </c>
      <c r="V40">
        <f>HYPERLINK("https://klasma.github.io/Logging_2281/klagomål/A 45976-2024 FSC-klagomål.docx", "A 45976-2024")</f>
        <v/>
      </c>
      <c r="W40">
        <f>HYPERLINK("https://klasma.github.io/Logging_2281/klagomålsmail/A 45976-2024 FSC-klagomål mail.docx", "A 45976-2024")</f>
        <v/>
      </c>
      <c r="X40">
        <f>HYPERLINK("https://klasma.github.io/Logging_2281/tillsyn/A 45976-2024 tillsynsbegäran.docx", "A 45976-2024")</f>
        <v/>
      </c>
      <c r="Y40">
        <f>HYPERLINK("https://klasma.github.io/Logging_2281/tillsynsmail/A 45976-2024 tillsynsbegäran mail.docx", "A 45976-2024")</f>
        <v/>
      </c>
      <c r="Z40">
        <f>HYPERLINK("https://klasma.github.io/Logging_2281/fåglar/A 45976-2024 prioriterade fågelarter.docx", "A 45976-2024")</f>
        <v/>
      </c>
    </row>
    <row r="41" ht="15" customHeight="1">
      <c r="A41" t="inlineStr">
        <is>
          <t>A 50817-2025</t>
        </is>
      </c>
      <c r="B41" s="1" t="n">
        <v>45946.53168981482</v>
      </c>
      <c r="C41" s="1" t="n">
        <v>46181</v>
      </c>
      <c r="D41" t="inlineStr">
        <is>
          <t>VÄSTERNORRLANDS LÄN</t>
        </is>
      </c>
      <c r="E41" t="inlineStr">
        <is>
          <t>SUNDSVALL</t>
        </is>
      </c>
      <c r="F41" t="inlineStr">
        <is>
          <t>SCA</t>
        </is>
      </c>
      <c r="G41" t="n">
        <v>6.1</v>
      </c>
      <c r="H41" t="n">
        <v>6</v>
      </c>
      <c r="I41" t="n">
        <v>2</v>
      </c>
      <c r="J41" t="n">
        <v>4</v>
      </c>
      <c r="K41" t="n">
        <v>1</v>
      </c>
      <c r="L41" t="n">
        <v>0</v>
      </c>
      <c r="M41" t="n">
        <v>0</v>
      </c>
      <c r="N41" t="n">
        <v>0</v>
      </c>
      <c r="O41" t="n">
        <v>5</v>
      </c>
      <c r="P41" t="n">
        <v>1</v>
      </c>
      <c r="Q41" t="n">
        <v>10</v>
      </c>
      <c r="R41" s="2" t="inlineStr">
        <is>
          <t>Knärot
Garnlav
Lunglav
Talltita
Tretåig hackspett
Brandticka
Jättesvampmal
Tjäder
Fläcknycklar
Nattviol</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15274-2025</t>
        </is>
      </c>
      <c r="B42" s="1" t="n">
        <v>45744.67758101852</v>
      </c>
      <c r="C42" s="1" t="n">
        <v>46181</v>
      </c>
      <c r="D42" t="inlineStr">
        <is>
          <t>VÄSTERNORRLANDS LÄN</t>
        </is>
      </c>
      <c r="E42" t="inlineStr">
        <is>
          <t>SUNDSVALL</t>
        </is>
      </c>
      <c r="F42" t="inlineStr">
        <is>
          <t>SCA</t>
        </is>
      </c>
      <c r="G42" t="n">
        <v>9.4</v>
      </c>
      <c r="H42" t="n">
        <v>4</v>
      </c>
      <c r="I42" t="n">
        <v>5</v>
      </c>
      <c r="J42" t="n">
        <v>3</v>
      </c>
      <c r="K42" t="n">
        <v>1</v>
      </c>
      <c r="L42" t="n">
        <v>0</v>
      </c>
      <c r="M42" t="n">
        <v>0</v>
      </c>
      <c r="N42" t="n">
        <v>0</v>
      </c>
      <c r="O42" t="n">
        <v>4</v>
      </c>
      <c r="P42" t="n">
        <v>1</v>
      </c>
      <c r="Q42" t="n">
        <v>10</v>
      </c>
      <c r="R42" s="2" t="inlineStr">
        <is>
          <t>Knärot
Garnlav
Spillkråka
Ullticka
Grön sköldmossa
Mörk husmossa
Skinnlav
Stor aspticka
Vedticka
Nattviol</t>
        </is>
      </c>
      <c r="S42">
        <f>HYPERLINK("https://klasma.github.io/Logging_2281/artfynd/A 15274-2025 artfynd.xlsx", "A 15274-2025")</f>
        <v/>
      </c>
      <c r="T42">
        <f>HYPERLINK("https://klasma.github.io/Logging_2281/kartor/A 15274-2025 karta.png", "A 15274-2025")</f>
        <v/>
      </c>
      <c r="U42">
        <f>HYPERLINK("https://klasma.github.io/Logging_2281/knärot/A 15274-2025 karta knärot.png", "A 15274-2025")</f>
        <v/>
      </c>
      <c r="V42">
        <f>HYPERLINK("https://klasma.github.io/Logging_2281/klagomål/A 15274-2025 FSC-klagomål.docx", "A 15274-2025")</f>
        <v/>
      </c>
      <c r="W42">
        <f>HYPERLINK("https://klasma.github.io/Logging_2281/klagomålsmail/A 15274-2025 FSC-klagomål mail.docx", "A 15274-2025")</f>
        <v/>
      </c>
      <c r="X42">
        <f>HYPERLINK("https://klasma.github.io/Logging_2281/tillsyn/A 15274-2025 tillsynsbegäran.docx", "A 15274-2025")</f>
        <v/>
      </c>
      <c r="Y42">
        <f>HYPERLINK("https://klasma.github.io/Logging_2281/tillsynsmail/A 15274-2025 tillsynsbegäran mail.docx", "A 15274-2025")</f>
        <v/>
      </c>
      <c r="Z42">
        <f>HYPERLINK("https://klasma.github.io/Logging_2281/fåglar/A 15274-2025 prioriterade fågelarter.docx", "A 15274-2025")</f>
        <v/>
      </c>
    </row>
    <row r="43" ht="15" customHeight="1">
      <c r="A43" t="inlineStr">
        <is>
          <t>A 16147-2022</t>
        </is>
      </c>
      <c r="B43" s="1" t="n">
        <v>44665</v>
      </c>
      <c r="C43" s="1" t="n">
        <v>46181</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19827-2025</t>
        </is>
      </c>
      <c r="B44" s="1" t="n">
        <v>45771.46918981482</v>
      </c>
      <c r="C44" s="1" t="n">
        <v>46181</v>
      </c>
      <c r="D44" t="inlineStr">
        <is>
          <t>VÄSTERNORRLANDS LÄN</t>
        </is>
      </c>
      <c r="E44" t="inlineStr">
        <is>
          <t>SUNDSVALL</t>
        </is>
      </c>
      <c r="F44" t="inlineStr">
        <is>
          <t>Naturvårdsverket</t>
        </is>
      </c>
      <c r="G44" t="n">
        <v>3.8</v>
      </c>
      <c r="H44" t="n">
        <v>1</v>
      </c>
      <c r="I44" t="n">
        <v>0</v>
      </c>
      <c r="J44" t="n">
        <v>10</v>
      </c>
      <c r="K44" t="n">
        <v>0</v>
      </c>
      <c r="L44" t="n">
        <v>0</v>
      </c>
      <c r="M44" t="n">
        <v>0</v>
      </c>
      <c r="N44" t="n">
        <v>0</v>
      </c>
      <c r="O44" t="n">
        <v>10</v>
      </c>
      <c r="P44" t="n">
        <v>0</v>
      </c>
      <c r="Q44" t="n">
        <v>10</v>
      </c>
      <c r="R44" s="2" t="inlineStr">
        <is>
          <t>Gammelgransskål
Garnlav
Kortskaftad ärgspik
Lunglav
Nordtagging
Tretåig hackspett
Ullticka
Vedflamlav
Vedskivlav
Violettgrå tagellav</t>
        </is>
      </c>
      <c r="S44">
        <f>HYPERLINK("https://klasma.github.io/Logging_2281/artfynd/A 19827-2025 artfynd.xlsx", "A 19827-2025")</f>
        <v/>
      </c>
      <c r="T44">
        <f>HYPERLINK("https://klasma.github.io/Logging_2281/kartor/A 19827-2025 karta.png", "A 19827-2025")</f>
        <v/>
      </c>
      <c r="V44">
        <f>HYPERLINK("https://klasma.github.io/Logging_2281/klagomål/A 19827-2025 FSC-klagomål.docx", "A 19827-2025")</f>
        <v/>
      </c>
      <c r="W44">
        <f>HYPERLINK("https://klasma.github.io/Logging_2281/klagomålsmail/A 19827-2025 FSC-klagomål mail.docx", "A 19827-2025")</f>
        <v/>
      </c>
      <c r="X44">
        <f>HYPERLINK("https://klasma.github.io/Logging_2281/tillsyn/A 19827-2025 tillsynsbegäran.docx", "A 19827-2025")</f>
        <v/>
      </c>
      <c r="Y44">
        <f>HYPERLINK("https://klasma.github.io/Logging_2281/tillsynsmail/A 19827-2025 tillsynsbegäran mail.docx", "A 19827-2025")</f>
        <v/>
      </c>
      <c r="Z44">
        <f>HYPERLINK("https://klasma.github.io/Logging_2281/fåglar/A 19827-2025 prioriterade fågelarter.docx", "A 19827-2025")</f>
        <v/>
      </c>
    </row>
    <row r="45" ht="15" customHeight="1">
      <c r="A45" t="inlineStr">
        <is>
          <t>A 45572-2025</t>
        </is>
      </c>
      <c r="B45" s="1" t="n">
        <v>45922</v>
      </c>
      <c r="C45" s="1" t="n">
        <v>46181</v>
      </c>
      <c r="D45" t="inlineStr">
        <is>
          <t>VÄSTERNORRLANDS LÄN</t>
        </is>
      </c>
      <c r="E45" t="inlineStr">
        <is>
          <t>SUNDSVALL</t>
        </is>
      </c>
      <c r="F45" t="inlineStr">
        <is>
          <t>SCA</t>
        </is>
      </c>
      <c r="G45" t="n">
        <v>4.1</v>
      </c>
      <c r="H45" t="n">
        <v>5</v>
      </c>
      <c r="I45" t="n">
        <v>3</v>
      </c>
      <c r="J45" t="n">
        <v>5</v>
      </c>
      <c r="K45" t="n">
        <v>0</v>
      </c>
      <c r="L45" t="n">
        <v>0</v>
      </c>
      <c r="M45" t="n">
        <v>0</v>
      </c>
      <c r="N45" t="n">
        <v>0</v>
      </c>
      <c r="O45" t="n">
        <v>5</v>
      </c>
      <c r="P45" t="n">
        <v>0</v>
      </c>
      <c r="Q45" t="n">
        <v>10</v>
      </c>
      <c r="R45" s="2" t="inlineStr">
        <is>
          <t>Lunglav
Spillkråka
Talltita
Tretåig hackspett
Ullticka
Bårdlav
Stuplav
Vedticka
Tjäder
Revlummer</t>
        </is>
      </c>
      <c r="S45">
        <f>HYPERLINK("https://klasma.github.io/Logging_2281/artfynd/A 45572-2025 artfynd.xlsx", "A 45572-2025")</f>
        <v/>
      </c>
      <c r="T45">
        <f>HYPERLINK("https://klasma.github.io/Logging_2281/kartor/A 45572-2025 karta.png", "A 45572-2025")</f>
        <v/>
      </c>
      <c r="V45">
        <f>HYPERLINK("https://klasma.github.io/Logging_2281/klagomål/A 45572-2025 FSC-klagomål.docx", "A 45572-2025")</f>
        <v/>
      </c>
      <c r="W45">
        <f>HYPERLINK("https://klasma.github.io/Logging_2281/klagomålsmail/A 45572-2025 FSC-klagomål mail.docx", "A 45572-2025")</f>
        <v/>
      </c>
      <c r="X45">
        <f>HYPERLINK("https://klasma.github.io/Logging_2281/tillsyn/A 45572-2025 tillsynsbegäran.docx", "A 45572-2025")</f>
        <v/>
      </c>
      <c r="Y45">
        <f>HYPERLINK("https://klasma.github.io/Logging_2281/tillsynsmail/A 45572-2025 tillsynsbegäran mail.docx", "A 45572-2025")</f>
        <v/>
      </c>
      <c r="Z45">
        <f>HYPERLINK("https://klasma.github.io/Logging_2281/fåglar/A 45572-2025 prioriterade fågelarter.docx", "A 45572-2025")</f>
        <v/>
      </c>
    </row>
    <row r="46" ht="15" customHeight="1">
      <c r="A46" t="inlineStr">
        <is>
          <t>A 418-2026</t>
        </is>
      </c>
      <c r="B46" s="1" t="n">
        <v>46028</v>
      </c>
      <c r="C46" s="1" t="n">
        <v>46181</v>
      </c>
      <c r="D46" t="inlineStr">
        <is>
          <t>VÄSTERNORRLANDS LÄN</t>
        </is>
      </c>
      <c r="E46" t="inlineStr">
        <is>
          <t>SUNDSVALL</t>
        </is>
      </c>
      <c r="G46" t="n">
        <v>3.9</v>
      </c>
      <c r="H46" t="n">
        <v>2</v>
      </c>
      <c r="I46" t="n">
        <v>1</v>
      </c>
      <c r="J46" t="n">
        <v>7</v>
      </c>
      <c r="K46" t="n">
        <v>1</v>
      </c>
      <c r="L46" t="n">
        <v>1</v>
      </c>
      <c r="M46" t="n">
        <v>0</v>
      </c>
      <c r="N46" t="n">
        <v>0</v>
      </c>
      <c r="O46" t="n">
        <v>9</v>
      </c>
      <c r="P46" t="n">
        <v>2</v>
      </c>
      <c r="Q46" t="n">
        <v>10</v>
      </c>
      <c r="R46" s="2" t="inlineStr">
        <is>
          <t>Trådbrosklav
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25171-2026</t>
        </is>
      </c>
      <c r="B47" s="1" t="n">
        <v>46175.51101851852</v>
      </c>
      <c r="C47" s="1" t="n">
        <v>46181</v>
      </c>
      <c r="D47" t="inlineStr">
        <is>
          <t>VÄSTERNORRLANDS LÄN</t>
        </is>
      </c>
      <c r="E47" t="inlineStr">
        <is>
          <t>SUNDSVALL</t>
        </is>
      </c>
      <c r="F47" t="inlineStr">
        <is>
          <t>SCA</t>
        </is>
      </c>
      <c r="G47" t="n">
        <v>5.9</v>
      </c>
      <c r="H47" t="n">
        <v>1</v>
      </c>
      <c r="I47" t="n">
        <v>4</v>
      </c>
      <c r="J47" t="n">
        <v>4</v>
      </c>
      <c r="K47" t="n">
        <v>2</v>
      </c>
      <c r="L47" t="n">
        <v>0</v>
      </c>
      <c r="M47" t="n">
        <v>0</v>
      </c>
      <c r="N47" t="n">
        <v>0</v>
      </c>
      <c r="O47" t="n">
        <v>6</v>
      </c>
      <c r="P47" t="n">
        <v>2</v>
      </c>
      <c r="Q47" t="n">
        <v>10</v>
      </c>
      <c r="R47" s="2" t="inlineStr">
        <is>
          <t>Aspfjädermossa
Knärot
Garnlav
Lunglav
Skrovellav
Ullticka
Barkkornlav
Gulnål
Skinnlav
Vedticka</t>
        </is>
      </c>
      <c r="S47">
        <f>HYPERLINK("https://klasma.github.io/Logging_2281/artfynd/A 25171-2026 artfynd.xlsx", "A 25171-2026")</f>
        <v/>
      </c>
      <c r="T47">
        <f>HYPERLINK("https://klasma.github.io/Logging_2281/kartor/A 25171-2026 karta.png", "A 25171-2026")</f>
        <v/>
      </c>
      <c r="U47">
        <f>HYPERLINK("https://klasma.github.io/Logging_2281/knärot/A 25171-2026 karta knärot.png", "A 25171-2026")</f>
        <v/>
      </c>
      <c r="V47">
        <f>HYPERLINK("https://klasma.github.io/Logging_2281/klagomål/A 25171-2026 FSC-klagomål.docx", "A 25171-2026")</f>
        <v/>
      </c>
      <c r="W47">
        <f>HYPERLINK("https://klasma.github.io/Logging_2281/klagomålsmail/A 25171-2026 FSC-klagomål mail.docx", "A 25171-2026")</f>
        <v/>
      </c>
      <c r="X47">
        <f>HYPERLINK("https://klasma.github.io/Logging_2281/tillsyn/A 25171-2026 tillsynsbegäran.docx", "A 25171-2026")</f>
        <v/>
      </c>
      <c r="Y47">
        <f>HYPERLINK("https://klasma.github.io/Logging_2281/tillsynsmail/A 25171-2026 tillsynsbegäran mail.docx", "A 25171-2026")</f>
        <v/>
      </c>
    </row>
    <row r="48" ht="15" customHeight="1">
      <c r="A48" t="inlineStr">
        <is>
          <t>A 16398-2023</t>
        </is>
      </c>
      <c r="B48" s="1" t="n">
        <v>45022</v>
      </c>
      <c r="C48" s="1" t="n">
        <v>46181</v>
      </c>
      <c r="D48" t="inlineStr">
        <is>
          <t>VÄSTERNORRLANDS LÄN</t>
        </is>
      </c>
      <c r="E48" t="inlineStr">
        <is>
          <t>SUNDSVALL</t>
        </is>
      </c>
      <c r="G48" t="n">
        <v>10</v>
      </c>
      <c r="H48" t="n">
        <v>1</v>
      </c>
      <c r="I48" t="n">
        <v>4</v>
      </c>
      <c r="J48" t="n">
        <v>5</v>
      </c>
      <c r="K48" t="n">
        <v>1</v>
      </c>
      <c r="L48" t="n">
        <v>0</v>
      </c>
      <c r="M48" t="n">
        <v>0</v>
      </c>
      <c r="N48" t="n">
        <v>0</v>
      </c>
      <c r="O48" t="n">
        <v>6</v>
      </c>
      <c r="P48" t="n">
        <v>1</v>
      </c>
      <c r="Q48" t="n">
        <v>10</v>
      </c>
      <c r="R48" s="2" t="inlineStr">
        <is>
          <t>Knärot
Garnlav
Ullticka
Vedflamlav
Vedskivlav
Violettgrå tagellav
Björksplintborre
Bronshjon
Grönpyrola
Vågbandad barkbock</t>
        </is>
      </c>
      <c r="S48">
        <f>HYPERLINK("https://klasma.github.io/Logging_2281/artfynd/A 16398-2023 artfynd.xlsx", "A 16398-2023")</f>
        <v/>
      </c>
      <c r="T48">
        <f>HYPERLINK("https://klasma.github.io/Logging_2281/kartor/A 16398-2023 karta.png", "A 16398-2023")</f>
        <v/>
      </c>
      <c r="U48">
        <f>HYPERLINK("https://klasma.github.io/Logging_2281/knärot/A 16398-2023 karta knärot.png", "A 16398-2023")</f>
        <v/>
      </c>
      <c r="V48">
        <f>HYPERLINK("https://klasma.github.io/Logging_2281/klagomål/A 16398-2023 FSC-klagomål.docx", "A 16398-2023")</f>
        <v/>
      </c>
      <c r="W48">
        <f>HYPERLINK("https://klasma.github.io/Logging_2281/klagomålsmail/A 16398-2023 FSC-klagomål mail.docx", "A 16398-2023")</f>
        <v/>
      </c>
      <c r="X48">
        <f>HYPERLINK("https://klasma.github.io/Logging_2281/tillsyn/A 16398-2023 tillsynsbegäran.docx", "A 16398-2023")</f>
        <v/>
      </c>
      <c r="Y48">
        <f>HYPERLINK("https://klasma.github.io/Logging_2281/tillsynsmail/A 16398-2023 tillsynsbegäran mail.docx", "A 16398-2023")</f>
        <v/>
      </c>
    </row>
    <row r="49" ht="15" customHeight="1">
      <c r="A49" t="inlineStr">
        <is>
          <t>A 20751-2024</t>
        </is>
      </c>
      <c r="B49" s="1" t="n">
        <v>45436</v>
      </c>
      <c r="C49" s="1" t="n">
        <v>46181</v>
      </c>
      <c r="D49" t="inlineStr">
        <is>
          <t>VÄSTERNORRLANDS LÄN</t>
        </is>
      </c>
      <c r="E49" t="inlineStr">
        <is>
          <t>SUNDSVALL</t>
        </is>
      </c>
      <c r="G49" t="n">
        <v>0.7</v>
      </c>
      <c r="H49" t="n">
        <v>2</v>
      </c>
      <c r="I49" t="n">
        <v>4</v>
      </c>
      <c r="J49" t="n">
        <v>3</v>
      </c>
      <c r="K49" t="n">
        <v>0</v>
      </c>
      <c r="L49" t="n">
        <v>0</v>
      </c>
      <c r="M49" t="n">
        <v>0</v>
      </c>
      <c r="N49" t="n">
        <v>0</v>
      </c>
      <c r="O49" t="n">
        <v>3</v>
      </c>
      <c r="P49" t="n">
        <v>0</v>
      </c>
      <c r="Q49" t="n">
        <v>9</v>
      </c>
      <c r="R49" s="2" t="inlineStr">
        <is>
          <t>Lunglav
Rosenticka
Ullticka
Stor aspticka
Svart trolldruva
Tibast
Vårärt
Blåsippa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row>
    <row r="50" ht="15" customHeight="1">
      <c r="A50" t="inlineStr">
        <is>
          <t>A 47177-2024</t>
        </is>
      </c>
      <c r="B50" s="1" t="n">
        <v>45586.61596064815</v>
      </c>
      <c r="C50" s="1" t="n">
        <v>46181</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22621-2023</t>
        </is>
      </c>
      <c r="B51" s="1" t="n">
        <v>45071</v>
      </c>
      <c r="C51" s="1" t="n">
        <v>46181</v>
      </c>
      <c r="D51" t="inlineStr">
        <is>
          <t>VÄSTERNORRLANDS LÄN</t>
        </is>
      </c>
      <c r="E51" t="inlineStr">
        <is>
          <t>SUNDSVALL</t>
        </is>
      </c>
      <c r="F51" t="inlineStr">
        <is>
          <t>Holmen skog AB</t>
        </is>
      </c>
      <c r="G51" t="n">
        <v>7.3</v>
      </c>
      <c r="H51" t="n">
        <v>0</v>
      </c>
      <c r="I51" t="n">
        <v>6</v>
      </c>
      <c r="J51" t="n">
        <v>3</v>
      </c>
      <c r="K51" t="n">
        <v>0</v>
      </c>
      <c r="L51" t="n">
        <v>0</v>
      </c>
      <c r="M51" t="n">
        <v>0</v>
      </c>
      <c r="N51" t="n">
        <v>0</v>
      </c>
      <c r="O51" t="n">
        <v>3</v>
      </c>
      <c r="P51" t="n">
        <v>0</v>
      </c>
      <c r="Q51" t="n">
        <v>9</v>
      </c>
      <c r="R51" s="2" t="inlineStr">
        <is>
          <t>Garnlav
Lunglav
Ullticka
Barkkornlav
Bårdlav
Korallblylav
Skinnlav
Stor aspticka
Stuplav</t>
        </is>
      </c>
      <c r="S51">
        <f>HYPERLINK("https://klasma.github.io/Logging_2281/artfynd/A 22621-2023 artfynd.xlsx", "A 22621-2023")</f>
        <v/>
      </c>
      <c r="T51">
        <f>HYPERLINK("https://klasma.github.io/Logging_2281/kartor/A 22621-2023 karta.png", "A 22621-2023")</f>
        <v/>
      </c>
      <c r="V51">
        <f>HYPERLINK("https://klasma.github.io/Logging_2281/klagomål/A 22621-2023 FSC-klagomål.docx", "A 22621-2023")</f>
        <v/>
      </c>
      <c r="W51">
        <f>HYPERLINK("https://klasma.github.io/Logging_2281/klagomålsmail/A 22621-2023 FSC-klagomål mail.docx", "A 22621-2023")</f>
        <v/>
      </c>
      <c r="X51">
        <f>HYPERLINK("https://klasma.github.io/Logging_2281/tillsyn/A 22621-2023 tillsynsbegäran.docx", "A 22621-2023")</f>
        <v/>
      </c>
      <c r="Y51">
        <f>HYPERLINK("https://klasma.github.io/Logging_2281/tillsynsmail/A 22621-2023 tillsynsbegäran mail.docx", "A 22621-2023")</f>
        <v/>
      </c>
    </row>
    <row r="52" ht="15" customHeight="1">
      <c r="A52" t="inlineStr">
        <is>
          <t>A 41884-2025</t>
        </is>
      </c>
      <c r="B52" s="1" t="n">
        <v>45903</v>
      </c>
      <c r="C52" s="1" t="n">
        <v>46181</v>
      </c>
      <c r="D52" t="inlineStr">
        <is>
          <t>VÄSTERNORRLANDS LÄN</t>
        </is>
      </c>
      <c r="E52" t="inlineStr">
        <is>
          <t>SUNDSVALL</t>
        </is>
      </c>
      <c r="F52" t="inlineStr">
        <is>
          <t>SCA</t>
        </is>
      </c>
      <c r="G52" t="n">
        <v>16</v>
      </c>
      <c r="H52" t="n">
        <v>1</v>
      </c>
      <c r="I52" t="n">
        <v>5</v>
      </c>
      <c r="J52" t="n">
        <v>3</v>
      </c>
      <c r="K52" t="n">
        <v>0</v>
      </c>
      <c r="L52" t="n">
        <v>0</v>
      </c>
      <c r="M52" t="n">
        <v>0</v>
      </c>
      <c r="N52" t="n">
        <v>0</v>
      </c>
      <c r="O52" t="n">
        <v>3</v>
      </c>
      <c r="P52" t="n">
        <v>0</v>
      </c>
      <c r="Q52" t="n">
        <v>9</v>
      </c>
      <c r="R52" s="2" t="inlineStr">
        <is>
          <t>Garnlav
Kötticka
Lunglav
Luddlav
Mörk husmossa
Sotriska
Stubbspretmossa
Svavelriska
Nattviol</t>
        </is>
      </c>
      <c r="S52">
        <f>HYPERLINK("https://klasma.github.io/Logging_2281/artfynd/A 41884-2025 artfynd.xlsx", "A 41884-2025")</f>
        <v/>
      </c>
      <c r="T52">
        <f>HYPERLINK("https://klasma.github.io/Logging_2281/kartor/A 41884-2025 karta.png", "A 41884-2025")</f>
        <v/>
      </c>
      <c r="V52">
        <f>HYPERLINK("https://klasma.github.io/Logging_2281/klagomål/A 41884-2025 FSC-klagomål.docx", "A 41884-2025")</f>
        <v/>
      </c>
      <c r="W52">
        <f>HYPERLINK("https://klasma.github.io/Logging_2281/klagomålsmail/A 41884-2025 FSC-klagomål mail.docx", "A 41884-2025")</f>
        <v/>
      </c>
      <c r="X52">
        <f>HYPERLINK("https://klasma.github.io/Logging_2281/tillsyn/A 41884-2025 tillsynsbegäran.docx", "A 41884-2025")</f>
        <v/>
      </c>
      <c r="Y52">
        <f>HYPERLINK("https://klasma.github.io/Logging_2281/tillsynsmail/A 41884-2025 tillsynsbegäran mail.docx", "A 41884-2025")</f>
        <v/>
      </c>
    </row>
    <row r="53" ht="15" customHeight="1">
      <c r="A53" t="inlineStr">
        <is>
          <t>A 61830-2025</t>
        </is>
      </c>
      <c r="B53" s="1" t="n">
        <v>46003</v>
      </c>
      <c r="C53" s="1" t="n">
        <v>46181</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34699-2024</t>
        </is>
      </c>
      <c r="B54" s="1" t="n">
        <v>45526</v>
      </c>
      <c r="C54" s="1" t="n">
        <v>46181</v>
      </c>
      <c r="D54" t="inlineStr">
        <is>
          <t>VÄSTERNORRLANDS LÄN</t>
        </is>
      </c>
      <c r="E54" t="inlineStr">
        <is>
          <t>SUNDSVALL</t>
        </is>
      </c>
      <c r="G54" t="n">
        <v>16.5</v>
      </c>
      <c r="H54" t="n">
        <v>3</v>
      </c>
      <c r="I54" t="n">
        <v>1</v>
      </c>
      <c r="J54" t="n">
        <v>6</v>
      </c>
      <c r="K54" t="n">
        <v>1</v>
      </c>
      <c r="L54" t="n">
        <v>0</v>
      </c>
      <c r="M54" t="n">
        <v>0</v>
      </c>
      <c r="N54" t="n">
        <v>0</v>
      </c>
      <c r="O54" t="n">
        <v>7</v>
      </c>
      <c r="P54" t="n">
        <v>1</v>
      </c>
      <c r="Q54" t="n">
        <v>9</v>
      </c>
      <c r="R54" s="2" t="inlineStr">
        <is>
          <t>Rynkskinn
Garnlav
Gränsticka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24424-2025</t>
        </is>
      </c>
      <c r="B55" s="1" t="n">
        <v>45797</v>
      </c>
      <c r="C55" s="1" t="n">
        <v>46181</v>
      </c>
      <c r="D55" t="inlineStr">
        <is>
          <t>VÄSTERNORRLANDS LÄN</t>
        </is>
      </c>
      <c r="E55" t="inlineStr">
        <is>
          <t>SUNDSVALL</t>
        </is>
      </c>
      <c r="F55" t="inlineStr">
        <is>
          <t>SCA</t>
        </is>
      </c>
      <c r="G55" t="n">
        <v>4</v>
      </c>
      <c r="H55" t="n">
        <v>3</v>
      </c>
      <c r="I55" t="n">
        <v>2</v>
      </c>
      <c r="J55" t="n">
        <v>6</v>
      </c>
      <c r="K55" t="n">
        <v>0</v>
      </c>
      <c r="L55" t="n">
        <v>0</v>
      </c>
      <c r="M55" t="n">
        <v>0</v>
      </c>
      <c r="N55" t="n">
        <v>0</v>
      </c>
      <c r="O55" t="n">
        <v>6</v>
      </c>
      <c r="P55" t="n">
        <v>0</v>
      </c>
      <c r="Q55" t="n">
        <v>9</v>
      </c>
      <c r="R55" s="2" t="inlineStr">
        <is>
          <t>Garnlav
Lunglav
Rosenticka
Spillkråka
Tretåig hackspett
Ullticka
Skinnlav
Vedticka
Revlummer</t>
        </is>
      </c>
      <c r="S55">
        <f>HYPERLINK("https://klasma.github.io/Logging_2281/artfynd/A 24424-2025 artfynd.xlsx", "A 24424-2025")</f>
        <v/>
      </c>
      <c r="T55">
        <f>HYPERLINK("https://klasma.github.io/Logging_2281/kartor/A 24424-2025 karta.png", "A 24424-2025")</f>
        <v/>
      </c>
      <c r="V55">
        <f>HYPERLINK("https://klasma.github.io/Logging_2281/klagomål/A 24424-2025 FSC-klagomål.docx", "A 24424-2025")</f>
        <v/>
      </c>
      <c r="W55">
        <f>HYPERLINK("https://klasma.github.io/Logging_2281/klagomålsmail/A 24424-2025 FSC-klagomål mail.docx", "A 24424-2025")</f>
        <v/>
      </c>
      <c r="X55">
        <f>HYPERLINK("https://klasma.github.io/Logging_2281/tillsyn/A 24424-2025 tillsynsbegäran.docx", "A 24424-2025")</f>
        <v/>
      </c>
      <c r="Y55">
        <f>HYPERLINK("https://klasma.github.io/Logging_2281/tillsynsmail/A 24424-2025 tillsynsbegäran mail.docx", "A 24424-2025")</f>
        <v/>
      </c>
      <c r="Z55">
        <f>HYPERLINK("https://klasma.github.io/Logging_2281/fåglar/A 24424-2025 prioriterade fågelarter.docx", "A 24424-2025")</f>
        <v/>
      </c>
    </row>
    <row r="56" ht="15" customHeight="1">
      <c r="A56" t="inlineStr">
        <is>
          <t>A 30272-2023</t>
        </is>
      </c>
      <c r="B56" s="1" t="n">
        <v>45099</v>
      </c>
      <c r="C56" s="1" t="n">
        <v>46181</v>
      </c>
      <c r="D56" t="inlineStr">
        <is>
          <t>VÄSTERNORRLANDS LÄN</t>
        </is>
      </c>
      <c r="E56" t="inlineStr">
        <is>
          <t>SUNDSVALL</t>
        </is>
      </c>
      <c r="G56" t="n">
        <v>4.1</v>
      </c>
      <c r="H56" t="n">
        <v>2</v>
      </c>
      <c r="I56" t="n">
        <v>4</v>
      </c>
      <c r="J56" t="n">
        <v>4</v>
      </c>
      <c r="K56" t="n">
        <v>1</v>
      </c>
      <c r="L56" t="n">
        <v>0</v>
      </c>
      <c r="M56" t="n">
        <v>0</v>
      </c>
      <c r="N56" t="n">
        <v>0</v>
      </c>
      <c r="O56" t="n">
        <v>5</v>
      </c>
      <c r="P56" t="n">
        <v>1</v>
      </c>
      <c r="Q56" t="n">
        <v>9</v>
      </c>
      <c r="R56" s="2" t="inlineStr">
        <is>
          <t>Knärot
Järpe
Rosenticka
Ullticka
Äggvaxskivling
Bronshjon
Mörk husmossa
Skarp dropptaggsvamp
Vågbandad barkbock</t>
        </is>
      </c>
      <c r="S56">
        <f>HYPERLINK("https://klasma.github.io/Logging_2281/artfynd/A 30272-2023 artfynd.xlsx", "A 30272-2023")</f>
        <v/>
      </c>
      <c r="T56">
        <f>HYPERLINK("https://klasma.github.io/Logging_2281/kartor/A 30272-2023 karta.png", "A 30272-2023")</f>
        <v/>
      </c>
      <c r="U56">
        <f>HYPERLINK("https://klasma.github.io/Logging_2281/knärot/A 30272-2023 karta knärot.png", "A 30272-2023")</f>
        <v/>
      </c>
      <c r="V56">
        <f>HYPERLINK("https://klasma.github.io/Logging_2281/klagomål/A 30272-2023 FSC-klagomål.docx", "A 30272-2023")</f>
        <v/>
      </c>
      <c r="W56">
        <f>HYPERLINK("https://klasma.github.io/Logging_2281/klagomålsmail/A 30272-2023 FSC-klagomål mail.docx", "A 30272-2023")</f>
        <v/>
      </c>
      <c r="X56">
        <f>HYPERLINK("https://klasma.github.io/Logging_2281/tillsyn/A 30272-2023 tillsynsbegäran.docx", "A 30272-2023")</f>
        <v/>
      </c>
      <c r="Y56">
        <f>HYPERLINK("https://klasma.github.io/Logging_2281/tillsynsmail/A 30272-2023 tillsynsbegäran mail.docx", "A 30272-2023")</f>
        <v/>
      </c>
      <c r="Z56">
        <f>HYPERLINK("https://klasma.github.io/Logging_2281/fåglar/A 30272-2023 prioriterade fågelarter.docx", "A 30272-2023")</f>
        <v/>
      </c>
    </row>
    <row r="57" ht="15" customHeight="1">
      <c r="A57" t="inlineStr">
        <is>
          <t>A 46124-2024</t>
        </is>
      </c>
      <c r="B57" s="1" t="n">
        <v>45581</v>
      </c>
      <c r="C57" s="1" t="n">
        <v>46181</v>
      </c>
      <c r="D57" t="inlineStr">
        <is>
          <t>VÄSTERNORRLANDS LÄN</t>
        </is>
      </c>
      <c r="E57" t="inlineStr">
        <is>
          <t>SUNDSVALL</t>
        </is>
      </c>
      <c r="G57" t="n">
        <v>6.2</v>
      </c>
      <c r="H57" t="n">
        <v>4</v>
      </c>
      <c r="I57" t="n">
        <v>2</v>
      </c>
      <c r="J57" t="n">
        <v>4</v>
      </c>
      <c r="K57" t="n">
        <v>1</v>
      </c>
      <c r="L57" t="n">
        <v>0</v>
      </c>
      <c r="M57" t="n">
        <v>0</v>
      </c>
      <c r="N57" t="n">
        <v>0</v>
      </c>
      <c r="O57" t="n">
        <v>5</v>
      </c>
      <c r="P57" t="n">
        <v>1</v>
      </c>
      <c r="Q57" t="n">
        <v>9</v>
      </c>
      <c r="R57" s="2" t="inlineStr">
        <is>
          <t>Knärot
Gränsticka
Svart taggsvamp agg.
Ullticka
Violettgrå tagellav
Dropptaggsvamp
Grön sköldmossa
Gråspett
Blåsippa</t>
        </is>
      </c>
      <c r="S57">
        <f>HYPERLINK("https://klasma.github.io/Logging_2281/artfynd/A 46124-2024 artfynd.xlsx", "A 46124-2024")</f>
        <v/>
      </c>
      <c r="T57">
        <f>HYPERLINK("https://klasma.github.io/Logging_2281/kartor/A 46124-2024 karta.png", "A 46124-2024")</f>
        <v/>
      </c>
      <c r="U57">
        <f>HYPERLINK("https://klasma.github.io/Logging_2281/knärot/A 46124-2024 karta knärot.png", "A 46124-2024")</f>
        <v/>
      </c>
      <c r="V57">
        <f>HYPERLINK("https://klasma.github.io/Logging_2281/klagomål/A 46124-2024 FSC-klagomål.docx", "A 46124-2024")</f>
        <v/>
      </c>
      <c r="W57">
        <f>HYPERLINK("https://klasma.github.io/Logging_2281/klagomålsmail/A 46124-2024 FSC-klagomål mail.docx", "A 46124-2024")</f>
        <v/>
      </c>
      <c r="X57">
        <f>HYPERLINK("https://klasma.github.io/Logging_2281/tillsyn/A 46124-2024 tillsynsbegäran.docx", "A 46124-2024")</f>
        <v/>
      </c>
      <c r="Y57">
        <f>HYPERLINK("https://klasma.github.io/Logging_2281/tillsynsmail/A 46124-2024 tillsynsbegäran mail.docx", "A 46124-2024")</f>
        <v/>
      </c>
      <c r="Z57">
        <f>HYPERLINK("https://klasma.github.io/Logging_2281/fåglar/A 46124-2024 prioriterade fågelarter.docx", "A 46124-2024")</f>
        <v/>
      </c>
    </row>
    <row r="58" ht="15" customHeight="1">
      <c r="A58" t="inlineStr">
        <is>
          <t>A 4856-2025</t>
        </is>
      </c>
      <c r="B58" s="1" t="n">
        <v>45688</v>
      </c>
      <c r="C58" s="1" t="n">
        <v>46181</v>
      </c>
      <c r="D58" t="inlineStr">
        <is>
          <t>VÄSTERNORRLANDS LÄN</t>
        </is>
      </c>
      <c r="E58" t="inlineStr">
        <is>
          <t>SUNDSVALL</t>
        </is>
      </c>
      <c r="F58" t="inlineStr">
        <is>
          <t>SCA</t>
        </is>
      </c>
      <c r="G58" t="n">
        <v>3.5</v>
      </c>
      <c r="H58" t="n">
        <v>4</v>
      </c>
      <c r="I58" t="n">
        <v>4</v>
      </c>
      <c r="J58" t="n">
        <v>1</v>
      </c>
      <c r="K58" t="n">
        <v>1</v>
      </c>
      <c r="L58" t="n">
        <v>0</v>
      </c>
      <c r="M58" t="n">
        <v>0</v>
      </c>
      <c r="N58" t="n">
        <v>0</v>
      </c>
      <c r="O58" t="n">
        <v>2</v>
      </c>
      <c r="P58" t="n">
        <v>1</v>
      </c>
      <c r="Q58" t="n">
        <v>8</v>
      </c>
      <c r="R58" s="2" t="inlineStr">
        <is>
          <t>Knärot
Spillkråka
Grönpyrola
Skinnlav
Stor aspticka
Vågbandad barkbock
Nattviol
Blåsippa</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50885-2025</t>
        </is>
      </c>
      <c r="B59" s="1" t="n">
        <v>45946.63587962963</v>
      </c>
      <c r="C59" s="1" t="n">
        <v>46181</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50885-2025 artfynd.xlsx", "A 50885-2025")</f>
        <v/>
      </c>
      <c r="T59">
        <f>HYPERLINK("https://klasma.github.io/Logging_2281/kartor/A 50885-2025 karta.png", "A 50885-2025")</f>
        <v/>
      </c>
      <c r="U59">
        <f>HYPERLINK("https://klasma.github.io/Logging_2281/knärot/A 50885-2025 karta knärot.png", "A 50885-2025")</f>
        <v/>
      </c>
      <c r="V59">
        <f>HYPERLINK("https://klasma.github.io/Logging_2281/klagomål/A 50885-2025 FSC-klagomål.docx", "A 50885-2025")</f>
        <v/>
      </c>
      <c r="W59">
        <f>HYPERLINK("https://klasma.github.io/Logging_2281/klagomålsmail/A 50885-2025 FSC-klagomål mail.docx", "A 50885-2025")</f>
        <v/>
      </c>
      <c r="X59">
        <f>HYPERLINK("https://klasma.github.io/Logging_2281/tillsyn/A 50885-2025 tillsynsbegäran.docx", "A 50885-2025")</f>
        <v/>
      </c>
      <c r="Y59">
        <f>HYPERLINK("https://klasma.github.io/Logging_2281/tillsynsmail/A 50885-2025 tillsynsbegäran mail.docx", "A 50885-2025")</f>
        <v/>
      </c>
      <c r="Z59">
        <f>HYPERLINK("https://klasma.github.io/Logging_2281/fåglar/A 50885-2025 prioriterade fågelarter.docx", "A 50885-2025")</f>
        <v/>
      </c>
    </row>
    <row r="60" ht="15" customHeight="1">
      <c r="A60" t="inlineStr">
        <is>
          <t>A 36953-2025</t>
        </is>
      </c>
      <c r="B60" s="1" t="n">
        <v>45874.60950231482</v>
      </c>
      <c r="C60" s="1" t="n">
        <v>46181</v>
      </c>
      <c r="D60" t="inlineStr">
        <is>
          <t>VÄSTERNORRLANDS LÄN</t>
        </is>
      </c>
      <c r="E60" t="inlineStr">
        <is>
          <t>SUNDSVALL</t>
        </is>
      </c>
      <c r="G60" t="n">
        <v>11.1</v>
      </c>
      <c r="H60" t="n">
        <v>2</v>
      </c>
      <c r="I60" t="n">
        <v>1</v>
      </c>
      <c r="J60" t="n">
        <v>6</v>
      </c>
      <c r="K60" t="n">
        <v>1</v>
      </c>
      <c r="L60" t="n">
        <v>0</v>
      </c>
      <c r="M60" t="n">
        <v>0</v>
      </c>
      <c r="N60" t="n">
        <v>0</v>
      </c>
      <c r="O60" t="n">
        <v>7</v>
      </c>
      <c r="P60" t="n">
        <v>1</v>
      </c>
      <c r="Q60" t="n">
        <v>8</v>
      </c>
      <c r="R60" s="2" t="inlineStr">
        <is>
          <t>Rynkskinn
Garnlav
Orange taggsvamp
Rosenticka
Spillkråka
Tretåig hackspett
Violettgrå tagellav
Vedticka</t>
        </is>
      </c>
      <c r="S60">
        <f>HYPERLINK("https://klasma.github.io/Logging_2281/artfynd/A 36953-2025 artfynd.xlsx", "A 36953-2025")</f>
        <v/>
      </c>
      <c r="T60">
        <f>HYPERLINK("https://klasma.github.io/Logging_2281/kartor/A 36953-2025 karta.png", "A 36953-2025")</f>
        <v/>
      </c>
      <c r="V60">
        <f>HYPERLINK("https://klasma.github.io/Logging_2281/klagomål/A 36953-2025 FSC-klagomål.docx", "A 36953-2025")</f>
        <v/>
      </c>
      <c r="W60">
        <f>HYPERLINK("https://klasma.github.io/Logging_2281/klagomålsmail/A 36953-2025 FSC-klagomål mail.docx", "A 36953-2025")</f>
        <v/>
      </c>
      <c r="X60">
        <f>HYPERLINK("https://klasma.github.io/Logging_2281/tillsyn/A 36953-2025 tillsynsbegäran.docx", "A 36953-2025")</f>
        <v/>
      </c>
      <c r="Y60">
        <f>HYPERLINK("https://klasma.github.io/Logging_2281/tillsynsmail/A 36953-2025 tillsynsbegäran mail.docx", "A 36953-2025")</f>
        <v/>
      </c>
      <c r="Z60">
        <f>HYPERLINK("https://klasma.github.io/Logging_2281/fåglar/A 36953-2025 prioriterade fågelarter.docx", "A 36953-2025")</f>
        <v/>
      </c>
    </row>
    <row r="61" ht="15" customHeight="1">
      <c r="A61" t="inlineStr">
        <is>
          <t>A 50910-2025</t>
        </is>
      </c>
      <c r="B61" s="1" t="n">
        <v>45946.65672453704</v>
      </c>
      <c r="C61" s="1" t="n">
        <v>46181</v>
      </c>
      <c r="D61" t="inlineStr">
        <is>
          <t>VÄSTERNORRLANDS LÄN</t>
        </is>
      </c>
      <c r="E61" t="inlineStr">
        <is>
          <t>SUNDSVALL</t>
        </is>
      </c>
      <c r="F61" t="inlineStr">
        <is>
          <t>SCA</t>
        </is>
      </c>
      <c r="G61" t="n">
        <v>3.6</v>
      </c>
      <c r="H61" t="n">
        <v>7</v>
      </c>
      <c r="I61" t="n">
        <v>1</v>
      </c>
      <c r="J61" t="n">
        <v>3</v>
      </c>
      <c r="K61" t="n">
        <v>1</v>
      </c>
      <c r="L61" t="n">
        <v>0</v>
      </c>
      <c r="M61" t="n">
        <v>0</v>
      </c>
      <c r="N61" t="n">
        <v>0</v>
      </c>
      <c r="O61" t="n">
        <v>4</v>
      </c>
      <c r="P61" t="n">
        <v>1</v>
      </c>
      <c r="Q61" t="n">
        <v>8</v>
      </c>
      <c r="R61" s="2" t="inlineStr">
        <is>
          <t>Knärot
Järpe
Spillkråka
Tretåig hackspett
Vedticka
Lavskrika
Orre
Tjäder</t>
        </is>
      </c>
      <c r="S61">
        <f>HYPERLINK("https://klasma.github.io/Logging_2281/artfynd/A 50910-2025 artfynd.xlsx", "A 50910-2025")</f>
        <v/>
      </c>
      <c r="T61">
        <f>HYPERLINK("https://klasma.github.io/Logging_2281/kartor/A 50910-2025 karta.png", "A 50910-2025")</f>
        <v/>
      </c>
      <c r="U61">
        <f>HYPERLINK("https://klasma.github.io/Logging_2281/knärot/A 50910-2025 karta knärot.png", "A 50910-2025")</f>
        <v/>
      </c>
      <c r="V61">
        <f>HYPERLINK("https://klasma.github.io/Logging_2281/klagomål/A 50910-2025 FSC-klagomål.docx", "A 50910-2025")</f>
        <v/>
      </c>
      <c r="W61">
        <f>HYPERLINK("https://klasma.github.io/Logging_2281/klagomålsmail/A 50910-2025 FSC-klagomål mail.docx", "A 50910-2025")</f>
        <v/>
      </c>
      <c r="X61">
        <f>HYPERLINK("https://klasma.github.io/Logging_2281/tillsyn/A 50910-2025 tillsynsbegäran.docx", "A 50910-2025")</f>
        <v/>
      </c>
      <c r="Y61">
        <f>HYPERLINK("https://klasma.github.io/Logging_2281/tillsynsmail/A 50910-2025 tillsynsbegäran mail.docx", "A 50910-2025")</f>
        <v/>
      </c>
      <c r="Z61">
        <f>HYPERLINK("https://klasma.github.io/Logging_2281/fåglar/A 50910-2025 prioriterade fågelarter.docx", "A 50910-2025")</f>
        <v/>
      </c>
    </row>
    <row r="62" ht="15" customHeight="1">
      <c r="A62" t="inlineStr">
        <is>
          <t>A 62083-2022</t>
        </is>
      </c>
      <c r="B62" s="1" t="n">
        <v>44918</v>
      </c>
      <c r="C62" s="1" t="n">
        <v>46181</v>
      </c>
      <c r="D62" t="inlineStr">
        <is>
          <t>VÄSTERNORRLANDS LÄN</t>
        </is>
      </c>
      <c r="E62" t="inlineStr">
        <is>
          <t>SUNDSVALL</t>
        </is>
      </c>
      <c r="F62" t="inlineStr">
        <is>
          <t>SCA</t>
        </is>
      </c>
      <c r="G62" t="n">
        <v>3.5</v>
      </c>
      <c r="H62" t="n">
        <v>1</v>
      </c>
      <c r="I62" t="n">
        <v>3</v>
      </c>
      <c r="J62" t="n">
        <v>4</v>
      </c>
      <c r="K62" t="n">
        <v>1</v>
      </c>
      <c r="L62" t="n">
        <v>0</v>
      </c>
      <c r="M62" t="n">
        <v>0</v>
      </c>
      <c r="N62" t="n">
        <v>0</v>
      </c>
      <c r="O62" t="n">
        <v>5</v>
      </c>
      <c r="P62" t="n">
        <v>1</v>
      </c>
      <c r="Q62" t="n">
        <v>8</v>
      </c>
      <c r="R62" s="2" t="inlineStr">
        <is>
          <t>Knärot
Garnlav
Lunglav
Ullticka
Vitgrynig nållav
Kattfotslav
Vedticka
Vågbandad barkbock</t>
        </is>
      </c>
      <c r="S62">
        <f>HYPERLINK("https://klasma.github.io/Logging_2281/artfynd/A 62083-2022 artfynd.xlsx", "A 62083-2022")</f>
        <v/>
      </c>
      <c r="T62">
        <f>HYPERLINK("https://klasma.github.io/Logging_2281/kartor/A 62083-2022 karta.png", "A 62083-2022")</f>
        <v/>
      </c>
      <c r="U62">
        <f>HYPERLINK("https://klasma.github.io/Logging_2281/knärot/A 62083-2022 karta knärot.png", "A 62083-2022")</f>
        <v/>
      </c>
      <c r="V62">
        <f>HYPERLINK("https://klasma.github.io/Logging_2281/klagomål/A 62083-2022 FSC-klagomål.docx", "A 62083-2022")</f>
        <v/>
      </c>
      <c r="W62">
        <f>HYPERLINK("https://klasma.github.io/Logging_2281/klagomålsmail/A 62083-2022 FSC-klagomål mail.docx", "A 62083-2022")</f>
        <v/>
      </c>
      <c r="X62">
        <f>HYPERLINK("https://klasma.github.io/Logging_2281/tillsyn/A 62083-2022 tillsynsbegäran.docx", "A 62083-2022")</f>
        <v/>
      </c>
      <c r="Y62">
        <f>HYPERLINK("https://klasma.github.io/Logging_2281/tillsynsmail/A 62083-2022 tillsynsbegäran mail.docx", "A 62083-2022")</f>
        <v/>
      </c>
    </row>
    <row r="63" ht="15" customHeight="1">
      <c r="A63" t="inlineStr">
        <is>
          <t>A 33746-2024</t>
        </is>
      </c>
      <c r="B63" s="1" t="n">
        <v>45520</v>
      </c>
      <c r="C63" s="1" t="n">
        <v>46181</v>
      </c>
      <c r="D63" t="inlineStr">
        <is>
          <t>VÄSTERNORRLANDS LÄN</t>
        </is>
      </c>
      <c r="E63" t="inlineStr">
        <is>
          <t>SUNDSVALL</t>
        </is>
      </c>
      <c r="F63" t="inlineStr">
        <is>
          <t>SCA</t>
        </is>
      </c>
      <c r="G63" t="n">
        <v>11.6</v>
      </c>
      <c r="H63" t="n">
        <v>2</v>
      </c>
      <c r="I63" t="n">
        <v>2</v>
      </c>
      <c r="J63" t="n">
        <v>4</v>
      </c>
      <c r="K63" t="n">
        <v>2</v>
      </c>
      <c r="L63" t="n">
        <v>0</v>
      </c>
      <c r="M63" t="n">
        <v>0</v>
      </c>
      <c r="N63" t="n">
        <v>0</v>
      </c>
      <c r="O63" t="n">
        <v>6</v>
      </c>
      <c r="P63" t="n">
        <v>2</v>
      </c>
      <c r="Q63" t="n">
        <v>8</v>
      </c>
      <c r="R63" s="2" t="inlineStr">
        <is>
          <t>Knärot
Rostskinn
Granticka
Rosenticka
Talltita
Ullticka
Brandticka
Vedticka</t>
        </is>
      </c>
      <c r="S63">
        <f>HYPERLINK("https://klasma.github.io/Logging_2281/artfynd/A 33746-2024 artfynd.xlsx", "A 33746-2024")</f>
        <v/>
      </c>
      <c r="T63">
        <f>HYPERLINK("https://klasma.github.io/Logging_2281/kartor/A 33746-2024 karta.png", "A 33746-2024")</f>
        <v/>
      </c>
      <c r="U63">
        <f>HYPERLINK("https://klasma.github.io/Logging_2281/knärot/A 33746-2024 karta knärot.png", "A 33746-2024")</f>
        <v/>
      </c>
      <c r="V63">
        <f>HYPERLINK("https://klasma.github.io/Logging_2281/klagomål/A 33746-2024 FSC-klagomål.docx", "A 33746-2024")</f>
        <v/>
      </c>
      <c r="W63">
        <f>HYPERLINK("https://klasma.github.io/Logging_2281/klagomålsmail/A 33746-2024 FSC-klagomål mail.docx", "A 33746-2024")</f>
        <v/>
      </c>
      <c r="X63">
        <f>HYPERLINK("https://klasma.github.io/Logging_2281/tillsyn/A 33746-2024 tillsynsbegäran.docx", "A 33746-2024")</f>
        <v/>
      </c>
      <c r="Y63">
        <f>HYPERLINK("https://klasma.github.io/Logging_2281/tillsynsmail/A 33746-2024 tillsynsbegäran mail.docx", "A 33746-2024")</f>
        <v/>
      </c>
      <c r="Z63">
        <f>HYPERLINK("https://klasma.github.io/Logging_2281/fåglar/A 33746-2024 prioriterade fågelarter.docx", "A 33746-2024")</f>
        <v/>
      </c>
    </row>
    <row r="64" ht="15" customHeight="1">
      <c r="A64" t="inlineStr">
        <is>
          <t>A 54345-2023</t>
        </is>
      </c>
      <c r="B64" s="1" t="n">
        <v>45232</v>
      </c>
      <c r="C64" s="1" t="n">
        <v>46181</v>
      </c>
      <c r="D64" t="inlineStr">
        <is>
          <t>VÄSTERNORRLANDS LÄN</t>
        </is>
      </c>
      <c r="E64" t="inlineStr">
        <is>
          <t>SUNDSVALL</t>
        </is>
      </c>
      <c r="F64" t="inlineStr">
        <is>
          <t>SCA</t>
        </is>
      </c>
      <c r="G64" t="n">
        <v>4.3</v>
      </c>
      <c r="H64" t="n">
        <v>4</v>
      </c>
      <c r="I64" t="n">
        <v>0</v>
      </c>
      <c r="J64" t="n">
        <v>5</v>
      </c>
      <c r="K64" t="n">
        <v>2</v>
      </c>
      <c r="L64" t="n">
        <v>0</v>
      </c>
      <c r="M64" t="n">
        <v>0</v>
      </c>
      <c r="N64" t="n">
        <v>0</v>
      </c>
      <c r="O64" t="n">
        <v>7</v>
      </c>
      <c r="P64" t="n">
        <v>2</v>
      </c>
      <c r="Q64" t="n">
        <v>8</v>
      </c>
      <c r="R64" s="2" t="inlineStr">
        <is>
          <t>Knärot
Rynkskinn
Duvhök
Garnlav
Granticka
Rosenticka
Tretåig hackspett
Revlummer</t>
        </is>
      </c>
      <c r="S64">
        <f>HYPERLINK("https://klasma.github.io/Logging_2281/artfynd/A 54345-2023 artfynd.xlsx", "A 54345-2023")</f>
        <v/>
      </c>
      <c r="T64">
        <f>HYPERLINK("https://klasma.github.io/Logging_2281/kartor/A 54345-2023 karta.png", "A 54345-2023")</f>
        <v/>
      </c>
      <c r="U64">
        <f>HYPERLINK("https://klasma.github.io/Logging_2281/knärot/A 54345-2023 karta knärot.png", "A 54345-2023")</f>
        <v/>
      </c>
      <c r="V64">
        <f>HYPERLINK("https://klasma.github.io/Logging_2281/klagomål/A 54345-2023 FSC-klagomål.docx", "A 54345-2023")</f>
        <v/>
      </c>
      <c r="W64">
        <f>HYPERLINK("https://klasma.github.io/Logging_2281/klagomålsmail/A 54345-2023 FSC-klagomål mail.docx", "A 54345-2023")</f>
        <v/>
      </c>
      <c r="X64">
        <f>HYPERLINK("https://klasma.github.io/Logging_2281/tillsyn/A 54345-2023 tillsynsbegäran.docx", "A 54345-2023")</f>
        <v/>
      </c>
      <c r="Y64">
        <f>HYPERLINK("https://klasma.github.io/Logging_2281/tillsynsmail/A 54345-2023 tillsynsbegäran mail.docx", "A 54345-2023")</f>
        <v/>
      </c>
      <c r="Z64">
        <f>HYPERLINK("https://klasma.github.io/Logging_2281/fåglar/A 54345-2023 prioriterade fågelarter.docx", "A 54345-2023")</f>
        <v/>
      </c>
    </row>
    <row r="65" ht="15" customHeight="1">
      <c r="A65" t="inlineStr">
        <is>
          <t>A 15540-2026</t>
        </is>
      </c>
      <c r="B65" s="1" t="n">
        <v>46106</v>
      </c>
      <c r="C65" s="1" t="n">
        <v>46181</v>
      </c>
      <c r="D65" t="inlineStr">
        <is>
          <t>VÄSTERNORRLANDS LÄN</t>
        </is>
      </c>
      <c r="E65" t="inlineStr">
        <is>
          <t>SUNDSVALL</t>
        </is>
      </c>
      <c r="G65" t="n">
        <v>6.6</v>
      </c>
      <c r="H65" t="n">
        <v>3</v>
      </c>
      <c r="I65" t="n">
        <v>2</v>
      </c>
      <c r="J65" t="n">
        <v>5</v>
      </c>
      <c r="K65" t="n">
        <v>1</v>
      </c>
      <c r="L65" t="n">
        <v>0</v>
      </c>
      <c r="M65" t="n">
        <v>0</v>
      </c>
      <c r="N65" t="n">
        <v>0</v>
      </c>
      <c r="O65" t="n">
        <v>6</v>
      </c>
      <c r="P65" t="n">
        <v>1</v>
      </c>
      <c r="Q65" t="n">
        <v>8</v>
      </c>
      <c r="R65" s="2" t="inlineStr">
        <is>
          <t>Knärot
Garnlav
Talltita
Tretåig hackspett
Ullticka
Violettgrå tagellav
Blodticka
Vedticka</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12205-2025</t>
        </is>
      </c>
      <c r="B66" s="1" t="n">
        <v>45729.51091435185</v>
      </c>
      <c r="C66" s="1" t="n">
        <v>46181</v>
      </c>
      <c r="D66" t="inlineStr">
        <is>
          <t>VÄSTERNORRLANDS LÄN</t>
        </is>
      </c>
      <c r="E66" t="inlineStr">
        <is>
          <t>SUNDSVALL</t>
        </is>
      </c>
      <c r="F66" t="inlineStr">
        <is>
          <t>SCA</t>
        </is>
      </c>
      <c r="G66" t="n">
        <v>2.1</v>
      </c>
      <c r="H66" t="n">
        <v>5</v>
      </c>
      <c r="I66" t="n">
        <v>0</v>
      </c>
      <c r="J66" t="n">
        <v>7</v>
      </c>
      <c r="K66" t="n">
        <v>0</v>
      </c>
      <c r="L66" t="n">
        <v>0</v>
      </c>
      <c r="M66" t="n">
        <v>0</v>
      </c>
      <c r="N66" t="n">
        <v>0</v>
      </c>
      <c r="O66" t="n">
        <v>7</v>
      </c>
      <c r="P66" t="n">
        <v>0</v>
      </c>
      <c r="Q66" t="n">
        <v>8</v>
      </c>
      <c r="R66" s="2" t="inlineStr">
        <is>
          <t>Järpe
Lunglav
Skogshare
Spillkråka
Talltita
Tretåig hackspett
Ullticka
Revlummer</t>
        </is>
      </c>
      <c r="S66">
        <f>HYPERLINK("https://klasma.github.io/Logging_2281/artfynd/A 12205-2025 artfynd.xlsx", "A 12205-2025")</f>
        <v/>
      </c>
      <c r="T66">
        <f>HYPERLINK("https://klasma.github.io/Logging_2281/kartor/A 12205-2025 karta.png", "A 12205-2025")</f>
        <v/>
      </c>
      <c r="V66">
        <f>HYPERLINK("https://klasma.github.io/Logging_2281/klagomål/A 12205-2025 FSC-klagomål.docx", "A 12205-2025")</f>
        <v/>
      </c>
      <c r="W66">
        <f>HYPERLINK("https://klasma.github.io/Logging_2281/klagomålsmail/A 12205-2025 FSC-klagomål mail.docx", "A 12205-2025")</f>
        <v/>
      </c>
      <c r="X66">
        <f>HYPERLINK("https://klasma.github.io/Logging_2281/tillsyn/A 12205-2025 tillsynsbegäran.docx", "A 12205-2025")</f>
        <v/>
      </c>
      <c r="Y66">
        <f>HYPERLINK("https://klasma.github.io/Logging_2281/tillsynsmail/A 12205-2025 tillsynsbegäran mail.docx", "A 12205-2025")</f>
        <v/>
      </c>
      <c r="Z66">
        <f>HYPERLINK("https://klasma.github.io/Logging_2281/fåglar/A 12205-2025 prioriterade fågelarter.docx", "A 12205-2025")</f>
        <v/>
      </c>
    </row>
    <row r="67" ht="15" customHeight="1">
      <c r="A67" t="inlineStr">
        <is>
          <t>A 15142-2025</t>
        </is>
      </c>
      <c r="B67" s="1" t="n">
        <v>45744</v>
      </c>
      <c r="C67" s="1" t="n">
        <v>46181</v>
      </c>
      <c r="D67" t="inlineStr">
        <is>
          <t>VÄSTERNORRLANDS LÄN</t>
        </is>
      </c>
      <c r="E67" t="inlineStr">
        <is>
          <t>SUNDSVALL</t>
        </is>
      </c>
      <c r="F67" t="inlineStr">
        <is>
          <t>SCA</t>
        </is>
      </c>
      <c r="G67" t="n">
        <v>4.8</v>
      </c>
      <c r="H67" t="n">
        <v>1</v>
      </c>
      <c r="I67" t="n">
        <v>2</v>
      </c>
      <c r="J67" t="n">
        <v>4</v>
      </c>
      <c r="K67" t="n">
        <v>2</v>
      </c>
      <c r="L67" t="n">
        <v>0</v>
      </c>
      <c r="M67" t="n">
        <v>0</v>
      </c>
      <c r="N67" t="n">
        <v>0</v>
      </c>
      <c r="O67" t="n">
        <v>6</v>
      </c>
      <c r="P67" t="n">
        <v>2</v>
      </c>
      <c r="Q67" t="n">
        <v>8</v>
      </c>
      <c r="R67" s="2" t="inlineStr">
        <is>
          <t>Knärot
Rynkskinn
Lunglav
Rosenticka
Tallticka
Ullticka
Korallblylav
Stuplav</t>
        </is>
      </c>
      <c r="S67">
        <f>HYPERLINK("https://klasma.github.io/Logging_2281/artfynd/A 15142-2025 artfynd.xlsx", "A 15142-2025")</f>
        <v/>
      </c>
      <c r="T67">
        <f>HYPERLINK("https://klasma.github.io/Logging_2281/kartor/A 15142-2025 karta.png", "A 15142-2025")</f>
        <v/>
      </c>
      <c r="U67">
        <f>HYPERLINK("https://klasma.github.io/Logging_2281/knärot/A 15142-2025 karta knärot.png", "A 15142-2025")</f>
        <v/>
      </c>
      <c r="V67">
        <f>HYPERLINK("https://klasma.github.io/Logging_2281/klagomål/A 15142-2025 FSC-klagomål.docx", "A 15142-2025")</f>
        <v/>
      </c>
      <c r="W67">
        <f>HYPERLINK("https://klasma.github.io/Logging_2281/klagomålsmail/A 15142-2025 FSC-klagomål mail.docx", "A 15142-2025")</f>
        <v/>
      </c>
      <c r="X67">
        <f>HYPERLINK("https://klasma.github.io/Logging_2281/tillsyn/A 15142-2025 tillsynsbegäran.docx", "A 15142-2025")</f>
        <v/>
      </c>
      <c r="Y67">
        <f>HYPERLINK("https://klasma.github.io/Logging_2281/tillsynsmail/A 15142-2025 tillsynsbegäran mail.docx", "A 15142-2025")</f>
        <v/>
      </c>
    </row>
    <row r="68" ht="15" customHeight="1">
      <c r="A68" t="inlineStr">
        <is>
          <t>A 9566-2025</t>
        </is>
      </c>
      <c r="B68" s="1" t="n">
        <v>45715.61511574074</v>
      </c>
      <c r="C68" s="1" t="n">
        <v>46181</v>
      </c>
      <c r="D68" t="inlineStr">
        <is>
          <t>VÄSTERNORRLANDS LÄN</t>
        </is>
      </c>
      <c r="E68" t="inlineStr">
        <is>
          <t>SUNDSVALL</t>
        </is>
      </c>
      <c r="F68" t="inlineStr">
        <is>
          <t>SCA</t>
        </is>
      </c>
      <c r="G68" t="n">
        <v>10.9</v>
      </c>
      <c r="H68" t="n">
        <v>6</v>
      </c>
      <c r="I68" t="n">
        <v>0</v>
      </c>
      <c r="J68" t="n">
        <v>5</v>
      </c>
      <c r="K68" t="n">
        <v>1</v>
      </c>
      <c r="L68" t="n">
        <v>0</v>
      </c>
      <c r="M68" t="n">
        <v>0</v>
      </c>
      <c r="N68" t="n">
        <v>0</v>
      </c>
      <c r="O68" t="n">
        <v>6</v>
      </c>
      <c r="P68" t="n">
        <v>1</v>
      </c>
      <c r="Q68" t="n">
        <v>8</v>
      </c>
      <c r="R68" s="2" t="inlineStr">
        <is>
          <t>Knärot
Garnlav
Spillkråka
Talltita
Tretåig hackspett
Ullticka
Tjäder
Revlummer</t>
        </is>
      </c>
      <c r="S68">
        <f>HYPERLINK("https://klasma.github.io/Logging_2281/artfynd/A 9566-2025 artfynd.xlsx", "A 9566-2025")</f>
        <v/>
      </c>
      <c r="T68">
        <f>HYPERLINK("https://klasma.github.io/Logging_2281/kartor/A 9566-2025 karta.png", "A 9566-2025")</f>
        <v/>
      </c>
      <c r="U68">
        <f>HYPERLINK("https://klasma.github.io/Logging_2281/knärot/A 9566-2025 karta knärot.png", "A 9566-2025")</f>
        <v/>
      </c>
      <c r="V68">
        <f>HYPERLINK("https://klasma.github.io/Logging_2281/klagomål/A 9566-2025 FSC-klagomål.docx", "A 9566-2025")</f>
        <v/>
      </c>
      <c r="W68">
        <f>HYPERLINK("https://klasma.github.io/Logging_2281/klagomålsmail/A 9566-2025 FSC-klagomål mail.docx", "A 9566-2025")</f>
        <v/>
      </c>
      <c r="X68">
        <f>HYPERLINK("https://klasma.github.io/Logging_2281/tillsyn/A 9566-2025 tillsynsbegäran.docx", "A 9566-2025")</f>
        <v/>
      </c>
      <c r="Y68">
        <f>HYPERLINK("https://klasma.github.io/Logging_2281/tillsynsmail/A 9566-2025 tillsynsbegäran mail.docx", "A 9566-2025")</f>
        <v/>
      </c>
      <c r="Z68">
        <f>HYPERLINK("https://klasma.github.io/Logging_2281/fåglar/A 9566-2025 prioriterade fågelarter.docx", "A 9566-2025")</f>
        <v/>
      </c>
    </row>
    <row r="69" ht="15" customHeight="1">
      <c r="A69" t="inlineStr">
        <is>
          <t>A 20628-2025</t>
        </is>
      </c>
      <c r="B69" s="1" t="n">
        <v>45776</v>
      </c>
      <c r="C69" s="1" t="n">
        <v>46181</v>
      </c>
      <c r="D69" t="inlineStr">
        <is>
          <t>VÄSTERNORRLANDS LÄN</t>
        </is>
      </c>
      <c r="E69" t="inlineStr">
        <is>
          <t>SUNDSVALL</t>
        </is>
      </c>
      <c r="F69" t="inlineStr">
        <is>
          <t>Naturvårdsverket</t>
        </is>
      </c>
      <c r="G69" t="n">
        <v>27.3</v>
      </c>
      <c r="H69" t="n">
        <v>2</v>
      </c>
      <c r="I69" t="n">
        <v>1</v>
      </c>
      <c r="J69" t="n">
        <v>7</v>
      </c>
      <c r="K69" t="n">
        <v>0</v>
      </c>
      <c r="L69" t="n">
        <v>0</v>
      </c>
      <c r="M69" t="n">
        <v>0</v>
      </c>
      <c r="N69" t="n">
        <v>0</v>
      </c>
      <c r="O69" t="n">
        <v>7</v>
      </c>
      <c r="P69" t="n">
        <v>0</v>
      </c>
      <c r="Q69" t="n">
        <v>8</v>
      </c>
      <c r="R69" s="2" t="inlineStr">
        <is>
          <t>Garnlav
Lunglav
Spillkråka
Tallticka
Tretåig hackspett
Vedflamlav
Vedskivlav
Stuplav</t>
        </is>
      </c>
      <c r="S69">
        <f>HYPERLINK("https://klasma.github.io/Logging_2281/artfynd/A 20628-2025 artfynd.xlsx", "A 20628-2025")</f>
        <v/>
      </c>
      <c r="T69">
        <f>HYPERLINK("https://klasma.github.io/Logging_2281/kartor/A 20628-2025 karta.png", "A 20628-2025")</f>
        <v/>
      </c>
      <c r="V69">
        <f>HYPERLINK("https://klasma.github.io/Logging_2281/klagomål/A 20628-2025 FSC-klagomål.docx", "A 20628-2025")</f>
        <v/>
      </c>
      <c r="W69">
        <f>HYPERLINK("https://klasma.github.io/Logging_2281/klagomålsmail/A 20628-2025 FSC-klagomål mail.docx", "A 20628-2025")</f>
        <v/>
      </c>
      <c r="X69">
        <f>HYPERLINK("https://klasma.github.io/Logging_2281/tillsyn/A 20628-2025 tillsynsbegäran.docx", "A 20628-2025")</f>
        <v/>
      </c>
      <c r="Y69">
        <f>HYPERLINK("https://klasma.github.io/Logging_2281/tillsynsmail/A 20628-2025 tillsynsbegäran mail.docx", "A 20628-2025")</f>
        <v/>
      </c>
      <c r="Z69">
        <f>HYPERLINK("https://klasma.github.io/Logging_2281/fåglar/A 20628-2025 prioriterade fågelarter.docx", "A 20628-2025")</f>
        <v/>
      </c>
    </row>
    <row r="70" ht="15" customHeight="1">
      <c r="A70" t="inlineStr">
        <is>
          <t>A 25270-2022</t>
        </is>
      </c>
      <c r="B70" s="1" t="n">
        <v>44729</v>
      </c>
      <c r="C70" s="1" t="n">
        <v>46181</v>
      </c>
      <c r="D70" t="inlineStr">
        <is>
          <t>VÄSTERNORRLANDS LÄN</t>
        </is>
      </c>
      <c r="E70" t="inlineStr">
        <is>
          <t>SUNDSVALL</t>
        </is>
      </c>
      <c r="F70" t="inlineStr">
        <is>
          <t>SCA</t>
        </is>
      </c>
      <c r="G70" t="n">
        <v>6.2</v>
      </c>
      <c r="H70" t="n">
        <v>0</v>
      </c>
      <c r="I70" t="n">
        <v>5</v>
      </c>
      <c r="J70" t="n">
        <v>2</v>
      </c>
      <c r="K70" t="n">
        <v>0</v>
      </c>
      <c r="L70" t="n">
        <v>0</v>
      </c>
      <c r="M70" t="n">
        <v>0</v>
      </c>
      <c r="N70" t="n">
        <v>0</v>
      </c>
      <c r="O70" t="n">
        <v>2</v>
      </c>
      <c r="P70" t="n">
        <v>0</v>
      </c>
      <c r="Q70" t="n">
        <v>7</v>
      </c>
      <c r="R70" s="2" t="inlineStr">
        <is>
          <t>Lunglav
Violmussling
Skogshakmossa
Stuplav
Trådticka
Vedticka
Ögonpyrola</t>
        </is>
      </c>
      <c r="S70">
        <f>HYPERLINK("https://klasma.github.io/Logging_2281/artfynd/A 25270-2022 artfynd.xlsx", "A 25270-2022")</f>
        <v/>
      </c>
      <c r="T70">
        <f>HYPERLINK("https://klasma.github.io/Logging_2281/kartor/A 25270-2022 karta.png", "A 25270-2022")</f>
        <v/>
      </c>
      <c r="V70">
        <f>HYPERLINK("https://klasma.github.io/Logging_2281/klagomål/A 25270-2022 FSC-klagomål.docx", "A 25270-2022")</f>
        <v/>
      </c>
      <c r="W70">
        <f>HYPERLINK("https://klasma.github.io/Logging_2281/klagomålsmail/A 25270-2022 FSC-klagomål mail.docx", "A 25270-2022")</f>
        <v/>
      </c>
      <c r="X70">
        <f>HYPERLINK("https://klasma.github.io/Logging_2281/tillsyn/A 25270-2022 tillsynsbegäran.docx", "A 25270-2022")</f>
        <v/>
      </c>
      <c r="Y70">
        <f>HYPERLINK("https://klasma.github.io/Logging_2281/tillsynsmail/A 25270-2022 tillsynsbegäran mail.docx", "A 25270-2022")</f>
        <v/>
      </c>
    </row>
    <row r="71" ht="15" customHeight="1">
      <c r="A71" t="inlineStr">
        <is>
          <t>A 38443-2025</t>
        </is>
      </c>
      <c r="B71" s="1" t="n">
        <v>45883</v>
      </c>
      <c r="C71" s="1" t="n">
        <v>46181</v>
      </c>
      <c r="D71" t="inlineStr">
        <is>
          <t>VÄSTERNORRLANDS LÄN</t>
        </is>
      </c>
      <c r="E71" t="inlineStr">
        <is>
          <t>SUNDSVALL</t>
        </is>
      </c>
      <c r="G71" t="n">
        <v>9.300000000000001</v>
      </c>
      <c r="H71" t="n">
        <v>4</v>
      </c>
      <c r="I71" t="n">
        <v>2</v>
      </c>
      <c r="J71" t="n">
        <v>3</v>
      </c>
      <c r="K71" t="n">
        <v>1</v>
      </c>
      <c r="L71" t="n">
        <v>0</v>
      </c>
      <c r="M71" t="n">
        <v>0</v>
      </c>
      <c r="N71" t="n">
        <v>0</v>
      </c>
      <c r="O71" t="n">
        <v>4</v>
      </c>
      <c r="P71" t="n">
        <v>1</v>
      </c>
      <c r="Q71" t="n">
        <v>7</v>
      </c>
      <c r="R71" s="2" t="inlineStr">
        <is>
          <t>Knärot
Garnlav
Spillkråka
Tretåig hackspett
Bårdlav
Vedticka
Revlummer</t>
        </is>
      </c>
      <c r="S71">
        <f>HYPERLINK("https://klasma.github.io/Logging_2281/artfynd/A 38443-2025 artfynd.xlsx", "A 38443-2025")</f>
        <v/>
      </c>
      <c r="T71">
        <f>HYPERLINK("https://klasma.github.io/Logging_2281/kartor/A 38443-2025 karta.png", "A 38443-2025")</f>
        <v/>
      </c>
      <c r="U71">
        <f>HYPERLINK("https://klasma.github.io/Logging_2281/knärot/A 38443-2025 karta knärot.png", "A 38443-2025")</f>
        <v/>
      </c>
      <c r="V71">
        <f>HYPERLINK("https://klasma.github.io/Logging_2281/klagomål/A 38443-2025 FSC-klagomål.docx", "A 38443-2025")</f>
        <v/>
      </c>
      <c r="W71">
        <f>HYPERLINK("https://klasma.github.io/Logging_2281/klagomålsmail/A 38443-2025 FSC-klagomål mail.docx", "A 38443-2025")</f>
        <v/>
      </c>
      <c r="X71">
        <f>HYPERLINK("https://klasma.github.io/Logging_2281/tillsyn/A 38443-2025 tillsynsbegäran.docx", "A 38443-2025")</f>
        <v/>
      </c>
      <c r="Y71">
        <f>HYPERLINK("https://klasma.github.io/Logging_2281/tillsynsmail/A 38443-2025 tillsynsbegäran mail.docx", "A 38443-2025")</f>
        <v/>
      </c>
      <c r="Z71">
        <f>HYPERLINK("https://klasma.github.io/Logging_2281/fåglar/A 38443-2025 prioriterade fågelarter.docx", "A 38443-2025")</f>
        <v/>
      </c>
    </row>
    <row r="72" ht="15" customHeight="1">
      <c r="A72" t="inlineStr">
        <is>
          <t>A 32491-2025</t>
        </is>
      </c>
      <c r="B72" s="1" t="n">
        <v>45838.44831018519</v>
      </c>
      <c r="C72" s="1" t="n">
        <v>46181</v>
      </c>
      <c r="D72" t="inlineStr">
        <is>
          <t>VÄSTERNORRLANDS LÄN</t>
        </is>
      </c>
      <c r="E72" t="inlineStr">
        <is>
          <t>SUNDSVALL</t>
        </is>
      </c>
      <c r="F72" t="inlineStr">
        <is>
          <t>SCA</t>
        </is>
      </c>
      <c r="G72" t="n">
        <v>2.5</v>
      </c>
      <c r="H72" t="n">
        <v>5</v>
      </c>
      <c r="I72" t="n">
        <v>1</v>
      </c>
      <c r="J72" t="n">
        <v>4</v>
      </c>
      <c r="K72" t="n">
        <v>0</v>
      </c>
      <c r="L72" t="n">
        <v>0</v>
      </c>
      <c r="M72" t="n">
        <v>0</v>
      </c>
      <c r="N72" t="n">
        <v>0</v>
      </c>
      <c r="O72" t="n">
        <v>4</v>
      </c>
      <c r="P72" t="n">
        <v>0</v>
      </c>
      <c r="Q72" t="n">
        <v>7</v>
      </c>
      <c r="R72" s="2" t="inlineStr">
        <is>
          <t>Rödvingetrast
Talltita
Tretåig hackspett
Ullticka
Svart trolldruva
Kungsfågel
Revlummer</t>
        </is>
      </c>
      <c r="S72">
        <f>HYPERLINK("https://klasma.github.io/Logging_2281/artfynd/A 32491-2025 artfynd.xlsx", "A 32491-2025")</f>
        <v/>
      </c>
      <c r="T72">
        <f>HYPERLINK("https://klasma.github.io/Logging_2281/kartor/A 32491-2025 karta.png", "A 32491-2025")</f>
        <v/>
      </c>
      <c r="V72">
        <f>HYPERLINK("https://klasma.github.io/Logging_2281/klagomål/A 32491-2025 FSC-klagomål.docx", "A 32491-2025")</f>
        <v/>
      </c>
      <c r="W72">
        <f>HYPERLINK("https://klasma.github.io/Logging_2281/klagomålsmail/A 32491-2025 FSC-klagomål mail.docx", "A 32491-2025")</f>
        <v/>
      </c>
      <c r="X72">
        <f>HYPERLINK("https://klasma.github.io/Logging_2281/tillsyn/A 32491-2025 tillsynsbegäran.docx", "A 32491-2025")</f>
        <v/>
      </c>
      <c r="Y72">
        <f>HYPERLINK("https://klasma.github.io/Logging_2281/tillsynsmail/A 32491-2025 tillsynsbegäran mail.docx", "A 32491-2025")</f>
        <v/>
      </c>
      <c r="Z72">
        <f>HYPERLINK("https://klasma.github.io/Logging_2281/fåglar/A 32491-2025 prioriterade fågelarter.docx", "A 32491-2025")</f>
        <v/>
      </c>
    </row>
    <row r="73" ht="15" customHeight="1">
      <c r="A73" t="inlineStr">
        <is>
          <t>A 16933-2025</t>
        </is>
      </c>
      <c r="B73" s="1" t="n">
        <v>45755.4065625</v>
      </c>
      <c r="C73" s="1" t="n">
        <v>46181</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37814-2023</t>
        </is>
      </c>
      <c r="B74" s="1" t="n">
        <v>45159</v>
      </c>
      <c r="C74" s="1" t="n">
        <v>46181</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51286-2024</t>
        </is>
      </c>
      <c r="B75" s="1" t="n">
        <v>45600</v>
      </c>
      <c r="C75" s="1" t="n">
        <v>46181</v>
      </c>
      <c r="D75" t="inlineStr">
        <is>
          <t>VÄSTERNORRLANDS LÄN</t>
        </is>
      </c>
      <c r="E75" t="inlineStr">
        <is>
          <t>SUNDSVALL</t>
        </is>
      </c>
      <c r="F75" t="inlineStr">
        <is>
          <t>Kommuner</t>
        </is>
      </c>
      <c r="G75" t="n">
        <v>10</v>
      </c>
      <c r="H75" t="n">
        <v>4</v>
      </c>
      <c r="I75" t="n">
        <v>2</v>
      </c>
      <c r="J75" t="n">
        <v>4</v>
      </c>
      <c r="K75" t="n">
        <v>0</v>
      </c>
      <c r="L75" t="n">
        <v>0</v>
      </c>
      <c r="M75" t="n">
        <v>0</v>
      </c>
      <c r="N75" t="n">
        <v>0</v>
      </c>
      <c r="O75" t="n">
        <v>4</v>
      </c>
      <c r="P75" t="n">
        <v>0</v>
      </c>
      <c r="Q75" t="n">
        <v>7</v>
      </c>
      <c r="R75" s="2" t="inlineStr">
        <is>
          <t>Desmeknopp
Mindre hackspett
Rödprick
Talltita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c r="Z75">
        <f>HYPERLINK("https://klasma.github.io/Logging_2281/fåglar/A 51286-2024 prioriterade fågelarter.docx", "A 51286-2024")</f>
        <v/>
      </c>
    </row>
    <row r="76" ht="15" customHeight="1">
      <c r="A76" t="inlineStr">
        <is>
          <t>A 4878-2025</t>
        </is>
      </c>
      <c r="B76" s="1" t="n">
        <v>45688</v>
      </c>
      <c r="C76" s="1" t="n">
        <v>46181</v>
      </c>
      <c r="D76" t="inlineStr">
        <is>
          <t>VÄSTERNORRLANDS LÄN</t>
        </is>
      </c>
      <c r="E76" t="inlineStr">
        <is>
          <t>SUNDSVALL</t>
        </is>
      </c>
      <c r="F76" t="inlineStr">
        <is>
          <t>SCA</t>
        </is>
      </c>
      <c r="G76" t="n">
        <v>4.2</v>
      </c>
      <c r="H76" t="n">
        <v>3</v>
      </c>
      <c r="I76" t="n">
        <v>2</v>
      </c>
      <c r="J76" t="n">
        <v>4</v>
      </c>
      <c r="K76" t="n">
        <v>1</v>
      </c>
      <c r="L76" t="n">
        <v>0</v>
      </c>
      <c r="M76" t="n">
        <v>0</v>
      </c>
      <c r="N76" t="n">
        <v>0</v>
      </c>
      <c r="O76" t="n">
        <v>5</v>
      </c>
      <c r="P76" t="n">
        <v>1</v>
      </c>
      <c r="Q76" t="n">
        <v>7</v>
      </c>
      <c r="R76" s="2" t="inlineStr">
        <is>
          <t>Knärot
Doftskinn
Talltita
Tretåig hackspett
Ullticka
Mörk husmossa
Vedticka</t>
        </is>
      </c>
      <c r="S76">
        <f>HYPERLINK("https://klasma.github.io/Logging_2281/artfynd/A 4878-2025 artfynd.xlsx", "A 4878-2025")</f>
        <v/>
      </c>
      <c r="T76">
        <f>HYPERLINK("https://klasma.github.io/Logging_2281/kartor/A 4878-2025 karta.png", "A 4878-2025")</f>
        <v/>
      </c>
      <c r="U76">
        <f>HYPERLINK("https://klasma.github.io/Logging_2281/knärot/A 4878-2025 karta knärot.png", "A 4878-2025")</f>
        <v/>
      </c>
      <c r="V76">
        <f>HYPERLINK("https://klasma.github.io/Logging_2281/klagomål/A 4878-2025 FSC-klagomål.docx", "A 4878-2025")</f>
        <v/>
      </c>
      <c r="W76">
        <f>HYPERLINK("https://klasma.github.io/Logging_2281/klagomålsmail/A 4878-2025 FSC-klagomål mail.docx", "A 4878-2025")</f>
        <v/>
      </c>
      <c r="X76">
        <f>HYPERLINK("https://klasma.github.io/Logging_2281/tillsyn/A 4878-2025 tillsynsbegäran.docx", "A 4878-2025")</f>
        <v/>
      </c>
      <c r="Y76">
        <f>HYPERLINK("https://klasma.github.io/Logging_2281/tillsynsmail/A 4878-2025 tillsynsbegäran mail.docx", "A 4878-2025")</f>
        <v/>
      </c>
      <c r="Z76">
        <f>HYPERLINK("https://klasma.github.io/Logging_2281/fåglar/A 4878-2025 prioriterade fågelarter.docx", "A 4878-2025")</f>
        <v/>
      </c>
    </row>
    <row r="77" ht="15" customHeight="1">
      <c r="A77" t="inlineStr">
        <is>
          <t>A 13443-2025</t>
        </is>
      </c>
      <c r="B77" s="1" t="n">
        <v>45736</v>
      </c>
      <c r="C77" s="1" t="n">
        <v>46181</v>
      </c>
      <c r="D77" t="inlineStr">
        <is>
          <t>VÄSTERNORRLANDS LÄN</t>
        </is>
      </c>
      <c r="E77" t="inlineStr">
        <is>
          <t>SUNDSVALL</t>
        </is>
      </c>
      <c r="F77" t="inlineStr">
        <is>
          <t>SCA</t>
        </is>
      </c>
      <c r="G77" t="n">
        <v>12.5</v>
      </c>
      <c r="H77" t="n">
        <v>5</v>
      </c>
      <c r="I77" t="n">
        <v>3</v>
      </c>
      <c r="J77" t="n">
        <v>2</v>
      </c>
      <c r="K77" t="n">
        <v>0</v>
      </c>
      <c r="L77" t="n">
        <v>0</v>
      </c>
      <c r="M77" t="n">
        <v>0</v>
      </c>
      <c r="N77" t="n">
        <v>0</v>
      </c>
      <c r="O77" t="n">
        <v>2</v>
      </c>
      <c r="P77" t="n">
        <v>0</v>
      </c>
      <c r="Q77" t="n">
        <v>7</v>
      </c>
      <c r="R77" s="2" t="inlineStr">
        <is>
          <t>Orange taggsvamp
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16656-2025</t>
        </is>
      </c>
      <c r="B78" s="1" t="n">
        <v>45754.4068287037</v>
      </c>
      <c r="C78" s="1" t="n">
        <v>46181</v>
      </c>
      <c r="D78" t="inlineStr">
        <is>
          <t>VÄSTERNORRLANDS LÄN</t>
        </is>
      </c>
      <c r="E78" t="inlineStr">
        <is>
          <t>SUNDSVALL</t>
        </is>
      </c>
      <c r="F78" t="inlineStr">
        <is>
          <t>SCA</t>
        </is>
      </c>
      <c r="G78" t="n">
        <v>3.5</v>
      </c>
      <c r="H78" t="n">
        <v>4</v>
      </c>
      <c r="I78" t="n">
        <v>0</v>
      </c>
      <c r="J78" t="n">
        <v>5</v>
      </c>
      <c r="K78" t="n">
        <v>0</v>
      </c>
      <c r="L78" t="n">
        <v>0</v>
      </c>
      <c r="M78" t="n">
        <v>0</v>
      </c>
      <c r="N78" t="n">
        <v>0</v>
      </c>
      <c r="O78" t="n">
        <v>5</v>
      </c>
      <c r="P78" t="n">
        <v>0</v>
      </c>
      <c r="Q78" t="n">
        <v>7</v>
      </c>
      <c r="R78" s="2" t="inlineStr">
        <is>
          <t>Gammelgransskål
Garnlav
Lunglav
Spillkråka
Tretåig hackspett
Fläcknycklar
Revlummer</t>
        </is>
      </c>
      <c r="S78">
        <f>HYPERLINK("https://klasma.github.io/Logging_2281/artfynd/A 16656-2025 artfynd.xlsx", "A 16656-2025")</f>
        <v/>
      </c>
      <c r="T78">
        <f>HYPERLINK("https://klasma.github.io/Logging_2281/kartor/A 16656-2025 karta.png", "A 16656-2025")</f>
        <v/>
      </c>
      <c r="V78">
        <f>HYPERLINK("https://klasma.github.io/Logging_2281/klagomål/A 16656-2025 FSC-klagomål.docx", "A 16656-2025")</f>
        <v/>
      </c>
      <c r="W78">
        <f>HYPERLINK("https://klasma.github.io/Logging_2281/klagomålsmail/A 16656-2025 FSC-klagomål mail.docx", "A 16656-2025")</f>
        <v/>
      </c>
      <c r="X78">
        <f>HYPERLINK("https://klasma.github.io/Logging_2281/tillsyn/A 16656-2025 tillsynsbegäran.docx", "A 16656-2025")</f>
        <v/>
      </c>
      <c r="Y78">
        <f>HYPERLINK("https://klasma.github.io/Logging_2281/tillsynsmail/A 16656-2025 tillsynsbegäran mail.docx", "A 16656-2025")</f>
        <v/>
      </c>
      <c r="Z78">
        <f>HYPERLINK("https://klasma.github.io/Logging_2281/fåglar/A 16656-2025 prioriterade fågelarter.docx", "A 16656-2025")</f>
        <v/>
      </c>
    </row>
    <row r="79" ht="15" customHeight="1">
      <c r="A79" t="inlineStr">
        <is>
          <t>A 20695-2025</t>
        </is>
      </c>
      <c r="B79" s="1" t="n">
        <v>45776.46954861111</v>
      </c>
      <c r="C79" s="1" t="n">
        <v>46181</v>
      </c>
      <c r="D79" t="inlineStr">
        <is>
          <t>VÄSTERNORRLANDS LÄN</t>
        </is>
      </c>
      <c r="E79" t="inlineStr">
        <is>
          <t>SUNDSVALL</t>
        </is>
      </c>
      <c r="F79" t="inlineStr">
        <is>
          <t>Naturvårdsverket</t>
        </is>
      </c>
      <c r="G79" t="n">
        <v>9.199999999999999</v>
      </c>
      <c r="H79" t="n">
        <v>2</v>
      </c>
      <c r="I79" t="n">
        <v>2</v>
      </c>
      <c r="J79" t="n">
        <v>4</v>
      </c>
      <c r="K79" t="n">
        <v>0</v>
      </c>
      <c r="L79" t="n">
        <v>0</v>
      </c>
      <c r="M79" t="n">
        <v>0</v>
      </c>
      <c r="N79" t="n">
        <v>0</v>
      </c>
      <c r="O79" t="n">
        <v>4</v>
      </c>
      <c r="P79" t="n">
        <v>0</v>
      </c>
      <c r="Q79" t="n">
        <v>7</v>
      </c>
      <c r="R79" s="2" t="inlineStr">
        <is>
          <t>Kolflarnlav
Mörk kolflarnlav
Vedflamlav
Vedskivlav
Bårdlav
Spindelblomster
Fläcknycklar</t>
        </is>
      </c>
      <c r="S79">
        <f>HYPERLINK("https://klasma.github.io/Logging_2281/artfynd/A 20695-2025 artfynd.xlsx", "A 20695-2025")</f>
        <v/>
      </c>
      <c r="T79">
        <f>HYPERLINK("https://klasma.github.io/Logging_2281/kartor/A 20695-2025 karta.png", "A 20695-2025")</f>
        <v/>
      </c>
      <c r="V79">
        <f>HYPERLINK("https://klasma.github.io/Logging_2281/klagomål/A 20695-2025 FSC-klagomål.docx", "A 20695-2025")</f>
        <v/>
      </c>
      <c r="W79">
        <f>HYPERLINK("https://klasma.github.io/Logging_2281/klagomålsmail/A 20695-2025 FSC-klagomål mail.docx", "A 20695-2025")</f>
        <v/>
      </c>
      <c r="X79">
        <f>HYPERLINK("https://klasma.github.io/Logging_2281/tillsyn/A 20695-2025 tillsynsbegäran.docx", "A 20695-2025")</f>
        <v/>
      </c>
      <c r="Y79">
        <f>HYPERLINK("https://klasma.github.io/Logging_2281/tillsynsmail/A 20695-2025 tillsynsbegäran mail.docx", "A 20695-2025")</f>
        <v/>
      </c>
    </row>
    <row r="80" ht="15" customHeight="1">
      <c r="A80" t="inlineStr">
        <is>
          <t>A 46087-2024</t>
        </is>
      </c>
      <c r="B80" s="1" t="n">
        <v>45581</v>
      </c>
      <c r="C80" s="1" t="n">
        <v>46181</v>
      </c>
      <c r="D80" t="inlineStr">
        <is>
          <t>VÄSTERNORRLANDS LÄN</t>
        </is>
      </c>
      <c r="E80" t="inlineStr">
        <is>
          <t>SUNDSVALL</t>
        </is>
      </c>
      <c r="F80" t="inlineStr">
        <is>
          <t>SCA</t>
        </is>
      </c>
      <c r="G80" t="n">
        <v>2.6</v>
      </c>
      <c r="H80" t="n">
        <v>4</v>
      </c>
      <c r="I80" t="n">
        <v>0</v>
      </c>
      <c r="J80" t="n">
        <v>5</v>
      </c>
      <c r="K80" t="n">
        <v>0</v>
      </c>
      <c r="L80" t="n">
        <v>0</v>
      </c>
      <c r="M80" t="n">
        <v>0</v>
      </c>
      <c r="N80" t="n">
        <v>0</v>
      </c>
      <c r="O80" t="n">
        <v>5</v>
      </c>
      <c r="P80" t="n">
        <v>0</v>
      </c>
      <c r="Q80" t="n">
        <v>6</v>
      </c>
      <c r="R80" s="2" t="inlineStr">
        <is>
          <t>Garnlav
Spillkråka
Talltita
Tretåig hackspett
Violettgrå tagellav
Revlummer</t>
        </is>
      </c>
      <c r="S80">
        <f>HYPERLINK("https://klasma.github.io/Logging_2281/artfynd/A 46087-2024 artfynd.xlsx", "A 46087-2024")</f>
        <v/>
      </c>
      <c r="T80">
        <f>HYPERLINK("https://klasma.github.io/Logging_2281/kartor/A 46087-2024 karta.png", "A 46087-2024")</f>
        <v/>
      </c>
      <c r="V80">
        <f>HYPERLINK("https://klasma.github.io/Logging_2281/klagomål/A 46087-2024 FSC-klagomål.docx", "A 46087-2024")</f>
        <v/>
      </c>
      <c r="W80">
        <f>HYPERLINK("https://klasma.github.io/Logging_2281/klagomålsmail/A 46087-2024 FSC-klagomål mail.docx", "A 46087-2024")</f>
        <v/>
      </c>
      <c r="X80">
        <f>HYPERLINK("https://klasma.github.io/Logging_2281/tillsyn/A 46087-2024 tillsynsbegäran.docx", "A 46087-2024")</f>
        <v/>
      </c>
      <c r="Y80">
        <f>HYPERLINK("https://klasma.github.io/Logging_2281/tillsynsmail/A 46087-2024 tillsynsbegäran mail.docx", "A 46087-2024")</f>
        <v/>
      </c>
      <c r="Z80">
        <f>HYPERLINK("https://klasma.github.io/Logging_2281/fåglar/A 46087-2024 prioriterade fågelarter.docx", "A 46087-2024")</f>
        <v/>
      </c>
    </row>
    <row r="81" ht="15" customHeight="1">
      <c r="A81" t="inlineStr">
        <is>
          <t>A 25837-2025</t>
        </is>
      </c>
      <c r="B81" s="1" t="n">
        <v>45804.44876157407</v>
      </c>
      <c r="C81" s="1" t="n">
        <v>46181</v>
      </c>
      <c r="D81" t="inlineStr">
        <is>
          <t>VÄSTERNORRLANDS LÄN</t>
        </is>
      </c>
      <c r="E81" t="inlineStr">
        <is>
          <t>SUNDSVALL</t>
        </is>
      </c>
      <c r="F81" t="inlineStr">
        <is>
          <t>Naturvårdsverket</t>
        </is>
      </c>
      <c r="G81" t="n">
        <v>10.9</v>
      </c>
      <c r="H81" t="n">
        <v>5</v>
      </c>
      <c r="I81" t="n">
        <v>2</v>
      </c>
      <c r="J81" t="n">
        <v>2</v>
      </c>
      <c r="K81" t="n">
        <v>1</v>
      </c>
      <c r="L81" t="n">
        <v>0</v>
      </c>
      <c r="M81" t="n">
        <v>0</v>
      </c>
      <c r="N81" t="n">
        <v>0</v>
      </c>
      <c r="O81" t="n">
        <v>3</v>
      </c>
      <c r="P81" t="n">
        <v>1</v>
      </c>
      <c r="Q81" t="n">
        <v>6</v>
      </c>
      <c r="R81" s="2" t="inlineStr">
        <is>
          <t>Knärot
Lunglav
Rödvingetrast
Korallrot
Spindelblomster
Fläcknycklar</t>
        </is>
      </c>
      <c r="S81">
        <f>HYPERLINK("https://klasma.github.io/Logging_2281/artfynd/A 25837-2025 artfynd.xlsx", "A 25837-2025")</f>
        <v/>
      </c>
      <c r="T81">
        <f>HYPERLINK("https://klasma.github.io/Logging_2281/kartor/A 25837-2025 karta.png", "A 25837-2025")</f>
        <v/>
      </c>
      <c r="U81">
        <f>HYPERLINK("https://klasma.github.io/Logging_2281/knärot/A 25837-2025 karta knärot.png", "A 25837-2025")</f>
        <v/>
      </c>
      <c r="V81">
        <f>HYPERLINK("https://klasma.github.io/Logging_2281/klagomål/A 25837-2025 FSC-klagomål.docx", "A 25837-2025")</f>
        <v/>
      </c>
      <c r="W81">
        <f>HYPERLINK("https://klasma.github.io/Logging_2281/klagomålsmail/A 25837-2025 FSC-klagomål mail.docx", "A 25837-2025")</f>
        <v/>
      </c>
      <c r="X81">
        <f>HYPERLINK("https://klasma.github.io/Logging_2281/tillsyn/A 25837-2025 tillsynsbegäran.docx", "A 25837-2025")</f>
        <v/>
      </c>
      <c r="Y81">
        <f>HYPERLINK("https://klasma.github.io/Logging_2281/tillsynsmail/A 25837-2025 tillsynsbegäran mail.docx", "A 25837-2025")</f>
        <v/>
      </c>
      <c r="Z81">
        <f>HYPERLINK("https://klasma.github.io/Logging_2281/fåglar/A 25837-2025 prioriterade fågelarter.docx", "A 25837-2025")</f>
        <v/>
      </c>
    </row>
    <row r="82" ht="15" customHeight="1">
      <c r="A82" t="inlineStr">
        <is>
          <t>A 43818-2024</t>
        </is>
      </c>
      <c r="B82" s="1" t="n">
        <v>45571</v>
      </c>
      <c r="C82" s="1" t="n">
        <v>46181</v>
      </c>
      <c r="D82" t="inlineStr">
        <is>
          <t>VÄSTERNORRLANDS LÄN</t>
        </is>
      </c>
      <c r="E82" t="inlineStr">
        <is>
          <t>SUNDSVALL</t>
        </is>
      </c>
      <c r="G82" t="n">
        <v>3.1</v>
      </c>
      <c r="H82" t="n">
        <v>2</v>
      </c>
      <c r="I82" t="n">
        <v>1</v>
      </c>
      <c r="J82" t="n">
        <v>4</v>
      </c>
      <c r="K82" t="n">
        <v>1</v>
      </c>
      <c r="L82" t="n">
        <v>0</v>
      </c>
      <c r="M82" t="n">
        <v>0</v>
      </c>
      <c r="N82" t="n">
        <v>0</v>
      </c>
      <c r="O82" t="n">
        <v>5</v>
      </c>
      <c r="P82" t="n">
        <v>1</v>
      </c>
      <c r="Q82" t="n">
        <v>6</v>
      </c>
      <c r="R82" s="2" t="inlineStr">
        <is>
          <t>Knärot
Tallticka
Tretåig hackspett
Ullticka
Vitgrynig nållav
Vedticka</t>
        </is>
      </c>
      <c r="S82">
        <f>HYPERLINK("https://klasma.github.io/Logging_2281/artfynd/A 43818-2024 artfynd.xlsx", "A 43818-2024")</f>
        <v/>
      </c>
      <c r="T82">
        <f>HYPERLINK("https://klasma.github.io/Logging_2281/kartor/A 43818-2024 karta.png", "A 43818-2024")</f>
        <v/>
      </c>
      <c r="U82">
        <f>HYPERLINK("https://klasma.github.io/Logging_2281/knärot/A 43818-2024 karta knärot.png", "A 43818-2024")</f>
        <v/>
      </c>
      <c r="V82">
        <f>HYPERLINK("https://klasma.github.io/Logging_2281/klagomål/A 43818-2024 FSC-klagomål.docx", "A 43818-2024")</f>
        <v/>
      </c>
      <c r="W82">
        <f>HYPERLINK("https://klasma.github.io/Logging_2281/klagomålsmail/A 43818-2024 FSC-klagomål mail.docx", "A 43818-2024")</f>
        <v/>
      </c>
      <c r="X82">
        <f>HYPERLINK("https://klasma.github.io/Logging_2281/tillsyn/A 43818-2024 tillsynsbegäran.docx", "A 43818-2024")</f>
        <v/>
      </c>
      <c r="Y82">
        <f>HYPERLINK("https://klasma.github.io/Logging_2281/tillsynsmail/A 43818-2024 tillsynsbegäran mail.docx", "A 43818-2024")</f>
        <v/>
      </c>
      <c r="Z82">
        <f>HYPERLINK("https://klasma.github.io/Logging_2281/fåglar/A 43818-2024 prioriterade fågelarter.docx", "A 43818-2024")</f>
        <v/>
      </c>
    </row>
    <row r="83" ht="15" customHeight="1">
      <c r="A83" t="inlineStr">
        <is>
          <t>A 27209-2025</t>
        </is>
      </c>
      <c r="B83" s="1" t="n">
        <v>45812.40658564815</v>
      </c>
      <c r="C83" s="1" t="n">
        <v>46181</v>
      </c>
      <c r="D83" t="inlineStr">
        <is>
          <t>VÄSTERNORRLANDS LÄN</t>
        </is>
      </c>
      <c r="E83" t="inlineStr">
        <is>
          <t>SUNDSVALL</t>
        </is>
      </c>
      <c r="F83" t="inlineStr">
        <is>
          <t>SCA</t>
        </is>
      </c>
      <c r="G83" t="n">
        <v>4.7</v>
      </c>
      <c r="H83" t="n">
        <v>0</v>
      </c>
      <c r="I83" t="n">
        <v>1</v>
      </c>
      <c r="J83" t="n">
        <v>5</v>
      </c>
      <c r="K83" t="n">
        <v>0</v>
      </c>
      <c r="L83" t="n">
        <v>0</v>
      </c>
      <c r="M83" t="n">
        <v>0</v>
      </c>
      <c r="N83" t="n">
        <v>0</v>
      </c>
      <c r="O83" t="n">
        <v>5</v>
      </c>
      <c r="P83" t="n">
        <v>0</v>
      </c>
      <c r="Q83" t="n">
        <v>6</v>
      </c>
      <c r="R83" s="2" t="inlineStr">
        <is>
          <t>Garnlav
Mörk kolflarnlav
Orange taggsvamp
Ullticka
Vedflamlav
Dropptaggsvamp</t>
        </is>
      </c>
      <c r="S83">
        <f>HYPERLINK("https://klasma.github.io/Logging_2281/artfynd/A 27209-2025 artfynd.xlsx", "A 27209-2025")</f>
        <v/>
      </c>
      <c r="T83">
        <f>HYPERLINK("https://klasma.github.io/Logging_2281/kartor/A 27209-2025 karta.png", "A 27209-2025")</f>
        <v/>
      </c>
      <c r="V83">
        <f>HYPERLINK("https://klasma.github.io/Logging_2281/klagomål/A 27209-2025 FSC-klagomål.docx", "A 27209-2025")</f>
        <v/>
      </c>
      <c r="W83">
        <f>HYPERLINK("https://klasma.github.io/Logging_2281/klagomålsmail/A 27209-2025 FSC-klagomål mail.docx", "A 27209-2025")</f>
        <v/>
      </c>
      <c r="X83">
        <f>HYPERLINK("https://klasma.github.io/Logging_2281/tillsyn/A 27209-2025 tillsynsbegäran.docx", "A 27209-2025")</f>
        <v/>
      </c>
      <c r="Y83">
        <f>HYPERLINK("https://klasma.github.io/Logging_2281/tillsynsmail/A 27209-2025 tillsynsbegäran mail.docx", "A 27209-2025")</f>
        <v/>
      </c>
    </row>
    <row r="84" ht="15" customHeight="1">
      <c r="A84" t="inlineStr">
        <is>
          <t>A 28145-2025</t>
        </is>
      </c>
      <c r="B84" s="1" t="n">
        <v>45818.34563657407</v>
      </c>
      <c r="C84" s="1" t="n">
        <v>46181</v>
      </c>
      <c r="D84" t="inlineStr">
        <is>
          <t>VÄSTERNORRLANDS LÄN</t>
        </is>
      </c>
      <c r="E84" t="inlineStr">
        <is>
          <t>SUNDSVALL</t>
        </is>
      </c>
      <c r="F84" t="inlineStr">
        <is>
          <t>Naturvårdsverket</t>
        </is>
      </c>
      <c r="G84" t="n">
        <v>3.2</v>
      </c>
      <c r="H84" t="n">
        <v>3</v>
      </c>
      <c r="I84" t="n">
        <v>0</v>
      </c>
      <c r="J84" t="n">
        <v>5</v>
      </c>
      <c r="K84" t="n">
        <v>0</v>
      </c>
      <c r="L84" t="n">
        <v>0</v>
      </c>
      <c r="M84" t="n">
        <v>0</v>
      </c>
      <c r="N84" t="n">
        <v>0</v>
      </c>
      <c r="O84" t="n">
        <v>5</v>
      </c>
      <c r="P84" t="n">
        <v>0</v>
      </c>
      <c r="Q84" t="n">
        <v>6</v>
      </c>
      <c r="R84" s="2" t="inlineStr">
        <is>
          <t>Garnlav
Kolflarnlav
Talltita
Tretåig hackspett
Ullticka
Fläcknycklar</t>
        </is>
      </c>
      <c r="S84">
        <f>HYPERLINK("https://klasma.github.io/Logging_2281/artfynd/A 28145-2025 artfynd.xlsx", "A 28145-2025")</f>
        <v/>
      </c>
      <c r="T84">
        <f>HYPERLINK("https://klasma.github.io/Logging_2281/kartor/A 28145-2025 karta.png", "A 28145-2025")</f>
        <v/>
      </c>
      <c r="V84">
        <f>HYPERLINK("https://klasma.github.io/Logging_2281/klagomål/A 28145-2025 FSC-klagomål.docx", "A 28145-2025")</f>
        <v/>
      </c>
      <c r="W84">
        <f>HYPERLINK("https://klasma.github.io/Logging_2281/klagomålsmail/A 28145-2025 FSC-klagomål mail.docx", "A 28145-2025")</f>
        <v/>
      </c>
      <c r="X84">
        <f>HYPERLINK("https://klasma.github.io/Logging_2281/tillsyn/A 28145-2025 tillsynsbegäran.docx", "A 28145-2025")</f>
        <v/>
      </c>
      <c r="Y84">
        <f>HYPERLINK("https://klasma.github.io/Logging_2281/tillsynsmail/A 28145-2025 tillsynsbegäran mail.docx", "A 28145-2025")</f>
        <v/>
      </c>
      <c r="Z84">
        <f>HYPERLINK("https://klasma.github.io/Logging_2281/fåglar/A 28145-2025 prioriterade fågelarter.docx", "A 28145-2025")</f>
        <v/>
      </c>
    </row>
    <row r="85" ht="15" customHeight="1">
      <c r="A85" t="inlineStr">
        <is>
          <t>A 58518-2022</t>
        </is>
      </c>
      <c r="B85" s="1" t="n">
        <v>44902</v>
      </c>
      <c r="C85" s="1" t="n">
        <v>46181</v>
      </c>
      <c r="D85" t="inlineStr">
        <is>
          <t>VÄSTERNORRLANDS LÄN</t>
        </is>
      </c>
      <c r="E85" t="inlineStr">
        <is>
          <t>SUNDSVALL</t>
        </is>
      </c>
      <c r="G85" t="n">
        <v>11.5</v>
      </c>
      <c r="H85" t="n">
        <v>6</v>
      </c>
      <c r="I85" t="n">
        <v>0</v>
      </c>
      <c r="J85" t="n">
        <v>6</v>
      </c>
      <c r="K85" t="n">
        <v>0</v>
      </c>
      <c r="L85" t="n">
        <v>0</v>
      </c>
      <c r="M85" t="n">
        <v>0</v>
      </c>
      <c r="N85" t="n">
        <v>0</v>
      </c>
      <c r="O85" t="n">
        <v>6</v>
      </c>
      <c r="P85" t="n">
        <v>0</v>
      </c>
      <c r="Q85" t="n">
        <v>6</v>
      </c>
      <c r="R85" s="2" t="inlineStr">
        <is>
          <t>Björktrast
Drillsnäppa
Havsörn
Spillkråka
Sötgräs
Tretåig hackspett</t>
        </is>
      </c>
      <c r="S85">
        <f>HYPERLINK("https://klasma.github.io/Logging_2281/artfynd/A 58518-2022 artfynd.xlsx", "A 58518-2022")</f>
        <v/>
      </c>
      <c r="T85">
        <f>HYPERLINK("https://klasma.github.io/Logging_2281/kartor/A 58518-2022 karta.png", "A 58518-2022")</f>
        <v/>
      </c>
      <c r="V85">
        <f>HYPERLINK("https://klasma.github.io/Logging_2281/klagomål/A 58518-2022 FSC-klagomål.docx", "A 58518-2022")</f>
        <v/>
      </c>
      <c r="W85">
        <f>HYPERLINK("https://klasma.github.io/Logging_2281/klagomålsmail/A 58518-2022 FSC-klagomål mail.docx", "A 58518-2022")</f>
        <v/>
      </c>
      <c r="X85">
        <f>HYPERLINK("https://klasma.github.io/Logging_2281/tillsyn/A 58518-2022 tillsynsbegäran.docx", "A 58518-2022")</f>
        <v/>
      </c>
      <c r="Y85">
        <f>HYPERLINK("https://klasma.github.io/Logging_2281/tillsynsmail/A 58518-2022 tillsynsbegäran mail.docx", "A 58518-2022")</f>
        <v/>
      </c>
      <c r="Z85">
        <f>HYPERLINK("https://klasma.github.io/Logging_2281/fåglar/A 58518-2022 prioriterade fågelarter.docx", "A 58518-2022")</f>
        <v/>
      </c>
    </row>
    <row r="86" ht="15" customHeight="1">
      <c r="A86" t="inlineStr">
        <is>
          <t>A 32938-2025</t>
        </is>
      </c>
      <c r="B86" s="1" t="n">
        <v>45839.67746527777</v>
      </c>
      <c r="C86" s="1" t="n">
        <v>46181</v>
      </c>
      <c r="D86" t="inlineStr">
        <is>
          <t>VÄSTERNORRLANDS LÄN</t>
        </is>
      </c>
      <c r="E86" t="inlineStr">
        <is>
          <t>SUNDSVALL</t>
        </is>
      </c>
      <c r="F86" t="inlineStr">
        <is>
          <t>SCA</t>
        </is>
      </c>
      <c r="G86" t="n">
        <v>2.4</v>
      </c>
      <c r="H86" t="n">
        <v>4</v>
      </c>
      <c r="I86" t="n">
        <v>0</v>
      </c>
      <c r="J86" t="n">
        <v>4</v>
      </c>
      <c r="K86" t="n">
        <v>1</v>
      </c>
      <c r="L86" t="n">
        <v>0</v>
      </c>
      <c r="M86" t="n">
        <v>0</v>
      </c>
      <c r="N86" t="n">
        <v>0</v>
      </c>
      <c r="O86" t="n">
        <v>5</v>
      </c>
      <c r="P86" t="n">
        <v>1</v>
      </c>
      <c r="Q86" t="n">
        <v>6</v>
      </c>
      <c r="R86" s="2" t="inlineStr">
        <is>
          <t>Knärot
Garnlav
Spillkråka
Tallticka
Tretåig hackspett
Revlummer</t>
        </is>
      </c>
      <c r="S86">
        <f>HYPERLINK("https://klasma.github.io/Logging_2281/artfynd/A 32938-2025 artfynd.xlsx", "A 32938-2025")</f>
        <v/>
      </c>
      <c r="T86">
        <f>HYPERLINK("https://klasma.github.io/Logging_2281/kartor/A 32938-2025 karta.png", "A 32938-2025")</f>
        <v/>
      </c>
      <c r="U86">
        <f>HYPERLINK("https://klasma.github.io/Logging_2281/knärot/A 32938-2025 karta knärot.png", "A 32938-2025")</f>
        <v/>
      </c>
      <c r="V86">
        <f>HYPERLINK("https://klasma.github.io/Logging_2281/klagomål/A 32938-2025 FSC-klagomål.docx", "A 32938-2025")</f>
        <v/>
      </c>
      <c r="W86">
        <f>HYPERLINK("https://klasma.github.io/Logging_2281/klagomålsmail/A 32938-2025 FSC-klagomål mail.docx", "A 32938-2025")</f>
        <v/>
      </c>
      <c r="X86">
        <f>HYPERLINK("https://klasma.github.io/Logging_2281/tillsyn/A 32938-2025 tillsynsbegäran.docx", "A 32938-2025")</f>
        <v/>
      </c>
      <c r="Y86">
        <f>HYPERLINK("https://klasma.github.io/Logging_2281/tillsynsmail/A 32938-2025 tillsynsbegäran mail.docx", "A 32938-2025")</f>
        <v/>
      </c>
      <c r="Z86">
        <f>HYPERLINK("https://klasma.github.io/Logging_2281/fåglar/A 32938-2025 prioriterade fågelarter.docx", "A 32938-2025")</f>
        <v/>
      </c>
    </row>
    <row r="87" ht="15" customHeight="1">
      <c r="A87" t="inlineStr">
        <is>
          <t>A 3579-2026</t>
        </is>
      </c>
      <c r="B87" s="1" t="n">
        <v>46042</v>
      </c>
      <c r="C87" s="1" t="n">
        <v>46181</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33777-2024</t>
        </is>
      </c>
      <c r="B88" s="1" t="n">
        <v>45520</v>
      </c>
      <c r="C88" s="1" t="n">
        <v>46181</v>
      </c>
      <c r="D88" t="inlineStr">
        <is>
          <t>VÄSTERNORRLANDS LÄN</t>
        </is>
      </c>
      <c r="E88" t="inlineStr">
        <is>
          <t>SUNDSVALL</t>
        </is>
      </c>
      <c r="F88" t="inlineStr">
        <is>
          <t>SCA</t>
        </is>
      </c>
      <c r="G88" t="n">
        <v>7.5</v>
      </c>
      <c r="H88" t="n">
        <v>4</v>
      </c>
      <c r="I88" t="n">
        <v>0</v>
      </c>
      <c r="J88" t="n">
        <v>4</v>
      </c>
      <c r="K88" t="n">
        <v>1</v>
      </c>
      <c r="L88" t="n">
        <v>0</v>
      </c>
      <c r="M88" t="n">
        <v>0</v>
      </c>
      <c r="N88" t="n">
        <v>0</v>
      </c>
      <c r="O88" t="n">
        <v>5</v>
      </c>
      <c r="P88" t="n">
        <v>1</v>
      </c>
      <c r="Q88" t="n">
        <v>6</v>
      </c>
      <c r="R88" s="2" t="inlineStr">
        <is>
          <t>Knärot
Granticka
Spillkråka
Tretåig hackspett
Ullticka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59004-2025</t>
        </is>
      </c>
      <c r="B89" s="1" t="n">
        <v>45987</v>
      </c>
      <c r="C89" s="1" t="n">
        <v>46181</v>
      </c>
      <c r="D89" t="inlineStr">
        <is>
          <t>VÄSTERNORRLANDS LÄN</t>
        </is>
      </c>
      <c r="E89" t="inlineStr">
        <is>
          <t>SUNDSVALL</t>
        </is>
      </c>
      <c r="F89" t="inlineStr">
        <is>
          <t>Naturvårdsverket</t>
        </is>
      </c>
      <c r="G89" t="n">
        <v>2.2</v>
      </c>
      <c r="H89" t="n">
        <v>1</v>
      </c>
      <c r="I89" t="n">
        <v>4</v>
      </c>
      <c r="J89" t="n">
        <v>1</v>
      </c>
      <c r="K89" t="n">
        <v>1</v>
      </c>
      <c r="L89" t="n">
        <v>0</v>
      </c>
      <c r="M89" t="n">
        <v>0</v>
      </c>
      <c r="N89" t="n">
        <v>0</v>
      </c>
      <c r="O89" t="n">
        <v>2</v>
      </c>
      <c r="P89" t="n">
        <v>1</v>
      </c>
      <c r="Q89" t="n">
        <v>6</v>
      </c>
      <c r="R89" s="2" t="inlineStr">
        <is>
          <t>Knärot
Granticka
Bårdlav
Gytterlav
Skinnlav
Stuplav</t>
        </is>
      </c>
      <c r="S89">
        <f>HYPERLINK("https://klasma.github.io/Logging_2281/artfynd/A 59004-2025 artfynd.xlsx", "A 59004-2025")</f>
        <v/>
      </c>
      <c r="T89">
        <f>HYPERLINK("https://klasma.github.io/Logging_2281/kartor/A 59004-2025 karta.png", "A 59004-2025")</f>
        <v/>
      </c>
      <c r="U89">
        <f>HYPERLINK("https://klasma.github.io/Logging_2281/knärot/A 59004-2025 karta knärot.png", "A 59004-2025")</f>
        <v/>
      </c>
      <c r="V89">
        <f>HYPERLINK("https://klasma.github.io/Logging_2281/klagomål/A 59004-2025 FSC-klagomål.docx", "A 59004-2025")</f>
        <v/>
      </c>
      <c r="W89">
        <f>HYPERLINK("https://klasma.github.io/Logging_2281/klagomålsmail/A 59004-2025 FSC-klagomål mail.docx", "A 59004-2025")</f>
        <v/>
      </c>
      <c r="X89">
        <f>HYPERLINK("https://klasma.github.io/Logging_2281/tillsyn/A 59004-2025 tillsynsbegäran.docx", "A 59004-2025")</f>
        <v/>
      </c>
      <c r="Y89">
        <f>HYPERLINK("https://klasma.github.io/Logging_2281/tillsynsmail/A 59004-2025 tillsynsbegäran mail.docx", "A 59004-2025")</f>
        <v/>
      </c>
    </row>
    <row r="90" ht="15" customHeight="1">
      <c r="A90" t="inlineStr">
        <is>
          <t>A 23553-2024</t>
        </is>
      </c>
      <c r="B90" s="1" t="n">
        <v>45453</v>
      </c>
      <c r="C90" s="1" t="n">
        <v>46181</v>
      </c>
      <c r="D90" t="inlineStr">
        <is>
          <t>VÄSTERNORRLANDS LÄN</t>
        </is>
      </c>
      <c r="E90" t="inlineStr">
        <is>
          <t>SUNDSVALL</t>
        </is>
      </c>
      <c r="F90" t="inlineStr">
        <is>
          <t>SCA</t>
        </is>
      </c>
      <c r="G90" t="n">
        <v>2.8</v>
      </c>
      <c r="H90" t="n">
        <v>1</v>
      </c>
      <c r="I90" t="n">
        <v>3</v>
      </c>
      <c r="J90" t="n">
        <v>2</v>
      </c>
      <c r="K90" t="n">
        <v>1</v>
      </c>
      <c r="L90" t="n">
        <v>0</v>
      </c>
      <c r="M90" t="n">
        <v>0</v>
      </c>
      <c r="N90" t="n">
        <v>0</v>
      </c>
      <c r="O90" t="n">
        <v>3</v>
      </c>
      <c r="P90" t="n">
        <v>1</v>
      </c>
      <c r="Q90" t="n">
        <v>6</v>
      </c>
      <c r="R90" s="2" t="inlineStr">
        <is>
          <t>Knärot
Ullticka
Vedtrappmossa
Kattfotslav
Rödgul trumpetsvamp
Vedticka</t>
        </is>
      </c>
      <c r="S90">
        <f>HYPERLINK("https://klasma.github.io/Logging_2281/artfynd/A 23553-2024 artfynd.xlsx", "A 23553-2024")</f>
        <v/>
      </c>
      <c r="T90">
        <f>HYPERLINK("https://klasma.github.io/Logging_2281/kartor/A 23553-2024 karta.png", "A 23553-2024")</f>
        <v/>
      </c>
      <c r="U90">
        <f>HYPERLINK("https://klasma.github.io/Logging_2281/knärot/A 23553-2024 karta knärot.png", "A 23553-2024")</f>
        <v/>
      </c>
      <c r="V90">
        <f>HYPERLINK("https://klasma.github.io/Logging_2281/klagomål/A 23553-2024 FSC-klagomål.docx", "A 23553-2024")</f>
        <v/>
      </c>
      <c r="W90">
        <f>HYPERLINK("https://klasma.github.io/Logging_2281/klagomålsmail/A 23553-2024 FSC-klagomål mail.docx", "A 23553-2024")</f>
        <v/>
      </c>
      <c r="X90">
        <f>HYPERLINK("https://klasma.github.io/Logging_2281/tillsyn/A 23553-2024 tillsynsbegäran.docx", "A 23553-2024")</f>
        <v/>
      </c>
      <c r="Y90">
        <f>HYPERLINK("https://klasma.github.io/Logging_2281/tillsynsmail/A 23553-2024 tillsynsbegäran mail.docx", "A 23553-2024")</f>
        <v/>
      </c>
    </row>
    <row r="91" ht="15" customHeight="1">
      <c r="A91" t="inlineStr">
        <is>
          <t>A 55548-2024</t>
        </is>
      </c>
      <c r="B91" s="1" t="n">
        <v>45622</v>
      </c>
      <c r="C91" s="1" t="n">
        <v>46181</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11352-2022</t>
        </is>
      </c>
      <c r="B92" s="1" t="n">
        <v>44630</v>
      </c>
      <c r="C92" s="1" t="n">
        <v>46181</v>
      </c>
      <c r="D92" t="inlineStr">
        <is>
          <t>VÄSTERNORRLANDS LÄN</t>
        </is>
      </c>
      <c r="E92" t="inlineStr">
        <is>
          <t>SUNDSVALL</t>
        </is>
      </c>
      <c r="G92" t="n">
        <v>10.2</v>
      </c>
      <c r="H92" t="n">
        <v>4</v>
      </c>
      <c r="I92" t="n">
        <v>0</v>
      </c>
      <c r="J92" t="n">
        <v>3</v>
      </c>
      <c r="K92" t="n">
        <v>1</v>
      </c>
      <c r="L92" t="n">
        <v>0</v>
      </c>
      <c r="M92" t="n">
        <v>0</v>
      </c>
      <c r="N92" t="n">
        <v>0</v>
      </c>
      <c r="O92" t="n">
        <v>4</v>
      </c>
      <c r="P92" t="n">
        <v>1</v>
      </c>
      <c r="Q92" t="n">
        <v>6</v>
      </c>
      <c r="R92" s="2" t="inlineStr">
        <is>
          <t>Knärot
Garnlav
Talltita
Ullticka
Grönsiska
Kungsfågel</t>
        </is>
      </c>
      <c r="S92">
        <f>HYPERLINK("https://klasma.github.io/Logging_2281/artfynd/A 11352-2022 artfynd.xlsx", "A 11352-2022")</f>
        <v/>
      </c>
      <c r="T92">
        <f>HYPERLINK("https://klasma.github.io/Logging_2281/kartor/A 11352-2022 karta.png", "A 11352-2022")</f>
        <v/>
      </c>
      <c r="U92">
        <f>HYPERLINK("https://klasma.github.io/Logging_2281/knärot/A 11352-2022 karta knärot.png", "A 11352-2022")</f>
        <v/>
      </c>
      <c r="V92">
        <f>HYPERLINK("https://klasma.github.io/Logging_2281/klagomål/A 11352-2022 FSC-klagomål.docx", "A 11352-2022")</f>
        <v/>
      </c>
      <c r="W92">
        <f>HYPERLINK("https://klasma.github.io/Logging_2281/klagomålsmail/A 11352-2022 FSC-klagomål mail.docx", "A 11352-2022")</f>
        <v/>
      </c>
      <c r="X92">
        <f>HYPERLINK("https://klasma.github.io/Logging_2281/tillsyn/A 11352-2022 tillsynsbegäran.docx", "A 11352-2022")</f>
        <v/>
      </c>
      <c r="Y92">
        <f>HYPERLINK("https://klasma.github.io/Logging_2281/tillsynsmail/A 11352-2022 tillsynsbegäran mail.docx", "A 11352-2022")</f>
        <v/>
      </c>
      <c r="Z92">
        <f>HYPERLINK("https://klasma.github.io/Logging_2281/fåglar/A 11352-2022 prioriterade fågelarter.docx", "A 11352-2022")</f>
        <v/>
      </c>
    </row>
    <row r="93" ht="15" customHeight="1">
      <c r="A93" t="inlineStr">
        <is>
          <t>A 48777-2023</t>
        </is>
      </c>
      <c r="B93" s="1" t="n">
        <v>45208</v>
      </c>
      <c r="C93" s="1" t="n">
        <v>46181</v>
      </c>
      <c r="D93" t="inlineStr">
        <is>
          <t>VÄSTERNORRLANDS LÄN</t>
        </is>
      </c>
      <c r="E93" t="inlineStr">
        <is>
          <t>SUNDSVALL</t>
        </is>
      </c>
      <c r="F93" t="inlineStr">
        <is>
          <t>SCA</t>
        </is>
      </c>
      <c r="G93" t="n">
        <v>2.3</v>
      </c>
      <c r="H93" t="n">
        <v>2</v>
      </c>
      <c r="I93" t="n">
        <v>2</v>
      </c>
      <c r="J93" t="n">
        <v>4</v>
      </c>
      <c r="K93" t="n">
        <v>0</v>
      </c>
      <c r="L93" t="n">
        <v>0</v>
      </c>
      <c r="M93" t="n">
        <v>0</v>
      </c>
      <c r="N93" t="n">
        <v>0</v>
      </c>
      <c r="O93" t="n">
        <v>4</v>
      </c>
      <c r="P93" t="n">
        <v>0</v>
      </c>
      <c r="Q93" t="n">
        <v>6</v>
      </c>
      <c r="R93" s="2" t="inlineStr">
        <is>
          <t>Granticka
Harticka
Spillkråka
Tretåig hackspett
Trådticka
Vedticka</t>
        </is>
      </c>
      <c r="S93">
        <f>HYPERLINK("https://klasma.github.io/Logging_2281/artfynd/A 48777-2023 artfynd.xlsx", "A 48777-2023")</f>
        <v/>
      </c>
      <c r="T93">
        <f>HYPERLINK("https://klasma.github.io/Logging_2281/kartor/A 48777-2023 karta.png", "A 48777-2023")</f>
        <v/>
      </c>
      <c r="V93">
        <f>HYPERLINK("https://klasma.github.io/Logging_2281/klagomål/A 48777-2023 FSC-klagomål.docx", "A 48777-2023")</f>
        <v/>
      </c>
      <c r="W93">
        <f>HYPERLINK("https://klasma.github.io/Logging_2281/klagomålsmail/A 48777-2023 FSC-klagomål mail.docx", "A 48777-2023")</f>
        <v/>
      </c>
      <c r="X93">
        <f>HYPERLINK("https://klasma.github.io/Logging_2281/tillsyn/A 48777-2023 tillsynsbegäran.docx", "A 48777-2023")</f>
        <v/>
      </c>
      <c r="Y93">
        <f>HYPERLINK("https://klasma.github.io/Logging_2281/tillsynsmail/A 48777-2023 tillsynsbegäran mail.docx", "A 48777-2023")</f>
        <v/>
      </c>
      <c r="Z93">
        <f>HYPERLINK("https://klasma.github.io/Logging_2281/fåglar/A 48777-2023 prioriterade fågelarter.docx", "A 48777-2023")</f>
        <v/>
      </c>
    </row>
    <row r="94" ht="15" customHeight="1">
      <c r="A94" t="inlineStr">
        <is>
          <t>A 28406-2025</t>
        </is>
      </c>
      <c r="B94" s="1" t="n">
        <v>45819.34565972222</v>
      </c>
      <c r="C94" s="1" t="n">
        <v>46181</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46181</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31424-2025</t>
        </is>
      </c>
      <c r="B96" s="1" t="n">
        <v>45833.49002314815</v>
      </c>
      <c r="C96" s="1" t="n">
        <v>46181</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3958-2024</t>
        </is>
      </c>
      <c r="B97" s="1" t="n">
        <v>45322</v>
      </c>
      <c r="C97" s="1" t="n">
        <v>46181</v>
      </c>
      <c r="D97" t="inlineStr">
        <is>
          <t>VÄSTERNORRLANDS LÄN</t>
        </is>
      </c>
      <c r="E97" t="inlineStr">
        <is>
          <t>SUNDSVALL</t>
        </is>
      </c>
      <c r="G97" t="n">
        <v>7.2</v>
      </c>
      <c r="H97" t="n">
        <v>1</v>
      </c>
      <c r="I97" t="n">
        <v>0</v>
      </c>
      <c r="J97" t="n">
        <v>5</v>
      </c>
      <c r="K97" t="n">
        <v>0</v>
      </c>
      <c r="L97" t="n">
        <v>0</v>
      </c>
      <c r="M97" t="n">
        <v>0</v>
      </c>
      <c r="N97" t="n">
        <v>0</v>
      </c>
      <c r="O97" t="n">
        <v>5</v>
      </c>
      <c r="P97" t="n">
        <v>0</v>
      </c>
      <c r="Q97" t="n">
        <v>5</v>
      </c>
      <c r="R97" s="2" t="inlineStr">
        <is>
          <t>Garnlav
Granticka
Lunglav
Tretåig hackspett
Ullticka</t>
        </is>
      </c>
      <c r="S97">
        <f>HYPERLINK("https://klasma.github.io/Logging_2281/artfynd/A 3958-2024 artfynd.xlsx", "A 3958-2024")</f>
        <v/>
      </c>
      <c r="T97">
        <f>HYPERLINK("https://klasma.github.io/Logging_2281/kartor/A 3958-2024 karta.png", "A 3958-2024")</f>
        <v/>
      </c>
      <c r="V97">
        <f>HYPERLINK("https://klasma.github.io/Logging_2281/klagomål/A 3958-2024 FSC-klagomål.docx", "A 3958-2024")</f>
        <v/>
      </c>
      <c r="W97">
        <f>HYPERLINK("https://klasma.github.io/Logging_2281/klagomålsmail/A 3958-2024 FSC-klagomål mail.docx", "A 3958-2024")</f>
        <v/>
      </c>
      <c r="X97">
        <f>HYPERLINK("https://klasma.github.io/Logging_2281/tillsyn/A 3958-2024 tillsynsbegäran.docx", "A 3958-2024")</f>
        <v/>
      </c>
      <c r="Y97">
        <f>HYPERLINK("https://klasma.github.io/Logging_2281/tillsynsmail/A 3958-2024 tillsynsbegäran mail.docx", "A 3958-2024")</f>
        <v/>
      </c>
      <c r="Z97">
        <f>HYPERLINK("https://klasma.github.io/Logging_2281/fåglar/A 3958-2024 prioriterade fågelarter.docx", "A 3958-2024")</f>
        <v/>
      </c>
    </row>
    <row r="98" ht="15" customHeight="1">
      <c r="A98" t="inlineStr">
        <is>
          <t>A 24422-2025</t>
        </is>
      </c>
      <c r="B98" s="1" t="n">
        <v>45797</v>
      </c>
      <c r="C98" s="1" t="n">
        <v>46181</v>
      </c>
      <c r="D98" t="inlineStr">
        <is>
          <t>VÄSTERNORRLANDS LÄN</t>
        </is>
      </c>
      <c r="E98" t="inlineStr">
        <is>
          <t>SUNDSVALL</t>
        </is>
      </c>
      <c r="F98" t="inlineStr">
        <is>
          <t>SCA</t>
        </is>
      </c>
      <c r="G98" t="n">
        <v>2.2</v>
      </c>
      <c r="H98" t="n">
        <v>2</v>
      </c>
      <c r="I98" t="n">
        <v>1</v>
      </c>
      <c r="J98" t="n">
        <v>3</v>
      </c>
      <c r="K98" t="n">
        <v>0</v>
      </c>
      <c r="L98" t="n">
        <v>0</v>
      </c>
      <c r="M98" t="n">
        <v>0</v>
      </c>
      <c r="N98" t="n">
        <v>0</v>
      </c>
      <c r="O98" t="n">
        <v>3</v>
      </c>
      <c r="P98" t="n">
        <v>0</v>
      </c>
      <c r="Q98" t="n">
        <v>5</v>
      </c>
      <c r="R98" s="2" t="inlineStr">
        <is>
          <t>Garnlav
Lunglav
Tretåig hackspett
Kattfotslav
Revlummer</t>
        </is>
      </c>
      <c r="S98">
        <f>HYPERLINK("https://klasma.github.io/Logging_2281/artfynd/A 24422-2025 artfynd.xlsx", "A 24422-2025")</f>
        <v/>
      </c>
      <c r="T98">
        <f>HYPERLINK("https://klasma.github.io/Logging_2281/kartor/A 24422-2025 karta.png", "A 24422-2025")</f>
        <v/>
      </c>
      <c r="V98">
        <f>HYPERLINK("https://klasma.github.io/Logging_2281/klagomål/A 24422-2025 FSC-klagomål.docx", "A 24422-2025")</f>
        <v/>
      </c>
      <c r="W98">
        <f>HYPERLINK("https://klasma.github.io/Logging_2281/klagomålsmail/A 24422-2025 FSC-klagomål mail.docx", "A 24422-2025")</f>
        <v/>
      </c>
      <c r="X98">
        <f>HYPERLINK("https://klasma.github.io/Logging_2281/tillsyn/A 24422-2025 tillsynsbegäran.docx", "A 24422-2025")</f>
        <v/>
      </c>
      <c r="Y98">
        <f>HYPERLINK("https://klasma.github.io/Logging_2281/tillsynsmail/A 24422-2025 tillsynsbegäran mail.docx", "A 24422-2025")</f>
        <v/>
      </c>
      <c r="Z98">
        <f>HYPERLINK("https://klasma.github.io/Logging_2281/fåglar/A 24422-2025 prioriterade fågelarter.docx", "A 24422-2025")</f>
        <v/>
      </c>
    </row>
    <row r="99" ht="15" customHeight="1">
      <c r="A99" t="inlineStr">
        <is>
          <t>A 13556-2024</t>
        </is>
      </c>
      <c r="B99" s="1" t="n">
        <v>45387</v>
      </c>
      <c r="C99" s="1" t="n">
        <v>46181</v>
      </c>
      <c r="D99" t="inlineStr">
        <is>
          <t>VÄSTERNORRLANDS LÄN</t>
        </is>
      </c>
      <c r="E99" t="inlineStr">
        <is>
          <t>SUNDSVALL</t>
        </is>
      </c>
      <c r="F99" t="inlineStr">
        <is>
          <t>SCA</t>
        </is>
      </c>
      <c r="G99" t="n">
        <v>6.5</v>
      </c>
      <c r="H99" t="n">
        <v>2</v>
      </c>
      <c r="I99" t="n">
        <v>2</v>
      </c>
      <c r="J99" t="n">
        <v>2</v>
      </c>
      <c r="K99" t="n">
        <v>1</v>
      </c>
      <c r="L99" t="n">
        <v>0</v>
      </c>
      <c r="M99" t="n">
        <v>0</v>
      </c>
      <c r="N99" t="n">
        <v>0</v>
      </c>
      <c r="O99" t="n">
        <v>3</v>
      </c>
      <c r="P99" t="n">
        <v>1</v>
      </c>
      <c r="Q99" t="n">
        <v>5</v>
      </c>
      <c r="R99" s="2" t="inlineStr">
        <is>
          <t>Knärot
Mindre hackspett
Ullticka
Bronshjon
Thomsons trägnagare</t>
        </is>
      </c>
      <c r="S99">
        <f>HYPERLINK("https://klasma.github.io/Logging_2281/artfynd/A 13556-2024 artfynd.xlsx", "A 13556-2024")</f>
        <v/>
      </c>
      <c r="T99">
        <f>HYPERLINK("https://klasma.github.io/Logging_2281/kartor/A 13556-2024 karta.png", "A 13556-2024")</f>
        <v/>
      </c>
      <c r="U99">
        <f>HYPERLINK("https://klasma.github.io/Logging_2281/knärot/A 13556-2024 karta knärot.png", "A 13556-2024")</f>
        <v/>
      </c>
      <c r="V99">
        <f>HYPERLINK("https://klasma.github.io/Logging_2281/klagomål/A 13556-2024 FSC-klagomål.docx", "A 13556-2024")</f>
        <v/>
      </c>
      <c r="W99">
        <f>HYPERLINK("https://klasma.github.io/Logging_2281/klagomålsmail/A 13556-2024 FSC-klagomål mail.docx", "A 13556-2024")</f>
        <v/>
      </c>
      <c r="X99">
        <f>HYPERLINK("https://klasma.github.io/Logging_2281/tillsyn/A 13556-2024 tillsynsbegäran.docx", "A 13556-2024")</f>
        <v/>
      </c>
      <c r="Y99">
        <f>HYPERLINK("https://klasma.github.io/Logging_2281/tillsynsmail/A 13556-2024 tillsynsbegäran mail.docx", "A 13556-2024")</f>
        <v/>
      </c>
      <c r="Z99">
        <f>HYPERLINK("https://klasma.github.io/Logging_2281/fåglar/A 13556-2024 prioriterade fågelarter.docx", "A 13556-2024")</f>
        <v/>
      </c>
    </row>
    <row r="100" ht="15" customHeight="1">
      <c r="A100" t="inlineStr">
        <is>
          <t>A 49642-2025</t>
        </is>
      </c>
      <c r="B100" s="1" t="n">
        <v>45939.61542824074</v>
      </c>
      <c r="C100" s="1" t="n">
        <v>46181</v>
      </c>
      <c r="D100" t="inlineStr">
        <is>
          <t>VÄSTERNORRLANDS LÄN</t>
        </is>
      </c>
      <c r="E100" t="inlineStr">
        <is>
          <t>SUNDSVALL</t>
        </is>
      </c>
      <c r="F100" t="inlineStr">
        <is>
          <t>SCA</t>
        </is>
      </c>
      <c r="G100" t="n">
        <v>3.9</v>
      </c>
      <c r="H100" t="n">
        <v>2</v>
      </c>
      <c r="I100" t="n">
        <v>2</v>
      </c>
      <c r="J100" t="n">
        <v>2</v>
      </c>
      <c r="K100" t="n">
        <v>0</v>
      </c>
      <c r="L100" t="n">
        <v>0</v>
      </c>
      <c r="M100" t="n">
        <v>0</v>
      </c>
      <c r="N100" t="n">
        <v>0</v>
      </c>
      <c r="O100" t="n">
        <v>2</v>
      </c>
      <c r="P100" t="n">
        <v>0</v>
      </c>
      <c r="Q100" t="n">
        <v>5</v>
      </c>
      <c r="R100" s="2" t="inlineStr">
        <is>
          <t>Lunglav
Spillkråka
Skinnlav
Stuplav
Lavskrika</t>
        </is>
      </c>
      <c r="S100">
        <f>HYPERLINK("https://klasma.github.io/Logging_2281/artfynd/A 49642-2025 artfynd.xlsx", "A 49642-2025")</f>
        <v/>
      </c>
      <c r="T100">
        <f>HYPERLINK("https://klasma.github.io/Logging_2281/kartor/A 49642-2025 karta.png", "A 49642-2025")</f>
        <v/>
      </c>
      <c r="V100">
        <f>HYPERLINK("https://klasma.github.io/Logging_2281/klagomål/A 49642-2025 FSC-klagomål.docx", "A 49642-2025")</f>
        <v/>
      </c>
      <c r="W100">
        <f>HYPERLINK("https://klasma.github.io/Logging_2281/klagomålsmail/A 49642-2025 FSC-klagomål mail.docx", "A 49642-2025")</f>
        <v/>
      </c>
      <c r="X100">
        <f>HYPERLINK("https://klasma.github.io/Logging_2281/tillsyn/A 49642-2025 tillsynsbegäran.docx", "A 49642-2025")</f>
        <v/>
      </c>
      <c r="Y100">
        <f>HYPERLINK("https://klasma.github.io/Logging_2281/tillsynsmail/A 49642-2025 tillsynsbegäran mail.docx", "A 49642-2025")</f>
        <v/>
      </c>
      <c r="Z100">
        <f>HYPERLINK("https://klasma.github.io/Logging_2281/fåglar/A 49642-2025 prioriterade fågelarter.docx", "A 49642-2025")</f>
        <v/>
      </c>
    </row>
    <row r="101" ht="15" customHeight="1">
      <c r="A101" t="inlineStr">
        <is>
          <t>A 60009-2024</t>
        </is>
      </c>
      <c r="B101" s="1" t="n">
        <v>45642.42752314815</v>
      </c>
      <c r="C101" s="1" t="n">
        <v>46181</v>
      </c>
      <c r="D101" t="inlineStr">
        <is>
          <t>VÄSTERNORRLANDS LÄN</t>
        </is>
      </c>
      <c r="E101" t="inlineStr">
        <is>
          <t>SUNDSVALL</t>
        </is>
      </c>
      <c r="F101" t="inlineStr">
        <is>
          <t>SCA</t>
        </is>
      </c>
      <c r="G101" t="n">
        <v>9.6</v>
      </c>
      <c r="H101" t="n">
        <v>0</v>
      </c>
      <c r="I101" t="n">
        <v>0</v>
      </c>
      <c r="J101" t="n">
        <v>5</v>
      </c>
      <c r="K101" t="n">
        <v>0</v>
      </c>
      <c r="L101" t="n">
        <v>0</v>
      </c>
      <c r="M101" t="n">
        <v>0</v>
      </c>
      <c r="N101" t="n">
        <v>0</v>
      </c>
      <c r="O101" t="n">
        <v>5</v>
      </c>
      <c r="P101" t="n">
        <v>0</v>
      </c>
      <c r="Q101" t="n">
        <v>5</v>
      </c>
      <c r="R101" s="2" t="inlineStr">
        <is>
          <t>Garnlav
Kolflarnlav
Mörk kolflarnlav
Reliktbock
Vedskivlav</t>
        </is>
      </c>
      <c r="S101">
        <f>HYPERLINK("https://klasma.github.io/Logging_2281/artfynd/A 60009-2024 artfynd.xlsx", "A 60009-2024")</f>
        <v/>
      </c>
      <c r="T101">
        <f>HYPERLINK("https://klasma.github.io/Logging_2281/kartor/A 60009-2024 karta.png", "A 60009-2024")</f>
        <v/>
      </c>
      <c r="V101">
        <f>HYPERLINK("https://klasma.github.io/Logging_2281/klagomål/A 60009-2024 FSC-klagomål.docx", "A 60009-2024")</f>
        <v/>
      </c>
      <c r="W101">
        <f>HYPERLINK("https://klasma.github.io/Logging_2281/klagomålsmail/A 60009-2024 FSC-klagomål mail.docx", "A 60009-2024")</f>
        <v/>
      </c>
      <c r="X101">
        <f>HYPERLINK("https://klasma.github.io/Logging_2281/tillsyn/A 60009-2024 tillsynsbegäran.docx", "A 60009-2024")</f>
        <v/>
      </c>
      <c r="Y101">
        <f>HYPERLINK("https://klasma.github.io/Logging_2281/tillsynsmail/A 60009-2024 tillsynsbegäran mail.docx", "A 60009-2024")</f>
        <v/>
      </c>
    </row>
    <row r="102" ht="15" customHeight="1">
      <c r="A102" t="inlineStr">
        <is>
          <t>A 57391-2025</t>
        </is>
      </c>
      <c r="B102" s="1" t="n">
        <v>45980.42244212963</v>
      </c>
      <c r="C102" s="1" t="n">
        <v>46181</v>
      </c>
      <c r="D102" t="inlineStr">
        <is>
          <t>VÄSTERNORRLANDS LÄN</t>
        </is>
      </c>
      <c r="E102" t="inlineStr">
        <is>
          <t>SUNDSVALL</t>
        </is>
      </c>
      <c r="G102" t="n">
        <v>4</v>
      </c>
      <c r="H102" t="n">
        <v>1</v>
      </c>
      <c r="I102" t="n">
        <v>0</v>
      </c>
      <c r="J102" t="n">
        <v>3</v>
      </c>
      <c r="K102" t="n">
        <v>2</v>
      </c>
      <c r="L102" t="n">
        <v>0</v>
      </c>
      <c r="M102" t="n">
        <v>0</v>
      </c>
      <c r="N102" t="n">
        <v>0</v>
      </c>
      <c r="O102" t="n">
        <v>5</v>
      </c>
      <c r="P102" t="n">
        <v>2</v>
      </c>
      <c r="Q102" t="n">
        <v>5</v>
      </c>
      <c r="R102" s="2" t="inlineStr">
        <is>
          <t>Laxporing
Rynkskinn
Rosenticka
Talltita
Ullticka</t>
        </is>
      </c>
      <c r="S102">
        <f>HYPERLINK("https://klasma.github.io/Logging_2281/artfynd/A 57391-2025 artfynd.xlsx", "A 57391-2025")</f>
        <v/>
      </c>
      <c r="T102">
        <f>HYPERLINK("https://klasma.github.io/Logging_2281/kartor/A 57391-2025 karta.png", "A 57391-2025")</f>
        <v/>
      </c>
      <c r="V102">
        <f>HYPERLINK("https://klasma.github.io/Logging_2281/klagomål/A 57391-2025 FSC-klagomål.docx", "A 57391-2025")</f>
        <v/>
      </c>
      <c r="W102">
        <f>HYPERLINK("https://klasma.github.io/Logging_2281/klagomålsmail/A 57391-2025 FSC-klagomål mail.docx", "A 57391-2025")</f>
        <v/>
      </c>
      <c r="X102">
        <f>HYPERLINK("https://klasma.github.io/Logging_2281/tillsyn/A 57391-2025 tillsynsbegäran.docx", "A 57391-2025")</f>
        <v/>
      </c>
      <c r="Y102">
        <f>HYPERLINK("https://klasma.github.io/Logging_2281/tillsynsmail/A 57391-2025 tillsynsbegäran mail.docx", "A 57391-2025")</f>
        <v/>
      </c>
      <c r="Z102">
        <f>HYPERLINK("https://klasma.github.io/Logging_2281/fåglar/A 57391-2025 prioriterade fågelarter.docx", "A 57391-2025")</f>
        <v/>
      </c>
    </row>
    <row r="103" ht="15" customHeight="1">
      <c r="A103" t="inlineStr">
        <is>
          <t>A 57864-2025</t>
        </is>
      </c>
      <c r="B103" s="1" t="n">
        <v>45981</v>
      </c>
      <c r="C103" s="1" t="n">
        <v>46181</v>
      </c>
      <c r="D103" t="inlineStr">
        <is>
          <t>VÄSTERNORRLANDS LÄN</t>
        </is>
      </c>
      <c r="E103" t="inlineStr">
        <is>
          <t>SUNDSVALL</t>
        </is>
      </c>
      <c r="G103" t="n">
        <v>1.9</v>
      </c>
      <c r="H103" t="n">
        <v>2</v>
      </c>
      <c r="I103" t="n">
        <v>2</v>
      </c>
      <c r="J103" t="n">
        <v>2</v>
      </c>
      <c r="K103" t="n">
        <v>1</v>
      </c>
      <c r="L103" t="n">
        <v>0</v>
      </c>
      <c r="M103" t="n">
        <v>0</v>
      </c>
      <c r="N103" t="n">
        <v>0</v>
      </c>
      <c r="O103" t="n">
        <v>3</v>
      </c>
      <c r="P103" t="n">
        <v>1</v>
      </c>
      <c r="Q103" t="n">
        <v>5</v>
      </c>
      <c r="R103" s="2" t="inlineStr">
        <is>
          <t>Knärot
Tretåig hackspett
Ullticka
Korallblylav
Vedticka</t>
        </is>
      </c>
      <c r="S103">
        <f>HYPERLINK("https://klasma.github.io/Logging_2281/artfynd/A 57864-2025 artfynd.xlsx", "A 57864-2025")</f>
        <v/>
      </c>
      <c r="T103">
        <f>HYPERLINK("https://klasma.github.io/Logging_2281/kartor/A 57864-2025 karta.png", "A 57864-2025")</f>
        <v/>
      </c>
      <c r="U103">
        <f>HYPERLINK("https://klasma.github.io/Logging_2281/knärot/A 57864-2025 karta knärot.png", "A 57864-2025")</f>
        <v/>
      </c>
      <c r="V103">
        <f>HYPERLINK("https://klasma.github.io/Logging_2281/klagomål/A 57864-2025 FSC-klagomål.docx", "A 57864-2025")</f>
        <v/>
      </c>
      <c r="W103">
        <f>HYPERLINK("https://klasma.github.io/Logging_2281/klagomålsmail/A 57864-2025 FSC-klagomål mail.docx", "A 57864-2025")</f>
        <v/>
      </c>
      <c r="X103">
        <f>HYPERLINK("https://klasma.github.io/Logging_2281/tillsyn/A 57864-2025 tillsynsbegäran.docx", "A 57864-2025")</f>
        <v/>
      </c>
      <c r="Y103">
        <f>HYPERLINK("https://klasma.github.io/Logging_2281/tillsynsmail/A 57864-2025 tillsynsbegäran mail.docx", "A 57864-2025")</f>
        <v/>
      </c>
      <c r="Z103">
        <f>HYPERLINK("https://klasma.github.io/Logging_2281/fåglar/A 57864-2025 prioriterade fågelarter.docx", "A 57864-2025")</f>
        <v/>
      </c>
    </row>
    <row r="104" ht="15" customHeight="1">
      <c r="A104" t="inlineStr">
        <is>
          <t>A 57859-2024</t>
        </is>
      </c>
      <c r="B104" s="1" t="n">
        <v>45631.42853009259</v>
      </c>
      <c r="C104" s="1" t="n">
        <v>46181</v>
      </c>
      <c r="D104" t="inlineStr">
        <is>
          <t>VÄSTERNORRLANDS LÄN</t>
        </is>
      </c>
      <c r="E104" t="inlineStr">
        <is>
          <t>SUNDSVALL</t>
        </is>
      </c>
      <c r="G104" t="n">
        <v>2.3</v>
      </c>
      <c r="H104" t="n">
        <v>5</v>
      </c>
      <c r="I104" t="n">
        <v>0</v>
      </c>
      <c r="J104" t="n">
        <v>2</v>
      </c>
      <c r="K104" t="n">
        <v>0</v>
      </c>
      <c r="L104" t="n">
        <v>0</v>
      </c>
      <c r="M104" t="n">
        <v>0</v>
      </c>
      <c r="N104" t="n">
        <v>0</v>
      </c>
      <c r="O104" t="n">
        <v>2</v>
      </c>
      <c r="P104" t="n">
        <v>0</v>
      </c>
      <c r="Q104" t="n">
        <v>5</v>
      </c>
      <c r="R104" s="2" t="inlineStr">
        <is>
          <t>Spillkråka
Tretåig hackspett
Grönsiska
Fläcknycklar
Revlummer</t>
        </is>
      </c>
      <c r="S104">
        <f>HYPERLINK("https://klasma.github.io/Logging_2281/artfynd/A 57859-2024 artfynd.xlsx", "A 57859-2024")</f>
        <v/>
      </c>
      <c r="T104">
        <f>HYPERLINK("https://klasma.github.io/Logging_2281/kartor/A 57859-2024 karta.png", "A 57859-2024")</f>
        <v/>
      </c>
      <c r="V104">
        <f>HYPERLINK("https://klasma.github.io/Logging_2281/klagomål/A 57859-2024 FSC-klagomål.docx", "A 57859-2024")</f>
        <v/>
      </c>
      <c r="W104">
        <f>HYPERLINK("https://klasma.github.io/Logging_2281/klagomålsmail/A 57859-2024 FSC-klagomål mail.docx", "A 57859-2024")</f>
        <v/>
      </c>
      <c r="X104">
        <f>HYPERLINK("https://klasma.github.io/Logging_2281/tillsyn/A 57859-2024 tillsynsbegäran.docx", "A 57859-2024")</f>
        <v/>
      </c>
      <c r="Y104">
        <f>HYPERLINK("https://klasma.github.io/Logging_2281/tillsynsmail/A 57859-2024 tillsynsbegäran mail.docx", "A 57859-2024")</f>
        <v/>
      </c>
      <c r="Z104">
        <f>HYPERLINK("https://klasma.github.io/Logging_2281/fåglar/A 57859-2024 prioriterade fågelarter.docx", "A 57859-2024")</f>
        <v/>
      </c>
    </row>
    <row r="105" ht="15" customHeight="1">
      <c r="A105" t="inlineStr">
        <is>
          <t>A 4865-2025</t>
        </is>
      </c>
      <c r="B105" s="1" t="n">
        <v>45688.67528935185</v>
      </c>
      <c r="C105" s="1" t="n">
        <v>46181</v>
      </c>
      <c r="D105" t="inlineStr">
        <is>
          <t>VÄSTERNORRLANDS LÄN</t>
        </is>
      </c>
      <c r="E105" t="inlineStr">
        <is>
          <t>SUNDSVALL</t>
        </is>
      </c>
      <c r="F105" t="inlineStr">
        <is>
          <t>SCA</t>
        </is>
      </c>
      <c r="G105" t="n">
        <v>7.3</v>
      </c>
      <c r="H105" t="n">
        <v>4</v>
      </c>
      <c r="I105" t="n">
        <v>1</v>
      </c>
      <c r="J105" t="n">
        <v>3</v>
      </c>
      <c r="K105" t="n">
        <v>0</v>
      </c>
      <c r="L105" t="n">
        <v>0</v>
      </c>
      <c r="M105" t="n">
        <v>0</v>
      </c>
      <c r="N105" t="n">
        <v>0</v>
      </c>
      <c r="O105" t="n">
        <v>3</v>
      </c>
      <c r="P105" t="n">
        <v>0</v>
      </c>
      <c r="Q105" t="n">
        <v>5</v>
      </c>
      <c r="R105" s="2" t="inlineStr">
        <is>
          <t>Järpe
Lunglav
Tretåig hackspett
Spindelblomster
Tjäder</t>
        </is>
      </c>
      <c r="S105">
        <f>HYPERLINK("https://klasma.github.io/Logging_2281/artfynd/A 4865-2025 artfynd.xlsx", "A 4865-2025")</f>
        <v/>
      </c>
      <c r="T105">
        <f>HYPERLINK("https://klasma.github.io/Logging_2281/kartor/A 4865-2025 karta.png", "A 4865-2025")</f>
        <v/>
      </c>
      <c r="U105">
        <f>HYPERLINK("https://klasma.github.io/Logging_2281/knärot/A 4865-2025 karta knärot.png", "A 4865-2025")</f>
        <v/>
      </c>
      <c r="V105">
        <f>HYPERLINK("https://klasma.github.io/Logging_2281/klagomål/A 4865-2025 FSC-klagomål.docx", "A 4865-2025")</f>
        <v/>
      </c>
      <c r="W105">
        <f>HYPERLINK("https://klasma.github.io/Logging_2281/klagomålsmail/A 4865-2025 FSC-klagomål mail.docx", "A 4865-2025")</f>
        <v/>
      </c>
      <c r="X105">
        <f>HYPERLINK("https://klasma.github.io/Logging_2281/tillsyn/A 4865-2025 tillsynsbegäran.docx", "A 4865-2025")</f>
        <v/>
      </c>
      <c r="Y105">
        <f>HYPERLINK("https://klasma.github.io/Logging_2281/tillsynsmail/A 4865-2025 tillsynsbegäran mail.docx", "A 4865-2025")</f>
        <v/>
      </c>
      <c r="Z105">
        <f>HYPERLINK("https://klasma.github.io/Logging_2281/fåglar/A 4865-2025 prioriterade fågelarter.docx", "A 4865-2025")</f>
        <v/>
      </c>
    </row>
    <row r="106" ht="15" customHeight="1">
      <c r="A106" t="inlineStr">
        <is>
          <t>A 18829-2023</t>
        </is>
      </c>
      <c r="B106" s="1" t="n">
        <v>45042</v>
      </c>
      <c r="C106" s="1" t="n">
        <v>46181</v>
      </c>
      <c r="D106" t="inlineStr">
        <is>
          <t>VÄSTERNORRLANDS LÄN</t>
        </is>
      </c>
      <c r="E106" t="inlineStr">
        <is>
          <t>SUNDSVALL</t>
        </is>
      </c>
      <c r="G106" t="n">
        <v>9.9</v>
      </c>
      <c r="H106" t="n">
        <v>4</v>
      </c>
      <c r="I106" t="n">
        <v>0</v>
      </c>
      <c r="J106" t="n">
        <v>3</v>
      </c>
      <c r="K106" t="n">
        <v>0</v>
      </c>
      <c r="L106" t="n">
        <v>0</v>
      </c>
      <c r="M106" t="n">
        <v>0</v>
      </c>
      <c r="N106" t="n">
        <v>0</v>
      </c>
      <c r="O106" t="n">
        <v>3</v>
      </c>
      <c r="P106" t="n">
        <v>0</v>
      </c>
      <c r="Q106" t="n">
        <v>5</v>
      </c>
      <c r="R106" s="2" t="inlineStr">
        <is>
          <t>Garnlav
Järpe
Rödvingetrast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55854-2022</t>
        </is>
      </c>
      <c r="B107" s="1" t="n">
        <v>44886</v>
      </c>
      <c r="C107" s="1" t="n">
        <v>46181</v>
      </c>
      <c r="D107" t="inlineStr">
        <is>
          <t>VÄSTERNORRLANDS LÄN</t>
        </is>
      </c>
      <c r="E107" t="inlineStr">
        <is>
          <t>SUNDSVALL</t>
        </is>
      </c>
      <c r="G107" t="n">
        <v>3.8</v>
      </c>
      <c r="H107" t="n">
        <v>2</v>
      </c>
      <c r="I107" t="n">
        <v>0</v>
      </c>
      <c r="J107" t="n">
        <v>2</v>
      </c>
      <c r="K107" t="n">
        <v>1</v>
      </c>
      <c r="L107" t="n">
        <v>0</v>
      </c>
      <c r="M107" t="n">
        <v>0</v>
      </c>
      <c r="N107" t="n">
        <v>0</v>
      </c>
      <c r="O107" t="n">
        <v>3</v>
      </c>
      <c r="P107" t="n">
        <v>1</v>
      </c>
      <c r="Q107" t="n">
        <v>5</v>
      </c>
      <c r="R107" s="2" t="inlineStr">
        <is>
          <t>Sanddraba
Sminkrot
Vårstarr
Pärluggla
Gullviva</t>
        </is>
      </c>
      <c r="S107">
        <f>HYPERLINK("https://klasma.github.io/Logging_2281/artfynd/A 55854-2022 artfynd.xlsx", "A 55854-2022")</f>
        <v/>
      </c>
      <c r="T107">
        <f>HYPERLINK("https://klasma.github.io/Logging_2281/kartor/A 55854-2022 karta.png", "A 55854-2022")</f>
        <v/>
      </c>
      <c r="V107">
        <f>HYPERLINK("https://klasma.github.io/Logging_2281/klagomål/A 55854-2022 FSC-klagomål.docx", "A 55854-2022")</f>
        <v/>
      </c>
      <c r="W107">
        <f>HYPERLINK("https://klasma.github.io/Logging_2281/klagomålsmail/A 55854-2022 FSC-klagomål mail.docx", "A 55854-2022")</f>
        <v/>
      </c>
      <c r="X107">
        <f>HYPERLINK("https://klasma.github.io/Logging_2281/tillsyn/A 55854-2022 tillsynsbegäran.docx", "A 55854-2022")</f>
        <v/>
      </c>
      <c r="Y107">
        <f>HYPERLINK("https://klasma.github.io/Logging_2281/tillsynsmail/A 55854-2022 tillsynsbegäran mail.docx", "A 55854-2022")</f>
        <v/>
      </c>
      <c r="Z107">
        <f>HYPERLINK("https://klasma.github.io/Logging_2281/fåglar/A 55854-2022 prioriterade fågelarter.docx", "A 55854-2022")</f>
        <v/>
      </c>
    </row>
    <row r="108" ht="15" customHeight="1">
      <c r="A108" t="inlineStr">
        <is>
          <t>A 16943-2025</t>
        </is>
      </c>
      <c r="B108" s="1" t="n">
        <v>45755.42534722222</v>
      </c>
      <c r="C108" s="1" t="n">
        <v>46181</v>
      </c>
      <c r="D108" t="inlineStr">
        <is>
          <t>VÄSTERNORRLANDS LÄN</t>
        </is>
      </c>
      <c r="E108" t="inlineStr">
        <is>
          <t>SUNDSVALL</t>
        </is>
      </c>
      <c r="G108" t="n">
        <v>5.7</v>
      </c>
      <c r="H108" t="n">
        <v>3</v>
      </c>
      <c r="I108" t="n">
        <v>0</v>
      </c>
      <c r="J108" t="n">
        <v>3</v>
      </c>
      <c r="K108" t="n">
        <v>0</v>
      </c>
      <c r="L108" t="n">
        <v>0</v>
      </c>
      <c r="M108" t="n">
        <v>0</v>
      </c>
      <c r="N108" t="n">
        <v>0</v>
      </c>
      <c r="O108" t="n">
        <v>3</v>
      </c>
      <c r="P108" t="n">
        <v>0</v>
      </c>
      <c r="Q108" t="n">
        <v>5</v>
      </c>
      <c r="R108" s="2" t="inlineStr">
        <is>
          <t>Garnlav
Tretåig hackspett
Ullticka
Tjäder
Blåsippa</t>
        </is>
      </c>
      <c r="S108">
        <f>HYPERLINK("https://klasma.github.io/Logging_2281/artfynd/A 16943-2025 artfynd.xlsx", "A 16943-2025")</f>
        <v/>
      </c>
      <c r="T108">
        <f>HYPERLINK("https://klasma.github.io/Logging_2281/kartor/A 16943-2025 karta.png", "A 16943-2025")</f>
        <v/>
      </c>
      <c r="V108">
        <f>HYPERLINK("https://klasma.github.io/Logging_2281/klagomål/A 16943-2025 FSC-klagomål.docx", "A 16943-2025")</f>
        <v/>
      </c>
      <c r="W108">
        <f>HYPERLINK("https://klasma.github.io/Logging_2281/klagomålsmail/A 16943-2025 FSC-klagomål mail.docx", "A 16943-2025")</f>
        <v/>
      </c>
      <c r="X108">
        <f>HYPERLINK("https://klasma.github.io/Logging_2281/tillsyn/A 16943-2025 tillsynsbegäran.docx", "A 16943-2025")</f>
        <v/>
      </c>
      <c r="Y108">
        <f>HYPERLINK("https://klasma.github.io/Logging_2281/tillsynsmail/A 16943-2025 tillsynsbegäran mail.docx", "A 16943-2025")</f>
        <v/>
      </c>
      <c r="Z108">
        <f>HYPERLINK("https://klasma.github.io/Logging_2281/fåglar/A 16943-2025 prioriterade fågelarter.docx", "A 16943-2025")</f>
        <v/>
      </c>
    </row>
    <row r="109" ht="15" customHeight="1">
      <c r="A109" t="inlineStr">
        <is>
          <t>A 3598-2026</t>
        </is>
      </c>
      <c r="B109" s="1" t="n">
        <v>46042</v>
      </c>
      <c r="C109" s="1" t="n">
        <v>46181</v>
      </c>
      <c r="D109" t="inlineStr">
        <is>
          <t>VÄSTERNORRLANDS LÄN</t>
        </is>
      </c>
      <c r="E109" t="inlineStr">
        <is>
          <t>SUNDSVALL</t>
        </is>
      </c>
      <c r="G109" t="n">
        <v>6.8</v>
      </c>
      <c r="H109" t="n">
        <v>2</v>
      </c>
      <c r="I109" t="n">
        <v>1</v>
      </c>
      <c r="J109" t="n">
        <v>4</v>
      </c>
      <c r="K109" t="n">
        <v>0</v>
      </c>
      <c r="L109" t="n">
        <v>0</v>
      </c>
      <c r="M109" t="n">
        <v>0</v>
      </c>
      <c r="N109" t="n">
        <v>0</v>
      </c>
      <c r="O109" t="n">
        <v>4</v>
      </c>
      <c r="P109" t="n">
        <v>0</v>
      </c>
      <c r="Q109" t="n">
        <v>5</v>
      </c>
      <c r="R109" s="2" t="inlineStr">
        <is>
          <t>Garnlav
Lunglav
Talltita
Tretåig hackspett
Kattfotslav</t>
        </is>
      </c>
      <c r="S109">
        <f>HYPERLINK("https://klasma.github.io/Logging_2281/artfynd/A 3598-2026 artfynd.xlsx", "A 3598-2026")</f>
        <v/>
      </c>
      <c r="T109">
        <f>HYPERLINK("https://klasma.github.io/Logging_2281/kartor/A 3598-2026 karta.png", "A 3598-2026")</f>
        <v/>
      </c>
      <c r="V109">
        <f>HYPERLINK("https://klasma.github.io/Logging_2281/klagomål/A 3598-2026 FSC-klagomål.docx", "A 3598-2026")</f>
        <v/>
      </c>
      <c r="W109">
        <f>HYPERLINK("https://klasma.github.io/Logging_2281/klagomålsmail/A 3598-2026 FSC-klagomål mail.docx", "A 3598-2026")</f>
        <v/>
      </c>
      <c r="X109">
        <f>HYPERLINK("https://klasma.github.io/Logging_2281/tillsyn/A 3598-2026 tillsynsbegäran.docx", "A 3598-2026")</f>
        <v/>
      </c>
      <c r="Y109">
        <f>HYPERLINK("https://klasma.github.io/Logging_2281/tillsynsmail/A 3598-2026 tillsynsbegäran mail.docx", "A 3598-2026")</f>
        <v/>
      </c>
      <c r="Z109">
        <f>HYPERLINK("https://klasma.github.io/Logging_2281/fåglar/A 3598-2026 prioriterade fågelarter.docx", "A 3598-2026")</f>
        <v/>
      </c>
    </row>
    <row r="110" ht="15" customHeight="1">
      <c r="A110" t="inlineStr">
        <is>
          <t>A 21663-2022</t>
        </is>
      </c>
      <c r="B110" s="1" t="n">
        <v>44706.94302083334</v>
      </c>
      <c r="C110" s="1" t="n">
        <v>46181</v>
      </c>
      <c r="D110" t="inlineStr">
        <is>
          <t>VÄSTERNORRLANDS LÄN</t>
        </is>
      </c>
      <c r="E110" t="inlineStr">
        <is>
          <t>SUNDSVALL</t>
        </is>
      </c>
      <c r="F110" t="inlineStr">
        <is>
          <t>SCA</t>
        </is>
      </c>
      <c r="G110" t="n">
        <v>1.5</v>
      </c>
      <c r="H110" t="n">
        <v>2</v>
      </c>
      <c r="I110" t="n">
        <v>0</v>
      </c>
      <c r="J110" t="n">
        <v>4</v>
      </c>
      <c r="K110" t="n">
        <v>0</v>
      </c>
      <c r="L110" t="n">
        <v>0</v>
      </c>
      <c r="M110" t="n">
        <v>0</v>
      </c>
      <c r="N110" t="n">
        <v>0</v>
      </c>
      <c r="O110" t="n">
        <v>4</v>
      </c>
      <c r="P110" t="n">
        <v>0</v>
      </c>
      <c r="Q110" t="n">
        <v>4</v>
      </c>
      <c r="R110" s="2" t="inlineStr">
        <is>
          <t>Garnlav
Svartvit flugsnappare
Talltita
Ullticka</t>
        </is>
      </c>
      <c r="S110">
        <f>HYPERLINK("https://klasma.github.io/Logging_2281/artfynd/A 21663-2022 artfynd.xlsx", "A 21663-2022")</f>
        <v/>
      </c>
      <c r="T110">
        <f>HYPERLINK("https://klasma.github.io/Logging_2281/kartor/A 21663-2022 karta.png", "A 21663-2022")</f>
        <v/>
      </c>
      <c r="U110">
        <f>HYPERLINK("https://klasma.github.io/Logging_2281/knärot/A 21663-2022 karta knärot.png", "A 21663-2022")</f>
        <v/>
      </c>
      <c r="V110">
        <f>HYPERLINK("https://klasma.github.io/Logging_2281/klagomål/A 21663-2022 FSC-klagomål.docx", "A 21663-2022")</f>
        <v/>
      </c>
      <c r="W110">
        <f>HYPERLINK("https://klasma.github.io/Logging_2281/klagomålsmail/A 21663-2022 FSC-klagomål mail.docx", "A 21663-2022")</f>
        <v/>
      </c>
      <c r="X110">
        <f>HYPERLINK("https://klasma.github.io/Logging_2281/tillsyn/A 21663-2022 tillsynsbegäran.docx", "A 21663-2022")</f>
        <v/>
      </c>
      <c r="Y110">
        <f>HYPERLINK("https://klasma.github.io/Logging_2281/tillsynsmail/A 21663-2022 tillsynsbegäran mail.docx", "A 21663-2022")</f>
        <v/>
      </c>
      <c r="Z110">
        <f>HYPERLINK("https://klasma.github.io/Logging_2281/fåglar/A 21663-2022 prioriterade fågelarter.docx", "A 21663-2022")</f>
        <v/>
      </c>
    </row>
    <row r="111" ht="15" customHeight="1">
      <c r="A111" t="inlineStr">
        <is>
          <t>A 27950-2022</t>
        </is>
      </c>
      <c r="B111" s="1" t="n">
        <v>44743.94391203704</v>
      </c>
      <c r="C111" s="1" t="n">
        <v>46181</v>
      </c>
      <c r="D111" t="inlineStr">
        <is>
          <t>VÄSTERNORRLANDS LÄN</t>
        </is>
      </c>
      <c r="E111" t="inlineStr">
        <is>
          <t>SUNDSVALL</t>
        </is>
      </c>
      <c r="F111" t="inlineStr">
        <is>
          <t>SCA</t>
        </is>
      </c>
      <c r="G111" t="n">
        <v>3.6</v>
      </c>
      <c r="H111" t="n">
        <v>4</v>
      </c>
      <c r="I111" t="n">
        <v>0</v>
      </c>
      <c r="J111" t="n">
        <v>3</v>
      </c>
      <c r="K111" t="n">
        <v>1</v>
      </c>
      <c r="L111" t="n">
        <v>0</v>
      </c>
      <c r="M111" t="n">
        <v>0</v>
      </c>
      <c r="N111" t="n">
        <v>0</v>
      </c>
      <c r="O111" t="n">
        <v>4</v>
      </c>
      <c r="P111" t="n">
        <v>1</v>
      </c>
      <c r="Q111" t="n">
        <v>4</v>
      </c>
      <c r="R111" s="2" t="inlineStr">
        <is>
          <t>Knärot
Järpe
Spillkråka
Tretåig hackspett</t>
        </is>
      </c>
      <c r="S111">
        <f>HYPERLINK("https://klasma.github.io/Logging_2281/artfynd/A 27950-2022 artfynd.xlsx", "A 27950-2022")</f>
        <v/>
      </c>
      <c r="T111">
        <f>HYPERLINK("https://klasma.github.io/Logging_2281/kartor/A 27950-2022 karta.png", "A 27950-2022")</f>
        <v/>
      </c>
      <c r="U111">
        <f>HYPERLINK("https://klasma.github.io/Logging_2281/knärot/A 27950-2022 karta knärot.png", "A 27950-2022")</f>
        <v/>
      </c>
      <c r="V111">
        <f>HYPERLINK("https://klasma.github.io/Logging_2281/klagomål/A 27950-2022 FSC-klagomål.docx", "A 27950-2022")</f>
        <v/>
      </c>
      <c r="W111">
        <f>HYPERLINK("https://klasma.github.io/Logging_2281/klagomålsmail/A 27950-2022 FSC-klagomål mail.docx", "A 27950-2022")</f>
        <v/>
      </c>
      <c r="X111">
        <f>HYPERLINK("https://klasma.github.io/Logging_2281/tillsyn/A 27950-2022 tillsynsbegäran.docx", "A 27950-2022")</f>
        <v/>
      </c>
      <c r="Y111">
        <f>HYPERLINK("https://klasma.github.io/Logging_2281/tillsynsmail/A 27950-2022 tillsynsbegäran mail.docx", "A 27950-2022")</f>
        <v/>
      </c>
      <c r="Z111">
        <f>HYPERLINK("https://klasma.github.io/Logging_2281/fåglar/A 27950-2022 prioriterade fågelarter.docx", "A 27950-2022")</f>
        <v/>
      </c>
    </row>
    <row r="112" ht="15" customHeight="1">
      <c r="A112" t="inlineStr">
        <is>
          <t>A 24016-2025</t>
        </is>
      </c>
      <c r="B112" s="1" t="n">
        <v>45796.44878472222</v>
      </c>
      <c r="C112" s="1" t="n">
        <v>46181</v>
      </c>
      <c r="D112" t="inlineStr">
        <is>
          <t>VÄSTERNORRLANDS LÄN</t>
        </is>
      </c>
      <c r="E112" t="inlineStr">
        <is>
          <t>SUNDSVALL</t>
        </is>
      </c>
      <c r="F112" t="inlineStr">
        <is>
          <t>Naturvårdsverket</t>
        </is>
      </c>
      <c r="G112" t="n">
        <v>4.1</v>
      </c>
      <c r="H112" t="n">
        <v>0</v>
      </c>
      <c r="I112" t="n">
        <v>0</v>
      </c>
      <c r="J112" t="n">
        <v>4</v>
      </c>
      <c r="K112" t="n">
        <v>0</v>
      </c>
      <c r="L112" t="n">
        <v>0</v>
      </c>
      <c r="M112" t="n">
        <v>0</v>
      </c>
      <c r="N112" t="n">
        <v>0</v>
      </c>
      <c r="O112" t="n">
        <v>4</v>
      </c>
      <c r="P112" t="n">
        <v>0</v>
      </c>
      <c r="Q112" t="n">
        <v>4</v>
      </c>
      <c r="R112" s="2" t="inlineStr">
        <is>
          <t>Garnlav
Kolflarnlav
Vedflamlav
Vedskivlav</t>
        </is>
      </c>
      <c r="S112">
        <f>HYPERLINK("https://klasma.github.io/Logging_2281/artfynd/A 24016-2025 artfynd.xlsx", "A 24016-2025")</f>
        <v/>
      </c>
      <c r="T112">
        <f>HYPERLINK("https://klasma.github.io/Logging_2281/kartor/A 24016-2025 karta.png", "A 24016-2025")</f>
        <v/>
      </c>
      <c r="V112">
        <f>HYPERLINK("https://klasma.github.io/Logging_2281/klagomål/A 24016-2025 FSC-klagomål.docx", "A 24016-2025")</f>
        <v/>
      </c>
      <c r="W112">
        <f>HYPERLINK("https://klasma.github.io/Logging_2281/klagomålsmail/A 24016-2025 FSC-klagomål mail.docx", "A 24016-2025")</f>
        <v/>
      </c>
      <c r="X112">
        <f>HYPERLINK("https://klasma.github.io/Logging_2281/tillsyn/A 24016-2025 tillsynsbegäran.docx", "A 24016-2025")</f>
        <v/>
      </c>
      <c r="Y112">
        <f>HYPERLINK("https://klasma.github.io/Logging_2281/tillsynsmail/A 24016-2025 tillsynsbegäran mail.docx", "A 24016-2025")</f>
        <v/>
      </c>
    </row>
    <row r="113" ht="15" customHeight="1">
      <c r="A113" t="inlineStr">
        <is>
          <t>A 25117-2025</t>
        </is>
      </c>
      <c r="B113" s="1" t="n">
        <v>45800.365</v>
      </c>
      <c r="C113" s="1" t="n">
        <v>46181</v>
      </c>
      <c r="D113" t="inlineStr">
        <is>
          <t>VÄSTERNORRLANDS LÄN</t>
        </is>
      </c>
      <c r="E113" t="inlineStr">
        <is>
          <t>SUNDSVALL</t>
        </is>
      </c>
      <c r="F113" t="inlineStr">
        <is>
          <t>SCA</t>
        </is>
      </c>
      <c r="G113" t="n">
        <v>2</v>
      </c>
      <c r="H113" t="n">
        <v>1</v>
      </c>
      <c r="I113" t="n">
        <v>1</v>
      </c>
      <c r="J113" t="n">
        <v>3</v>
      </c>
      <c r="K113" t="n">
        <v>0</v>
      </c>
      <c r="L113" t="n">
        <v>0</v>
      </c>
      <c r="M113" t="n">
        <v>0</v>
      </c>
      <c r="N113" t="n">
        <v>0</v>
      </c>
      <c r="O113" t="n">
        <v>3</v>
      </c>
      <c r="P113" t="n">
        <v>0</v>
      </c>
      <c r="Q113" t="n">
        <v>4</v>
      </c>
      <c r="R113" s="2" t="inlineStr">
        <is>
          <t>Garnlav
Kolflarnlav
Spillkråka
Björksplintborre</t>
        </is>
      </c>
      <c r="S113">
        <f>HYPERLINK("https://klasma.github.io/Logging_2281/artfynd/A 25117-2025 artfynd.xlsx", "A 25117-2025")</f>
        <v/>
      </c>
      <c r="T113">
        <f>HYPERLINK("https://klasma.github.io/Logging_2281/kartor/A 25117-2025 karta.png", "A 25117-2025")</f>
        <v/>
      </c>
      <c r="V113">
        <f>HYPERLINK("https://klasma.github.io/Logging_2281/klagomål/A 25117-2025 FSC-klagomål.docx", "A 25117-2025")</f>
        <v/>
      </c>
      <c r="W113">
        <f>HYPERLINK("https://klasma.github.io/Logging_2281/klagomålsmail/A 25117-2025 FSC-klagomål mail.docx", "A 25117-2025")</f>
        <v/>
      </c>
      <c r="X113">
        <f>HYPERLINK("https://klasma.github.io/Logging_2281/tillsyn/A 25117-2025 tillsynsbegäran.docx", "A 25117-2025")</f>
        <v/>
      </c>
      <c r="Y113">
        <f>HYPERLINK("https://klasma.github.io/Logging_2281/tillsynsmail/A 25117-2025 tillsynsbegäran mail.docx", "A 25117-2025")</f>
        <v/>
      </c>
      <c r="Z113">
        <f>HYPERLINK("https://klasma.github.io/Logging_2281/fåglar/A 25117-2025 prioriterade fågelarter.docx", "A 25117-2025")</f>
        <v/>
      </c>
    </row>
    <row r="114" ht="15" customHeight="1">
      <c r="A114" t="inlineStr">
        <is>
          <t>A 40654-2025</t>
        </is>
      </c>
      <c r="B114" s="1" t="n">
        <v>45896.63640046296</v>
      </c>
      <c r="C114" s="1" t="n">
        <v>46181</v>
      </c>
      <c r="D114" t="inlineStr">
        <is>
          <t>VÄSTERNORRLANDS LÄN</t>
        </is>
      </c>
      <c r="E114" t="inlineStr">
        <is>
          <t>SUNDSVALL</t>
        </is>
      </c>
      <c r="F114" t="inlineStr">
        <is>
          <t>Naturvårdsverket</t>
        </is>
      </c>
      <c r="G114" t="n">
        <v>1.2</v>
      </c>
      <c r="H114" t="n">
        <v>0</v>
      </c>
      <c r="I114" t="n">
        <v>1</v>
      </c>
      <c r="J114" t="n">
        <v>3</v>
      </c>
      <c r="K114" t="n">
        <v>0</v>
      </c>
      <c r="L114" t="n">
        <v>0</v>
      </c>
      <c r="M114" t="n">
        <v>0</v>
      </c>
      <c r="N114" t="n">
        <v>0</v>
      </c>
      <c r="O114" t="n">
        <v>3</v>
      </c>
      <c r="P114" t="n">
        <v>0</v>
      </c>
      <c r="Q114" t="n">
        <v>4</v>
      </c>
      <c r="R114" s="2" t="inlineStr">
        <is>
          <t>Garnlav
Granticka
Lunglav
Gulnål</t>
        </is>
      </c>
      <c r="S114">
        <f>HYPERLINK("https://klasma.github.io/Logging_2281/artfynd/A 40654-2025 artfynd.xlsx", "A 40654-2025")</f>
        <v/>
      </c>
      <c r="T114">
        <f>HYPERLINK("https://klasma.github.io/Logging_2281/kartor/A 40654-2025 karta.png", "A 40654-2025")</f>
        <v/>
      </c>
      <c r="V114">
        <f>HYPERLINK("https://klasma.github.io/Logging_2281/klagomål/A 40654-2025 FSC-klagomål.docx", "A 40654-2025")</f>
        <v/>
      </c>
      <c r="W114">
        <f>HYPERLINK("https://klasma.github.io/Logging_2281/klagomålsmail/A 40654-2025 FSC-klagomål mail.docx", "A 40654-2025")</f>
        <v/>
      </c>
      <c r="X114">
        <f>HYPERLINK("https://klasma.github.io/Logging_2281/tillsyn/A 40654-2025 tillsynsbegäran.docx", "A 40654-2025")</f>
        <v/>
      </c>
      <c r="Y114">
        <f>HYPERLINK("https://klasma.github.io/Logging_2281/tillsynsmail/A 40654-2025 tillsynsbegäran mail.docx", "A 40654-2025")</f>
        <v/>
      </c>
    </row>
    <row r="115" ht="15" customHeight="1">
      <c r="A115" t="inlineStr">
        <is>
          <t>A 49997-2021</t>
        </is>
      </c>
      <c r="B115" s="1" t="n">
        <v>44456</v>
      </c>
      <c r="C115" s="1" t="n">
        <v>46181</v>
      </c>
      <c r="D115" t="inlineStr">
        <is>
          <t>VÄSTERNORRLANDS LÄN</t>
        </is>
      </c>
      <c r="E115" t="inlineStr">
        <is>
          <t>SUNDSVALL</t>
        </is>
      </c>
      <c r="G115" t="n">
        <v>1.7</v>
      </c>
      <c r="H115" t="n">
        <v>0</v>
      </c>
      <c r="I115" t="n">
        <v>0</v>
      </c>
      <c r="J115" t="n">
        <v>3</v>
      </c>
      <c r="K115" t="n">
        <v>1</v>
      </c>
      <c r="L115" t="n">
        <v>0</v>
      </c>
      <c r="M115" t="n">
        <v>0</v>
      </c>
      <c r="N115" t="n">
        <v>0</v>
      </c>
      <c r="O115" t="n">
        <v>4</v>
      </c>
      <c r="P115" t="n">
        <v>1</v>
      </c>
      <c r="Q115" t="n">
        <v>4</v>
      </c>
      <c r="R115" s="2" t="inlineStr">
        <is>
          <t>Rynkskinn
Gränsticka
Rosenticka
Ullticka</t>
        </is>
      </c>
      <c r="S115">
        <f>HYPERLINK("https://klasma.github.io/Logging_2281/artfynd/A 49997-2021 artfynd.xlsx", "A 49997-2021")</f>
        <v/>
      </c>
      <c r="T115">
        <f>HYPERLINK("https://klasma.github.io/Logging_2281/kartor/A 49997-2021 karta.png", "A 49997-2021")</f>
        <v/>
      </c>
      <c r="V115">
        <f>HYPERLINK("https://klasma.github.io/Logging_2281/klagomål/A 49997-2021 FSC-klagomål.docx", "A 49997-2021")</f>
        <v/>
      </c>
      <c r="W115">
        <f>HYPERLINK("https://klasma.github.io/Logging_2281/klagomålsmail/A 49997-2021 FSC-klagomål mail.docx", "A 49997-2021")</f>
        <v/>
      </c>
      <c r="X115">
        <f>HYPERLINK("https://klasma.github.io/Logging_2281/tillsyn/A 49997-2021 tillsynsbegäran.docx", "A 49997-2021")</f>
        <v/>
      </c>
      <c r="Y115">
        <f>HYPERLINK("https://klasma.github.io/Logging_2281/tillsynsmail/A 49997-2021 tillsynsbegäran mail.docx", "A 49997-2021")</f>
        <v/>
      </c>
    </row>
    <row r="116" ht="15" customHeight="1">
      <c r="A116" t="inlineStr">
        <is>
          <t>A 25500-2025</t>
        </is>
      </c>
      <c r="B116" s="1" t="n">
        <v>45803</v>
      </c>
      <c r="C116" s="1" t="n">
        <v>46181</v>
      </c>
      <c r="D116" t="inlineStr">
        <is>
          <t>VÄSTERNORRLANDS LÄN</t>
        </is>
      </c>
      <c r="E116" t="inlineStr">
        <is>
          <t>SUNDSVALL</t>
        </is>
      </c>
      <c r="F116" t="inlineStr">
        <is>
          <t>SCA</t>
        </is>
      </c>
      <c r="G116" t="n">
        <v>1.6</v>
      </c>
      <c r="H116" t="n">
        <v>1</v>
      </c>
      <c r="I116" t="n">
        <v>1</v>
      </c>
      <c r="J116" t="n">
        <v>3</v>
      </c>
      <c r="K116" t="n">
        <v>0</v>
      </c>
      <c r="L116" t="n">
        <v>0</v>
      </c>
      <c r="M116" t="n">
        <v>0</v>
      </c>
      <c r="N116" t="n">
        <v>0</v>
      </c>
      <c r="O116" t="n">
        <v>3</v>
      </c>
      <c r="P116" t="n">
        <v>0</v>
      </c>
      <c r="Q116" t="n">
        <v>4</v>
      </c>
      <c r="R116" s="2" t="inlineStr">
        <is>
          <t>Garnlav
Lunglav
Tretåig hackspett
Skinnlav</t>
        </is>
      </c>
      <c r="S116">
        <f>HYPERLINK("https://klasma.github.io/Logging_2281/artfynd/A 25500-2025 artfynd.xlsx", "A 25500-2025")</f>
        <v/>
      </c>
      <c r="T116">
        <f>HYPERLINK("https://klasma.github.io/Logging_2281/kartor/A 25500-2025 karta.png", "A 25500-2025")</f>
        <v/>
      </c>
      <c r="V116">
        <f>HYPERLINK("https://klasma.github.io/Logging_2281/klagomål/A 25500-2025 FSC-klagomål.docx", "A 25500-2025")</f>
        <v/>
      </c>
      <c r="W116">
        <f>HYPERLINK("https://klasma.github.io/Logging_2281/klagomålsmail/A 25500-2025 FSC-klagomål mail.docx", "A 25500-2025")</f>
        <v/>
      </c>
      <c r="X116">
        <f>HYPERLINK("https://klasma.github.io/Logging_2281/tillsyn/A 25500-2025 tillsynsbegäran.docx", "A 25500-2025")</f>
        <v/>
      </c>
      <c r="Y116">
        <f>HYPERLINK("https://klasma.github.io/Logging_2281/tillsynsmail/A 25500-2025 tillsynsbegäran mail.docx", "A 25500-2025")</f>
        <v/>
      </c>
      <c r="Z116">
        <f>HYPERLINK("https://klasma.github.io/Logging_2281/fåglar/A 25500-2025 prioriterade fågelarter.docx", "A 25500-2025")</f>
        <v/>
      </c>
    </row>
    <row r="117" ht="15" customHeight="1">
      <c r="A117" t="inlineStr">
        <is>
          <t>A 48844-2025</t>
        </is>
      </c>
      <c r="B117" s="1" t="n">
        <v>45937.4278125</v>
      </c>
      <c r="C117" s="1" t="n">
        <v>46181</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8691-2026</t>
        </is>
      </c>
      <c r="B118" s="1" t="n">
        <v>46066.4482175926</v>
      </c>
      <c r="C118" s="1" t="n">
        <v>46181</v>
      </c>
      <c r="D118" t="inlineStr">
        <is>
          <t>VÄSTERNORRLANDS LÄN</t>
        </is>
      </c>
      <c r="E118" t="inlineStr">
        <is>
          <t>SUNDSVALL</t>
        </is>
      </c>
      <c r="G118" t="n">
        <v>0.6</v>
      </c>
      <c r="H118" t="n">
        <v>3</v>
      </c>
      <c r="I118" t="n">
        <v>0</v>
      </c>
      <c r="J118" t="n">
        <v>2</v>
      </c>
      <c r="K118" t="n">
        <v>0</v>
      </c>
      <c r="L118" t="n">
        <v>0</v>
      </c>
      <c r="M118" t="n">
        <v>0</v>
      </c>
      <c r="N118" t="n">
        <v>0</v>
      </c>
      <c r="O118" t="n">
        <v>2</v>
      </c>
      <c r="P118" t="n">
        <v>0</v>
      </c>
      <c r="Q118" t="n">
        <v>4</v>
      </c>
      <c r="R118" s="2" t="inlineStr">
        <is>
          <t>Spillkråka
Ullticka
Vanlig padda
Revlummer</t>
        </is>
      </c>
      <c r="S118">
        <f>HYPERLINK("https://klasma.github.io/Logging_2281/artfynd/A 8691-2026 artfynd.xlsx", "A 8691-2026")</f>
        <v/>
      </c>
      <c r="T118">
        <f>HYPERLINK("https://klasma.github.io/Logging_2281/kartor/A 8691-2026 karta.png", "A 8691-2026")</f>
        <v/>
      </c>
      <c r="V118">
        <f>HYPERLINK("https://klasma.github.io/Logging_2281/klagomål/A 8691-2026 FSC-klagomål.docx", "A 8691-2026")</f>
        <v/>
      </c>
      <c r="W118">
        <f>HYPERLINK("https://klasma.github.io/Logging_2281/klagomålsmail/A 8691-2026 FSC-klagomål mail.docx", "A 8691-2026")</f>
        <v/>
      </c>
      <c r="X118">
        <f>HYPERLINK("https://klasma.github.io/Logging_2281/tillsyn/A 8691-2026 tillsynsbegäran.docx", "A 8691-2026")</f>
        <v/>
      </c>
      <c r="Y118">
        <f>HYPERLINK("https://klasma.github.io/Logging_2281/tillsynsmail/A 8691-2026 tillsynsbegäran mail.docx", "A 8691-2026")</f>
        <v/>
      </c>
      <c r="Z118">
        <f>HYPERLINK("https://klasma.github.io/Logging_2281/fåglar/A 8691-2026 prioriterade fågelarter.docx", "A 8691-2026")</f>
        <v/>
      </c>
    </row>
    <row r="119" ht="15" customHeight="1">
      <c r="A119" t="inlineStr">
        <is>
          <t>A 50982-2025</t>
        </is>
      </c>
      <c r="B119" s="1" t="n">
        <v>45947.34473379629</v>
      </c>
      <c r="C119" s="1" t="n">
        <v>46181</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38193-2025</t>
        </is>
      </c>
      <c r="B120" s="1" t="n">
        <v>45882.65716435185</v>
      </c>
      <c r="C120" s="1" t="n">
        <v>46181</v>
      </c>
      <c r="D120" t="inlineStr">
        <is>
          <t>VÄSTERNORRLANDS LÄN</t>
        </is>
      </c>
      <c r="E120" t="inlineStr">
        <is>
          <t>SUNDSVALL</t>
        </is>
      </c>
      <c r="F120" t="inlineStr">
        <is>
          <t>SCA</t>
        </is>
      </c>
      <c r="G120" t="n">
        <v>4</v>
      </c>
      <c r="H120" t="n">
        <v>0</v>
      </c>
      <c r="I120" t="n">
        <v>0</v>
      </c>
      <c r="J120" t="n">
        <v>4</v>
      </c>
      <c r="K120" t="n">
        <v>0</v>
      </c>
      <c r="L120" t="n">
        <v>0</v>
      </c>
      <c r="M120" t="n">
        <v>0</v>
      </c>
      <c r="N120" t="n">
        <v>0</v>
      </c>
      <c r="O120" t="n">
        <v>4</v>
      </c>
      <c r="P120" t="n">
        <v>0</v>
      </c>
      <c r="Q120" t="n">
        <v>4</v>
      </c>
      <c r="R120" s="2" t="inlineStr">
        <is>
          <t>Garnlav
Kolflarnlav
Mörk kolflarnlav
Vedskivlav</t>
        </is>
      </c>
      <c r="S120">
        <f>HYPERLINK("https://klasma.github.io/Logging_2281/artfynd/A 38193-2025 artfynd.xlsx", "A 38193-2025")</f>
        <v/>
      </c>
      <c r="T120">
        <f>HYPERLINK("https://klasma.github.io/Logging_2281/kartor/A 38193-2025 karta.png", "A 38193-2025")</f>
        <v/>
      </c>
      <c r="V120">
        <f>HYPERLINK("https://klasma.github.io/Logging_2281/klagomål/A 38193-2025 FSC-klagomål.docx", "A 38193-2025")</f>
        <v/>
      </c>
      <c r="W120">
        <f>HYPERLINK("https://klasma.github.io/Logging_2281/klagomålsmail/A 38193-2025 FSC-klagomål mail.docx", "A 38193-2025")</f>
        <v/>
      </c>
      <c r="X120">
        <f>HYPERLINK("https://klasma.github.io/Logging_2281/tillsyn/A 38193-2025 tillsynsbegäran.docx", "A 38193-2025")</f>
        <v/>
      </c>
      <c r="Y120">
        <f>HYPERLINK("https://klasma.github.io/Logging_2281/tillsynsmail/A 38193-2025 tillsynsbegäran mail.docx", "A 38193-2025")</f>
        <v/>
      </c>
    </row>
    <row r="121" ht="15" customHeight="1">
      <c r="A121" t="inlineStr">
        <is>
          <t>A 60194-2024</t>
        </is>
      </c>
      <c r="B121" s="1" t="n">
        <v>45642</v>
      </c>
      <c r="C121" s="1" t="n">
        <v>46181</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13391-2025</t>
        </is>
      </c>
      <c r="B122" s="1" t="n">
        <v>45735.69886574074</v>
      </c>
      <c r="C122" s="1" t="n">
        <v>46181</v>
      </c>
      <c r="D122" t="inlineStr">
        <is>
          <t>VÄSTERNORRLANDS LÄN</t>
        </is>
      </c>
      <c r="E122" t="inlineStr">
        <is>
          <t>SUNDSVALL</t>
        </is>
      </c>
      <c r="F122" t="inlineStr">
        <is>
          <t>SCA</t>
        </is>
      </c>
      <c r="G122" t="n">
        <v>3.4</v>
      </c>
      <c r="H122" t="n">
        <v>2</v>
      </c>
      <c r="I122" t="n">
        <v>0</v>
      </c>
      <c r="J122" t="n">
        <v>2</v>
      </c>
      <c r="K122" t="n">
        <v>0</v>
      </c>
      <c r="L122" t="n">
        <v>0</v>
      </c>
      <c r="M122" t="n">
        <v>0</v>
      </c>
      <c r="N122" t="n">
        <v>0</v>
      </c>
      <c r="O122" t="n">
        <v>2</v>
      </c>
      <c r="P122" t="n">
        <v>0</v>
      </c>
      <c r="Q122" t="n">
        <v>4</v>
      </c>
      <c r="R122" s="2" t="inlineStr">
        <is>
          <t>Rosenticka
Ullticka
Fiskgjuse
Kungsfågel</t>
        </is>
      </c>
      <c r="S122">
        <f>HYPERLINK("https://klasma.github.io/Logging_2281/artfynd/A 13391-2025 artfynd.xlsx", "A 13391-2025")</f>
        <v/>
      </c>
      <c r="T122">
        <f>HYPERLINK("https://klasma.github.io/Logging_2281/kartor/A 13391-2025 karta.png", "A 13391-2025")</f>
        <v/>
      </c>
      <c r="V122">
        <f>HYPERLINK("https://klasma.github.io/Logging_2281/klagomål/A 13391-2025 FSC-klagomål.docx", "A 13391-2025")</f>
        <v/>
      </c>
      <c r="W122">
        <f>HYPERLINK("https://klasma.github.io/Logging_2281/klagomålsmail/A 13391-2025 FSC-klagomål mail.docx", "A 13391-2025")</f>
        <v/>
      </c>
      <c r="X122">
        <f>HYPERLINK("https://klasma.github.io/Logging_2281/tillsyn/A 13391-2025 tillsynsbegäran.docx", "A 13391-2025")</f>
        <v/>
      </c>
      <c r="Y122">
        <f>HYPERLINK("https://klasma.github.io/Logging_2281/tillsynsmail/A 13391-2025 tillsynsbegäran mail.docx", "A 13391-2025")</f>
        <v/>
      </c>
      <c r="Z122">
        <f>HYPERLINK("https://klasma.github.io/Logging_2281/fåglar/A 13391-2025 prioriterade fågelarter.docx", "A 13391-2025")</f>
        <v/>
      </c>
    </row>
    <row r="123" ht="15" customHeight="1">
      <c r="A123" t="inlineStr">
        <is>
          <t>A 16767-2023</t>
        </is>
      </c>
      <c r="B123" s="1" t="n">
        <v>45030</v>
      </c>
      <c r="C123" s="1" t="n">
        <v>46181</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16319-2025</t>
        </is>
      </c>
      <c r="B124" s="1" t="n">
        <v>45751.34840277778</v>
      </c>
      <c r="C124" s="1" t="n">
        <v>46181</v>
      </c>
      <c r="D124" t="inlineStr">
        <is>
          <t>VÄSTERNORRLANDS LÄN</t>
        </is>
      </c>
      <c r="E124" t="inlineStr">
        <is>
          <t>SUNDSVALL</t>
        </is>
      </c>
      <c r="F124" t="inlineStr">
        <is>
          <t>SCA</t>
        </is>
      </c>
      <c r="G124" t="n">
        <v>2.1</v>
      </c>
      <c r="H124" t="n">
        <v>3</v>
      </c>
      <c r="I124" t="n">
        <v>0</v>
      </c>
      <c r="J124" t="n">
        <v>3</v>
      </c>
      <c r="K124" t="n">
        <v>0</v>
      </c>
      <c r="L124" t="n">
        <v>0</v>
      </c>
      <c r="M124" t="n">
        <v>0</v>
      </c>
      <c r="N124" t="n">
        <v>0</v>
      </c>
      <c r="O124" t="n">
        <v>3</v>
      </c>
      <c r="P124" t="n">
        <v>0</v>
      </c>
      <c r="Q124" t="n">
        <v>4</v>
      </c>
      <c r="R124" s="2" t="inlineStr">
        <is>
          <t>Lunglav
Spillkråka
Talltita
Tjäder</t>
        </is>
      </c>
      <c r="S124">
        <f>HYPERLINK("https://klasma.github.io/Logging_2281/artfynd/A 16319-2025 artfynd.xlsx", "A 16319-2025")</f>
        <v/>
      </c>
      <c r="T124">
        <f>HYPERLINK("https://klasma.github.io/Logging_2281/kartor/A 16319-2025 karta.png", "A 16319-2025")</f>
        <v/>
      </c>
      <c r="V124">
        <f>HYPERLINK("https://klasma.github.io/Logging_2281/klagomål/A 16319-2025 FSC-klagomål.docx", "A 16319-2025")</f>
        <v/>
      </c>
      <c r="W124">
        <f>HYPERLINK("https://klasma.github.io/Logging_2281/klagomålsmail/A 16319-2025 FSC-klagomål mail.docx", "A 16319-2025")</f>
        <v/>
      </c>
      <c r="X124">
        <f>HYPERLINK("https://klasma.github.io/Logging_2281/tillsyn/A 16319-2025 tillsynsbegäran.docx", "A 16319-2025")</f>
        <v/>
      </c>
      <c r="Y124">
        <f>HYPERLINK("https://klasma.github.io/Logging_2281/tillsynsmail/A 16319-2025 tillsynsbegäran mail.docx", "A 16319-2025")</f>
        <v/>
      </c>
      <c r="Z124">
        <f>HYPERLINK("https://klasma.github.io/Logging_2281/fåglar/A 16319-2025 prioriterade fågelarter.docx", "A 16319-2025")</f>
        <v/>
      </c>
    </row>
    <row r="125" ht="15" customHeight="1">
      <c r="A125" t="inlineStr">
        <is>
          <t>A 22901-2026</t>
        </is>
      </c>
      <c r="B125" s="1" t="n">
        <v>46158</v>
      </c>
      <c r="C125" s="1" t="n">
        <v>46181</v>
      </c>
      <c r="D125" t="inlineStr">
        <is>
          <t>VÄSTERNORRLANDS LÄN</t>
        </is>
      </c>
      <c r="E125" t="inlineStr">
        <is>
          <t>SUNDSVALL</t>
        </is>
      </c>
      <c r="G125" t="n">
        <v>2.4</v>
      </c>
      <c r="H125" t="n">
        <v>1</v>
      </c>
      <c r="I125" t="n">
        <v>0</v>
      </c>
      <c r="J125" t="n">
        <v>0</v>
      </c>
      <c r="K125" t="n">
        <v>1</v>
      </c>
      <c r="L125" t="n">
        <v>3</v>
      </c>
      <c r="M125" t="n">
        <v>0</v>
      </c>
      <c r="N125" t="n">
        <v>0</v>
      </c>
      <c r="O125" t="n">
        <v>4</v>
      </c>
      <c r="P125" t="n">
        <v>4</v>
      </c>
      <c r="Q125" t="n">
        <v>4</v>
      </c>
      <c r="R125" s="2" t="inlineStr">
        <is>
          <t>Mikroskapania
Svämskapania
Timmerskapania
Liten hornflikmossa</t>
        </is>
      </c>
      <c r="S125">
        <f>HYPERLINK("https://klasma.github.io/Logging_2281/artfynd/A 22901-2026 artfynd.xlsx", "A 22901-2026")</f>
        <v/>
      </c>
      <c r="T125">
        <f>HYPERLINK("https://klasma.github.io/Logging_2281/kartor/A 22901-2026 karta.png", "A 22901-2026")</f>
        <v/>
      </c>
      <c r="V125">
        <f>HYPERLINK("https://klasma.github.io/Logging_2281/klagomål/A 22901-2026 FSC-klagomål.docx", "A 22901-2026")</f>
        <v/>
      </c>
      <c r="W125">
        <f>HYPERLINK("https://klasma.github.io/Logging_2281/klagomålsmail/A 22901-2026 FSC-klagomål mail.docx", "A 22901-2026")</f>
        <v/>
      </c>
      <c r="X125">
        <f>HYPERLINK("https://klasma.github.io/Logging_2281/tillsyn/A 22901-2026 tillsynsbegäran.docx", "A 22901-2026")</f>
        <v/>
      </c>
      <c r="Y125">
        <f>HYPERLINK("https://klasma.github.io/Logging_2281/tillsynsmail/A 22901-2026 tillsynsbegäran mail.docx", "A 22901-2026")</f>
        <v/>
      </c>
    </row>
    <row r="126" ht="15" customHeight="1">
      <c r="A126" t="inlineStr">
        <is>
          <t>A 13441-2025</t>
        </is>
      </c>
      <c r="B126" s="1" t="n">
        <v>45736</v>
      </c>
      <c r="C126" s="1" t="n">
        <v>46181</v>
      </c>
      <c r="D126" t="inlineStr">
        <is>
          <t>VÄSTERNORRLANDS LÄN</t>
        </is>
      </c>
      <c r="E126" t="inlineStr">
        <is>
          <t>SUNDSVALL</t>
        </is>
      </c>
      <c r="F126" t="inlineStr">
        <is>
          <t>SCA</t>
        </is>
      </c>
      <c r="G126" t="n">
        <v>0.8</v>
      </c>
      <c r="H126" t="n">
        <v>2</v>
      </c>
      <c r="I126" t="n">
        <v>2</v>
      </c>
      <c r="J126" t="n">
        <v>1</v>
      </c>
      <c r="K126" t="n">
        <v>1</v>
      </c>
      <c r="L126" t="n">
        <v>0</v>
      </c>
      <c r="M126" t="n">
        <v>0</v>
      </c>
      <c r="N126" t="n">
        <v>0</v>
      </c>
      <c r="O126" t="n">
        <v>2</v>
      </c>
      <c r="P126" t="n">
        <v>1</v>
      </c>
      <c r="Q126" t="n">
        <v>4</v>
      </c>
      <c r="R126" s="2" t="inlineStr">
        <is>
          <t>Knärot
Vedtrappmossa
Korallrot
Vedticka</t>
        </is>
      </c>
      <c r="S126">
        <f>HYPERLINK("https://klasma.github.io/Logging_2281/artfynd/A 13441-2025 artfynd.xlsx", "A 13441-2025")</f>
        <v/>
      </c>
      <c r="T126">
        <f>HYPERLINK("https://klasma.github.io/Logging_2281/kartor/A 13441-2025 karta.png", "A 13441-2025")</f>
        <v/>
      </c>
      <c r="U126">
        <f>HYPERLINK("https://klasma.github.io/Logging_2281/knärot/A 13441-2025 karta knärot.png", "A 13441-2025")</f>
        <v/>
      </c>
      <c r="V126">
        <f>HYPERLINK("https://klasma.github.io/Logging_2281/klagomål/A 13441-2025 FSC-klagomål.docx", "A 13441-2025")</f>
        <v/>
      </c>
      <c r="W126">
        <f>HYPERLINK("https://klasma.github.io/Logging_2281/klagomålsmail/A 13441-2025 FSC-klagomål mail.docx", "A 13441-2025")</f>
        <v/>
      </c>
      <c r="X126">
        <f>HYPERLINK("https://klasma.github.io/Logging_2281/tillsyn/A 13441-2025 tillsynsbegäran.docx", "A 13441-2025")</f>
        <v/>
      </c>
      <c r="Y126">
        <f>HYPERLINK("https://klasma.github.io/Logging_2281/tillsynsmail/A 13441-2025 tillsynsbegäran mail.docx", "A 13441-2025")</f>
        <v/>
      </c>
    </row>
    <row r="127" ht="15" customHeight="1">
      <c r="A127" t="inlineStr">
        <is>
          <t>A 21594-2025</t>
        </is>
      </c>
      <c r="B127" s="1" t="n">
        <v>45783.34447916667</v>
      </c>
      <c r="C127" s="1" t="n">
        <v>46181</v>
      </c>
      <c r="D127" t="inlineStr">
        <is>
          <t>VÄSTERNORRLANDS LÄN</t>
        </is>
      </c>
      <c r="E127" t="inlineStr">
        <is>
          <t>SUNDSVALL</t>
        </is>
      </c>
      <c r="F127" t="inlineStr">
        <is>
          <t>Naturvårdsverket</t>
        </is>
      </c>
      <c r="G127" t="n">
        <v>3</v>
      </c>
      <c r="H127" t="n">
        <v>0</v>
      </c>
      <c r="I127" t="n">
        <v>0</v>
      </c>
      <c r="J127" t="n">
        <v>4</v>
      </c>
      <c r="K127" t="n">
        <v>0</v>
      </c>
      <c r="L127" t="n">
        <v>0</v>
      </c>
      <c r="M127" t="n">
        <v>0</v>
      </c>
      <c r="N127" t="n">
        <v>0</v>
      </c>
      <c r="O127" t="n">
        <v>4</v>
      </c>
      <c r="P127" t="n">
        <v>0</v>
      </c>
      <c r="Q127" t="n">
        <v>4</v>
      </c>
      <c r="R127" s="2" t="inlineStr">
        <is>
          <t>Blanksvart spiklav
Blågrå svartspik
Mörk kolflarnlav
Vedflamlav</t>
        </is>
      </c>
      <c r="S127">
        <f>HYPERLINK("https://klasma.github.io/Logging_2281/artfynd/A 21594-2025 artfynd.xlsx", "A 21594-2025")</f>
        <v/>
      </c>
      <c r="T127">
        <f>HYPERLINK("https://klasma.github.io/Logging_2281/kartor/A 21594-2025 karta.png", "A 21594-2025")</f>
        <v/>
      </c>
      <c r="V127">
        <f>HYPERLINK("https://klasma.github.io/Logging_2281/klagomål/A 21594-2025 FSC-klagomål.docx", "A 21594-2025")</f>
        <v/>
      </c>
      <c r="W127">
        <f>HYPERLINK("https://klasma.github.io/Logging_2281/klagomålsmail/A 21594-2025 FSC-klagomål mail.docx", "A 21594-2025")</f>
        <v/>
      </c>
      <c r="X127">
        <f>HYPERLINK("https://klasma.github.io/Logging_2281/tillsyn/A 21594-2025 tillsynsbegäran.docx", "A 21594-2025")</f>
        <v/>
      </c>
      <c r="Y127">
        <f>HYPERLINK("https://klasma.github.io/Logging_2281/tillsynsmail/A 21594-2025 tillsynsbegäran mail.docx", "A 21594-2025")</f>
        <v/>
      </c>
    </row>
    <row r="128" ht="15" customHeight="1">
      <c r="A128" t="inlineStr">
        <is>
          <t>A 21986-2025</t>
        </is>
      </c>
      <c r="B128" s="1" t="n">
        <v>45784.65700231482</v>
      </c>
      <c r="C128" s="1" t="n">
        <v>46181</v>
      </c>
      <c r="D128" t="inlineStr">
        <is>
          <t>VÄSTERNORRLANDS LÄN</t>
        </is>
      </c>
      <c r="E128" t="inlineStr">
        <is>
          <t>SUNDSVALL</t>
        </is>
      </c>
      <c r="F128" t="inlineStr">
        <is>
          <t>Naturvårdsverket</t>
        </is>
      </c>
      <c r="G128" t="n">
        <v>5.7</v>
      </c>
      <c r="H128" t="n">
        <v>0</v>
      </c>
      <c r="I128" t="n">
        <v>2</v>
      </c>
      <c r="J128" t="n">
        <v>1</v>
      </c>
      <c r="K128" t="n">
        <v>1</v>
      </c>
      <c r="L128" t="n">
        <v>0</v>
      </c>
      <c r="M128" t="n">
        <v>0</v>
      </c>
      <c r="N128" t="n">
        <v>0</v>
      </c>
      <c r="O128" t="n">
        <v>2</v>
      </c>
      <c r="P128" t="n">
        <v>1</v>
      </c>
      <c r="Q128" t="n">
        <v>4</v>
      </c>
      <c r="R128" s="2" t="inlineStr">
        <is>
          <t>Gräddporing
Blågrå svartspik
Barkticka
Mörk husmossa</t>
        </is>
      </c>
      <c r="S128">
        <f>HYPERLINK("https://klasma.github.io/Logging_2281/artfynd/A 21986-2025 artfynd.xlsx", "A 21986-2025")</f>
        <v/>
      </c>
      <c r="T128">
        <f>HYPERLINK("https://klasma.github.io/Logging_2281/kartor/A 21986-2025 karta.png", "A 21986-2025")</f>
        <v/>
      </c>
      <c r="V128">
        <f>HYPERLINK("https://klasma.github.io/Logging_2281/klagomål/A 21986-2025 FSC-klagomål.docx", "A 21986-2025")</f>
        <v/>
      </c>
      <c r="W128">
        <f>HYPERLINK("https://klasma.github.io/Logging_2281/klagomålsmail/A 21986-2025 FSC-klagomål mail.docx", "A 21986-2025")</f>
        <v/>
      </c>
      <c r="X128">
        <f>HYPERLINK("https://klasma.github.io/Logging_2281/tillsyn/A 21986-2025 tillsynsbegäran.docx", "A 21986-2025")</f>
        <v/>
      </c>
      <c r="Y128">
        <f>HYPERLINK("https://klasma.github.io/Logging_2281/tillsynsmail/A 21986-2025 tillsynsbegäran mail.docx", "A 21986-2025")</f>
        <v/>
      </c>
    </row>
    <row r="129" ht="15" customHeight="1">
      <c r="A129" t="inlineStr">
        <is>
          <t>A 22114-2025</t>
        </is>
      </c>
      <c r="B129" s="1" t="n">
        <v>45785.51076388889</v>
      </c>
      <c r="C129" s="1" t="n">
        <v>46181</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HYPERLINK("https://klasma.github.io/Logging_2281/artfynd/A 22114-2025 artfynd.xlsx", "A 22114-2025")</f>
        <v/>
      </c>
      <c r="T129">
        <f>HYPERLINK("https://klasma.github.io/Logging_2281/kartor/A 22114-2025 karta.png", "A 22114-2025")</f>
        <v/>
      </c>
      <c r="V129">
        <f>HYPERLINK("https://klasma.github.io/Logging_2281/klagomål/A 22114-2025 FSC-klagomål.docx", "A 22114-2025")</f>
        <v/>
      </c>
      <c r="W129">
        <f>HYPERLINK("https://klasma.github.io/Logging_2281/klagomålsmail/A 22114-2025 FSC-klagomål mail.docx", "A 22114-2025")</f>
        <v/>
      </c>
      <c r="X129">
        <f>HYPERLINK("https://klasma.github.io/Logging_2281/tillsyn/A 22114-2025 tillsynsbegäran.docx", "A 22114-2025")</f>
        <v/>
      </c>
      <c r="Y129">
        <f>HYPERLINK("https://klasma.github.io/Logging_2281/tillsynsmail/A 22114-2025 tillsynsbegäran mail.docx", "A 22114-2025")</f>
        <v/>
      </c>
    </row>
    <row r="130" ht="15" customHeight="1">
      <c r="A130" t="inlineStr">
        <is>
          <t>A 19968-2026</t>
        </is>
      </c>
      <c r="B130" s="1" t="n">
        <v>46136.42574074074</v>
      </c>
      <c r="C130" s="1" t="n">
        <v>46181</v>
      </c>
      <c r="D130" t="inlineStr">
        <is>
          <t>VÄSTERNORRLANDS LÄN</t>
        </is>
      </c>
      <c r="E130" t="inlineStr">
        <is>
          <t>SUNDSVALL</t>
        </is>
      </c>
      <c r="G130" t="n">
        <v>7.2</v>
      </c>
      <c r="H130" t="n">
        <v>3</v>
      </c>
      <c r="I130" t="n">
        <v>1</v>
      </c>
      <c r="J130" t="n">
        <v>0</v>
      </c>
      <c r="K130" t="n">
        <v>0</v>
      </c>
      <c r="L130" t="n">
        <v>0</v>
      </c>
      <c r="M130" t="n">
        <v>0</v>
      </c>
      <c r="N130" t="n">
        <v>0</v>
      </c>
      <c r="O130" t="n">
        <v>0</v>
      </c>
      <c r="P130" t="n">
        <v>0</v>
      </c>
      <c r="Q130" t="n">
        <v>4</v>
      </c>
      <c r="R130" s="2" t="inlineStr">
        <is>
          <t>Stor aspticka
Vanlig groda
Fläcknycklar
Nattviol</t>
        </is>
      </c>
      <c r="S130">
        <f>HYPERLINK("https://klasma.github.io/Logging_2281/artfynd/A 19968-2026 artfynd.xlsx", "A 19968-2026")</f>
        <v/>
      </c>
      <c r="T130">
        <f>HYPERLINK("https://klasma.github.io/Logging_2281/kartor/A 19968-2026 karta.png", "A 19968-2026")</f>
        <v/>
      </c>
      <c r="V130">
        <f>HYPERLINK("https://klasma.github.io/Logging_2281/klagomål/A 19968-2026 FSC-klagomål.docx", "A 19968-2026")</f>
        <v/>
      </c>
      <c r="W130">
        <f>HYPERLINK("https://klasma.github.io/Logging_2281/klagomålsmail/A 19968-2026 FSC-klagomål mail.docx", "A 19968-2026")</f>
        <v/>
      </c>
      <c r="X130">
        <f>HYPERLINK("https://klasma.github.io/Logging_2281/tillsyn/A 19968-2026 tillsynsbegäran.docx", "A 19968-2026")</f>
        <v/>
      </c>
      <c r="Y130">
        <f>HYPERLINK("https://klasma.github.io/Logging_2281/tillsynsmail/A 19968-2026 tillsynsbegäran mail.docx", "A 19968-2026")</f>
        <v/>
      </c>
    </row>
    <row r="131" ht="15" customHeight="1">
      <c r="A131" t="inlineStr">
        <is>
          <t>A 49380-2021</t>
        </is>
      </c>
      <c r="B131" s="1" t="n">
        <v>44454</v>
      </c>
      <c r="C131" s="1" t="n">
        <v>46181</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24057-2025</t>
        </is>
      </c>
      <c r="B132" s="1" t="n">
        <v>45796.51077546296</v>
      </c>
      <c r="C132" s="1" t="n">
        <v>46181</v>
      </c>
      <c r="D132" t="inlineStr">
        <is>
          <t>VÄSTERNORRLANDS LÄN</t>
        </is>
      </c>
      <c r="E132" t="inlineStr">
        <is>
          <t>SUNDSVALL</t>
        </is>
      </c>
      <c r="F132" t="inlineStr">
        <is>
          <t>Naturvårdsverket</t>
        </is>
      </c>
      <c r="G132" t="n">
        <v>11.7</v>
      </c>
      <c r="H132" t="n">
        <v>1</v>
      </c>
      <c r="I132" t="n">
        <v>1</v>
      </c>
      <c r="J132" t="n">
        <v>1</v>
      </c>
      <c r="K132" t="n">
        <v>0</v>
      </c>
      <c r="L132" t="n">
        <v>0</v>
      </c>
      <c r="M132" t="n">
        <v>0</v>
      </c>
      <c r="N132" t="n">
        <v>0</v>
      </c>
      <c r="O132" t="n">
        <v>1</v>
      </c>
      <c r="P132" t="n">
        <v>0</v>
      </c>
      <c r="Q132" t="n">
        <v>3</v>
      </c>
      <c r="R132" s="2" t="inlineStr">
        <is>
          <t>Lunglav
Stuplav
Huggorm</t>
        </is>
      </c>
      <c r="S132">
        <f>HYPERLINK("https://klasma.github.io/Logging_2281/artfynd/A 24057-2025 artfynd.xlsx", "A 24057-2025")</f>
        <v/>
      </c>
      <c r="T132">
        <f>HYPERLINK("https://klasma.github.io/Logging_2281/kartor/A 24057-2025 karta.png", "A 24057-2025")</f>
        <v/>
      </c>
      <c r="V132">
        <f>HYPERLINK("https://klasma.github.io/Logging_2281/klagomål/A 24057-2025 FSC-klagomål.docx", "A 24057-2025")</f>
        <v/>
      </c>
      <c r="W132">
        <f>HYPERLINK("https://klasma.github.io/Logging_2281/klagomålsmail/A 24057-2025 FSC-klagomål mail.docx", "A 24057-2025")</f>
        <v/>
      </c>
      <c r="X132">
        <f>HYPERLINK("https://klasma.github.io/Logging_2281/tillsyn/A 24057-2025 tillsynsbegäran.docx", "A 24057-2025")</f>
        <v/>
      </c>
      <c r="Y132">
        <f>HYPERLINK("https://klasma.github.io/Logging_2281/tillsynsmail/A 24057-2025 tillsynsbegäran mail.docx", "A 24057-2025")</f>
        <v/>
      </c>
    </row>
    <row r="133" ht="15" customHeight="1">
      <c r="A133" t="inlineStr">
        <is>
          <t>A 11351-2022</t>
        </is>
      </c>
      <c r="B133" s="1" t="n">
        <v>44630</v>
      </c>
      <c r="C133" s="1" t="n">
        <v>46181</v>
      </c>
      <c r="D133" t="inlineStr">
        <is>
          <t>VÄSTERNORRLANDS LÄN</t>
        </is>
      </c>
      <c r="E133" t="inlineStr">
        <is>
          <t>SUNDSVALL</t>
        </is>
      </c>
      <c r="G133" t="n">
        <v>12.1</v>
      </c>
      <c r="H133" t="n">
        <v>1</v>
      </c>
      <c r="I133" t="n">
        <v>1</v>
      </c>
      <c r="J133" t="n">
        <v>1</v>
      </c>
      <c r="K133" t="n">
        <v>1</v>
      </c>
      <c r="L133" t="n">
        <v>0</v>
      </c>
      <c r="M133" t="n">
        <v>0</v>
      </c>
      <c r="N133" t="n">
        <v>0</v>
      </c>
      <c r="O133" t="n">
        <v>2</v>
      </c>
      <c r="P133" t="n">
        <v>1</v>
      </c>
      <c r="Q133" t="n">
        <v>3</v>
      </c>
      <c r="R133" s="2" t="inlineStr">
        <is>
          <t>Knärot
Vedskivlav
Kornig nållav</t>
        </is>
      </c>
      <c r="S133">
        <f>HYPERLINK("https://klasma.github.io/Logging_2281/artfynd/A 11351-2022 artfynd.xlsx", "A 11351-2022")</f>
        <v/>
      </c>
      <c r="T133">
        <f>HYPERLINK("https://klasma.github.io/Logging_2281/kartor/A 11351-2022 karta.png", "A 11351-2022")</f>
        <v/>
      </c>
      <c r="U133">
        <f>HYPERLINK("https://klasma.github.io/Logging_2281/knärot/A 11351-2022 karta knärot.png", "A 11351-2022")</f>
        <v/>
      </c>
      <c r="V133">
        <f>HYPERLINK("https://klasma.github.io/Logging_2281/klagomål/A 11351-2022 FSC-klagomål.docx", "A 11351-2022")</f>
        <v/>
      </c>
      <c r="W133">
        <f>HYPERLINK("https://klasma.github.io/Logging_2281/klagomålsmail/A 11351-2022 FSC-klagomål mail.docx", "A 11351-2022")</f>
        <v/>
      </c>
      <c r="X133">
        <f>HYPERLINK("https://klasma.github.io/Logging_2281/tillsyn/A 11351-2022 tillsynsbegäran.docx", "A 11351-2022")</f>
        <v/>
      </c>
      <c r="Y133">
        <f>HYPERLINK("https://klasma.github.io/Logging_2281/tillsynsmail/A 11351-2022 tillsynsbegäran mail.docx", "A 11351-2022")</f>
        <v/>
      </c>
    </row>
    <row r="134" ht="15" customHeight="1">
      <c r="A134" t="inlineStr">
        <is>
          <t>A 39925-2025</t>
        </is>
      </c>
      <c r="B134" s="1" t="n">
        <v>45891.6775</v>
      </c>
      <c r="C134" s="1" t="n">
        <v>46181</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60864-2023</t>
        </is>
      </c>
      <c r="B135" s="1" t="n">
        <v>45260</v>
      </c>
      <c r="C135" s="1" t="n">
        <v>46181</v>
      </c>
      <c r="D135" t="inlineStr">
        <is>
          <t>VÄSTERNORRLANDS LÄN</t>
        </is>
      </c>
      <c r="E135" t="inlineStr">
        <is>
          <t>SUNDSVALL</t>
        </is>
      </c>
      <c r="F135" t="inlineStr">
        <is>
          <t>SCA</t>
        </is>
      </c>
      <c r="G135" t="n">
        <v>0.9</v>
      </c>
      <c r="H135" t="n">
        <v>1</v>
      </c>
      <c r="I135" t="n">
        <v>2</v>
      </c>
      <c r="J135" t="n">
        <v>1</v>
      </c>
      <c r="K135" t="n">
        <v>0</v>
      </c>
      <c r="L135" t="n">
        <v>0</v>
      </c>
      <c r="M135" t="n">
        <v>0</v>
      </c>
      <c r="N135" t="n">
        <v>0</v>
      </c>
      <c r="O135" t="n">
        <v>1</v>
      </c>
      <c r="P135" t="n">
        <v>0</v>
      </c>
      <c r="Q135" t="n">
        <v>3</v>
      </c>
      <c r="R135" s="2" t="inlineStr">
        <is>
          <t>Tretåig hackspett
Dropptaggsvamp
Vedticka</t>
        </is>
      </c>
      <c r="S135">
        <f>HYPERLINK("https://klasma.github.io/Logging_2281/artfynd/A 60864-2023 artfynd.xlsx", "A 60864-2023")</f>
        <v/>
      </c>
      <c r="T135">
        <f>HYPERLINK("https://klasma.github.io/Logging_2281/kartor/A 60864-2023 karta.png", "A 60864-2023")</f>
        <v/>
      </c>
      <c r="V135">
        <f>HYPERLINK("https://klasma.github.io/Logging_2281/klagomål/A 60864-2023 FSC-klagomål.docx", "A 60864-2023")</f>
        <v/>
      </c>
      <c r="W135">
        <f>HYPERLINK("https://klasma.github.io/Logging_2281/klagomålsmail/A 60864-2023 FSC-klagomål mail.docx", "A 60864-2023")</f>
        <v/>
      </c>
      <c r="X135">
        <f>HYPERLINK("https://klasma.github.io/Logging_2281/tillsyn/A 60864-2023 tillsynsbegäran.docx", "A 60864-2023")</f>
        <v/>
      </c>
      <c r="Y135">
        <f>HYPERLINK("https://klasma.github.io/Logging_2281/tillsynsmail/A 60864-2023 tillsynsbegäran mail.docx", "A 60864-2023")</f>
        <v/>
      </c>
      <c r="Z135">
        <f>HYPERLINK("https://klasma.github.io/Logging_2281/fåglar/A 60864-2023 prioriterade fågelarter.docx", "A 60864-2023")</f>
        <v/>
      </c>
    </row>
    <row r="136" ht="15" customHeight="1">
      <c r="A136" t="inlineStr">
        <is>
          <t>A 43435-2025</t>
        </is>
      </c>
      <c r="B136" s="1" t="n">
        <v>45911.42755787037</v>
      </c>
      <c r="C136" s="1" t="n">
        <v>46181</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22566-2022</t>
        </is>
      </c>
      <c r="B137" s="1" t="n">
        <v>44713.93861111111</v>
      </c>
      <c r="C137" s="1" t="n">
        <v>46181</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30684-2025</t>
        </is>
      </c>
      <c r="B138" s="1" t="n">
        <v>45831.53170138889</v>
      </c>
      <c r="C138" s="1" t="n">
        <v>46181</v>
      </c>
      <c r="D138" t="inlineStr">
        <is>
          <t>VÄSTERNORRLANDS LÄN</t>
        </is>
      </c>
      <c r="E138" t="inlineStr">
        <is>
          <t>SUNDSVALL</t>
        </is>
      </c>
      <c r="F138" t="inlineStr">
        <is>
          <t>SCA</t>
        </is>
      </c>
      <c r="G138" t="n">
        <v>3</v>
      </c>
      <c r="H138" t="n">
        <v>0</v>
      </c>
      <c r="I138" t="n">
        <v>2</v>
      </c>
      <c r="J138" t="n">
        <v>1</v>
      </c>
      <c r="K138" t="n">
        <v>0</v>
      </c>
      <c r="L138" t="n">
        <v>0</v>
      </c>
      <c r="M138" t="n">
        <v>0</v>
      </c>
      <c r="N138" t="n">
        <v>0</v>
      </c>
      <c r="O138" t="n">
        <v>1</v>
      </c>
      <c r="P138" t="n">
        <v>0</v>
      </c>
      <c r="Q138" t="n">
        <v>3</v>
      </c>
      <c r="R138" s="2" t="inlineStr">
        <is>
          <t>Ullticka
Stuplav
Vedticka</t>
        </is>
      </c>
      <c r="S138">
        <f>HYPERLINK("https://klasma.github.io/Logging_2281/artfynd/A 30684-2025 artfynd.xlsx", "A 30684-2025")</f>
        <v/>
      </c>
      <c r="T138">
        <f>HYPERLINK("https://klasma.github.io/Logging_2281/kartor/A 30684-2025 karta.png", "A 30684-2025")</f>
        <v/>
      </c>
      <c r="U138">
        <f>HYPERLINK("https://klasma.github.io/Logging_2281/knärot/A 30684-2025 karta knärot.png", "A 30684-2025")</f>
        <v/>
      </c>
      <c r="V138">
        <f>HYPERLINK("https://klasma.github.io/Logging_2281/klagomål/A 30684-2025 FSC-klagomål.docx", "A 30684-2025")</f>
        <v/>
      </c>
      <c r="W138">
        <f>HYPERLINK("https://klasma.github.io/Logging_2281/klagomålsmail/A 30684-2025 FSC-klagomål mail.docx", "A 30684-2025")</f>
        <v/>
      </c>
      <c r="X138">
        <f>HYPERLINK("https://klasma.github.io/Logging_2281/tillsyn/A 30684-2025 tillsynsbegäran.docx", "A 30684-2025")</f>
        <v/>
      </c>
      <c r="Y138">
        <f>HYPERLINK("https://klasma.github.io/Logging_2281/tillsynsmail/A 30684-2025 tillsynsbegäran mail.docx", "A 30684-2025")</f>
        <v/>
      </c>
    </row>
    <row r="139" ht="15" customHeight="1">
      <c r="A139" t="inlineStr">
        <is>
          <t>A 24392-2025</t>
        </is>
      </c>
      <c r="B139" s="1" t="n">
        <v>45797</v>
      </c>
      <c r="C139" s="1" t="n">
        <v>46181</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18826-2025</t>
        </is>
      </c>
      <c r="B140" s="1" t="n">
        <v>45764.38604166666</v>
      </c>
      <c r="C140" s="1" t="n">
        <v>46181</v>
      </c>
      <c r="D140" t="inlineStr">
        <is>
          <t>VÄSTERNORRLANDS LÄN</t>
        </is>
      </c>
      <c r="E140" t="inlineStr">
        <is>
          <t>SUNDSVALL</t>
        </is>
      </c>
      <c r="F140" t="inlineStr">
        <is>
          <t>Naturvårdsverket</t>
        </is>
      </c>
      <c r="G140" t="n">
        <v>3.5</v>
      </c>
      <c r="H140" t="n">
        <v>0</v>
      </c>
      <c r="I140" t="n">
        <v>0</v>
      </c>
      <c r="J140" t="n">
        <v>3</v>
      </c>
      <c r="K140" t="n">
        <v>0</v>
      </c>
      <c r="L140" t="n">
        <v>0</v>
      </c>
      <c r="M140" t="n">
        <v>0</v>
      </c>
      <c r="N140" t="n">
        <v>0</v>
      </c>
      <c r="O140" t="n">
        <v>3</v>
      </c>
      <c r="P140" t="n">
        <v>0</v>
      </c>
      <c r="Q140" t="n">
        <v>3</v>
      </c>
      <c r="R140" s="2" t="inlineStr">
        <is>
          <t>Garnlav
Kolflarnlav
Vedskivlav</t>
        </is>
      </c>
      <c r="S140">
        <f>HYPERLINK("https://klasma.github.io/Logging_2281/artfynd/A 18826-2025 artfynd.xlsx", "A 18826-2025")</f>
        <v/>
      </c>
      <c r="T140">
        <f>HYPERLINK("https://klasma.github.io/Logging_2281/kartor/A 18826-2025 karta.png", "A 18826-2025")</f>
        <v/>
      </c>
      <c r="V140">
        <f>HYPERLINK("https://klasma.github.io/Logging_2281/klagomål/A 18826-2025 FSC-klagomål.docx", "A 18826-2025")</f>
        <v/>
      </c>
      <c r="W140">
        <f>HYPERLINK("https://klasma.github.io/Logging_2281/klagomålsmail/A 18826-2025 FSC-klagomål mail.docx", "A 18826-2025")</f>
        <v/>
      </c>
      <c r="X140">
        <f>HYPERLINK("https://klasma.github.io/Logging_2281/tillsyn/A 18826-2025 tillsynsbegäran.docx", "A 18826-2025")</f>
        <v/>
      </c>
      <c r="Y140">
        <f>HYPERLINK("https://klasma.github.io/Logging_2281/tillsynsmail/A 18826-2025 tillsynsbegäran mail.docx", "A 18826-2025")</f>
        <v/>
      </c>
    </row>
    <row r="141" ht="15" customHeight="1">
      <c r="A141" t="inlineStr">
        <is>
          <t>A 19225-2025</t>
        </is>
      </c>
      <c r="B141" s="1" t="n">
        <v>45769.44872685185</v>
      </c>
      <c r="C141" s="1" t="n">
        <v>46181</v>
      </c>
      <c r="D141" t="inlineStr">
        <is>
          <t>VÄSTERNORRLANDS LÄN</t>
        </is>
      </c>
      <c r="E141" t="inlineStr">
        <is>
          <t>SUNDSVALL</t>
        </is>
      </c>
      <c r="F141" t="inlineStr">
        <is>
          <t>SCA</t>
        </is>
      </c>
      <c r="G141" t="n">
        <v>3.2</v>
      </c>
      <c r="H141" t="n">
        <v>3</v>
      </c>
      <c r="I141" t="n">
        <v>0</v>
      </c>
      <c r="J141" t="n">
        <v>1</v>
      </c>
      <c r="K141" t="n">
        <v>1</v>
      </c>
      <c r="L141" t="n">
        <v>0</v>
      </c>
      <c r="M141" t="n">
        <v>0</v>
      </c>
      <c r="N141" t="n">
        <v>0</v>
      </c>
      <c r="O141" t="n">
        <v>2</v>
      </c>
      <c r="P141" t="n">
        <v>1</v>
      </c>
      <c r="Q141" t="n">
        <v>3</v>
      </c>
      <c r="R141" s="2" t="inlineStr">
        <is>
          <t>Knärot
Tretåig hackspett
Fläcknycklar</t>
        </is>
      </c>
      <c r="S141">
        <f>HYPERLINK("https://klasma.github.io/Logging_2281/artfynd/A 19225-2025 artfynd.xlsx", "A 19225-2025")</f>
        <v/>
      </c>
      <c r="T141">
        <f>HYPERLINK("https://klasma.github.io/Logging_2281/kartor/A 19225-2025 karta.png", "A 19225-2025")</f>
        <v/>
      </c>
      <c r="U141">
        <f>HYPERLINK("https://klasma.github.io/Logging_2281/knärot/A 19225-2025 karta knärot.png", "A 19225-2025")</f>
        <v/>
      </c>
      <c r="V141">
        <f>HYPERLINK("https://klasma.github.io/Logging_2281/klagomål/A 19225-2025 FSC-klagomål.docx", "A 19225-2025")</f>
        <v/>
      </c>
      <c r="W141">
        <f>HYPERLINK("https://klasma.github.io/Logging_2281/klagomålsmail/A 19225-2025 FSC-klagomål mail.docx", "A 19225-2025")</f>
        <v/>
      </c>
      <c r="X141">
        <f>HYPERLINK("https://klasma.github.io/Logging_2281/tillsyn/A 19225-2025 tillsynsbegäran.docx", "A 19225-2025")</f>
        <v/>
      </c>
      <c r="Y141">
        <f>HYPERLINK("https://klasma.github.io/Logging_2281/tillsynsmail/A 19225-2025 tillsynsbegäran mail.docx", "A 19225-2025")</f>
        <v/>
      </c>
      <c r="Z141">
        <f>HYPERLINK("https://klasma.github.io/Logging_2281/fåglar/A 19225-2025 prioriterade fågelarter.docx", "A 19225-2025")</f>
        <v/>
      </c>
    </row>
    <row r="142" ht="15" customHeight="1">
      <c r="A142" t="inlineStr">
        <is>
          <t>A 47129-2025</t>
        </is>
      </c>
      <c r="B142" s="1" t="n">
        <v>45929</v>
      </c>
      <c r="C142" s="1" t="n">
        <v>46181</v>
      </c>
      <c r="D142" t="inlineStr">
        <is>
          <t>VÄSTERNORRLANDS LÄN</t>
        </is>
      </c>
      <c r="E142" t="inlineStr">
        <is>
          <t>SUNDSVALL</t>
        </is>
      </c>
      <c r="G142" t="n">
        <v>4.2</v>
      </c>
      <c r="H142" t="n">
        <v>2</v>
      </c>
      <c r="I142" t="n">
        <v>1</v>
      </c>
      <c r="J142" t="n">
        <v>2</v>
      </c>
      <c r="K142" t="n">
        <v>0</v>
      </c>
      <c r="L142" t="n">
        <v>0</v>
      </c>
      <c r="M142" t="n">
        <v>0</v>
      </c>
      <c r="N142" t="n">
        <v>0</v>
      </c>
      <c r="O142" t="n">
        <v>2</v>
      </c>
      <c r="P142" t="n">
        <v>0</v>
      </c>
      <c r="Q142" t="n">
        <v>3</v>
      </c>
      <c r="R142" s="2" t="inlineStr">
        <is>
          <t>Järpe
Tretåig hackspett
Grönpyrola</t>
        </is>
      </c>
      <c r="S142">
        <f>HYPERLINK("https://klasma.github.io/Logging_2281/artfynd/A 47129-2025 artfynd.xlsx", "A 47129-2025")</f>
        <v/>
      </c>
      <c r="T142">
        <f>HYPERLINK("https://klasma.github.io/Logging_2281/kartor/A 47129-2025 karta.png", "A 47129-2025")</f>
        <v/>
      </c>
      <c r="U142">
        <f>HYPERLINK("https://klasma.github.io/Logging_2281/knärot/A 47129-2025 karta knärot.png", "A 47129-2025")</f>
        <v/>
      </c>
      <c r="V142">
        <f>HYPERLINK("https://klasma.github.io/Logging_2281/klagomål/A 47129-2025 FSC-klagomål.docx", "A 47129-2025")</f>
        <v/>
      </c>
      <c r="W142">
        <f>HYPERLINK("https://klasma.github.io/Logging_2281/klagomålsmail/A 47129-2025 FSC-klagomål mail.docx", "A 47129-2025")</f>
        <v/>
      </c>
      <c r="X142">
        <f>HYPERLINK("https://klasma.github.io/Logging_2281/tillsyn/A 47129-2025 tillsynsbegäran.docx", "A 47129-2025")</f>
        <v/>
      </c>
      <c r="Y142">
        <f>HYPERLINK("https://klasma.github.io/Logging_2281/tillsynsmail/A 47129-2025 tillsynsbegäran mail.docx", "A 47129-2025")</f>
        <v/>
      </c>
      <c r="Z142">
        <f>HYPERLINK("https://klasma.github.io/Logging_2281/fåglar/A 47129-2025 prioriterade fågelarter.docx", "A 47129-2025")</f>
        <v/>
      </c>
    </row>
    <row r="143" ht="15" customHeight="1">
      <c r="A143" t="inlineStr">
        <is>
          <t>A 55550-2024</t>
        </is>
      </c>
      <c r="B143" s="1" t="n">
        <v>45622</v>
      </c>
      <c r="C143" s="1" t="n">
        <v>46181</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10977-2026</t>
        </is>
      </c>
      <c r="B144" s="1" t="n">
        <v>46079</v>
      </c>
      <c r="C144" s="1" t="n">
        <v>46181</v>
      </c>
      <c r="D144" t="inlineStr">
        <is>
          <t>VÄSTERNORRLANDS LÄN</t>
        </is>
      </c>
      <c r="E144" t="inlineStr">
        <is>
          <t>SUNDSVALL</t>
        </is>
      </c>
      <c r="G144" t="n">
        <v>11.7</v>
      </c>
      <c r="H144" t="n">
        <v>2</v>
      </c>
      <c r="I144" t="n">
        <v>2</v>
      </c>
      <c r="J144" t="n">
        <v>0</v>
      </c>
      <c r="K144" t="n">
        <v>0</v>
      </c>
      <c r="L144" t="n">
        <v>0</v>
      </c>
      <c r="M144" t="n">
        <v>0</v>
      </c>
      <c r="N144" t="n">
        <v>0</v>
      </c>
      <c r="O144" t="n">
        <v>0</v>
      </c>
      <c r="P144" t="n">
        <v>0</v>
      </c>
      <c r="Q144" t="n">
        <v>3</v>
      </c>
      <c r="R144" s="2" t="inlineStr">
        <is>
          <t>Grönkulla
Vårärt
Nattviol</t>
        </is>
      </c>
      <c r="S144">
        <f>HYPERLINK("https://klasma.github.io/Logging_2281/artfynd/A 10977-2026 artfynd.xlsx", "A 10977-2026")</f>
        <v/>
      </c>
      <c r="T144">
        <f>HYPERLINK("https://klasma.github.io/Logging_2281/kartor/A 10977-2026 karta.png", "A 10977-2026")</f>
        <v/>
      </c>
      <c r="V144">
        <f>HYPERLINK("https://klasma.github.io/Logging_2281/klagomål/A 10977-2026 FSC-klagomål.docx", "A 10977-2026")</f>
        <v/>
      </c>
      <c r="W144">
        <f>HYPERLINK("https://klasma.github.io/Logging_2281/klagomålsmail/A 10977-2026 FSC-klagomål mail.docx", "A 10977-2026")</f>
        <v/>
      </c>
      <c r="X144">
        <f>HYPERLINK("https://klasma.github.io/Logging_2281/tillsyn/A 10977-2026 tillsynsbegäran.docx", "A 10977-2026")</f>
        <v/>
      </c>
      <c r="Y144">
        <f>HYPERLINK("https://klasma.github.io/Logging_2281/tillsynsmail/A 10977-2026 tillsynsbegäran mail.docx", "A 10977-2026")</f>
        <v/>
      </c>
    </row>
    <row r="145" ht="15" customHeight="1">
      <c r="A145" t="inlineStr">
        <is>
          <t>A 54621-2023</t>
        </is>
      </c>
      <c r="B145" s="1" t="n">
        <v>45233</v>
      </c>
      <c r="C145" s="1" t="n">
        <v>46181</v>
      </c>
      <c r="D145" t="inlineStr">
        <is>
          <t>VÄSTERNORRLANDS LÄN</t>
        </is>
      </c>
      <c r="E145" t="inlineStr">
        <is>
          <t>SUNDSVALL</t>
        </is>
      </c>
      <c r="F145" t="inlineStr">
        <is>
          <t>Naturvårdsverket</t>
        </is>
      </c>
      <c r="G145" t="n">
        <v>3.9</v>
      </c>
      <c r="H145" t="n">
        <v>0</v>
      </c>
      <c r="I145" t="n">
        <v>0</v>
      </c>
      <c r="J145" t="n">
        <v>3</v>
      </c>
      <c r="K145" t="n">
        <v>0</v>
      </c>
      <c r="L145" t="n">
        <v>0</v>
      </c>
      <c r="M145" t="n">
        <v>0</v>
      </c>
      <c r="N145" t="n">
        <v>0</v>
      </c>
      <c r="O145" t="n">
        <v>3</v>
      </c>
      <c r="P145" t="n">
        <v>0</v>
      </c>
      <c r="Q145" t="n">
        <v>3</v>
      </c>
      <c r="R145" s="2" t="inlineStr">
        <is>
          <t>Kolflarnlav
Tallticka
Ullticka</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row>
    <row r="146" ht="15" customHeight="1">
      <c r="A146" t="inlineStr">
        <is>
          <t>A 27734-2023</t>
        </is>
      </c>
      <c r="B146" s="1" t="n">
        <v>45098.37017361111</v>
      </c>
      <c r="C146" s="1" t="n">
        <v>46181</v>
      </c>
      <c r="D146" t="inlineStr">
        <is>
          <t>VÄSTERNORRLANDS LÄN</t>
        </is>
      </c>
      <c r="E146" t="inlineStr">
        <is>
          <t>SUNDSVALL</t>
        </is>
      </c>
      <c r="G146" t="n">
        <v>0.8</v>
      </c>
      <c r="H146" t="n">
        <v>3</v>
      </c>
      <c r="I146" t="n">
        <v>0</v>
      </c>
      <c r="J146" t="n">
        <v>1</v>
      </c>
      <c r="K146" t="n">
        <v>0</v>
      </c>
      <c r="L146" t="n">
        <v>1</v>
      </c>
      <c r="M146" t="n">
        <v>0</v>
      </c>
      <c r="N146" t="n">
        <v>0</v>
      </c>
      <c r="O146" t="n">
        <v>2</v>
      </c>
      <c r="P146" t="n">
        <v>1</v>
      </c>
      <c r="Q146" t="n">
        <v>3</v>
      </c>
      <c r="R146" s="2" t="inlineStr">
        <is>
          <t>Grönfink
Björktrast
Skogsduva</t>
        </is>
      </c>
      <c r="S146">
        <f>HYPERLINK("https://klasma.github.io/Logging_2281/artfynd/A 27734-2023 artfynd.xlsx", "A 27734-2023")</f>
        <v/>
      </c>
      <c r="T146">
        <f>HYPERLINK("https://klasma.github.io/Logging_2281/kartor/A 27734-2023 karta.png", "A 27734-2023")</f>
        <v/>
      </c>
      <c r="V146">
        <f>HYPERLINK("https://klasma.github.io/Logging_2281/klagomål/A 27734-2023 FSC-klagomål.docx", "A 27734-2023")</f>
        <v/>
      </c>
      <c r="W146">
        <f>HYPERLINK("https://klasma.github.io/Logging_2281/klagomålsmail/A 27734-2023 FSC-klagomål mail.docx", "A 27734-2023")</f>
        <v/>
      </c>
      <c r="X146">
        <f>HYPERLINK("https://klasma.github.io/Logging_2281/tillsyn/A 27734-2023 tillsynsbegäran.docx", "A 27734-2023")</f>
        <v/>
      </c>
      <c r="Y146">
        <f>HYPERLINK("https://klasma.github.io/Logging_2281/tillsynsmail/A 27734-2023 tillsynsbegäran mail.docx", "A 27734-2023")</f>
        <v/>
      </c>
      <c r="Z146">
        <f>HYPERLINK("https://klasma.github.io/Logging_2281/fåglar/A 27734-2023 prioriterade fågelarter.docx", "A 27734-2023")</f>
        <v/>
      </c>
    </row>
    <row r="147" ht="15" customHeight="1">
      <c r="A147" t="inlineStr">
        <is>
          <t>A 24782-2024</t>
        </is>
      </c>
      <c r="B147" s="1" t="n">
        <v>45460.80252314815</v>
      </c>
      <c r="C147" s="1" t="n">
        <v>46181</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14820-2024</t>
        </is>
      </c>
      <c r="B148" s="1" t="n">
        <v>45397</v>
      </c>
      <c r="C148" s="1" t="n">
        <v>46181</v>
      </c>
      <c r="D148" t="inlineStr">
        <is>
          <t>VÄSTERNORRLANDS LÄN</t>
        </is>
      </c>
      <c r="E148" t="inlineStr">
        <is>
          <t>SUNDSVALL</t>
        </is>
      </c>
      <c r="F148" t="inlineStr">
        <is>
          <t>SCA</t>
        </is>
      </c>
      <c r="G148" t="n">
        <v>13.1</v>
      </c>
      <c r="H148" t="n">
        <v>0</v>
      </c>
      <c r="I148" t="n">
        <v>1</v>
      </c>
      <c r="J148" t="n">
        <v>2</v>
      </c>
      <c r="K148" t="n">
        <v>0</v>
      </c>
      <c r="L148" t="n">
        <v>0</v>
      </c>
      <c r="M148" t="n">
        <v>0</v>
      </c>
      <c r="N148" t="n">
        <v>0</v>
      </c>
      <c r="O148" t="n">
        <v>2</v>
      </c>
      <c r="P148" t="n">
        <v>0</v>
      </c>
      <c r="Q148" t="n">
        <v>3</v>
      </c>
      <c r="R148" s="2" t="inlineStr">
        <is>
          <t>Garnlav
Lunglav
Luddlav</t>
        </is>
      </c>
      <c r="S148">
        <f>HYPERLINK("https://klasma.github.io/Logging_2281/artfynd/A 14820-2024 artfynd.xlsx", "A 14820-2024")</f>
        <v/>
      </c>
      <c r="T148">
        <f>HYPERLINK("https://klasma.github.io/Logging_2281/kartor/A 14820-2024 karta.png", "A 14820-2024")</f>
        <v/>
      </c>
      <c r="V148">
        <f>HYPERLINK("https://klasma.github.io/Logging_2281/klagomål/A 14820-2024 FSC-klagomål.docx", "A 14820-2024")</f>
        <v/>
      </c>
      <c r="W148">
        <f>HYPERLINK("https://klasma.github.io/Logging_2281/klagomålsmail/A 14820-2024 FSC-klagomål mail.docx", "A 14820-2024")</f>
        <v/>
      </c>
      <c r="X148">
        <f>HYPERLINK("https://klasma.github.io/Logging_2281/tillsyn/A 14820-2024 tillsynsbegäran.docx", "A 14820-2024")</f>
        <v/>
      </c>
      <c r="Y148">
        <f>HYPERLINK("https://klasma.github.io/Logging_2281/tillsynsmail/A 14820-2024 tillsynsbegäran mail.docx", "A 14820-2024")</f>
        <v/>
      </c>
    </row>
    <row r="149" ht="15" customHeight="1">
      <c r="A149" t="inlineStr">
        <is>
          <t>A 30287-2023</t>
        </is>
      </c>
      <c r="B149" s="1" t="n">
        <v>45110</v>
      </c>
      <c r="C149" s="1" t="n">
        <v>46181</v>
      </c>
      <c r="D149" t="inlineStr">
        <is>
          <t>VÄSTERNORRLANDS LÄN</t>
        </is>
      </c>
      <c r="E149" t="inlineStr">
        <is>
          <t>SUNDSVALL</t>
        </is>
      </c>
      <c r="G149" t="n">
        <v>2.2</v>
      </c>
      <c r="H149" t="n">
        <v>3</v>
      </c>
      <c r="I149" t="n">
        <v>0</v>
      </c>
      <c r="J149" t="n">
        <v>1</v>
      </c>
      <c r="K149" t="n">
        <v>0</v>
      </c>
      <c r="L149" t="n">
        <v>1</v>
      </c>
      <c r="M149" t="n">
        <v>0</v>
      </c>
      <c r="N149" t="n">
        <v>0</v>
      </c>
      <c r="O149" t="n">
        <v>2</v>
      </c>
      <c r="P149" t="n">
        <v>1</v>
      </c>
      <c r="Q149" t="n">
        <v>3</v>
      </c>
      <c r="R149" s="2" t="inlineStr">
        <is>
          <t>Grönfink
Duvhök
Kungsfågel</t>
        </is>
      </c>
      <c r="S149">
        <f>HYPERLINK("https://klasma.github.io/Logging_2281/artfynd/A 30287-2023 artfynd.xlsx", "A 30287-2023")</f>
        <v/>
      </c>
      <c r="T149">
        <f>HYPERLINK("https://klasma.github.io/Logging_2281/kartor/A 30287-2023 karta.png", "A 30287-2023")</f>
        <v/>
      </c>
      <c r="V149">
        <f>HYPERLINK("https://klasma.github.io/Logging_2281/klagomål/A 30287-2023 FSC-klagomål.docx", "A 30287-2023")</f>
        <v/>
      </c>
      <c r="W149">
        <f>HYPERLINK("https://klasma.github.io/Logging_2281/klagomålsmail/A 30287-2023 FSC-klagomål mail.docx", "A 30287-2023")</f>
        <v/>
      </c>
      <c r="X149">
        <f>HYPERLINK("https://klasma.github.io/Logging_2281/tillsyn/A 30287-2023 tillsynsbegäran.docx", "A 30287-2023")</f>
        <v/>
      </c>
      <c r="Y149">
        <f>HYPERLINK("https://klasma.github.io/Logging_2281/tillsynsmail/A 30287-2023 tillsynsbegäran mail.docx", "A 30287-2023")</f>
        <v/>
      </c>
      <c r="Z149">
        <f>HYPERLINK("https://klasma.github.io/Logging_2281/fåglar/A 30287-2023 prioriterade fågelarter.docx", "A 30287-2023")</f>
        <v/>
      </c>
    </row>
    <row r="150" ht="15" customHeight="1">
      <c r="A150" t="inlineStr">
        <is>
          <t>A 20077-2025</t>
        </is>
      </c>
      <c r="B150" s="1" t="n">
        <v>45772.44883101852</v>
      </c>
      <c r="C150" s="1" t="n">
        <v>46181</v>
      </c>
      <c r="D150" t="inlineStr">
        <is>
          <t>VÄSTERNORRLANDS LÄN</t>
        </is>
      </c>
      <c r="E150" t="inlineStr">
        <is>
          <t>SUNDSVALL</t>
        </is>
      </c>
      <c r="F150" t="inlineStr">
        <is>
          <t>Naturvårdsverket</t>
        </is>
      </c>
      <c r="G150" t="n">
        <v>7</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HYPERLINK("https://klasma.github.io/Logging_2281/artfynd/A 20077-2025 artfynd.xlsx", "A 20077-2025")</f>
        <v/>
      </c>
      <c r="T150">
        <f>HYPERLINK("https://klasma.github.io/Logging_2281/kartor/A 20077-2025 karta.png", "A 20077-2025")</f>
        <v/>
      </c>
      <c r="V150">
        <f>HYPERLINK("https://klasma.github.io/Logging_2281/klagomål/A 20077-2025 FSC-klagomål.docx", "A 20077-2025")</f>
        <v/>
      </c>
      <c r="W150">
        <f>HYPERLINK("https://klasma.github.io/Logging_2281/klagomålsmail/A 20077-2025 FSC-klagomål mail.docx", "A 20077-2025")</f>
        <v/>
      </c>
      <c r="X150">
        <f>HYPERLINK("https://klasma.github.io/Logging_2281/tillsyn/A 20077-2025 tillsynsbegäran.docx", "A 20077-2025")</f>
        <v/>
      </c>
      <c r="Y150">
        <f>HYPERLINK("https://klasma.github.io/Logging_2281/tillsynsmail/A 20077-2025 tillsynsbegäran mail.docx", "A 20077-2025")</f>
        <v/>
      </c>
    </row>
    <row r="151" ht="15" customHeight="1">
      <c r="A151" t="inlineStr">
        <is>
          <t>A 21036-2025</t>
        </is>
      </c>
      <c r="B151" s="1" t="n">
        <v>45777.53175925926</v>
      </c>
      <c r="C151" s="1" t="n">
        <v>46181</v>
      </c>
      <c r="D151" t="inlineStr">
        <is>
          <t>VÄSTERNORRLANDS LÄN</t>
        </is>
      </c>
      <c r="E151" t="inlineStr">
        <is>
          <t>SUNDSVALL</t>
        </is>
      </c>
      <c r="F151" t="inlineStr">
        <is>
          <t>Naturvårdsverket</t>
        </is>
      </c>
      <c r="G151" t="n">
        <v>5.5</v>
      </c>
      <c r="H151" t="n">
        <v>0</v>
      </c>
      <c r="I151" t="n">
        <v>1</v>
      </c>
      <c r="J151" t="n">
        <v>2</v>
      </c>
      <c r="K151" t="n">
        <v>0</v>
      </c>
      <c r="L151" t="n">
        <v>0</v>
      </c>
      <c r="M151" t="n">
        <v>0</v>
      </c>
      <c r="N151" t="n">
        <v>0</v>
      </c>
      <c r="O151" t="n">
        <v>2</v>
      </c>
      <c r="P151" t="n">
        <v>0</v>
      </c>
      <c r="Q151" t="n">
        <v>3</v>
      </c>
      <c r="R151" s="2" t="inlineStr">
        <is>
          <t>Doftskinn
Lunglav
Stuplav</t>
        </is>
      </c>
      <c r="S151">
        <f>HYPERLINK("https://klasma.github.io/Logging_2281/artfynd/A 21036-2025 artfynd.xlsx", "A 21036-2025")</f>
        <v/>
      </c>
      <c r="T151">
        <f>HYPERLINK("https://klasma.github.io/Logging_2281/kartor/A 21036-2025 karta.png", "A 21036-2025")</f>
        <v/>
      </c>
      <c r="V151">
        <f>HYPERLINK("https://klasma.github.io/Logging_2281/klagomål/A 21036-2025 FSC-klagomål.docx", "A 21036-2025")</f>
        <v/>
      </c>
      <c r="W151">
        <f>HYPERLINK("https://klasma.github.io/Logging_2281/klagomålsmail/A 21036-2025 FSC-klagomål mail.docx", "A 21036-2025")</f>
        <v/>
      </c>
      <c r="X151">
        <f>HYPERLINK("https://klasma.github.io/Logging_2281/tillsyn/A 21036-2025 tillsynsbegäran.docx", "A 21036-2025")</f>
        <v/>
      </c>
      <c r="Y151">
        <f>HYPERLINK("https://klasma.github.io/Logging_2281/tillsynsmail/A 21036-2025 tillsynsbegäran mail.docx", "A 21036-2025")</f>
        <v/>
      </c>
    </row>
    <row r="152" ht="15" customHeight="1">
      <c r="A152" t="inlineStr">
        <is>
          <t>A 35307-2022</t>
        </is>
      </c>
      <c r="B152" s="1" t="n">
        <v>44798.44170138889</v>
      </c>
      <c r="C152" s="1" t="n">
        <v>46181</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57781-2023</t>
        </is>
      </c>
      <c r="B153" s="1" t="n">
        <v>45246</v>
      </c>
      <c r="C153" s="1" t="n">
        <v>46181</v>
      </c>
      <c r="D153" t="inlineStr">
        <is>
          <t>VÄSTERNORRLANDS LÄN</t>
        </is>
      </c>
      <c r="E153" t="inlineStr">
        <is>
          <t>SUNDSVALL</t>
        </is>
      </c>
      <c r="F153" t="inlineStr">
        <is>
          <t>SCA</t>
        </is>
      </c>
      <c r="G153" t="n">
        <v>4.9</v>
      </c>
      <c r="H153" t="n">
        <v>0</v>
      </c>
      <c r="I153" t="n">
        <v>1</v>
      </c>
      <c r="J153" t="n">
        <v>1</v>
      </c>
      <c r="K153" t="n">
        <v>0</v>
      </c>
      <c r="L153" t="n">
        <v>0</v>
      </c>
      <c r="M153" t="n">
        <v>0</v>
      </c>
      <c r="N153" t="n">
        <v>0</v>
      </c>
      <c r="O153" t="n">
        <v>1</v>
      </c>
      <c r="P153" t="n">
        <v>0</v>
      </c>
      <c r="Q153" t="n">
        <v>2</v>
      </c>
      <c r="R153" s="2" t="inlineStr">
        <is>
          <t>Tallticka
Bollvitmossa</t>
        </is>
      </c>
      <c r="S153">
        <f>HYPERLINK("https://klasma.github.io/Logging_2281/artfynd/A 57781-2023 artfynd.xlsx", "A 57781-2023")</f>
        <v/>
      </c>
      <c r="T153">
        <f>HYPERLINK("https://klasma.github.io/Logging_2281/kartor/A 57781-2023 karta.png", "A 57781-2023")</f>
        <v/>
      </c>
      <c r="V153">
        <f>HYPERLINK("https://klasma.github.io/Logging_2281/klagomål/A 57781-2023 FSC-klagomål.docx", "A 57781-2023")</f>
        <v/>
      </c>
      <c r="W153">
        <f>HYPERLINK("https://klasma.github.io/Logging_2281/klagomålsmail/A 57781-2023 FSC-klagomål mail.docx", "A 57781-2023")</f>
        <v/>
      </c>
      <c r="X153">
        <f>HYPERLINK("https://klasma.github.io/Logging_2281/tillsyn/A 57781-2023 tillsynsbegäran.docx", "A 57781-2023")</f>
        <v/>
      </c>
      <c r="Y153">
        <f>HYPERLINK("https://klasma.github.io/Logging_2281/tillsynsmail/A 57781-2023 tillsynsbegäran mail.docx", "A 57781-2023")</f>
        <v/>
      </c>
    </row>
    <row r="154" ht="15" customHeight="1">
      <c r="A154" t="inlineStr">
        <is>
          <t>A 34766-2024</t>
        </is>
      </c>
      <c r="B154" s="1" t="n">
        <v>45526</v>
      </c>
      <c r="C154" s="1" t="n">
        <v>46181</v>
      </c>
      <c r="D154" t="inlineStr">
        <is>
          <t>VÄSTERNORRLANDS LÄN</t>
        </is>
      </c>
      <c r="E154" t="inlineStr">
        <is>
          <t>SUNDSVALL</t>
        </is>
      </c>
      <c r="F154" t="inlineStr">
        <is>
          <t>SCA</t>
        </is>
      </c>
      <c r="G154" t="n">
        <v>10</v>
      </c>
      <c r="H154" t="n">
        <v>1</v>
      </c>
      <c r="I154" t="n">
        <v>1</v>
      </c>
      <c r="J154" t="n">
        <v>0</v>
      </c>
      <c r="K154" t="n">
        <v>0</v>
      </c>
      <c r="L154" t="n">
        <v>0</v>
      </c>
      <c r="M154" t="n">
        <v>0</v>
      </c>
      <c r="N154" t="n">
        <v>0</v>
      </c>
      <c r="O154" t="n">
        <v>0</v>
      </c>
      <c r="P154" t="n">
        <v>0</v>
      </c>
      <c r="Q154" t="n">
        <v>2</v>
      </c>
      <c r="R154" s="2" t="inlineStr">
        <is>
          <t>Vårärt
Revlummer</t>
        </is>
      </c>
      <c r="S154">
        <f>HYPERLINK("https://klasma.github.io/Logging_2281/artfynd/A 34766-2024 artfynd.xlsx", "A 34766-2024")</f>
        <v/>
      </c>
      <c r="T154">
        <f>HYPERLINK("https://klasma.github.io/Logging_2281/kartor/A 34766-2024 karta.png", "A 34766-2024")</f>
        <v/>
      </c>
      <c r="V154">
        <f>HYPERLINK("https://klasma.github.io/Logging_2281/klagomål/A 34766-2024 FSC-klagomål.docx", "A 34766-2024")</f>
        <v/>
      </c>
      <c r="W154">
        <f>HYPERLINK("https://klasma.github.io/Logging_2281/klagomålsmail/A 34766-2024 FSC-klagomål mail.docx", "A 34766-2024")</f>
        <v/>
      </c>
      <c r="X154">
        <f>HYPERLINK("https://klasma.github.io/Logging_2281/tillsyn/A 34766-2024 tillsynsbegäran.docx", "A 34766-2024")</f>
        <v/>
      </c>
      <c r="Y154">
        <f>HYPERLINK("https://klasma.github.io/Logging_2281/tillsynsmail/A 34766-2024 tillsynsbegäran mail.docx", "A 34766-2024")</f>
        <v/>
      </c>
    </row>
    <row r="155" ht="15" customHeight="1">
      <c r="A155" t="inlineStr">
        <is>
          <t>A 41814-2022</t>
        </is>
      </c>
      <c r="B155" s="1" t="n">
        <v>44827</v>
      </c>
      <c r="C155" s="1" t="n">
        <v>46181</v>
      </c>
      <c r="D155" t="inlineStr">
        <is>
          <t>VÄSTERNORRLANDS LÄN</t>
        </is>
      </c>
      <c r="E155" t="inlineStr">
        <is>
          <t>SUNDSVALL</t>
        </is>
      </c>
      <c r="F155" t="inlineStr">
        <is>
          <t>SCA</t>
        </is>
      </c>
      <c r="G155" t="n">
        <v>3.8</v>
      </c>
      <c r="H155" t="n">
        <v>1</v>
      </c>
      <c r="I155" t="n">
        <v>0</v>
      </c>
      <c r="J155" t="n">
        <v>1</v>
      </c>
      <c r="K155" t="n">
        <v>0</v>
      </c>
      <c r="L155" t="n">
        <v>0</v>
      </c>
      <c r="M155" t="n">
        <v>0</v>
      </c>
      <c r="N155" t="n">
        <v>0</v>
      </c>
      <c r="O155" t="n">
        <v>1</v>
      </c>
      <c r="P155" t="n">
        <v>0</v>
      </c>
      <c r="Q155" t="n">
        <v>2</v>
      </c>
      <c r="R155" s="2" t="inlineStr">
        <is>
          <t>Lunglav
Revlummer</t>
        </is>
      </c>
      <c r="S155">
        <f>HYPERLINK("https://klasma.github.io/Logging_2281/artfynd/A 41814-2022 artfynd.xlsx", "A 41814-2022")</f>
        <v/>
      </c>
      <c r="T155">
        <f>HYPERLINK("https://klasma.github.io/Logging_2281/kartor/A 41814-2022 karta.png", "A 41814-2022")</f>
        <v/>
      </c>
      <c r="V155">
        <f>HYPERLINK("https://klasma.github.io/Logging_2281/klagomål/A 41814-2022 FSC-klagomål.docx", "A 41814-2022")</f>
        <v/>
      </c>
      <c r="W155">
        <f>HYPERLINK("https://klasma.github.io/Logging_2281/klagomålsmail/A 41814-2022 FSC-klagomål mail.docx", "A 41814-2022")</f>
        <v/>
      </c>
      <c r="X155">
        <f>HYPERLINK("https://klasma.github.io/Logging_2281/tillsyn/A 41814-2022 tillsynsbegäran.docx", "A 41814-2022")</f>
        <v/>
      </c>
      <c r="Y155">
        <f>HYPERLINK("https://klasma.github.io/Logging_2281/tillsynsmail/A 41814-2022 tillsynsbegäran mail.docx", "A 41814-2022")</f>
        <v/>
      </c>
    </row>
    <row r="156" ht="15" customHeight="1">
      <c r="A156" t="inlineStr">
        <is>
          <t>A 36001-2025</t>
        </is>
      </c>
      <c r="B156" s="1" t="n">
        <v>45863.51965277778</v>
      </c>
      <c r="C156" s="1" t="n">
        <v>46181</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25870-2025</t>
        </is>
      </c>
      <c r="B157" s="1" t="n">
        <v>45804.49010416667</v>
      </c>
      <c r="C157" s="1" t="n">
        <v>46181</v>
      </c>
      <c r="D157" t="inlineStr">
        <is>
          <t>VÄSTERNORRLANDS LÄN</t>
        </is>
      </c>
      <c r="E157" t="inlineStr">
        <is>
          <t>SUNDSVALL</t>
        </is>
      </c>
      <c r="F157" t="inlineStr">
        <is>
          <t>Naturvårdsverket</t>
        </is>
      </c>
      <c r="G157" t="n">
        <v>1.6</v>
      </c>
      <c r="H157" t="n">
        <v>1</v>
      </c>
      <c r="I157" t="n">
        <v>1</v>
      </c>
      <c r="J157" t="n">
        <v>1</v>
      </c>
      <c r="K157" t="n">
        <v>0</v>
      </c>
      <c r="L157" t="n">
        <v>0</v>
      </c>
      <c r="M157" t="n">
        <v>0</v>
      </c>
      <c r="N157" t="n">
        <v>0</v>
      </c>
      <c r="O157" t="n">
        <v>1</v>
      </c>
      <c r="P157" t="n">
        <v>0</v>
      </c>
      <c r="Q157" t="n">
        <v>2</v>
      </c>
      <c r="R157" s="2" t="inlineStr">
        <is>
          <t>Lunglav
Spindelblomster</t>
        </is>
      </c>
      <c r="S157">
        <f>HYPERLINK("https://klasma.github.io/Logging_2281/artfynd/A 25870-2025 artfynd.xlsx", "A 25870-2025")</f>
        <v/>
      </c>
      <c r="T157">
        <f>HYPERLINK("https://klasma.github.io/Logging_2281/kartor/A 25870-2025 karta.png", "A 25870-2025")</f>
        <v/>
      </c>
      <c r="U157">
        <f>HYPERLINK("https://klasma.github.io/Logging_2281/knärot/A 25870-2025 karta knärot.png",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25836-2025</t>
        </is>
      </c>
      <c r="B158" s="1" t="n">
        <v>45804.44865740741</v>
      </c>
      <c r="C158" s="1" t="n">
        <v>46181</v>
      </c>
      <c r="D158" t="inlineStr">
        <is>
          <t>VÄSTERNORRLANDS LÄN</t>
        </is>
      </c>
      <c r="E158" t="inlineStr">
        <is>
          <t>SUNDSVALL</t>
        </is>
      </c>
      <c r="F158" t="inlineStr">
        <is>
          <t>Naturvårdsverket</t>
        </is>
      </c>
      <c r="G158" t="n">
        <v>1.5</v>
      </c>
      <c r="H158" t="n">
        <v>1</v>
      </c>
      <c r="I158" t="n">
        <v>0</v>
      </c>
      <c r="J158" t="n">
        <v>1</v>
      </c>
      <c r="K158" t="n">
        <v>0</v>
      </c>
      <c r="L158" t="n">
        <v>0</v>
      </c>
      <c r="M158" t="n">
        <v>0</v>
      </c>
      <c r="N158" t="n">
        <v>0</v>
      </c>
      <c r="O158" t="n">
        <v>1</v>
      </c>
      <c r="P158" t="n">
        <v>0</v>
      </c>
      <c r="Q158" t="n">
        <v>2</v>
      </c>
      <c r="R158" s="2" t="inlineStr">
        <is>
          <t>Garnlav
Fläcknycklar</t>
        </is>
      </c>
      <c r="S158">
        <f>HYPERLINK("https://klasma.github.io/Logging_2281/artfynd/A 25836-2025 artfynd.xlsx", "A 25836-2025")</f>
        <v/>
      </c>
      <c r="T158">
        <f>HYPERLINK("https://klasma.github.io/Logging_2281/kartor/A 25836-2025 karta.png", "A 25836-2025")</f>
        <v/>
      </c>
      <c r="V158">
        <f>HYPERLINK("https://klasma.github.io/Logging_2281/klagomål/A 25836-2025 FSC-klagomål.docx", "A 25836-2025")</f>
        <v/>
      </c>
      <c r="W158">
        <f>HYPERLINK("https://klasma.github.io/Logging_2281/klagomålsmail/A 25836-2025 FSC-klagomål mail.docx", "A 25836-2025")</f>
        <v/>
      </c>
      <c r="X158">
        <f>HYPERLINK("https://klasma.github.io/Logging_2281/tillsyn/A 25836-2025 tillsynsbegäran.docx", "A 25836-2025")</f>
        <v/>
      </c>
      <c r="Y158">
        <f>HYPERLINK("https://klasma.github.io/Logging_2281/tillsynsmail/A 25836-2025 tillsynsbegäran mail.docx", "A 25836-2025")</f>
        <v/>
      </c>
    </row>
    <row r="159" ht="15" customHeight="1">
      <c r="A159" t="inlineStr">
        <is>
          <t>A 59994-2024</t>
        </is>
      </c>
      <c r="B159" s="1" t="n">
        <v>45642.40677083333</v>
      </c>
      <c r="C159" s="1" t="n">
        <v>46181</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26834-2025</t>
        </is>
      </c>
      <c r="B160" s="1" t="n">
        <v>45810.65725694445</v>
      </c>
      <c r="C160" s="1" t="n">
        <v>46181</v>
      </c>
      <c r="D160" t="inlineStr">
        <is>
          <t>VÄSTERNORRLANDS LÄN</t>
        </is>
      </c>
      <c r="E160" t="inlineStr">
        <is>
          <t>SUNDSVALL</t>
        </is>
      </c>
      <c r="F160" t="inlineStr">
        <is>
          <t>SCA</t>
        </is>
      </c>
      <c r="G160" t="n">
        <v>1.9</v>
      </c>
      <c r="H160" t="n">
        <v>0</v>
      </c>
      <c r="I160" t="n">
        <v>0</v>
      </c>
      <c r="J160" t="n">
        <v>2</v>
      </c>
      <c r="K160" t="n">
        <v>0</v>
      </c>
      <c r="L160" t="n">
        <v>0</v>
      </c>
      <c r="M160" t="n">
        <v>0</v>
      </c>
      <c r="N160" t="n">
        <v>0</v>
      </c>
      <c r="O160" t="n">
        <v>2</v>
      </c>
      <c r="P160" t="n">
        <v>0</v>
      </c>
      <c r="Q160" t="n">
        <v>2</v>
      </c>
      <c r="R160" s="2" t="inlineStr">
        <is>
          <t>Garnlav
Kolflarnlav</t>
        </is>
      </c>
      <c r="S160">
        <f>HYPERLINK("https://klasma.github.io/Logging_2281/artfynd/A 26834-2025 artfynd.xlsx", "A 26834-2025")</f>
        <v/>
      </c>
      <c r="T160">
        <f>HYPERLINK("https://klasma.github.io/Logging_2281/kartor/A 26834-2025 karta.png", "A 26834-2025")</f>
        <v/>
      </c>
      <c r="V160">
        <f>HYPERLINK("https://klasma.github.io/Logging_2281/klagomål/A 26834-2025 FSC-klagomål.docx", "A 26834-2025")</f>
        <v/>
      </c>
      <c r="W160">
        <f>HYPERLINK("https://klasma.github.io/Logging_2281/klagomålsmail/A 26834-2025 FSC-klagomål mail.docx", "A 26834-2025")</f>
        <v/>
      </c>
      <c r="X160">
        <f>HYPERLINK("https://klasma.github.io/Logging_2281/tillsyn/A 26834-2025 tillsynsbegäran.docx", "A 26834-2025")</f>
        <v/>
      </c>
      <c r="Y160">
        <f>HYPERLINK("https://klasma.github.io/Logging_2281/tillsynsmail/A 26834-2025 tillsynsbegäran mail.docx", "A 26834-2025")</f>
        <v/>
      </c>
    </row>
    <row r="161" ht="15" customHeight="1">
      <c r="A161" t="inlineStr">
        <is>
          <t>A 26833-2025</t>
        </is>
      </c>
      <c r="B161" s="1" t="n">
        <v>45810.65706018519</v>
      </c>
      <c r="C161" s="1" t="n">
        <v>46181</v>
      </c>
      <c r="D161" t="inlineStr">
        <is>
          <t>VÄSTERNORRLANDS LÄN</t>
        </is>
      </c>
      <c r="E161" t="inlineStr">
        <is>
          <t>SUNDSVALL</t>
        </is>
      </c>
      <c r="F161" t="inlineStr">
        <is>
          <t>SCA</t>
        </is>
      </c>
      <c r="G161" t="n">
        <v>6</v>
      </c>
      <c r="H161" t="n">
        <v>0</v>
      </c>
      <c r="I161" t="n">
        <v>0</v>
      </c>
      <c r="J161" t="n">
        <v>2</v>
      </c>
      <c r="K161" t="n">
        <v>0</v>
      </c>
      <c r="L161" t="n">
        <v>0</v>
      </c>
      <c r="M161" t="n">
        <v>0</v>
      </c>
      <c r="N161" t="n">
        <v>0</v>
      </c>
      <c r="O161" t="n">
        <v>2</v>
      </c>
      <c r="P161" t="n">
        <v>0</v>
      </c>
      <c r="Q161" t="n">
        <v>2</v>
      </c>
      <c r="R161" s="2" t="inlineStr">
        <is>
          <t>Kolflarnlav
Vedskivlav</t>
        </is>
      </c>
      <c r="S161">
        <f>HYPERLINK("https://klasma.github.io/Logging_2281/artfynd/A 26833-2025 artfynd.xlsx", "A 26833-2025")</f>
        <v/>
      </c>
      <c r="T161">
        <f>HYPERLINK("https://klasma.github.io/Logging_2281/kartor/A 26833-2025 karta.png", "A 26833-2025")</f>
        <v/>
      </c>
      <c r="V161">
        <f>HYPERLINK("https://klasma.github.io/Logging_2281/klagomål/A 26833-2025 FSC-klagomål.docx", "A 26833-2025")</f>
        <v/>
      </c>
      <c r="W161">
        <f>HYPERLINK("https://klasma.github.io/Logging_2281/klagomålsmail/A 26833-2025 FSC-klagomål mail.docx", "A 26833-2025")</f>
        <v/>
      </c>
      <c r="X161">
        <f>HYPERLINK("https://klasma.github.io/Logging_2281/tillsyn/A 26833-2025 tillsynsbegäran.docx", "A 26833-2025")</f>
        <v/>
      </c>
      <c r="Y161">
        <f>HYPERLINK("https://klasma.github.io/Logging_2281/tillsynsmail/A 26833-2025 tillsynsbegäran mail.docx", "A 26833-2025")</f>
        <v/>
      </c>
    </row>
    <row r="162" ht="15" customHeight="1">
      <c r="A162" t="inlineStr">
        <is>
          <t>A 15632-2025</t>
        </is>
      </c>
      <c r="B162" s="1" t="n">
        <v>45748.369375</v>
      </c>
      <c r="C162" s="1" t="n">
        <v>46181</v>
      </c>
      <c r="D162" t="inlineStr">
        <is>
          <t>VÄSTERNORRLANDS LÄN</t>
        </is>
      </c>
      <c r="E162" t="inlineStr">
        <is>
          <t>SUNDSVALL</t>
        </is>
      </c>
      <c r="G162" t="n">
        <v>4.8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HYPERLINK("https://klasma.github.io/Logging_2281/artfynd/A 15632-2025 artfynd.xlsx", "A 15632-2025")</f>
        <v/>
      </c>
      <c r="T162">
        <f>HYPERLINK("https://klasma.github.io/Logging_2281/kartor/A 15632-2025 karta.png", "A 15632-2025")</f>
        <v/>
      </c>
      <c r="V162">
        <f>HYPERLINK("https://klasma.github.io/Logging_2281/klagomål/A 15632-2025 FSC-klagomål.docx", "A 15632-2025")</f>
        <v/>
      </c>
      <c r="W162">
        <f>HYPERLINK("https://klasma.github.io/Logging_2281/klagomålsmail/A 15632-2025 FSC-klagomål mail.docx", "A 15632-2025")</f>
        <v/>
      </c>
      <c r="X162">
        <f>HYPERLINK("https://klasma.github.io/Logging_2281/tillsyn/A 15632-2025 tillsynsbegäran.docx", "A 15632-2025")</f>
        <v/>
      </c>
      <c r="Y162">
        <f>HYPERLINK("https://klasma.github.io/Logging_2281/tillsynsmail/A 15632-2025 tillsynsbegäran mail.docx", "A 15632-2025")</f>
        <v/>
      </c>
      <c r="Z162">
        <f>HYPERLINK("https://klasma.github.io/Logging_2281/fåglar/A 15632-2025 prioriterade fågelarter.docx", "A 15632-2025")</f>
        <v/>
      </c>
    </row>
    <row r="163" ht="15" customHeight="1">
      <c r="A163" t="inlineStr">
        <is>
          <t>A 6672-2025</t>
        </is>
      </c>
      <c r="B163" s="1" t="n">
        <v>45700.46920138889</v>
      </c>
      <c r="C163" s="1" t="n">
        <v>46181</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43616-2025</t>
        </is>
      </c>
      <c r="B164" s="1" t="n">
        <v>45911.67792824074</v>
      </c>
      <c r="C164" s="1" t="n">
        <v>46181</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44403-2025</t>
        </is>
      </c>
      <c r="B165" s="1" t="n">
        <v>45916.51086805556</v>
      </c>
      <c r="C165" s="1" t="n">
        <v>46181</v>
      </c>
      <c r="D165" t="inlineStr">
        <is>
          <t>VÄSTERNORRLANDS LÄN</t>
        </is>
      </c>
      <c r="E165" t="inlineStr">
        <is>
          <t>SUNDSVALL</t>
        </is>
      </c>
      <c r="F165" t="inlineStr">
        <is>
          <t>SCA</t>
        </is>
      </c>
      <c r="G165" t="n">
        <v>4.3</v>
      </c>
      <c r="H165" t="n">
        <v>0</v>
      </c>
      <c r="I165" t="n">
        <v>1</v>
      </c>
      <c r="J165" t="n">
        <v>0</v>
      </c>
      <c r="K165" t="n">
        <v>1</v>
      </c>
      <c r="L165" t="n">
        <v>0</v>
      </c>
      <c r="M165" t="n">
        <v>0</v>
      </c>
      <c r="N165" t="n">
        <v>0</v>
      </c>
      <c r="O165" t="n">
        <v>1</v>
      </c>
      <c r="P165" t="n">
        <v>1</v>
      </c>
      <c r="Q165" t="n">
        <v>2</v>
      </c>
      <c r="R165" s="2" t="inlineStr">
        <is>
          <t>Blackticka
Stuplav</t>
        </is>
      </c>
      <c r="S165">
        <f>HYPERLINK("https://klasma.github.io/Logging_2281/artfynd/A 44403-2025 artfynd.xlsx", "A 44403-2025")</f>
        <v/>
      </c>
      <c r="T165">
        <f>HYPERLINK("https://klasma.github.io/Logging_2281/kartor/A 44403-2025 karta.png", "A 44403-2025")</f>
        <v/>
      </c>
      <c r="V165">
        <f>HYPERLINK("https://klasma.github.io/Logging_2281/klagomål/A 44403-2025 FSC-klagomål.docx", "A 44403-2025")</f>
        <v/>
      </c>
      <c r="W165">
        <f>HYPERLINK("https://klasma.github.io/Logging_2281/klagomålsmail/A 44403-2025 FSC-klagomål mail.docx", "A 44403-2025")</f>
        <v/>
      </c>
      <c r="X165">
        <f>HYPERLINK("https://klasma.github.io/Logging_2281/tillsyn/A 44403-2025 tillsynsbegäran.docx", "A 44403-2025")</f>
        <v/>
      </c>
      <c r="Y165">
        <f>HYPERLINK("https://klasma.github.io/Logging_2281/tillsynsmail/A 44403-2025 tillsynsbegäran mail.docx", "A 44403-2025")</f>
        <v/>
      </c>
    </row>
    <row r="166" ht="15" customHeight="1">
      <c r="A166" t="inlineStr">
        <is>
          <t>A 44328-2025</t>
        </is>
      </c>
      <c r="B166" s="1" t="n">
        <v>45916.40769675926</v>
      </c>
      <c r="C166" s="1" t="n">
        <v>46181</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46545-2025</t>
        </is>
      </c>
      <c r="B167" s="1" t="n">
        <v>45926.34505787037</v>
      </c>
      <c r="C167" s="1" t="n">
        <v>46181</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6680-2026</t>
        </is>
      </c>
      <c r="B168" s="1" t="n">
        <v>46056</v>
      </c>
      <c r="C168" s="1" t="n">
        <v>46181</v>
      </c>
      <c r="D168" t="inlineStr">
        <is>
          <t>VÄSTERNORRLANDS LÄN</t>
        </is>
      </c>
      <c r="E168" t="inlineStr">
        <is>
          <t>SUNDSVALL</t>
        </is>
      </c>
      <c r="F168" t="inlineStr">
        <is>
          <t>SCA</t>
        </is>
      </c>
      <c r="G168" t="n">
        <v>20.7</v>
      </c>
      <c r="H168" t="n">
        <v>1</v>
      </c>
      <c r="I168" t="n">
        <v>0</v>
      </c>
      <c r="J168" t="n">
        <v>1</v>
      </c>
      <c r="K168" t="n">
        <v>0</v>
      </c>
      <c r="L168" t="n">
        <v>0</v>
      </c>
      <c r="M168" t="n">
        <v>0</v>
      </c>
      <c r="N168" t="n">
        <v>0</v>
      </c>
      <c r="O168" t="n">
        <v>1</v>
      </c>
      <c r="P168" t="n">
        <v>0</v>
      </c>
      <c r="Q168" t="n">
        <v>2</v>
      </c>
      <c r="R168" s="2" t="inlineStr">
        <is>
          <t>Igelkott
Huggorm</t>
        </is>
      </c>
      <c r="S168">
        <f>HYPERLINK("https://klasma.github.io/Logging_2281/artfynd/A 6680-2026 artfynd.xlsx", "A 6680-2026")</f>
        <v/>
      </c>
      <c r="T168">
        <f>HYPERLINK("https://klasma.github.io/Logging_2281/kartor/A 6680-2026 karta.png", "A 6680-2026")</f>
        <v/>
      </c>
      <c r="V168">
        <f>HYPERLINK("https://klasma.github.io/Logging_2281/klagomål/A 6680-2026 FSC-klagomål.docx", "A 6680-2026")</f>
        <v/>
      </c>
      <c r="W168">
        <f>HYPERLINK("https://klasma.github.io/Logging_2281/klagomålsmail/A 6680-2026 FSC-klagomål mail.docx", "A 6680-2026")</f>
        <v/>
      </c>
      <c r="X168">
        <f>HYPERLINK("https://klasma.github.io/Logging_2281/tillsyn/A 6680-2026 tillsynsbegäran.docx", "A 6680-2026")</f>
        <v/>
      </c>
      <c r="Y168">
        <f>HYPERLINK("https://klasma.github.io/Logging_2281/tillsynsmail/A 6680-2026 tillsynsbegäran mail.docx", "A 6680-2026")</f>
        <v/>
      </c>
    </row>
    <row r="169" ht="15" customHeight="1">
      <c r="A169" t="inlineStr">
        <is>
          <t>A 3960-2024</t>
        </is>
      </c>
      <c r="B169" s="1" t="n">
        <v>45322</v>
      </c>
      <c r="C169" s="1" t="n">
        <v>46181</v>
      </c>
      <c r="D169" t="inlineStr">
        <is>
          <t>VÄSTERNORRLANDS LÄN</t>
        </is>
      </c>
      <c r="E169" t="inlineStr">
        <is>
          <t>SUNDSVALL</t>
        </is>
      </c>
      <c r="G169" t="n">
        <v>3.1</v>
      </c>
      <c r="H169" t="n">
        <v>1</v>
      </c>
      <c r="I169" t="n">
        <v>1</v>
      </c>
      <c r="J169" t="n">
        <v>1</v>
      </c>
      <c r="K169" t="n">
        <v>0</v>
      </c>
      <c r="L169" t="n">
        <v>0</v>
      </c>
      <c r="M169" t="n">
        <v>0</v>
      </c>
      <c r="N169" t="n">
        <v>0</v>
      </c>
      <c r="O169" t="n">
        <v>1</v>
      </c>
      <c r="P169" t="n">
        <v>0</v>
      </c>
      <c r="Q169" t="n">
        <v>2</v>
      </c>
      <c r="R169" s="2" t="inlineStr">
        <is>
          <t>Tretåig hackspett
Skinnlav</t>
        </is>
      </c>
      <c r="S169">
        <f>HYPERLINK("https://klasma.github.io/Logging_2281/artfynd/A 3960-2024 artfynd.xlsx", "A 3960-2024")</f>
        <v/>
      </c>
      <c r="T169">
        <f>HYPERLINK("https://klasma.github.io/Logging_2281/kartor/A 3960-2024 karta.png", "A 3960-2024")</f>
        <v/>
      </c>
      <c r="V169">
        <f>HYPERLINK("https://klasma.github.io/Logging_2281/klagomål/A 3960-2024 FSC-klagomål.docx", "A 3960-2024")</f>
        <v/>
      </c>
      <c r="W169">
        <f>HYPERLINK("https://klasma.github.io/Logging_2281/klagomålsmail/A 3960-2024 FSC-klagomål mail.docx", "A 3960-2024")</f>
        <v/>
      </c>
      <c r="X169">
        <f>HYPERLINK("https://klasma.github.io/Logging_2281/tillsyn/A 3960-2024 tillsynsbegäran.docx", "A 3960-2024")</f>
        <v/>
      </c>
      <c r="Y169">
        <f>HYPERLINK("https://klasma.github.io/Logging_2281/tillsynsmail/A 3960-2024 tillsynsbegäran mail.docx", "A 3960-2024")</f>
        <v/>
      </c>
      <c r="Z169">
        <f>HYPERLINK("https://klasma.github.io/Logging_2281/fåglar/A 3960-2024 prioriterade fågelarter.docx", "A 3960-2024")</f>
        <v/>
      </c>
    </row>
    <row r="170" ht="15" customHeight="1">
      <c r="A170" t="inlineStr">
        <is>
          <t>A 23364-2025</t>
        </is>
      </c>
      <c r="B170" s="1" t="n">
        <v>45791</v>
      </c>
      <c r="C170" s="1" t="n">
        <v>46181</v>
      </c>
      <c r="D170" t="inlineStr">
        <is>
          <t>VÄSTERNORRLANDS LÄN</t>
        </is>
      </c>
      <c r="E170" t="inlineStr">
        <is>
          <t>SUNDSVALL</t>
        </is>
      </c>
      <c r="F170" t="inlineStr">
        <is>
          <t>SCA</t>
        </is>
      </c>
      <c r="G170" t="n">
        <v>4</v>
      </c>
      <c r="H170" t="n">
        <v>1</v>
      </c>
      <c r="I170" t="n">
        <v>0</v>
      </c>
      <c r="J170" t="n">
        <v>2</v>
      </c>
      <c r="K170" t="n">
        <v>0</v>
      </c>
      <c r="L170" t="n">
        <v>0</v>
      </c>
      <c r="M170" t="n">
        <v>0</v>
      </c>
      <c r="N170" t="n">
        <v>0</v>
      </c>
      <c r="O170" t="n">
        <v>2</v>
      </c>
      <c r="P170" t="n">
        <v>0</v>
      </c>
      <c r="Q170" t="n">
        <v>2</v>
      </c>
      <c r="R170" s="2" t="inlineStr">
        <is>
          <t>Garnlav
Tretåig hackspett</t>
        </is>
      </c>
      <c r="S170">
        <f>HYPERLINK("https://klasma.github.io/Logging_2281/artfynd/A 23364-2025 artfynd.xlsx", "A 23364-2025")</f>
        <v/>
      </c>
      <c r="T170">
        <f>HYPERLINK("https://klasma.github.io/Logging_2281/kartor/A 23364-2025 karta.png", "A 23364-2025")</f>
        <v/>
      </c>
      <c r="V170">
        <f>HYPERLINK("https://klasma.github.io/Logging_2281/klagomål/A 23364-2025 FSC-klagomål.docx", "A 23364-2025")</f>
        <v/>
      </c>
      <c r="W170">
        <f>HYPERLINK("https://klasma.github.io/Logging_2281/klagomålsmail/A 23364-2025 FSC-klagomål mail.docx", "A 23364-2025")</f>
        <v/>
      </c>
      <c r="X170">
        <f>HYPERLINK("https://klasma.github.io/Logging_2281/tillsyn/A 23364-2025 tillsynsbegäran.docx", "A 23364-2025")</f>
        <v/>
      </c>
      <c r="Y170">
        <f>HYPERLINK("https://klasma.github.io/Logging_2281/tillsynsmail/A 23364-2025 tillsynsbegäran mail.docx", "A 23364-2025")</f>
        <v/>
      </c>
      <c r="Z170">
        <f>HYPERLINK("https://klasma.github.io/Logging_2281/fåglar/A 23364-2025 prioriterade fågelarter.docx", "A 23364-2025")</f>
        <v/>
      </c>
    </row>
    <row r="171" ht="15" customHeight="1">
      <c r="A171" t="inlineStr">
        <is>
          <t>A 70072-2021</t>
        </is>
      </c>
      <c r="B171" s="1" t="n">
        <v>44533.52040509259</v>
      </c>
      <c r="C171" s="1" t="n">
        <v>46181</v>
      </c>
      <c r="D171" t="inlineStr">
        <is>
          <t>VÄSTERNORRLANDS LÄN</t>
        </is>
      </c>
      <c r="E171" t="inlineStr">
        <is>
          <t>SUNDSVALL</t>
        </is>
      </c>
      <c r="G171" t="n">
        <v>1.2</v>
      </c>
      <c r="H171" t="n">
        <v>0</v>
      </c>
      <c r="I171" t="n">
        <v>0</v>
      </c>
      <c r="J171" t="n">
        <v>2</v>
      </c>
      <c r="K171" t="n">
        <v>0</v>
      </c>
      <c r="L171" t="n">
        <v>0</v>
      </c>
      <c r="M171" t="n">
        <v>0</v>
      </c>
      <c r="N171" t="n">
        <v>0</v>
      </c>
      <c r="O171" t="n">
        <v>2</v>
      </c>
      <c r="P171" t="n">
        <v>0</v>
      </c>
      <c r="Q171" t="n">
        <v>2</v>
      </c>
      <c r="R171" s="2" t="inlineStr">
        <is>
          <t>Garnlav
Lunglav</t>
        </is>
      </c>
      <c r="S171">
        <f>HYPERLINK("https://klasma.github.io/Logging_2281/artfynd/A 70072-2021 artfynd.xlsx", "A 70072-2021")</f>
        <v/>
      </c>
      <c r="T171">
        <f>HYPERLINK("https://klasma.github.io/Logging_2281/kartor/A 70072-2021 karta.png", "A 70072-2021")</f>
        <v/>
      </c>
      <c r="V171">
        <f>HYPERLINK("https://klasma.github.io/Logging_2281/klagomål/A 70072-2021 FSC-klagomål.docx", "A 70072-2021")</f>
        <v/>
      </c>
      <c r="W171">
        <f>HYPERLINK("https://klasma.github.io/Logging_2281/klagomålsmail/A 70072-2021 FSC-klagomål mail.docx", "A 70072-2021")</f>
        <v/>
      </c>
      <c r="X171">
        <f>HYPERLINK("https://klasma.github.io/Logging_2281/tillsyn/A 70072-2021 tillsynsbegäran.docx", "A 70072-2021")</f>
        <v/>
      </c>
      <c r="Y171">
        <f>HYPERLINK("https://klasma.github.io/Logging_2281/tillsynsmail/A 70072-2021 tillsynsbegäran mail.docx", "A 70072-2021")</f>
        <v/>
      </c>
    </row>
    <row r="172" ht="15" customHeight="1">
      <c r="A172" t="inlineStr">
        <is>
          <t>A 36072-2025</t>
        </is>
      </c>
      <c r="B172" s="1" t="n">
        <v>45866.42975694445</v>
      </c>
      <c r="C172" s="1" t="n">
        <v>46181</v>
      </c>
      <c r="D172" t="inlineStr">
        <is>
          <t>VÄSTERNORRLANDS LÄN</t>
        </is>
      </c>
      <c r="E172" t="inlineStr">
        <is>
          <t>SUNDSVALL</t>
        </is>
      </c>
      <c r="G172" t="n">
        <v>0.6</v>
      </c>
      <c r="H172" t="n">
        <v>2</v>
      </c>
      <c r="I172" t="n">
        <v>0</v>
      </c>
      <c r="J172" t="n">
        <v>0</v>
      </c>
      <c r="K172" t="n">
        <v>1</v>
      </c>
      <c r="L172" t="n">
        <v>0</v>
      </c>
      <c r="M172" t="n">
        <v>0</v>
      </c>
      <c r="N172" t="n">
        <v>0</v>
      </c>
      <c r="O172" t="n">
        <v>1</v>
      </c>
      <c r="P172" t="n">
        <v>1</v>
      </c>
      <c r="Q172" t="n">
        <v>2</v>
      </c>
      <c r="R172" s="2" t="inlineStr">
        <is>
          <t>Knärot
Fläcknycklar</t>
        </is>
      </c>
      <c r="S172">
        <f>HYPERLINK("https://klasma.github.io/Logging_2281/artfynd/A 36072-2025 artfynd.xlsx", "A 36072-2025")</f>
        <v/>
      </c>
      <c r="T172">
        <f>HYPERLINK("https://klasma.github.io/Logging_2281/kartor/A 36072-2025 karta.png", "A 36072-2025")</f>
        <v/>
      </c>
      <c r="U172">
        <f>HYPERLINK("https://klasma.github.io/Logging_2281/knärot/A 36072-2025 karta knärot.png", "A 36072-2025")</f>
        <v/>
      </c>
      <c r="V172">
        <f>HYPERLINK("https://klasma.github.io/Logging_2281/klagomål/A 36072-2025 FSC-klagomål.docx", "A 36072-2025")</f>
        <v/>
      </c>
      <c r="W172">
        <f>HYPERLINK("https://klasma.github.io/Logging_2281/klagomålsmail/A 36072-2025 FSC-klagomål mail.docx", "A 36072-2025")</f>
        <v/>
      </c>
      <c r="X172">
        <f>HYPERLINK("https://klasma.github.io/Logging_2281/tillsyn/A 36072-2025 tillsynsbegäran.docx", "A 36072-2025")</f>
        <v/>
      </c>
      <c r="Y172">
        <f>HYPERLINK("https://klasma.github.io/Logging_2281/tillsynsmail/A 36072-2025 tillsynsbegäran mail.docx", "A 36072-2025")</f>
        <v/>
      </c>
    </row>
    <row r="173" ht="15" customHeight="1">
      <c r="A173" t="inlineStr">
        <is>
          <t>A 16043-2025</t>
        </is>
      </c>
      <c r="B173" s="1" t="n">
        <v>45749</v>
      </c>
      <c r="C173" s="1" t="n">
        <v>46181</v>
      </c>
      <c r="D173" t="inlineStr">
        <is>
          <t>VÄSTERNORRLANDS LÄN</t>
        </is>
      </c>
      <c r="E173" t="inlineStr">
        <is>
          <t>SUNDSVALL</t>
        </is>
      </c>
      <c r="G173" t="n">
        <v>10.5</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16043-2025 artfynd.xlsx", "A 16043-2025")</f>
        <v/>
      </c>
      <c r="T173">
        <f>HYPERLINK("https://klasma.github.io/Logging_2281/kartor/A 16043-2025 karta.png", "A 16043-2025")</f>
        <v/>
      </c>
      <c r="V173">
        <f>HYPERLINK("https://klasma.github.io/Logging_2281/klagomål/A 16043-2025 FSC-klagomål.docx", "A 16043-2025")</f>
        <v/>
      </c>
      <c r="W173">
        <f>HYPERLINK("https://klasma.github.io/Logging_2281/klagomålsmail/A 16043-2025 FSC-klagomål mail.docx", "A 16043-2025")</f>
        <v/>
      </c>
      <c r="X173">
        <f>HYPERLINK("https://klasma.github.io/Logging_2281/tillsyn/A 16043-2025 tillsynsbegäran.docx", "A 16043-2025")</f>
        <v/>
      </c>
      <c r="Y173">
        <f>HYPERLINK("https://klasma.github.io/Logging_2281/tillsynsmail/A 16043-2025 tillsynsbegäran mail.docx", "A 16043-2025")</f>
        <v/>
      </c>
      <c r="Z173">
        <f>HYPERLINK("https://klasma.github.io/Logging_2281/fåglar/A 16043-2025 prioriterade fågelarter.docx", "A 16043-2025")</f>
        <v/>
      </c>
    </row>
    <row r="174" ht="15" customHeight="1">
      <c r="A174" t="inlineStr">
        <is>
          <t>A 50808-2025</t>
        </is>
      </c>
      <c r="B174" s="1" t="n">
        <v>45946.51084490741</v>
      </c>
      <c r="C174" s="1" t="n">
        <v>46181</v>
      </c>
      <c r="D174" t="inlineStr">
        <is>
          <t>VÄSTERNORRLANDS LÄN</t>
        </is>
      </c>
      <c r="E174" t="inlineStr">
        <is>
          <t>SUNDSVALL</t>
        </is>
      </c>
      <c r="F174" t="inlineStr">
        <is>
          <t>SCA</t>
        </is>
      </c>
      <c r="G174" t="n">
        <v>2.9</v>
      </c>
      <c r="H174" t="n">
        <v>0</v>
      </c>
      <c r="I174" t="n">
        <v>0</v>
      </c>
      <c r="J174" t="n">
        <v>2</v>
      </c>
      <c r="K174" t="n">
        <v>0</v>
      </c>
      <c r="L174" t="n">
        <v>0</v>
      </c>
      <c r="M174" t="n">
        <v>0</v>
      </c>
      <c r="N174" t="n">
        <v>0</v>
      </c>
      <c r="O174" t="n">
        <v>2</v>
      </c>
      <c r="P174" t="n">
        <v>0</v>
      </c>
      <c r="Q174" t="n">
        <v>2</v>
      </c>
      <c r="R174" s="2" t="inlineStr">
        <is>
          <t>Lunglav
Ullticka</t>
        </is>
      </c>
      <c r="S174">
        <f>HYPERLINK("https://klasma.github.io/Logging_2281/artfynd/A 50808-2025 artfynd.xlsx", "A 50808-2025")</f>
        <v/>
      </c>
      <c r="T174">
        <f>HYPERLINK("https://klasma.github.io/Logging_2281/kartor/A 50808-2025 karta.png", "A 50808-2025")</f>
        <v/>
      </c>
      <c r="U174">
        <f>HYPERLINK("https://klasma.github.io/Logging_2281/knärot/A 50808-2025 karta knärot.png", "A 50808-2025")</f>
        <v/>
      </c>
      <c r="V174">
        <f>HYPERLINK("https://klasma.github.io/Logging_2281/klagomål/A 50808-2025 FSC-klagomål.docx", "A 50808-2025")</f>
        <v/>
      </c>
      <c r="W174">
        <f>HYPERLINK("https://klasma.github.io/Logging_2281/klagomålsmail/A 50808-2025 FSC-klagomål mail.docx", "A 50808-2025")</f>
        <v/>
      </c>
      <c r="X174">
        <f>HYPERLINK("https://klasma.github.io/Logging_2281/tillsyn/A 50808-2025 tillsynsbegäran.docx", "A 50808-2025")</f>
        <v/>
      </c>
      <c r="Y174">
        <f>HYPERLINK("https://klasma.github.io/Logging_2281/tillsynsmail/A 50808-2025 tillsynsbegäran mail.docx", "A 50808-2025")</f>
        <v/>
      </c>
    </row>
    <row r="175" ht="15" customHeight="1">
      <c r="A175" t="inlineStr">
        <is>
          <t>A 50981-2025</t>
        </is>
      </c>
      <c r="B175" s="1" t="n">
        <v>45947.34456018519</v>
      </c>
      <c r="C175" s="1" t="n">
        <v>46181</v>
      </c>
      <c r="D175" t="inlineStr">
        <is>
          <t>VÄSTERNORRLANDS LÄN</t>
        </is>
      </c>
      <c r="E175" t="inlineStr">
        <is>
          <t>SUNDSVALL</t>
        </is>
      </c>
      <c r="F175" t="inlineStr">
        <is>
          <t>SCA</t>
        </is>
      </c>
      <c r="G175" t="n">
        <v>8.1</v>
      </c>
      <c r="H175" t="n">
        <v>1</v>
      </c>
      <c r="I175" t="n">
        <v>0</v>
      </c>
      <c r="J175" t="n">
        <v>1</v>
      </c>
      <c r="K175" t="n">
        <v>0</v>
      </c>
      <c r="L175" t="n">
        <v>0</v>
      </c>
      <c r="M175" t="n">
        <v>0</v>
      </c>
      <c r="N175" t="n">
        <v>0</v>
      </c>
      <c r="O175" t="n">
        <v>1</v>
      </c>
      <c r="P175" t="n">
        <v>0</v>
      </c>
      <c r="Q175" t="n">
        <v>2</v>
      </c>
      <c r="R175" s="2" t="inlineStr">
        <is>
          <t>Garnlav
Tjäder</t>
        </is>
      </c>
      <c r="S175">
        <f>HYPERLINK("https://klasma.github.io/Logging_2281/artfynd/A 50981-2025 artfynd.xlsx", "A 50981-2025")</f>
        <v/>
      </c>
      <c r="T175">
        <f>HYPERLINK("https://klasma.github.io/Logging_2281/kartor/A 50981-2025 karta.png", "A 50981-2025")</f>
        <v/>
      </c>
      <c r="U175">
        <f>HYPERLINK("https://klasma.github.io/Logging_2281/knärot/A 50981-2025 karta knärot.png", "A 50981-2025")</f>
        <v/>
      </c>
      <c r="V175">
        <f>HYPERLINK("https://klasma.github.io/Logging_2281/klagomål/A 50981-2025 FSC-klagomål.docx", "A 50981-2025")</f>
        <v/>
      </c>
      <c r="W175">
        <f>HYPERLINK("https://klasma.github.io/Logging_2281/klagomålsmail/A 50981-2025 FSC-klagomål mail.docx", "A 50981-2025")</f>
        <v/>
      </c>
      <c r="X175">
        <f>HYPERLINK("https://klasma.github.io/Logging_2281/tillsyn/A 50981-2025 tillsynsbegäran.docx", "A 50981-2025")</f>
        <v/>
      </c>
      <c r="Y175">
        <f>HYPERLINK("https://klasma.github.io/Logging_2281/tillsynsmail/A 50981-2025 tillsynsbegäran mail.docx", "A 50981-2025")</f>
        <v/>
      </c>
      <c r="Z175">
        <f>HYPERLINK("https://klasma.github.io/Logging_2281/fåglar/A 50981-2025 prioriterade fågelarter.docx", "A 50981-2025")</f>
        <v/>
      </c>
    </row>
    <row r="176" ht="15" customHeight="1">
      <c r="A176" t="inlineStr">
        <is>
          <t>A 38060-2025</t>
        </is>
      </c>
      <c r="B176" s="1" t="n">
        <v>45882.42796296296</v>
      </c>
      <c r="C176" s="1" t="n">
        <v>46181</v>
      </c>
      <c r="D176" t="inlineStr">
        <is>
          <t>VÄSTERNORRLANDS LÄN</t>
        </is>
      </c>
      <c r="E176" t="inlineStr">
        <is>
          <t>SUNDSVALL</t>
        </is>
      </c>
      <c r="F176" t="inlineStr">
        <is>
          <t>SCA</t>
        </is>
      </c>
      <c r="G176" t="n">
        <v>5.1</v>
      </c>
      <c r="H176" t="n">
        <v>0</v>
      </c>
      <c r="I176" t="n">
        <v>1</v>
      </c>
      <c r="J176" t="n">
        <v>1</v>
      </c>
      <c r="K176" t="n">
        <v>0</v>
      </c>
      <c r="L176" t="n">
        <v>0</v>
      </c>
      <c r="M176" t="n">
        <v>0</v>
      </c>
      <c r="N176" t="n">
        <v>0</v>
      </c>
      <c r="O176" t="n">
        <v>1</v>
      </c>
      <c r="P176" t="n">
        <v>0</v>
      </c>
      <c r="Q176" t="n">
        <v>2</v>
      </c>
      <c r="R176" s="2" t="inlineStr">
        <is>
          <t>Ullticka
Vedticka</t>
        </is>
      </c>
      <c r="S176">
        <f>HYPERLINK("https://klasma.github.io/Logging_2281/artfynd/A 38060-2025 artfynd.xlsx", "A 38060-2025")</f>
        <v/>
      </c>
      <c r="T176">
        <f>HYPERLINK("https://klasma.github.io/Logging_2281/kartor/A 38060-2025 karta.png", "A 38060-2025")</f>
        <v/>
      </c>
      <c r="V176">
        <f>HYPERLINK("https://klasma.github.io/Logging_2281/klagomål/A 38060-2025 FSC-klagomål.docx", "A 38060-2025")</f>
        <v/>
      </c>
      <c r="W176">
        <f>HYPERLINK("https://klasma.github.io/Logging_2281/klagomålsmail/A 38060-2025 FSC-klagomål mail.docx", "A 38060-2025")</f>
        <v/>
      </c>
      <c r="X176">
        <f>HYPERLINK("https://klasma.github.io/Logging_2281/tillsyn/A 38060-2025 tillsynsbegäran.docx", "A 38060-2025")</f>
        <v/>
      </c>
      <c r="Y176">
        <f>HYPERLINK("https://klasma.github.io/Logging_2281/tillsynsmail/A 38060-2025 tillsynsbegäran mail.docx", "A 38060-2025")</f>
        <v/>
      </c>
    </row>
    <row r="177" ht="15" customHeight="1">
      <c r="A177" t="inlineStr">
        <is>
          <t>A 51933-2025</t>
        </is>
      </c>
      <c r="B177" s="1" t="n">
        <v>45952.51125</v>
      </c>
      <c r="C177" s="1" t="n">
        <v>46181</v>
      </c>
      <c r="D177" t="inlineStr">
        <is>
          <t>VÄSTERNORRLANDS LÄN</t>
        </is>
      </c>
      <c r="E177" t="inlineStr">
        <is>
          <t>SUNDSVALL</t>
        </is>
      </c>
      <c r="F177" t="inlineStr">
        <is>
          <t>SCA</t>
        </is>
      </c>
      <c r="G177" t="n">
        <v>7</v>
      </c>
      <c r="H177" t="n">
        <v>1</v>
      </c>
      <c r="I177" t="n">
        <v>1</v>
      </c>
      <c r="J177" t="n">
        <v>0</v>
      </c>
      <c r="K177" t="n">
        <v>0</v>
      </c>
      <c r="L177" t="n">
        <v>0</v>
      </c>
      <c r="M177" t="n">
        <v>0</v>
      </c>
      <c r="N177" t="n">
        <v>0</v>
      </c>
      <c r="O177" t="n">
        <v>0</v>
      </c>
      <c r="P177" t="n">
        <v>0</v>
      </c>
      <c r="Q177" t="n">
        <v>2</v>
      </c>
      <c r="R177" s="2" t="inlineStr">
        <is>
          <t>Tibast
Nattviol</t>
        </is>
      </c>
      <c r="S177">
        <f>HYPERLINK("https://klasma.github.io/Logging_2281/artfynd/A 51933-2025 artfynd.xlsx", "A 51933-2025")</f>
        <v/>
      </c>
      <c r="T177">
        <f>HYPERLINK("https://klasma.github.io/Logging_2281/kartor/A 51933-2025 karta.png", "A 51933-2025")</f>
        <v/>
      </c>
      <c r="V177">
        <f>HYPERLINK("https://klasma.github.io/Logging_2281/klagomål/A 51933-2025 FSC-klagomål.docx", "A 51933-2025")</f>
        <v/>
      </c>
      <c r="W177">
        <f>HYPERLINK("https://klasma.github.io/Logging_2281/klagomålsmail/A 51933-2025 FSC-klagomål mail.docx", "A 51933-2025")</f>
        <v/>
      </c>
      <c r="X177">
        <f>HYPERLINK("https://klasma.github.io/Logging_2281/tillsyn/A 51933-2025 tillsynsbegäran.docx", "A 51933-2025")</f>
        <v/>
      </c>
      <c r="Y177">
        <f>HYPERLINK("https://klasma.github.io/Logging_2281/tillsynsmail/A 51933-2025 tillsynsbegäran mail.docx", "A 51933-2025")</f>
        <v/>
      </c>
    </row>
    <row r="178" ht="15" customHeight="1">
      <c r="A178" t="inlineStr">
        <is>
          <t>A 45841-2025</t>
        </is>
      </c>
      <c r="B178" s="1" t="n">
        <v>45923</v>
      </c>
      <c r="C178" s="1" t="n">
        <v>46181</v>
      </c>
      <c r="D178" t="inlineStr">
        <is>
          <t>VÄSTERNORRLANDS LÄN</t>
        </is>
      </c>
      <c r="E178" t="inlineStr">
        <is>
          <t>SUNDSVALL</t>
        </is>
      </c>
      <c r="F178" t="inlineStr">
        <is>
          <t>SCA</t>
        </is>
      </c>
      <c r="G178" t="n">
        <v>16.5</v>
      </c>
      <c r="H178" t="n">
        <v>2</v>
      </c>
      <c r="I178" t="n">
        <v>0</v>
      </c>
      <c r="J178" t="n">
        <v>1</v>
      </c>
      <c r="K178" t="n">
        <v>1</v>
      </c>
      <c r="L178" t="n">
        <v>0</v>
      </c>
      <c r="M178" t="n">
        <v>0</v>
      </c>
      <c r="N178" t="n">
        <v>0</v>
      </c>
      <c r="O178" t="n">
        <v>2</v>
      </c>
      <c r="P178" t="n">
        <v>1</v>
      </c>
      <c r="Q178" t="n">
        <v>2</v>
      </c>
      <c r="R178" s="2" t="inlineStr">
        <is>
          <t>Knärot
Tretåig hackspett</t>
        </is>
      </c>
      <c r="S178">
        <f>HYPERLINK("https://klasma.github.io/Logging_2281/artfynd/A 45841-2025 artfynd.xlsx", "A 45841-2025")</f>
        <v/>
      </c>
      <c r="T178">
        <f>HYPERLINK("https://klasma.github.io/Logging_2281/kartor/A 45841-2025 karta.png", "A 45841-2025")</f>
        <v/>
      </c>
      <c r="U178">
        <f>HYPERLINK("https://klasma.github.io/Logging_2281/knärot/A 45841-2025 karta knärot.png", "A 45841-2025")</f>
        <v/>
      </c>
      <c r="V178">
        <f>HYPERLINK("https://klasma.github.io/Logging_2281/klagomål/A 45841-2025 FSC-klagomål.docx", "A 45841-2025")</f>
        <v/>
      </c>
      <c r="W178">
        <f>HYPERLINK("https://klasma.github.io/Logging_2281/klagomålsmail/A 45841-2025 FSC-klagomål mail.docx", "A 45841-2025")</f>
        <v/>
      </c>
      <c r="X178">
        <f>HYPERLINK("https://klasma.github.io/Logging_2281/tillsyn/A 45841-2025 tillsynsbegäran.docx", "A 45841-2025")</f>
        <v/>
      </c>
      <c r="Y178">
        <f>HYPERLINK("https://klasma.github.io/Logging_2281/tillsynsmail/A 45841-2025 tillsynsbegäran mail.docx", "A 45841-2025")</f>
        <v/>
      </c>
      <c r="Z178">
        <f>HYPERLINK("https://klasma.github.io/Logging_2281/fåglar/A 45841-2025 prioriterade fågelarter.docx", "A 45841-2025")</f>
        <v/>
      </c>
    </row>
    <row r="179" ht="15" customHeight="1">
      <c r="A179" t="inlineStr">
        <is>
          <t>A 51366-2022</t>
        </is>
      </c>
      <c r="B179" s="1" t="n">
        <v>44869</v>
      </c>
      <c r="C179" s="1" t="n">
        <v>46181</v>
      </c>
      <c r="D179" t="inlineStr">
        <is>
          <t>VÄSTERNORRLANDS LÄN</t>
        </is>
      </c>
      <c r="E179" t="inlineStr">
        <is>
          <t>SUNDSVALL</t>
        </is>
      </c>
      <c r="G179" t="n">
        <v>31.8</v>
      </c>
      <c r="H179" t="n">
        <v>0</v>
      </c>
      <c r="I179" t="n">
        <v>0</v>
      </c>
      <c r="J179" t="n">
        <v>2</v>
      </c>
      <c r="K179" t="n">
        <v>0</v>
      </c>
      <c r="L179" t="n">
        <v>0</v>
      </c>
      <c r="M179" t="n">
        <v>0</v>
      </c>
      <c r="N179" t="n">
        <v>0</v>
      </c>
      <c r="O179" t="n">
        <v>2</v>
      </c>
      <c r="P179" t="n">
        <v>0</v>
      </c>
      <c r="Q179" t="n">
        <v>2</v>
      </c>
      <c r="R179" s="2" t="inlineStr">
        <is>
          <t>Lunglav
Rosenticka</t>
        </is>
      </c>
      <c r="S179">
        <f>HYPERLINK("https://klasma.github.io/Logging_2281/artfynd/A 51366-2022 artfynd.xlsx", "A 51366-2022")</f>
        <v/>
      </c>
      <c r="T179">
        <f>HYPERLINK("https://klasma.github.io/Logging_2281/kartor/A 51366-2022 karta.png", "A 51366-2022")</f>
        <v/>
      </c>
      <c r="V179">
        <f>HYPERLINK("https://klasma.github.io/Logging_2281/klagomål/A 51366-2022 FSC-klagomål.docx", "A 51366-2022")</f>
        <v/>
      </c>
      <c r="W179">
        <f>HYPERLINK("https://klasma.github.io/Logging_2281/klagomålsmail/A 51366-2022 FSC-klagomål mail.docx", "A 51366-2022")</f>
        <v/>
      </c>
      <c r="X179">
        <f>HYPERLINK("https://klasma.github.io/Logging_2281/tillsyn/A 51366-2022 tillsynsbegäran.docx", "A 51366-2022")</f>
        <v/>
      </c>
      <c r="Y179">
        <f>HYPERLINK("https://klasma.github.io/Logging_2281/tillsynsmail/A 51366-2022 tillsynsbegäran mail.docx", "A 51366-2022")</f>
        <v/>
      </c>
    </row>
    <row r="180" ht="15" customHeight="1">
      <c r="A180" t="inlineStr">
        <is>
          <t>A 54669-2025</t>
        </is>
      </c>
      <c r="B180" s="1" t="n">
        <v>45966.40872685185</v>
      </c>
      <c r="C180" s="1" t="n">
        <v>46181</v>
      </c>
      <c r="D180" t="inlineStr">
        <is>
          <t>VÄSTERNORRLANDS LÄN</t>
        </is>
      </c>
      <c r="E180" t="inlineStr">
        <is>
          <t>SUNDSVALL</t>
        </is>
      </c>
      <c r="G180" t="n">
        <v>4</v>
      </c>
      <c r="H180" t="n">
        <v>0</v>
      </c>
      <c r="I180" t="n">
        <v>0</v>
      </c>
      <c r="J180" t="n">
        <v>2</v>
      </c>
      <c r="K180" t="n">
        <v>0</v>
      </c>
      <c r="L180" t="n">
        <v>0</v>
      </c>
      <c r="M180" t="n">
        <v>0</v>
      </c>
      <c r="N180" t="n">
        <v>0</v>
      </c>
      <c r="O180" t="n">
        <v>2</v>
      </c>
      <c r="P180" t="n">
        <v>0</v>
      </c>
      <c r="Q180" t="n">
        <v>2</v>
      </c>
      <c r="R180" s="2" t="inlineStr">
        <is>
          <t>Garnlav
Vitgrynig nållav</t>
        </is>
      </c>
      <c r="S180">
        <f>HYPERLINK("https://klasma.github.io/Logging_2281/artfynd/A 54669-2025 artfynd.xlsx", "A 54669-2025")</f>
        <v/>
      </c>
      <c r="T180">
        <f>HYPERLINK("https://klasma.github.io/Logging_2281/kartor/A 54669-2025 karta.png", "A 54669-2025")</f>
        <v/>
      </c>
      <c r="V180">
        <f>HYPERLINK("https://klasma.github.io/Logging_2281/klagomål/A 54669-2025 FSC-klagomål.docx", "A 54669-2025")</f>
        <v/>
      </c>
      <c r="W180">
        <f>HYPERLINK("https://klasma.github.io/Logging_2281/klagomålsmail/A 54669-2025 FSC-klagomål mail.docx", "A 54669-2025")</f>
        <v/>
      </c>
      <c r="X180">
        <f>HYPERLINK("https://klasma.github.io/Logging_2281/tillsyn/A 54669-2025 tillsynsbegäran.docx", "A 54669-2025")</f>
        <v/>
      </c>
      <c r="Y180">
        <f>HYPERLINK("https://klasma.github.io/Logging_2281/tillsynsmail/A 54669-2025 tillsynsbegäran mail.docx", "A 54669-2025")</f>
        <v/>
      </c>
    </row>
    <row r="181" ht="15" customHeight="1">
      <c r="A181" t="inlineStr">
        <is>
          <t>A 39929-2021</t>
        </is>
      </c>
      <c r="B181" s="1" t="n">
        <v>44417</v>
      </c>
      <c r="C181" s="1" t="n">
        <v>46181</v>
      </c>
      <c r="D181" t="inlineStr">
        <is>
          <t>VÄSTERNORRLANDS LÄN</t>
        </is>
      </c>
      <c r="E181" t="inlineStr">
        <is>
          <t>SUNDSVALL</t>
        </is>
      </c>
      <c r="F181" t="inlineStr">
        <is>
          <t>SCA</t>
        </is>
      </c>
      <c r="G181" t="n">
        <v>3.3</v>
      </c>
      <c r="H181" t="n">
        <v>2</v>
      </c>
      <c r="I181" t="n">
        <v>0</v>
      </c>
      <c r="J181" t="n">
        <v>1</v>
      </c>
      <c r="K181" t="n">
        <v>0</v>
      </c>
      <c r="L181" t="n">
        <v>0</v>
      </c>
      <c r="M181" t="n">
        <v>0</v>
      </c>
      <c r="N181" t="n">
        <v>0</v>
      </c>
      <c r="O181" t="n">
        <v>1</v>
      </c>
      <c r="P181" t="n">
        <v>0</v>
      </c>
      <c r="Q181" t="n">
        <v>2</v>
      </c>
      <c r="R181" s="2" t="inlineStr">
        <is>
          <t>Tretåig hackspett
Nattviol</t>
        </is>
      </c>
      <c r="S181">
        <f>HYPERLINK("https://klasma.github.io/Logging_2281/artfynd/A 39929-2021 artfynd.xlsx", "A 39929-2021")</f>
        <v/>
      </c>
      <c r="T181">
        <f>HYPERLINK("https://klasma.github.io/Logging_2281/kartor/A 39929-2021 karta.png", "A 39929-2021")</f>
        <v/>
      </c>
      <c r="V181">
        <f>HYPERLINK("https://klasma.github.io/Logging_2281/klagomål/A 39929-2021 FSC-klagomål.docx", "A 39929-2021")</f>
        <v/>
      </c>
      <c r="W181">
        <f>HYPERLINK("https://klasma.github.io/Logging_2281/klagomålsmail/A 39929-2021 FSC-klagomål mail.docx", "A 39929-2021")</f>
        <v/>
      </c>
      <c r="X181">
        <f>HYPERLINK("https://klasma.github.io/Logging_2281/tillsyn/A 39929-2021 tillsynsbegäran.docx", "A 39929-2021")</f>
        <v/>
      </c>
      <c r="Y181">
        <f>HYPERLINK("https://klasma.github.io/Logging_2281/tillsynsmail/A 39929-2021 tillsynsbegäran mail.docx", "A 39929-2021")</f>
        <v/>
      </c>
      <c r="Z181">
        <f>HYPERLINK("https://klasma.github.io/Logging_2281/fåglar/A 39929-2021 prioriterade fågelarter.docx", "A 39929-2021")</f>
        <v/>
      </c>
    </row>
    <row r="182" ht="15" customHeight="1">
      <c r="A182" t="inlineStr">
        <is>
          <t>A 62532-2023</t>
        </is>
      </c>
      <c r="B182" s="1" t="n">
        <v>45268</v>
      </c>
      <c r="C182" s="1" t="n">
        <v>46181</v>
      </c>
      <c r="D182" t="inlineStr">
        <is>
          <t>VÄSTERNORRLANDS LÄN</t>
        </is>
      </c>
      <c r="E182" t="inlineStr">
        <is>
          <t>SUNDSVALL</t>
        </is>
      </c>
      <c r="G182" t="n">
        <v>0.7</v>
      </c>
      <c r="H182" t="n">
        <v>2</v>
      </c>
      <c r="I182" t="n">
        <v>0</v>
      </c>
      <c r="J182" t="n">
        <v>1</v>
      </c>
      <c r="K182" t="n">
        <v>0</v>
      </c>
      <c r="L182" t="n">
        <v>0</v>
      </c>
      <c r="M182" t="n">
        <v>0</v>
      </c>
      <c r="N182" t="n">
        <v>0</v>
      </c>
      <c r="O182" t="n">
        <v>1</v>
      </c>
      <c r="P182" t="n">
        <v>0</v>
      </c>
      <c r="Q182" t="n">
        <v>2</v>
      </c>
      <c r="R182" s="2" t="inlineStr">
        <is>
          <t>Spillkråka
Gråspett</t>
        </is>
      </c>
      <c r="S182">
        <f>HYPERLINK("https://klasma.github.io/Logging_2281/artfynd/A 62532-2023 artfynd.xlsx", "A 62532-2023")</f>
        <v/>
      </c>
      <c r="T182">
        <f>HYPERLINK("https://klasma.github.io/Logging_2281/kartor/A 62532-2023 karta.png", "A 62532-2023")</f>
        <v/>
      </c>
      <c r="V182">
        <f>HYPERLINK("https://klasma.github.io/Logging_2281/klagomål/A 62532-2023 FSC-klagomål.docx", "A 62532-2023")</f>
        <v/>
      </c>
      <c r="W182">
        <f>HYPERLINK("https://klasma.github.io/Logging_2281/klagomålsmail/A 62532-2023 FSC-klagomål mail.docx", "A 62532-2023")</f>
        <v/>
      </c>
      <c r="X182">
        <f>HYPERLINK("https://klasma.github.io/Logging_2281/tillsyn/A 62532-2023 tillsynsbegäran.docx", "A 62532-2023")</f>
        <v/>
      </c>
      <c r="Y182">
        <f>HYPERLINK("https://klasma.github.io/Logging_2281/tillsynsmail/A 62532-2023 tillsynsbegäran mail.docx", "A 62532-2023")</f>
        <v/>
      </c>
      <c r="Z182">
        <f>HYPERLINK("https://klasma.github.io/Logging_2281/fåglar/A 62532-2023 prioriterade fågelarter.docx", "A 62532-2023")</f>
        <v/>
      </c>
    </row>
    <row r="183" ht="15" customHeight="1">
      <c r="A183" t="inlineStr">
        <is>
          <t>A 18825-2025</t>
        </is>
      </c>
      <c r="B183" s="1" t="n">
        <v>45764.38601851852</v>
      </c>
      <c r="C183" s="1" t="n">
        <v>46181</v>
      </c>
      <c r="D183" t="inlineStr">
        <is>
          <t>VÄSTERNORRLANDS LÄN</t>
        </is>
      </c>
      <c r="E183" t="inlineStr">
        <is>
          <t>SUNDSVALL</t>
        </is>
      </c>
      <c r="F183" t="inlineStr">
        <is>
          <t>Naturvårdsverket</t>
        </is>
      </c>
      <c r="G183" t="n">
        <v>5.8</v>
      </c>
      <c r="H183" t="n">
        <v>2</v>
      </c>
      <c r="I183" t="n">
        <v>1</v>
      </c>
      <c r="J183" t="n">
        <v>0</v>
      </c>
      <c r="K183" t="n">
        <v>0</v>
      </c>
      <c r="L183" t="n">
        <v>0</v>
      </c>
      <c r="M183" t="n">
        <v>0</v>
      </c>
      <c r="N183" t="n">
        <v>0</v>
      </c>
      <c r="O183" t="n">
        <v>0</v>
      </c>
      <c r="P183" t="n">
        <v>0</v>
      </c>
      <c r="Q183" t="n">
        <v>2</v>
      </c>
      <c r="R183" s="2" t="inlineStr">
        <is>
          <t>Korallrot
Fläcknycklar</t>
        </is>
      </c>
      <c r="S183">
        <f>HYPERLINK("https://klasma.github.io/Logging_2281/artfynd/A 18825-2025 artfynd.xlsx", "A 18825-2025")</f>
        <v/>
      </c>
      <c r="T183">
        <f>HYPERLINK("https://klasma.github.io/Logging_2281/kartor/A 18825-2025 karta.png", "A 18825-2025")</f>
        <v/>
      </c>
      <c r="V183">
        <f>HYPERLINK("https://klasma.github.io/Logging_2281/klagomål/A 18825-2025 FSC-klagomål.docx", "A 18825-2025")</f>
        <v/>
      </c>
      <c r="W183">
        <f>HYPERLINK("https://klasma.github.io/Logging_2281/klagomålsmail/A 18825-2025 FSC-klagomål mail.docx", "A 18825-2025")</f>
        <v/>
      </c>
      <c r="X183">
        <f>HYPERLINK("https://klasma.github.io/Logging_2281/tillsyn/A 18825-2025 tillsynsbegäran.docx", "A 18825-2025")</f>
        <v/>
      </c>
      <c r="Y183">
        <f>HYPERLINK("https://klasma.github.io/Logging_2281/tillsynsmail/A 18825-2025 tillsynsbegäran mail.docx", "A 18825-2025")</f>
        <v/>
      </c>
    </row>
    <row r="184" ht="15" customHeight="1">
      <c r="A184" t="inlineStr">
        <is>
          <t>A 4900-2025</t>
        </is>
      </c>
      <c r="B184" s="1" t="n">
        <v>45688</v>
      </c>
      <c r="C184" s="1" t="n">
        <v>46181</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58191-2022</t>
        </is>
      </c>
      <c r="B185" s="1" t="n">
        <v>44900</v>
      </c>
      <c r="C185" s="1" t="n">
        <v>46181</v>
      </c>
      <c r="D185" t="inlineStr">
        <is>
          <t>VÄSTERNORRLANDS LÄN</t>
        </is>
      </c>
      <c r="E185" t="inlineStr">
        <is>
          <t>SUNDSVALL</t>
        </is>
      </c>
      <c r="F185" t="inlineStr">
        <is>
          <t>SCA</t>
        </is>
      </c>
      <c r="G185" t="n">
        <v>2</v>
      </c>
      <c r="H185" t="n">
        <v>1</v>
      </c>
      <c r="I185" t="n">
        <v>2</v>
      </c>
      <c r="J185" t="n">
        <v>0</v>
      </c>
      <c r="K185" t="n">
        <v>0</v>
      </c>
      <c r="L185" t="n">
        <v>0</v>
      </c>
      <c r="M185" t="n">
        <v>0</v>
      </c>
      <c r="N185" t="n">
        <v>0</v>
      </c>
      <c r="O185" t="n">
        <v>0</v>
      </c>
      <c r="P185" t="n">
        <v>0</v>
      </c>
      <c r="Q185" t="n">
        <v>2</v>
      </c>
      <c r="R185" s="2" t="inlineStr">
        <is>
          <t>Korallrot
Vedticka</t>
        </is>
      </c>
      <c r="S185">
        <f>HYPERLINK("https://klasma.github.io/Logging_2281/artfynd/A 58191-2022 artfynd.xlsx", "A 58191-2022")</f>
        <v/>
      </c>
      <c r="T185">
        <f>HYPERLINK("https://klasma.github.io/Logging_2281/kartor/A 58191-2022 karta.png", "A 58191-2022")</f>
        <v/>
      </c>
      <c r="U185">
        <f>HYPERLINK("https://klasma.github.io/Logging_2281/knärot/A 58191-2022 karta knärot.png", "A 58191-2022")</f>
        <v/>
      </c>
      <c r="V185">
        <f>HYPERLINK("https://klasma.github.io/Logging_2281/klagomål/A 58191-2022 FSC-klagomål.docx", "A 58191-2022")</f>
        <v/>
      </c>
      <c r="W185">
        <f>HYPERLINK("https://klasma.github.io/Logging_2281/klagomålsmail/A 58191-2022 FSC-klagomål mail.docx", "A 58191-2022")</f>
        <v/>
      </c>
      <c r="X185">
        <f>HYPERLINK("https://klasma.github.io/Logging_2281/tillsyn/A 58191-2022 tillsynsbegäran.docx", "A 58191-2022")</f>
        <v/>
      </c>
      <c r="Y185">
        <f>HYPERLINK("https://klasma.github.io/Logging_2281/tillsynsmail/A 58191-2022 tillsynsbegäran mail.docx", "A 58191-2022")</f>
        <v/>
      </c>
    </row>
    <row r="186" ht="15" customHeight="1">
      <c r="A186" t="inlineStr">
        <is>
          <t>A 63488-2025</t>
        </is>
      </c>
      <c r="B186" s="1" t="n">
        <v>46013.46922453704</v>
      </c>
      <c r="C186" s="1" t="n">
        <v>46181</v>
      </c>
      <c r="D186" t="inlineStr">
        <is>
          <t>VÄSTERNORRLANDS LÄN</t>
        </is>
      </c>
      <c r="E186" t="inlineStr">
        <is>
          <t>SUNDSVALL</t>
        </is>
      </c>
      <c r="F186" t="inlineStr">
        <is>
          <t>SCA</t>
        </is>
      </c>
      <c r="G186" t="n">
        <v>4.8</v>
      </c>
      <c r="H186" t="n">
        <v>0</v>
      </c>
      <c r="I186" t="n">
        <v>0</v>
      </c>
      <c r="J186" t="n">
        <v>2</v>
      </c>
      <c r="K186" t="n">
        <v>0</v>
      </c>
      <c r="L186" t="n">
        <v>0</v>
      </c>
      <c r="M186" t="n">
        <v>0</v>
      </c>
      <c r="N186" t="n">
        <v>0</v>
      </c>
      <c r="O186" t="n">
        <v>2</v>
      </c>
      <c r="P186" t="n">
        <v>0</v>
      </c>
      <c r="Q186" t="n">
        <v>2</v>
      </c>
      <c r="R186" s="2" t="inlineStr">
        <is>
          <t>Granticka
Ullticka</t>
        </is>
      </c>
      <c r="S186">
        <f>HYPERLINK("https://klasma.github.io/Logging_2281/artfynd/A 63488-2025 artfynd.xlsx", "A 63488-2025")</f>
        <v/>
      </c>
      <c r="T186">
        <f>HYPERLINK("https://klasma.github.io/Logging_2281/kartor/A 63488-2025 karta.png", "A 63488-2025")</f>
        <v/>
      </c>
      <c r="V186">
        <f>HYPERLINK("https://klasma.github.io/Logging_2281/klagomål/A 63488-2025 FSC-klagomål.docx", "A 63488-2025")</f>
        <v/>
      </c>
      <c r="W186">
        <f>HYPERLINK("https://klasma.github.io/Logging_2281/klagomålsmail/A 63488-2025 FSC-klagomål mail.docx", "A 63488-2025")</f>
        <v/>
      </c>
      <c r="X186">
        <f>HYPERLINK("https://klasma.github.io/Logging_2281/tillsyn/A 63488-2025 tillsynsbegäran.docx", "A 63488-2025")</f>
        <v/>
      </c>
      <c r="Y186">
        <f>HYPERLINK("https://klasma.github.io/Logging_2281/tillsynsmail/A 63488-2025 tillsynsbegäran mail.docx", "A 63488-2025")</f>
        <v/>
      </c>
    </row>
    <row r="187" ht="15" customHeight="1">
      <c r="A187" t="inlineStr">
        <is>
          <t>A 13675-2024</t>
        </is>
      </c>
      <c r="B187" s="1" t="n">
        <v>45390</v>
      </c>
      <c r="C187" s="1" t="n">
        <v>46181</v>
      </c>
      <c r="D187" t="inlineStr">
        <is>
          <t>VÄSTERNORRLANDS LÄN</t>
        </is>
      </c>
      <c r="E187" t="inlineStr">
        <is>
          <t>SUNDSVALL</t>
        </is>
      </c>
      <c r="G187" t="n">
        <v>1.7</v>
      </c>
      <c r="H187" t="n">
        <v>0</v>
      </c>
      <c r="I187" t="n">
        <v>2</v>
      </c>
      <c r="J187" t="n">
        <v>0</v>
      </c>
      <c r="K187" t="n">
        <v>0</v>
      </c>
      <c r="L187" t="n">
        <v>0</v>
      </c>
      <c r="M187" t="n">
        <v>0</v>
      </c>
      <c r="N187" t="n">
        <v>0</v>
      </c>
      <c r="O187" t="n">
        <v>0</v>
      </c>
      <c r="P187" t="n">
        <v>0</v>
      </c>
      <c r="Q187" t="n">
        <v>2</v>
      </c>
      <c r="R187" s="2" t="inlineStr">
        <is>
          <t>Svart trolldruva
Tibast</t>
        </is>
      </c>
      <c r="S187">
        <f>HYPERLINK("https://klasma.github.io/Logging_2281/artfynd/A 13675-2024 artfynd.xlsx", "A 13675-2024")</f>
        <v/>
      </c>
      <c r="T187">
        <f>HYPERLINK("https://klasma.github.io/Logging_2281/kartor/A 13675-2024 karta.png", "A 13675-2024")</f>
        <v/>
      </c>
      <c r="V187">
        <f>HYPERLINK("https://klasma.github.io/Logging_2281/klagomål/A 13675-2024 FSC-klagomål.docx", "A 13675-2024")</f>
        <v/>
      </c>
      <c r="W187">
        <f>HYPERLINK("https://klasma.github.io/Logging_2281/klagomålsmail/A 13675-2024 FSC-klagomål mail.docx", "A 13675-2024")</f>
        <v/>
      </c>
      <c r="X187">
        <f>HYPERLINK("https://klasma.github.io/Logging_2281/tillsyn/A 13675-2024 tillsynsbegäran.docx", "A 13675-2024")</f>
        <v/>
      </c>
      <c r="Y187">
        <f>HYPERLINK("https://klasma.github.io/Logging_2281/tillsynsmail/A 13675-2024 tillsynsbegäran mail.docx", "A 13675-2024")</f>
        <v/>
      </c>
    </row>
    <row r="188" ht="15" customHeight="1">
      <c r="A188" t="inlineStr">
        <is>
          <t>A 22522-2026</t>
        </is>
      </c>
      <c r="B188" s="1" t="n">
        <v>46155.46682870371</v>
      </c>
      <c r="C188" s="1" t="n">
        <v>46181</v>
      </c>
      <c r="D188" t="inlineStr">
        <is>
          <t>VÄSTERNORRLANDS LÄN</t>
        </is>
      </c>
      <c r="E188" t="inlineStr">
        <is>
          <t>SUNDSVALL</t>
        </is>
      </c>
      <c r="G188" t="n">
        <v>3.7</v>
      </c>
      <c r="H188" t="n">
        <v>0</v>
      </c>
      <c r="I188" t="n">
        <v>1</v>
      </c>
      <c r="J188" t="n">
        <v>0</v>
      </c>
      <c r="K188" t="n">
        <v>1</v>
      </c>
      <c r="L188" t="n">
        <v>0</v>
      </c>
      <c r="M188" t="n">
        <v>0</v>
      </c>
      <c r="N188" t="n">
        <v>0</v>
      </c>
      <c r="O188" t="n">
        <v>1</v>
      </c>
      <c r="P188" t="n">
        <v>1</v>
      </c>
      <c r="Q188" t="n">
        <v>2</v>
      </c>
      <c r="R188" s="2" t="inlineStr">
        <is>
          <t>Blackticka
Thomsons trägnagare</t>
        </is>
      </c>
      <c r="S188">
        <f>HYPERLINK("https://klasma.github.io/Logging_2281/artfynd/A 22522-2026 artfynd.xlsx", "A 22522-2026")</f>
        <v/>
      </c>
      <c r="T188">
        <f>HYPERLINK("https://klasma.github.io/Logging_2281/kartor/A 22522-2026 karta.png", "A 22522-2026")</f>
        <v/>
      </c>
      <c r="V188">
        <f>HYPERLINK("https://klasma.github.io/Logging_2281/klagomål/A 22522-2026 FSC-klagomål.docx", "A 22522-2026")</f>
        <v/>
      </c>
      <c r="W188">
        <f>HYPERLINK("https://klasma.github.io/Logging_2281/klagomålsmail/A 22522-2026 FSC-klagomål mail.docx", "A 22522-2026")</f>
        <v/>
      </c>
      <c r="X188">
        <f>HYPERLINK("https://klasma.github.io/Logging_2281/tillsyn/A 22522-2026 tillsynsbegäran.docx", "A 22522-2026")</f>
        <v/>
      </c>
      <c r="Y188">
        <f>HYPERLINK("https://klasma.github.io/Logging_2281/tillsynsmail/A 22522-2026 tillsynsbegäran mail.docx", "A 22522-2026")</f>
        <v/>
      </c>
    </row>
    <row r="189" ht="15" customHeight="1">
      <c r="A189" t="inlineStr">
        <is>
          <t>A 52350-2022</t>
        </is>
      </c>
      <c r="B189" s="1" t="n">
        <v>44873</v>
      </c>
      <c r="C189" s="1" t="n">
        <v>46181</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41090-2024</t>
        </is>
      </c>
      <c r="B190" s="1" t="n">
        <v>45559.42744212963</v>
      </c>
      <c r="C190" s="1" t="n">
        <v>46181</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14725-2024</t>
        </is>
      </c>
      <c r="B191" s="1" t="n">
        <v>45397</v>
      </c>
      <c r="C191" s="1" t="n">
        <v>46181</v>
      </c>
      <c r="D191" t="inlineStr">
        <is>
          <t>VÄSTERNORRLANDS LÄN</t>
        </is>
      </c>
      <c r="E191" t="inlineStr">
        <is>
          <t>SUNDSVALL</t>
        </is>
      </c>
      <c r="G191" t="n">
        <v>6.9</v>
      </c>
      <c r="H191" t="n">
        <v>1</v>
      </c>
      <c r="I191" t="n">
        <v>1</v>
      </c>
      <c r="J191" t="n">
        <v>0</v>
      </c>
      <c r="K191" t="n">
        <v>1</v>
      </c>
      <c r="L191" t="n">
        <v>0</v>
      </c>
      <c r="M191" t="n">
        <v>0</v>
      </c>
      <c r="N191" t="n">
        <v>0</v>
      </c>
      <c r="O191" t="n">
        <v>1</v>
      </c>
      <c r="P191" t="n">
        <v>1</v>
      </c>
      <c r="Q191" t="n">
        <v>2</v>
      </c>
      <c r="R191" s="2" t="inlineStr">
        <is>
          <t>Knärot
Blodticka</t>
        </is>
      </c>
      <c r="S191">
        <f>HYPERLINK("https://klasma.github.io/Logging_2281/artfynd/A 14725-2024 artfynd.xlsx", "A 14725-2024")</f>
        <v/>
      </c>
      <c r="T191">
        <f>HYPERLINK("https://klasma.github.io/Logging_2281/kartor/A 14725-2024 karta.png", "A 14725-2024")</f>
        <v/>
      </c>
      <c r="U191">
        <f>HYPERLINK("https://klasma.github.io/Logging_2281/knärot/A 14725-2024 karta knärot.png", "A 14725-2024")</f>
        <v/>
      </c>
      <c r="V191">
        <f>HYPERLINK("https://klasma.github.io/Logging_2281/klagomål/A 14725-2024 FSC-klagomål.docx", "A 14725-2024")</f>
        <v/>
      </c>
      <c r="W191">
        <f>HYPERLINK("https://klasma.github.io/Logging_2281/klagomålsmail/A 14725-2024 FSC-klagomål mail.docx", "A 14725-2024")</f>
        <v/>
      </c>
      <c r="X191">
        <f>HYPERLINK("https://klasma.github.io/Logging_2281/tillsyn/A 14725-2024 tillsynsbegäran.docx", "A 14725-2024")</f>
        <v/>
      </c>
      <c r="Y191">
        <f>HYPERLINK("https://klasma.github.io/Logging_2281/tillsynsmail/A 14725-2024 tillsynsbegäran mail.docx", "A 14725-2024")</f>
        <v/>
      </c>
    </row>
    <row r="192" ht="15" customHeight="1">
      <c r="A192" t="inlineStr">
        <is>
          <t>A 27380-2023</t>
        </is>
      </c>
      <c r="B192" s="1" t="n">
        <v>45096</v>
      </c>
      <c r="C192" s="1" t="n">
        <v>46181</v>
      </c>
      <c r="D192" t="inlineStr">
        <is>
          <t>VÄSTERNORRLANDS LÄN</t>
        </is>
      </c>
      <c r="E192" t="inlineStr">
        <is>
          <t>SUNDSVALL</t>
        </is>
      </c>
      <c r="F192" t="inlineStr">
        <is>
          <t>Naturvårdsverket</t>
        </is>
      </c>
      <c r="G192" t="n">
        <v>6.2</v>
      </c>
      <c r="H192" t="n">
        <v>0</v>
      </c>
      <c r="I192" t="n">
        <v>0</v>
      </c>
      <c r="J192" t="n">
        <v>2</v>
      </c>
      <c r="K192" t="n">
        <v>0</v>
      </c>
      <c r="L192" t="n">
        <v>0</v>
      </c>
      <c r="M192" t="n">
        <v>0</v>
      </c>
      <c r="N192" t="n">
        <v>0</v>
      </c>
      <c r="O192" t="n">
        <v>2</v>
      </c>
      <c r="P192" t="n">
        <v>0</v>
      </c>
      <c r="Q192" t="n">
        <v>2</v>
      </c>
      <c r="R192" s="2" t="inlineStr">
        <is>
          <t>Granticka
Gränsticka</t>
        </is>
      </c>
      <c r="S192">
        <f>HYPERLINK("https://klasma.github.io/Logging_2281/artfynd/A 27380-2023 artfynd.xlsx", "A 27380-2023")</f>
        <v/>
      </c>
      <c r="T192">
        <f>HYPERLINK("https://klasma.github.io/Logging_2281/kartor/A 27380-2023 karta.png", "A 27380-2023")</f>
        <v/>
      </c>
      <c r="V192">
        <f>HYPERLINK("https://klasma.github.io/Logging_2281/klagomål/A 27380-2023 FSC-klagomål.docx", "A 27380-2023")</f>
        <v/>
      </c>
      <c r="W192">
        <f>HYPERLINK("https://klasma.github.io/Logging_2281/klagomålsmail/A 27380-2023 FSC-klagomål mail.docx", "A 27380-2023")</f>
        <v/>
      </c>
      <c r="X192">
        <f>HYPERLINK("https://klasma.github.io/Logging_2281/tillsyn/A 27380-2023 tillsynsbegäran.docx", "A 27380-2023")</f>
        <v/>
      </c>
      <c r="Y192">
        <f>HYPERLINK("https://klasma.github.io/Logging_2281/tillsynsmail/A 27380-2023 tillsynsbegäran mail.docx", "A 27380-2023")</f>
        <v/>
      </c>
    </row>
    <row r="193" ht="15" customHeight="1">
      <c r="A193" t="inlineStr">
        <is>
          <t>A 3594-2026</t>
        </is>
      </c>
      <c r="B193" s="1" t="n">
        <v>46042</v>
      </c>
      <c r="C193" s="1" t="n">
        <v>46181</v>
      </c>
      <c r="D193" t="inlineStr">
        <is>
          <t>VÄSTERNORRLANDS LÄN</t>
        </is>
      </c>
      <c r="E193" t="inlineStr">
        <is>
          <t>SUNDSVALL</t>
        </is>
      </c>
      <c r="G193" t="n">
        <v>1.5</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HYPERLINK("https://klasma.github.io/Logging_2281/artfynd/A 3594-2026 artfynd.xlsx", "A 3594-2026")</f>
        <v/>
      </c>
      <c r="T193">
        <f>HYPERLINK("https://klasma.github.io/Logging_2281/kartor/A 3594-2026 karta.png", "A 3594-2026")</f>
        <v/>
      </c>
      <c r="V193">
        <f>HYPERLINK("https://klasma.github.io/Logging_2281/klagomål/A 3594-2026 FSC-klagomål.docx", "A 3594-2026")</f>
        <v/>
      </c>
      <c r="W193">
        <f>HYPERLINK("https://klasma.github.io/Logging_2281/klagomålsmail/A 3594-2026 FSC-klagomål mail.docx", "A 3594-2026")</f>
        <v/>
      </c>
      <c r="X193">
        <f>HYPERLINK("https://klasma.github.io/Logging_2281/tillsyn/A 3594-2026 tillsynsbegäran.docx", "A 3594-2026")</f>
        <v/>
      </c>
      <c r="Y193">
        <f>HYPERLINK("https://klasma.github.io/Logging_2281/tillsynsmail/A 3594-2026 tillsynsbegäran mail.docx", "A 3594-2026")</f>
        <v/>
      </c>
      <c r="Z193">
        <f>HYPERLINK("https://klasma.github.io/Logging_2281/fåglar/A 3594-2026 prioriterade fågelarter.docx", "A 3594-2026")</f>
        <v/>
      </c>
    </row>
    <row r="194" ht="15" customHeight="1">
      <c r="A194" t="inlineStr">
        <is>
          <t>A 7763-2026</t>
        </is>
      </c>
      <c r="B194" s="1" t="n">
        <v>46062</v>
      </c>
      <c r="C194" s="1" t="n">
        <v>46181</v>
      </c>
      <c r="D194" t="inlineStr">
        <is>
          <t>VÄSTERNORRLANDS LÄN</t>
        </is>
      </c>
      <c r="E194" t="inlineStr">
        <is>
          <t>SUNDSVALL</t>
        </is>
      </c>
      <c r="G194" t="n">
        <v>2.1</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HYPERLINK("https://klasma.github.io/Logging_2281/artfynd/A 7763-2026 artfynd.xlsx", "A 7763-2026")</f>
        <v/>
      </c>
      <c r="T194">
        <f>HYPERLINK("https://klasma.github.io/Logging_2281/kartor/A 7763-2026 karta.png", "A 7763-2026")</f>
        <v/>
      </c>
      <c r="V194">
        <f>HYPERLINK("https://klasma.github.io/Logging_2281/klagomål/A 7763-2026 FSC-klagomål.docx", "A 7763-2026")</f>
        <v/>
      </c>
      <c r="W194">
        <f>HYPERLINK("https://klasma.github.io/Logging_2281/klagomålsmail/A 7763-2026 FSC-klagomål mail.docx", "A 7763-2026")</f>
        <v/>
      </c>
      <c r="X194">
        <f>HYPERLINK("https://klasma.github.io/Logging_2281/tillsyn/A 7763-2026 tillsynsbegäran.docx", "A 7763-2026")</f>
        <v/>
      </c>
      <c r="Y194">
        <f>HYPERLINK("https://klasma.github.io/Logging_2281/tillsynsmail/A 7763-2026 tillsynsbegäran mail.docx", "A 7763-2026")</f>
        <v/>
      </c>
      <c r="Z194">
        <f>HYPERLINK("https://klasma.github.io/Logging_2281/fåglar/A 7763-2026 prioriterade fågelarter.docx", "A 7763-2026")</f>
        <v/>
      </c>
    </row>
    <row r="195" ht="15" customHeight="1">
      <c r="A195" t="inlineStr">
        <is>
          <t>A 19637-2026</t>
        </is>
      </c>
      <c r="B195" s="1" t="n">
        <v>46134.5735300926</v>
      </c>
      <c r="C195" s="1" t="n">
        <v>46181</v>
      </c>
      <c r="D195" t="inlineStr">
        <is>
          <t>VÄSTERNORRLANDS LÄN</t>
        </is>
      </c>
      <c r="E195" t="inlineStr">
        <is>
          <t>SUNDSVALL</t>
        </is>
      </c>
      <c r="F195" t="inlineStr">
        <is>
          <t>SCA</t>
        </is>
      </c>
      <c r="G195" t="n">
        <v>1</v>
      </c>
      <c r="H195" t="n">
        <v>0</v>
      </c>
      <c r="I195" t="n">
        <v>0</v>
      </c>
      <c r="J195" t="n">
        <v>2</v>
      </c>
      <c r="K195" t="n">
        <v>0</v>
      </c>
      <c r="L195" t="n">
        <v>0</v>
      </c>
      <c r="M195" t="n">
        <v>0</v>
      </c>
      <c r="N195" t="n">
        <v>0</v>
      </c>
      <c r="O195" t="n">
        <v>2</v>
      </c>
      <c r="P195" t="n">
        <v>0</v>
      </c>
      <c r="Q195" t="n">
        <v>2</v>
      </c>
      <c r="R195" s="2" t="inlineStr">
        <is>
          <t>Stjärntagging
Ullticka</t>
        </is>
      </c>
      <c r="S195">
        <f>HYPERLINK("https://klasma.github.io/Logging_2281/artfynd/A 19637-2026 artfynd.xlsx", "A 19637-2026")</f>
        <v/>
      </c>
      <c r="T195">
        <f>HYPERLINK("https://klasma.github.io/Logging_2281/kartor/A 19637-2026 karta.png", "A 19637-2026")</f>
        <v/>
      </c>
      <c r="U195">
        <f>HYPERLINK("https://klasma.github.io/Logging_2281/knärot/A 19637-2026 karta knärot.png", "A 19637-2026")</f>
        <v/>
      </c>
      <c r="V195">
        <f>HYPERLINK("https://klasma.github.io/Logging_2281/klagomål/A 19637-2026 FSC-klagomål.docx", "A 19637-2026")</f>
        <v/>
      </c>
      <c r="W195">
        <f>HYPERLINK("https://klasma.github.io/Logging_2281/klagomålsmail/A 19637-2026 FSC-klagomål mail.docx", "A 19637-2026")</f>
        <v/>
      </c>
      <c r="X195">
        <f>HYPERLINK("https://klasma.github.io/Logging_2281/tillsyn/A 19637-2026 tillsynsbegäran.docx", "A 19637-2026")</f>
        <v/>
      </c>
      <c r="Y195">
        <f>HYPERLINK("https://klasma.github.io/Logging_2281/tillsynsmail/A 19637-2026 tillsynsbegäran mail.docx", "A 19637-2026")</f>
        <v/>
      </c>
    </row>
    <row r="196" ht="15" customHeight="1">
      <c r="A196" t="inlineStr">
        <is>
          <t>A 19546-2026</t>
        </is>
      </c>
      <c r="B196" s="1" t="n">
        <v>46134.3858912037</v>
      </c>
      <c r="C196" s="1" t="n">
        <v>46181</v>
      </c>
      <c r="D196" t="inlineStr">
        <is>
          <t>VÄSTERNORRLANDS LÄN</t>
        </is>
      </c>
      <c r="E196" t="inlineStr">
        <is>
          <t>SUNDSVALL</t>
        </is>
      </c>
      <c r="F196" t="inlineStr">
        <is>
          <t>SCA</t>
        </is>
      </c>
      <c r="G196" t="n">
        <v>0.9</v>
      </c>
      <c r="H196" t="n">
        <v>1</v>
      </c>
      <c r="I196" t="n">
        <v>0</v>
      </c>
      <c r="J196" t="n">
        <v>1</v>
      </c>
      <c r="K196" t="n">
        <v>0</v>
      </c>
      <c r="L196" t="n">
        <v>0</v>
      </c>
      <c r="M196" t="n">
        <v>0</v>
      </c>
      <c r="N196" t="n">
        <v>0</v>
      </c>
      <c r="O196" t="n">
        <v>1</v>
      </c>
      <c r="P196" t="n">
        <v>0</v>
      </c>
      <c r="Q196" t="n">
        <v>2</v>
      </c>
      <c r="R196" s="2" t="inlineStr">
        <is>
          <t>Granticka
Blåsippa</t>
        </is>
      </c>
      <c r="S196">
        <f>HYPERLINK("https://klasma.github.io/Logging_2281/artfynd/A 19546-2026 artfynd.xlsx", "A 19546-2026")</f>
        <v/>
      </c>
      <c r="T196">
        <f>HYPERLINK("https://klasma.github.io/Logging_2281/kartor/A 19546-2026 karta.png", "A 19546-2026")</f>
        <v/>
      </c>
      <c r="U196">
        <f>HYPERLINK("https://klasma.github.io/Logging_2281/knärot/A 19546-2026 karta knärot.png", "A 19546-2026")</f>
        <v/>
      </c>
      <c r="V196">
        <f>HYPERLINK("https://klasma.github.io/Logging_2281/klagomål/A 19546-2026 FSC-klagomål.docx", "A 19546-2026")</f>
        <v/>
      </c>
      <c r="W196">
        <f>HYPERLINK("https://klasma.github.io/Logging_2281/klagomålsmail/A 19546-2026 FSC-klagomål mail.docx", "A 19546-2026")</f>
        <v/>
      </c>
      <c r="X196">
        <f>HYPERLINK("https://klasma.github.io/Logging_2281/tillsyn/A 19546-2026 tillsynsbegäran.docx", "A 19546-2026")</f>
        <v/>
      </c>
      <c r="Y196">
        <f>HYPERLINK("https://klasma.github.io/Logging_2281/tillsynsmail/A 19546-2026 tillsynsbegäran mail.docx", "A 19546-2026")</f>
        <v/>
      </c>
    </row>
    <row r="197" ht="15" customHeight="1">
      <c r="A197" t="inlineStr">
        <is>
          <t>A 52741-2022</t>
        </is>
      </c>
      <c r="B197" s="1" t="n">
        <v>44874</v>
      </c>
      <c r="C197" s="1" t="n">
        <v>46181</v>
      </c>
      <c r="D197" t="inlineStr">
        <is>
          <t>VÄSTERNORRLANDS LÄN</t>
        </is>
      </c>
      <c r="E197" t="inlineStr">
        <is>
          <t>SUNDSVALL</t>
        </is>
      </c>
      <c r="F197" t="inlineStr">
        <is>
          <t>SCA</t>
        </is>
      </c>
      <c r="G197" t="n">
        <v>5.2</v>
      </c>
      <c r="H197" t="n">
        <v>1</v>
      </c>
      <c r="I197" t="n">
        <v>1</v>
      </c>
      <c r="J197" t="n">
        <v>1</v>
      </c>
      <c r="K197" t="n">
        <v>0</v>
      </c>
      <c r="L197" t="n">
        <v>0</v>
      </c>
      <c r="M197" t="n">
        <v>0</v>
      </c>
      <c r="N197" t="n">
        <v>0</v>
      </c>
      <c r="O197" t="n">
        <v>1</v>
      </c>
      <c r="P197" t="n">
        <v>0</v>
      </c>
      <c r="Q197" t="n">
        <v>2</v>
      </c>
      <c r="R197" s="2" t="inlineStr">
        <is>
          <t>Videsparv
Skuggblåslav</t>
        </is>
      </c>
      <c r="S197">
        <f>HYPERLINK("https://klasma.github.io/Logging_2281/artfynd/A 52741-2022 artfynd.xlsx", "A 52741-2022")</f>
        <v/>
      </c>
      <c r="T197">
        <f>HYPERLINK("https://klasma.github.io/Logging_2281/kartor/A 52741-2022 karta.png", "A 52741-2022")</f>
        <v/>
      </c>
      <c r="V197">
        <f>HYPERLINK("https://klasma.github.io/Logging_2281/klagomål/A 52741-2022 FSC-klagomål.docx", "A 52741-2022")</f>
        <v/>
      </c>
      <c r="W197">
        <f>HYPERLINK("https://klasma.github.io/Logging_2281/klagomålsmail/A 52741-2022 FSC-klagomål mail.docx", "A 52741-2022")</f>
        <v/>
      </c>
      <c r="X197">
        <f>HYPERLINK("https://klasma.github.io/Logging_2281/tillsyn/A 52741-2022 tillsynsbegäran.docx", "A 52741-2022")</f>
        <v/>
      </c>
      <c r="Y197">
        <f>HYPERLINK("https://klasma.github.io/Logging_2281/tillsynsmail/A 52741-2022 tillsynsbegäran mail.docx", "A 52741-2022")</f>
        <v/>
      </c>
      <c r="Z197">
        <f>HYPERLINK("https://klasma.github.io/Logging_2281/fåglar/A 52741-2022 prioriterade fågelarter.docx", "A 52741-2022")</f>
        <v/>
      </c>
    </row>
    <row r="198" ht="15" customHeight="1">
      <c r="A198" t="inlineStr">
        <is>
          <t>A 21321-2025</t>
        </is>
      </c>
      <c r="B198" s="1" t="n">
        <v>45782.34512731482</v>
      </c>
      <c r="C198" s="1" t="n">
        <v>46181</v>
      </c>
      <c r="D198" t="inlineStr">
        <is>
          <t>VÄSTERNORRLANDS LÄN</t>
        </is>
      </c>
      <c r="E198" t="inlineStr">
        <is>
          <t>SUNDSVALL</t>
        </is>
      </c>
      <c r="F198" t="inlineStr">
        <is>
          <t>Naturvårdsverket</t>
        </is>
      </c>
      <c r="G198" t="n">
        <v>1.4</v>
      </c>
      <c r="H198" t="n">
        <v>0</v>
      </c>
      <c r="I198" t="n">
        <v>0</v>
      </c>
      <c r="J198" t="n">
        <v>2</v>
      </c>
      <c r="K198" t="n">
        <v>0</v>
      </c>
      <c r="L198" t="n">
        <v>0</v>
      </c>
      <c r="M198" t="n">
        <v>0</v>
      </c>
      <c r="N198" t="n">
        <v>0</v>
      </c>
      <c r="O198" t="n">
        <v>2</v>
      </c>
      <c r="P198" t="n">
        <v>0</v>
      </c>
      <c r="Q198" t="n">
        <v>2</v>
      </c>
      <c r="R198" s="2" t="inlineStr">
        <is>
          <t>Tallticka
Vedskivlav</t>
        </is>
      </c>
      <c r="S198">
        <f>HYPERLINK("https://klasma.github.io/Logging_2281/artfynd/A 21321-2025 artfynd.xlsx", "A 21321-2025")</f>
        <v/>
      </c>
      <c r="T198">
        <f>HYPERLINK("https://klasma.github.io/Logging_2281/kartor/A 21321-2025 karta.png", "A 21321-2025")</f>
        <v/>
      </c>
      <c r="V198">
        <f>HYPERLINK("https://klasma.github.io/Logging_2281/klagomål/A 21321-2025 FSC-klagomål.docx", "A 21321-2025")</f>
        <v/>
      </c>
      <c r="W198">
        <f>HYPERLINK("https://klasma.github.io/Logging_2281/klagomålsmail/A 21321-2025 FSC-klagomål mail.docx", "A 21321-2025")</f>
        <v/>
      </c>
      <c r="X198">
        <f>HYPERLINK("https://klasma.github.io/Logging_2281/tillsyn/A 21321-2025 tillsynsbegäran.docx", "A 21321-2025")</f>
        <v/>
      </c>
      <c r="Y198">
        <f>HYPERLINK("https://klasma.github.io/Logging_2281/tillsynsmail/A 21321-2025 tillsynsbegäran mail.docx", "A 21321-2025")</f>
        <v/>
      </c>
    </row>
    <row r="199" ht="15" customHeight="1">
      <c r="A199" t="inlineStr">
        <is>
          <t>A 21373-2025</t>
        </is>
      </c>
      <c r="B199" s="1" t="n">
        <v>45782.44880787037</v>
      </c>
      <c r="C199" s="1" t="n">
        <v>46181</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HYPERLINK("https://klasma.github.io/Logging_2281/artfynd/A 21373-2025 artfynd.xlsx", "A 21373-2025")</f>
        <v/>
      </c>
      <c r="T199">
        <f>HYPERLINK("https://klasma.github.io/Logging_2281/kartor/A 21373-2025 karta.png", "A 21373-2025")</f>
        <v/>
      </c>
      <c r="V199">
        <f>HYPERLINK("https://klasma.github.io/Logging_2281/klagomål/A 21373-2025 FSC-klagomål.docx", "A 21373-2025")</f>
        <v/>
      </c>
      <c r="W199">
        <f>HYPERLINK("https://klasma.github.io/Logging_2281/klagomålsmail/A 21373-2025 FSC-klagomål mail.docx", "A 21373-2025")</f>
        <v/>
      </c>
      <c r="X199">
        <f>HYPERLINK("https://klasma.github.io/Logging_2281/tillsyn/A 21373-2025 tillsynsbegäran.docx", "A 21373-2025")</f>
        <v/>
      </c>
      <c r="Y199">
        <f>HYPERLINK("https://klasma.github.io/Logging_2281/tillsynsmail/A 21373-2025 tillsynsbegäran mail.docx", "A 21373-2025")</f>
        <v/>
      </c>
    </row>
    <row r="200" ht="15" customHeight="1">
      <c r="A200" t="inlineStr">
        <is>
          <t>A 25401-2026</t>
        </is>
      </c>
      <c r="B200" s="1" t="n">
        <v>46176</v>
      </c>
      <c r="C200" s="1" t="n">
        <v>46181</v>
      </c>
      <c r="D200" t="inlineStr">
        <is>
          <t>VÄSTERNORRLANDS LÄN</t>
        </is>
      </c>
      <c r="E200" t="inlineStr">
        <is>
          <t>SUNDSVALL</t>
        </is>
      </c>
      <c r="G200" t="n">
        <v>1.3</v>
      </c>
      <c r="H200" t="n">
        <v>2</v>
      </c>
      <c r="I200" t="n">
        <v>0</v>
      </c>
      <c r="J200" t="n">
        <v>1</v>
      </c>
      <c r="K200" t="n">
        <v>1</v>
      </c>
      <c r="L200" t="n">
        <v>0</v>
      </c>
      <c r="M200" t="n">
        <v>0</v>
      </c>
      <c r="N200" t="n">
        <v>0</v>
      </c>
      <c r="O200" t="n">
        <v>2</v>
      </c>
      <c r="P200" t="n">
        <v>1</v>
      </c>
      <c r="Q200" t="n">
        <v>2</v>
      </c>
      <c r="R200" s="2" t="inlineStr">
        <is>
          <t>Knärot
Spillkråka</t>
        </is>
      </c>
      <c r="S200">
        <f>HYPERLINK("https://klasma.github.io/Logging_2281/artfynd/A 25401-2026 artfynd.xlsx", "A 25401-2026")</f>
        <v/>
      </c>
      <c r="T200">
        <f>HYPERLINK("https://klasma.github.io/Logging_2281/kartor/A 25401-2026 karta.png", "A 25401-2026")</f>
        <v/>
      </c>
      <c r="U200">
        <f>HYPERLINK("https://klasma.github.io/Logging_2281/knärot/A 25401-2026 karta knärot.png", "A 25401-2026")</f>
        <v/>
      </c>
      <c r="V200">
        <f>HYPERLINK("https://klasma.github.io/Logging_2281/klagomål/A 25401-2026 FSC-klagomål.docx", "A 25401-2026")</f>
        <v/>
      </c>
      <c r="W200">
        <f>HYPERLINK("https://klasma.github.io/Logging_2281/klagomålsmail/A 25401-2026 FSC-klagomål mail.docx", "A 25401-2026")</f>
        <v/>
      </c>
      <c r="X200">
        <f>HYPERLINK("https://klasma.github.io/Logging_2281/tillsyn/A 25401-2026 tillsynsbegäran.docx", "A 25401-2026")</f>
        <v/>
      </c>
      <c r="Y200">
        <f>HYPERLINK("https://klasma.github.io/Logging_2281/tillsynsmail/A 25401-2026 tillsynsbegäran mail.docx", "A 25401-2026")</f>
        <v/>
      </c>
      <c r="Z200">
        <f>HYPERLINK("https://klasma.github.io/Logging_2281/fåglar/A 25401-2026 prioriterade fågelarter.docx", "A 25401-2026")</f>
        <v/>
      </c>
    </row>
    <row r="201" ht="15" customHeight="1">
      <c r="A201" t="inlineStr">
        <is>
          <t>A 74384-2021</t>
        </is>
      </c>
      <c r="B201" s="1" t="n">
        <v>44559</v>
      </c>
      <c r="C201" s="1" t="n">
        <v>46181</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46181</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30933-2022</t>
        </is>
      </c>
      <c r="B203" s="1" t="n">
        <v>44767.93952546296</v>
      </c>
      <c r="C203" s="1" t="n">
        <v>46181</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70901-2021</t>
        </is>
      </c>
      <c r="B204" s="1" t="n">
        <v>44538</v>
      </c>
      <c r="C204" s="1" t="n">
        <v>46181</v>
      </c>
      <c r="D204" t="inlineStr">
        <is>
          <t>VÄSTERNORRLANDS LÄN</t>
        </is>
      </c>
      <c r="E204" t="inlineStr">
        <is>
          <t>SUNDSVALL</t>
        </is>
      </c>
      <c r="F204" t="inlineStr">
        <is>
          <t>Kommuner</t>
        </is>
      </c>
      <c r="G204" t="n">
        <v>2.4</v>
      </c>
      <c r="H204" t="n">
        <v>0</v>
      </c>
      <c r="I204" t="n">
        <v>0</v>
      </c>
      <c r="J204" t="n">
        <v>1</v>
      </c>
      <c r="K204" t="n">
        <v>0</v>
      </c>
      <c r="L204" t="n">
        <v>0</v>
      </c>
      <c r="M204" t="n">
        <v>0</v>
      </c>
      <c r="N204" t="n">
        <v>0</v>
      </c>
      <c r="O204" t="n">
        <v>1</v>
      </c>
      <c r="P204" t="n">
        <v>0</v>
      </c>
      <c r="Q204" t="n">
        <v>1</v>
      </c>
      <c r="R204" s="2" t="inlineStr">
        <is>
          <t>Dvärgmalmätare</t>
        </is>
      </c>
      <c r="S204">
        <f>HYPERLINK("https://klasma.github.io/Logging_2281/artfynd/A 70901-2021 artfynd.xlsx", "A 70901-2021")</f>
        <v/>
      </c>
      <c r="T204">
        <f>HYPERLINK("https://klasma.github.io/Logging_2281/kartor/A 70901-2021 karta.png", "A 70901-2021")</f>
        <v/>
      </c>
      <c r="V204">
        <f>HYPERLINK("https://klasma.github.io/Logging_2281/klagomål/A 70901-2021 FSC-klagomål.docx", "A 70901-2021")</f>
        <v/>
      </c>
      <c r="W204">
        <f>HYPERLINK("https://klasma.github.io/Logging_2281/klagomålsmail/A 70901-2021 FSC-klagomål mail.docx", "A 70901-2021")</f>
        <v/>
      </c>
      <c r="X204">
        <f>HYPERLINK("https://klasma.github.io/Logging_2281/tillsyn/A 70901-2021 tillsynsbegäran.docx", "A 70901-2021")</f>
        <v/>
      </c>
      <c r="Y204">
        <f>HYPERLINK("https://klasma.github.io/Logging_2281/tillsynsmail/A 70901-2021 tillsynsbegäran mail.docx", "A 70901-2021")</f>
        <v/>
      </c>
    </row>
    <row r="205" ht="15" customHeight="1">
      <c r="A205" t="inlineStr">
        <is>
          <t>A 14676-2022</t>
        </is>
      </c>
      <c r="B205" s="1" t="n">
        <v>44655</v>
      </c>
      <c r="C205" s="1" t="n">
        <v>46181</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51737-2023</t>
        </is>
      </c>
      <c r="B206" s="1" t="n">
        <v>45222</v>
      </c>
      <c r="C206" s="1" t="n">
        <v>46181</v>
      </c>
      <c r="D206" t="inlineStr">
        <is>
          <t>VÄSTERNORRLANDS LÄN</t>
        </is>
      </c>
      <c r="E206" t="inlineStr">
        <is>
          <t>SUNDSVALL</t>
        </is>
      </c>
      <c r="G206" t="n">
        <v>10.9</v>
      </c>
      <c r="H206" t="n">
        <v>0</v>
      </c>
      <c r="I206" t="n">
        <v>0</v>
      </c>
      <c r="J206" t="n">
        <v>1</v>
      </c>
      <c r="K206" t="n">
        <v>0</v>
      </c>
      <c r="L206" t="n">
        <v>0</v>
      </c>
      <c r="M206" t="n">
        <v>0</v>
      </c>
      <c r="N206" t="n">
        <v>0</v>
      </c>
      <c r="O206" t="n">
        <v>1</v>
      </c>
      <c r="P206" t="n">
        <v>0</v>
      </c>
      <c r="Q206" t="n">
        <v>1</v>
      </c>
      <c r="R206" s="2" t="inlineStr">
        <is>
          <t>Garnlav</t>
        </is>
      </c>
      <c r="S206">
        <f>HYPERLINK("https://klasma.github.io/Logging_2281/artfynd/A 51737-2023 artfynd.xlsx", "A 51737-2023")</f>
        <v/>
      </c>
      <c r="T206">
        <f>HYPERLINK("https://klasma.github.io/Logging_2281/kartor/A 51737-2023 karta.png", "A 51737-2023")</f>
        <v/>
      </c>
      <c r="V206">
        <f>HYPERLINK("https://klasma.github.io/Logging_2281/klagomål/A 51737-2023 FSC-klagomål.docx", "A 51737-2023")</f>
        <v/>
      </c>
      <c r="W206">
        <f>HYPERLINK("https://klasma.github.io/Logging_2281/klagomålsmail/A 51737-2023 FSC-klagomål mail.docx", "A 51737-2023")</f>
        <v/>
      </c>
      <c r="X206">
        <f>HYPERLINK("https://klasma.github.io/Logging_2281/tillsyn/A 51737-2023 tillsynsbegäran.docx", "A 51737-2023")</f>
        <v/>
      </c>
      <c r="Y206">
        <f>HYPERLINK("https://klasma.github.io/Logging_2281/tillsynsmail/A 51737-2023 tillsynsbegäran mail.docx", "A 51737-2023")</f>
        <v/>
      </c>
    </row>
    <row r="207" ht="15" customHeight="1">
      <c r="A207" t="inlineStr">
        <is>
          <t>A 20075-2025</t>
        </is>
      </c>
      <c r="B207" s="1" t="n">
        <v>45772.44855324074</v>
      </c>
      <c r="C207" s="1" t="n">
        <v>46181</v>
      </c>
      <c r="D207" t="inlineStr">
        <is>
          <t>VÄSTERNORRLANDS LÄN</t>
        </is>
      </c>
      <c r="E207" t="inlineStr">
        <is>
          <t>SUNDSVALL</t>
        </is>
      </c>
      <c r="F207" t="inlineStr">
        <is>
          <t>Naturvårdsverket</t>
        </is>
      </c>
      <c r="G207" t="n">
        <v>8.9</v>
      </c>
      <c r="H207" t="n">
        <v>0</v>
      </c>
      <c r="I207" t="n">
        <v>0</v>
      </c>
      <c r="J207" t="n">
        <v>1</v>
      </c>
      <c r="K207" t="n">
        <v>0</v>
      </c>
      <c r="L207" t="n">
        <v>0</v>
      </c>
      <c r="M207" t="n">
        <v>0</v>
      </c>
      <c r="N207" t="n">
        <v>0</v>
      </c>
      <c r="O207" t="n">
        <v>1</v>
      </c>
      <c r="P207" t="n">
        <v>0</v>
      </c>
      <c r="Q207" t="n">
        <v>1</v>
      </c>
      <c r="R207" s="2" t="inlineStr">
        <is>
          <t>Lunglav</t>
        </is>
      </c>
      <c r="S207">
        <f>HYPERLINK("https://klasma.github.io/Logging_2281/artfynd/A 20075-2025 artfynd.xlsx", "A 20075-2025")</f>
        <v/>
      </c>
      <c r="T207">
        <f>HYPERLINK("https://klasma.github.io/Logging_2281/kartor/A 20075-2025 karta.png", "A 20075-2025")</f>
        <v/>
      </c>
      <c r="V207">
        <f>HYPERLINK("https://klasma.github.io/Logging_2281/klagomål/A 20075-2025 FSC-klagomål.docx", "A 20075-2025")</f>
        <v/>
      </c>
      <c r="W207">
        <f>HYPERLINK("https://klasma.github.io/Logging_2281/klagomålsmail/A 20075-2025 FSC-klagomål mail.docx", "A 20075-2025")</f>
        <v/>
      </c>
      <c r="X207">
        <f>HYPERLINK("https://klasma.github.io/Logging_2281/tillsyn/A 20075-2025 tillsynsbegäran.docx", "A 20075-2025")</f>
        <v/>
      </c>
      <c r="Y207">
        <f>HYPERLINK("https://klasma.github.io/Logging_2281/tillsynsmail/A 20075-2025 tillsynsbegäran mail.docx", "A 20075-2025")</f>
        <v/>
      </c>
    </row>
    <row r="208" ht="15" customHeight="1">
      <c r="A208" t="inlineStr">
        <is>
          <t>A 37057-2021</t>
        </is>
      </c>
      <c r="B208" s="1" t="n">
        <v>44393.93881944445</v>
      </c>
      <c r="C208" s="1" t="n">
        <v>46181</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46260-2023</t>
        </is>
      </c>
      <c r="B209" s="1" t="n">
        <v>45196</v>
      </c>
      <c r="C209" s="1" t="n">
        <v>46181</v>
      </c>
      <c r="D209" t="inlineStr">
        <is>
          <t>VÄSTERNORRLANDS LÄN</t>
        </is>
      </c>
      <c r="E209" t="inlineStr">
        <is>
          <t>SUNDSVALL</t>
        </is>
      </c>
      <c r="F209" t="inlineStr">
        <is>
          <t>SCA</t>
        </is>
      </c>
      <c r="G209" t="n">
        <v>3</v>
      </c>
      <c r="H209" t="n">
        <v>1</v>
      </c>
      <c r="I209" t="n">
        <v>0</v>
      </c>
      <c r="J209" t="n">
        <v>1</v>
      </c>
      <c r="K209" t="n">
        <v>0</v>
      </c>
      <c r="L209" t="n">
        <v>0</v>
      </c>
      <c r="M209" t="n">
        <v>0</v>
      </c>
      <c r="N209" t="n">
        <v>0</v>
      </c>
      <c r="O209" t="n">
        <v>1</v>
      </c>
      <c r="P209" t="n">
        <v>0</v>
      </c>
      <c r="Q209" t="n">
        <v>1</v>
      </c>
      <c r="R209" s="2" t="inlineStr">
        <is>
          <t>Spillkråka</t>
        </is>
      </c>
      <c r="S209">
        <f>HYPERLINK("https://klasma.github.io/Logging_2281/artfynd/A 46260-2023 artfynd.xlsx", "A 46260-2023")</f>
        <v/>
      </c>
      <c r="T209">
        <f>HYPERLINK("https://klasma.github.io/Logging_2281/kartor/A 46260-2023 karta.png", "A 46260-2023")</f>
        <v/>
      </c>
      <c r="V209">
        <f>HYPERLINK("https://klasma.github.io/Logging_2281/klagomål/A 46260-2023 FSC-klagomål.docx", "A 46260-2023")</f>
        <v/>
      </c>
      <c r="W209">
        <f>HYPERLINK("https://klasma.github.io/Logging_2281/klagomålsmail/A 46260-2023 FSC-klagomål mail.docx", "A 46260-2023")</f>
        <v/>
      </c>
      <c r="X209">
        <f>HYPERLINK("https://klasma.github.io/Logging_2281/tillsyn/A 46260-2023 tillsynsbegäran.docx", "A 46260-2023")</f>
        <v/>
      </c>
      <c r="Y209">
        <f>HYPERLINK("https://klasma.github.io/Logging_2281/tillsynsmail/A 46260-2023 tillsynsbegäran mail.docx", "A 46260-2023")</f>
        <v/>
      </c>
      <c r="Z209">
        <f>HYPERLINK("https://klasma.github.io/Logging_2281/fåglar/A 46260-2023 prioriterade fågelarter.docx", "A 46260-2023")</f>
        <v/>
      </c>
    </row>
    <row r="210" ht="15" customHeight="1">
      <c r="A210" t="inlineStr">
        <is>
          <t>A 49850-2022</t>
        </is>
      </c>
      <c r="B210" s="1" t="n">
        <v>44862</v>
      </c>
      <c r="C210" s="1" t="n">
        <v>46181</v>
      </c>
      <c r="D210" t="inlineStr">
        <is>
          <t>VÄSTERNORRLANDS LÄN</t>
        </is>
      </c>
      <c r="E210" t="inlineStr">
        <is>
          <t>SUNDSVALL</t>
        </is>
      </c>
      <c r="F210" t="inlineStr">
        <is>
          <t>SCA</t>
        </is>
      </c>
      <c r="G210" t="n">
        <v>5.5</v>
      </c>
      <c r="H210" t="n">
        <v>0</v>
      </c>
      <c r="I210" t="n">
        <v>0</v>
      </c>
      <c r="J210" t="n">
        <v>0</v>
      </c>
      <c r="K210" t="n">
        <v>1</v>
      </c>
      <c r="L210" t="n">
        <v>0</v>
      </c>
      <c r="M210" t="n">
        <v>0</v>
      </c>
      <c r="N210" t="n">
        <v>0</v>
      </c>
      <c r="O210" t="n">
        <v>1</v>
      </c>
      <c r="P210" t="n">
        <v>1</v>
      </c>
      <c r="Q210" t="n">
        <v>1</v>
      </c>
      <c r="R210" s="2" t="inlineStr">
        <is>
          <t>Rynkskinn</t>
        </is>
      </c>
      <c r="S210">
        <f>HYPERLINK("https://klasma.github.io/Logging_2281/artfynd/A 49850-2022 artfynd.xlsx", "A 49850-2022")</f>
        <v/>
      </c>
      <c r="T210">
        <f>HYPERLINK("https://klasma.github.io/Logging_2281/kartor/A 49850-2022 karta.png", "A 49850-2022")</f>
        <v/>
      </c>
      <c r="V210">
        <f>HYPERLINK("https://klasma.github.io/Logging_2281/klagomål/A 49850-2022 FSC-klagomål.docx", "A 49850-2022")</f>
        <v/>
      </c>
      <c r="W210">
        <f>HYPERLINK("https://klasma.github.io/Logging_2281/klagomålsmail/A 49850-2022 FSC-klagomål mail.docx", "A 49850-2022")</f>
        <v/>
      </c>
      <c r="X210">
        <f>HYPERLINK("https://klasma.github.io/Logging_2281/tillsyn/A 49850-2022 tillsynsbegäran.docx", "A 49850-2022")</f>
        <v/>
      </c>
      <c r="Y210">
        <f>HYPERLINK("https://klasma.github.io/Logging_2281/tillsynsmail/A 49850-2022 tillsynsbegäran mail.docx", "A 49850-2022")</f>
        <v/>
      </c>
    </row>
    <row r="211" ht="15" customHeight="1">
      <c r="A211" t="inlineStr">
        <is>
          <t>A 64922-2021</t>
        </is>
      </c>
      <c r="B211" s="1" t="n">
        <v>44512</v>
      </c>
      <c r="C211" s="1" t="n">
        <v>46181</v>
      </c>
      <c r="D211" t="inlineStr">
        <is>
          <t>VÄSTERNORRLANDS LÄN</t>
        </is>
      </c>
      <c r="E211" t="inlineStr">
        <is>
          <t>SUNDSVALL</t>
        </is>
      </c>
      <c r="F211" t="inlineStr">
        <is>
          <t>Kommuner</t>
        </is>
      </c>
      <c r="G211" t="n">
        <v>1.5</v>
      </c>
      <c r="H211" t="n">
        <v>1</v>
      </c>
      <c r="I211" t="n">
        <v>0</v>
      </c>
      <c r="J211" t="n">
        <v>0</v>
      </c>
      <c r="K211" t="n">
        <v>0</v>
      </c>
      <c r="L211" t="n">
        <v>0</v>
      </c>
      <c r="M211" t="n">
        <v>0</v>
      </c>
      <c r="N211" t="n">
        <v>0</v>
      </c>
      <c r="O211" t="n">
        <v>0</v>
      </c>
      <c r="P211" t="n">
        <v>0</v>
      </c>
      <c r="Q211" t="n">
        <v>1</v>
      </c>
      <c r="R211" s="2" t="inlineStr">
        <is>
          <t>Näktergal</t>
        </is>
      </c>
      <c r="S211">
        <f>HYPERLINK("https://klasma.github.io/Logging_2281/artfynd/A 64922-2021 artfynd.xlsx", "A 64922-2021")</f>
        <v/>
      </c>
      <c r="T211">
        <f>HYPERLINK("https://klasma.github.io/Logging_2281/kartor/A 64922-2021 karta.png", "A 64922-2021")</f>
        <v/>
      </c>
      <c r="V211">
        <f>HYPERLINK("https://klasma.github.io/Logging_2281/klagomål/A 64922-2021 FSC-klagomål.docx", "A 64922-2021")</f>
        <v/>
      </c>
      <c r="W211">
        <f>HYPERLINK("https://klasma.github.io/Logging_2281/klagomålsmail/A 64922-2021 FSC-klagomål mail.docx", "A 64922-2021")</f>
        <v/>
      </c>
      <c r="X211">
        <f>HYPERLINK("https://klasma.github.io/Logging_2281/tillsyn/A 64922-2021 tillsynsbegäran.docx", "A 64922-2021")</f>
        <v/>
      </c>
      <c r="Y211">
        <f>HYPERLINK("https://klasma.github.io/Logging_2281/tillsynsmail/A 64922-2021 tillsynsbegäran mail.docx", "A 64922-2021")</f>
        <v/>
      </c>
      <c r="Z211">
        <f>HYPERLINK("https://klasma.github.io/Logging_2281/fåglar/A 64922-2021 prioriterade fågelarter.docx", "A 64922-2021")</f>
        <v/>
      </c>
    </row>
    <row r="212" ht="15" customHeight="1">
      <c r="A212" t="inlineStr">
        <is>
          <t>A 1220-2023</t>
        </is>
      </c>
      <c r="B212" s="1" t="n">
        <v>44935</v>
      </c>
      <c r="C212" s="1" t="n">
        <v>46181</v>
      </c>
      <c r="D212" t="inlineStr">
        <is>
          <t>VÄSTERNORRLANDS LÄN</t>
        </is>
      </c>
      <c r="E212" t="inlineStr">
        <is>
          <t>SUNDSVALL</t>
        </is>
      </c>
      <c r="G212" t="n">
        <v>2.7</v>
      </c>
      <c r="H212" t="n">
        <v>1</v>
      </c>
      <c r="I212" t="n">
        <v>0</v>
      </c>
      <c r="J212" t="n">
        <v>1</v>
      </c>
      <c r="K212" t="n">
        <v>0</v>
      </c>
      <c r="L212" t="n">
        <v>0</v>
      </c>
      <c r="M212" t="n">
        <v>0</v>
      </c>
      <c r="N212" t="n">
        <v>0</v>
      </c>
      <c r="O212" t="n">
        <v>1</v>
      </c>
      <c r="P212" t="n">
        <v>0</v>
      </c>
      <c r="Q212" t="n">
        <v>1</v>
      </c>
      <c r="R212" s="2" t="inlineStr">
        <is>
          <t>Spillkråka</t>
        </is>
      </c>
      <c r="S212">
        <f>HYPERLINK("https://klasma.github.io/Logging_2281/artfynd/A 1220-2023 artfynd.xlsx", "A 1220-2023")</f>
        <v/>
      </c>
      <c r="T212">
        <f>HYPERLINK("https://klasma.github.io/Logging_2281/kartor/A 1220-2023 karta.png", "A 1220-2023")</f>
        <v/>
      </c>
      <c r="V212">
        <f>HYPERLINK("https://klasma.github.io/Logging_2281/klagomål/A 1220-2023 FSC-klagomål.docx", "A 1220-2023")</f>
        <v/>
      </c>
      <c r="W212">
        <f>HYPERLINK("https://klasma.github.io/Logging_2281/klagomålsmail/A 1220-2023 FSC-klagomål mail.docx", "A 1220-2023")</f>
        <v/>
      </c>
      <c r="X212">
        <f>HYPERLINK("https://klasma.github.io/Logging_2281/tillsyn/A 1220-2023 tillsynsbegäran.docx", "A 1220-2023")</f>
        <v/>
      </c>
      <c r="Y212">
        <f>HYPERLINK("https://klasma.github.io/Logging_2281/tillsynsmail/A 1220-2023 tillsynsbegäran mail.docx", "A 1220-2023")</f>
        <v/>
      </c>
      <c r="Z212">
        <f>HYPERLINK("https://klasma.github.io/Logging_2281/fåglar/A 1220-2023 prioriterade fågelarter.docx", "A 1220-2023")</f>
        <v/>
      </c>
    </row>
    <row r="213" ht="15" customHeight="1">
      <c r="A213" t="inlineStr">
        <is>
          <t>A 58723-2024</t>
        </is>
      </c>
      <c r="B213" s="1" t="n">
        <v>45635.66302083333</v>
      </c>
      <c r="C213" s="1" t="n">
        <v>46181</v>
      </c>
      <c r="D213" t="inlineStr">
        <is>
          <t>VÄSTERNORRLANDS LÄN</t>
        </is>
      </c>
      <c r="E213" t="inlineStr">
        <is>
          <t>SUNDSVALL</t>
        </is>
      </c>
      <c r="G213" t="n">
        <v>2.2</v>
      </c>
      <c r="H213" t="n">
        <v>1</v>
      </c>
      <c r="I213" t="n">
        <v>0</v>
      </c>
      <c r="J213" t="n">
        <v>1</v>
      </c>
      <c r="K213" t="n">
        <v>0</v>
      </c>
      <c r="L213" t="n">
        <v>0</v>
      </c>
      <c r="M213" t="n">
        <v>0</v>
      </c>
      <c r="N213" t="n">
        <v>0</v>
      </c>
      <c r="O213" t="n">
        <v>1</v>
      </c>
      <c r="P213" t="n">
        <v>0</v>
      </c>
      <c r="Q213" t="n">
        <v>1</v>
      </c>
      <c r="R213" s="2" t="inlineStr">
        <is>
          <t>Talltita</t>
        </is>
      </c>
      <c r="S213">
        <f>HYPERLINK("https://klasma.github.io/Logging_2281/artfynd/A 58723-2024 artfynd.xlsx", "A 58723-2024")</f>
        <v/>
      </c>
      <c r="T213">
        <f>HYPERLINK("https://klasma.github.io/Logging_2281/kartor/A 58723-2024 karta.png", "A 58723-2024")</f>
        <v/>
      </c>
      <c r="V213">
        <f>HYPERLINK("https://klasma.github.io/Logging_2281/klagomål/A 58723-2024 FSC-klagomål.docx", "A 58723-2024")</f>
        <v/>
      </c>
      <c r="W213">
        <f>HYPERLINK("https://klasma.github.io/Logging_2281/klagomålsmail/A 58723-2024 FSC-klagomål mail.docx", "A 58723-2024")</f>
        <v/>
      </c>
      <c r="X213">
        <f>HYPERLINK("https://klasma.github.io/Logging_2281/tillsyn/A 58723-2024 tillsynsbegäran.docx", "A 58723-2024")</f>
        <v/>
      </c>
      <c r="Y213">
        <f>HYPERLINK("https://klasma.github.io/Logging_2281/tillsynsmail/A 58723-2024 tillsynsbegäran mail.docx", "A 58723-2024")</f>
        <v/>
      </c>
      <c r="Z213">
        <f>HYPERLINK("https://klasma.github.io/Logging_2281/fåglar/A 58723-2024 prioriterade fågelarter.docx", "A 58723-2024")</f>
        <v/>
      </c>
    </row>
    <row r="214" ht="15" customHeight="1">
      <c r="A214" t="inlineStr">
        <is>
          <t>A 37057-2021</t>
        </is>
      </c>
      <c r="B214" s="1" t="n">
        <v>44393.93881944445</v>
      </c>
      <c r="C214" s="1" t="n">
        <v>46181</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1924-2026</t>
        </is>
      </c>
      <c r="B215" s="1" t="n">
        <v>46035</v>
      </c>
      <c r="C215" s="1" t="n">
        <v>46181</v>
      </c>
      <c r="D215" t="inlineStr">
        <is>
          <t>VÄSTERNORRLANDS LÄN</t>
        </is>
      </c>
      <c r="E215" t="inlineStr">
        <is>
          <t>SUNDSVALL</t>
        </is>
      </c>
      <c r="G215" t="n">
        <v>7</v>
      </c>
      <c r="H215" t="n">
        <v>1</v>
      </c>
      <c r="I215" t="n">
        <v>0</v>
      </c>
      <c r="J215" t="n">
        <v>1</v>
      </c>
      <c r="K215" t="n">
        <v>0</v>
      </c>
      <c r="L215" t="n">
        <v>0</v>
      </c>
      <c r="M215" t="n">
        <v>0</v>
      </c>
      <c r="N215" t="n">
        <v>0</v>
      </c>
      <c r="O215" t="n">
        <v>1</v>
      </c>
      <c r="P215" t="n">
        <v>0</v>
      </c>
      <c r="Q215" t="n">
        <v>1</v>
      </c>
      <c r="R215" s="2" t="inlineStr">
        <is>
          <t>Spillkråka</t>
        </is>
      </c>
      <c r="S215">
        <f>HYPERLINK("https://klasma.github.io/Logging_2281/artfynd/A 1924-2026 artfynd.xlsx", "A 1924-2026")</f>
        <v/>
      </c>
      <c r="T215">
        <f>HYPERLINK("https://klasma.github.io/Logging_2281/kartor/A 1924-2026 karta.png", "A 1924-2026")</f>
        <v/>
      </c>
      <c r="V215">
        <f>HYPERLINK("https://klasma.github.io/Logging_2281/klagomål/A 1924-2026 FSC-klagomål.docx", "A 1924-2026")</f>
        <v/>
      </c>
      <c r="W215">
        <f>HYPERLINK("https://klasma.github.io/Logging_2281/klagomålsmail/A 1924-2026 FSC-klagomål mail.docx", "A 1924-2026")</f>
        <v/>
      </c>
      <c r="X215">
        <f>HYPERLINK("https://klasma.github.io/Logging_2281/tillsyn/A 1924-2026 tillsynsbegäran.docx", "A 1924-2026")</f>
        <v/>
      </c>
      <c r="Y215">
        <f>HYPERLINK("https://klasma.github.io/Logging_2281/tillsynsmail/A 1924-2026 tillsynsbegäran mail.docx", "A 1924-2026")</f>
        <v/>
      </c>
      <c r="Z215">
        <f>HYPERLINK("https://klasma.github.io/Logging_2281/fåglar/A 1924-2026 prioriterade fågelarter.docx", "A 1924-2026")</f>
        <v/>
      </c>
    </row>
    <row r="216" ht="15" customHeight="1">
      <c r="A216" t="inlineStr">
        <is>
          <t>A 25791-2025</t>
        </is>
      </c>
      <c r="B216" s="1" t="n">
        <v>45804.38903935185</v>
      </c>
      <c r="C216" s="1" t="n">
        <v>46181</v>
      </c>
      <c r="D216" t="inlineStr">
        <is>
          <t>VÄSTERNORRLANDS LÄN</t>
        </is>
      </c>
      <c r="E216" t="inlineStr">
        <is>
          <t>SUNDSVALL</t>
        </is>
      </c>
      <c r="G216" t="n">
        <v>2.8</v>
      </c>
      <c r="H216" t="n">
        <v>1</v>
      </c>
      <c r="I216" t="n">
        <v>0</v>
      </c>
      <c r="J216" t="n">
        <v>1</v>
      </c>
      <c r="K216" t="n">
        <v>0</v>
      </c>
      <c r="L216" t="n">
        <v>0</v>
      </c>
      <c r="M216" t="n">
        <v>0</v>
      </c>
      <c r="N216" t="n">
        <v>0</v>
      </c>
      <c r="O216" t="n">
        <v>1</v>
      </c>
      <c r="P216" t="n">
        <v>0</v>
      </c>
      <c r="Q216" t="n">
        <v>1</v>
      </c>
      <c r="R216" s="2" t="inlineStr">
        <is>
          <t>Hornuggla</t>
        </is>
      </c>
      <c r="S216">
        <f>HYPERLINK("https://klasma.github.io/Logging_2281/artfynd/A 25791-2025 artfynd.xlsx", "A 25791-2025")</f>
        <v/>
      </c>
      <c r="T216">
        <f>HYPERLINK("https://klasma.github.io/Logging_2281/kartor/A 25791-2025 karta.png", "A 25791-2025")</f>
        <v/>
      </c>
      <c r="V216">
        <f>HYPERLINK("https://klasma.github.io/Logging_2281/klagomål/A 25791-2025 FSC-klagomål.docx", "A 25791-2025")</f>
        <v/>
      </c>
      <c r="W216">
        <f>HYPERLINK("https://klasma.github.io/Logging_2281/klagomålsmail/A 25791-2025 FSC-klagomål mail.docx", "A 25791-2025")</f>
        <v/>
      </c>
      <c r="X216">
        <f>HYPERLINK("https://klasma.github.io/Logging_2281/tillsyn/A 25791-2025 tillsynsbegäran.docx", "A 25791-2025")</f>
        <v/>
      </c>
      <c r="Y216">
        <f>HYPERLINK("https://klasma.github.io/Logging_2281/tillsynsmail/A 25791-2025 tillsynsbegäran mail.docx", "A 25791-2025")</f>
        <v/>
      </c>
      <c r="Z216">
        <f>HYPERLINK("https://klasma.github.io/Logging_2281/fåglar/A 25791-2025 prioriterade fågelarter.docx", "A 25791-2025")</f>
        <v/>
      </c>
    </row>
    <row r="217" ht="15" customHeight="1">
      <c r="A217" t="inlineStr">
        <is>
          <t>A 28332-2021</t>
        </is>
      </c>
      <c r="B217" s="1" t="n">
        <v>44356.36717592592</v>
      </c>
      <c r="C217" s="1" t="n">
        <v>46181</v>
      </c>
      <c r="D217" t="inlineStr">
        <is>
          <t>VÄSTERNORRLANDS LÄN</t>
        </is>
      </c>
      <c r="E217" t="inlineStr">
        <is>
          <t>SUNDSVALL</t>
        </is>
      </c>
      <c r="G217" t="n">
        <v>11.8</v>
      </c>
      <c r="H217" t="n">
        <v>0</v>
      </c>
      <c r="I217" t="n">
        <v>1</v>
      </c>
      <c r="J217" t="n">
        <v>0</v>
      </c>
      <c r="K217" t="n">
        <v>0</v>
      </c>
      <c r="L217" t="n">
        <v>0</v>
      </c>
      <c r="M217" t="n">
        <v>0</v>
      </c>
      <c r="N217" t="n">
        <v>0</v>
      </c>
      <c r="O217" t="n">
        <v>0</v>
      </c>
      <c r="P217" t="n">
        <v>0</v>
      </c>
      <c r="Q217" t="n">
        <v>1</v>
      </c>
      <c r="R217" s="2" t="inlineStr">
        <is>
          <t>Fjällig taggsvamp s.str.</t>
        </is>
      </c>
      <c r="S217">
        <f>HYPERLINK("https://klasma.github.io/Logging_2281/artfynd/A 28332-2021 artfynd.xlsx", "A 28332-2021")</f>
        <v/>
      </c>
      <c r="T217">
        <f>HYPERLINK("https://klasma.github.io/Logging_2281/kartor/A 28332-2021 karta.png", "A 28332-2021")</f>
        <v/>
      </c>
      <c r="V217">
        <f>HYPERLINK("https://klasma.github.io/Logging_2281/klagomål/A 28332-2021 FSC-klagomål.docx", "A 28332-2021")</f>
        <v/>
      </c>
      <c r="W217">
        <f>HYPERLINK("https://klasma.github.io/Logging_2281/klagomålsmail/A 28332-2021 FSC-klagomål mail.docx", "A 28332-2021")</f>
        <v/>
      </c>
      <c r="X217">
        <f>HYPERLINK("https://klasma.github.io/Logging_2281/tillsyn/A 28332-2021 tillsynsbegäran.docx", "A 28332-2021")</f>
        <v/>
      </c>
      <c r="Y217">
        <f>HYPERLINK("https://klasma.github.io/Logging_2281/tillsynsmail/A 28332-2021 tillsynsbegäran mail.docx", "A 28332-2021")</f>
        <v/>
      </c>
    </row>
    <row r="218" ht="15" customHeight="1">
      <c r="A218" t="inlineStr">
        <is>
          <t>A 15376-2024</t>
        </is>
      </c>
      <c r="B218" s="1" t="n">
        <v>45400</v>
      </c>
      <c r="C218" s="1" t="n">
        <v>46181</v>
      </c>
      <c r="D218" t="inlineStr">
        <is>
          <t>VÄSTERNORRLANDS LÄN</t>
        </is>
      </c>
      <c r="E218" t="inlineStr">
        <is>
          <t>SUNDSVALL</t>
        </is>
      </c>
      <c r="F218" t="inlineStr">
        <is>
          <t>Naturvårdsverket</t>
        </is>
      </c>
      <c r="G218" t="n">
        <v>1.2</v>
      </c>
      <c r="H218" t="n">
        <v>0</v>
      </c>
      <c r="I218" t="n">
        <v>0</v>
      </c>
      <c r="J218" t="n">
        <v>1</v>
      </c>
      <c r="K218" t="n">
        <v>0</v>
      </c>
      <c r="L218" t="n">
        <v>0</v>
      </c>
      <c r="M218" t="n">
        <v>0</v>
      </c>
      <c r="N218" t="n">
        <v>0</v>
      </c>
      <c r="O218" t="n">
        <v>1</v>
      </c>
      <c r="P218" t="n">
        <v>0</v>
      </c>
      <c r="Q218" t="n">
        <v>1</v>
      </c>
      <c r="R218" s="2" t="inlineStr">
        <is>
          <t>Granticka</t>
        </is>
      </c>
      <c r="S218">
        <f>HYPERLINK("https://klasma.github.io/Logging_2281/artfynd/A 15376-2024 artfynd.xlsx", "A 15376-2024")</f>
        <v/>
      </c>
      <c r="T218">
        <f>HYPERLINK("https://klasma.github.io/Logging_2281/kartor/A 15376-2024 karta.png", "A 15376-2024")</f>
        <v/>
      </c>
      <c r="V218">
        <f>HYPERLINK("https://klasma.github.io/Logging_2281/klagomål/A 15376-2024 FSC-klagomål.docx", "A 15376-2024")</f>
        <v/>
      </c>
      <c r="W218">
        <f>HYPERLINK("https://klasma.github.io/Logging_2281/klagomålsmail/A 15376-2024 FSC-klagomål mail.docx", "A 15376-2024")</f>
        <v/>
      </c>
      <c r="X218">
        <f>HYPERLINK("https://klasma.github.io/Logging_2281/tillsyn/A 15376-2024 tillsynsbegäran.docx", "A 15376-2024")</f>
        <v/>
      </c>
      <c r="Y218">
        <f>HYPERLINK("https://klasma.github.io/Logging_2281/tillsynsmail/A 15376-2024 tillsynsbegäran mail.docx", "A 15376-2024")</f>
        <v/>
      </c>
    </row>
    <row r="219" ht="15" customHeight="1">
      <c r="A219" t="inlineStr">
        <is>
          <t>A 14665-2023</t>
        </is>
      </c>
      <c r="B219" s="1" t="n">
        <v>45013.9258912037</v>
      </c>
      <c r="C219" s="1" t="n">
        <v>46181</v>
      </c>
      <c r="D219" t="inlineStr">
        <is>
          <t>VÄSTERNORRLANDS LÄN</t>
        </is>
      </c>
      <c r="E219" t="inlineStr">
        <is>
          <t>SUNDSVALL</t>
        </is>
      </c>
      <c r="G219" t="n">
        <v>1.8</v>
      </c>
      <c r="H219" t="n">
        <v>1</v>
      </c>
      <c r="I219" t="n">
        <v>0</v>
      </c>
      <c r="J219" t="n">
        <v>0</v>
      </c>
      <c r="K219" t="n">
        <v>0</v>
      </c>
      <c r="L219" t="n">
        <v>0</v>
      </c>
      <c r="M219" t="n">
        <v>0</v>
      </c>
      <c r="N219" t="n">
        <v>0</v>
      </c>
      <c r="O219" t="n">
        <v>0</v>
      </c>
      <c r="P219" t="n">
        <v>0</v>
      </c>
      <c r="Q219" t="n">
        <v>1</v>
      </c>
      <c r="R219" s="2" t="inlineStr">
        <is>
          <t>Trana</t>
        </is>
      </c>
      <c r="S219">
        <f>HYPERLINK("https://klasma.github.io/Logging_2281/artfynd/A 14665-2023 artfynd.xlsx", "A 14665-2023")</f>
        <v/>
      </c>
      <c r="T219">
        <f>HYPERLINK("https://klasma.github.io/Logging_2281/kartor/A 14665-2023 karta.png", "A 14665-2023")</f>
        <v/>
      </c>
      <c r="V219">
        <f>HYPERLINK("https://klasma.github.io/Logging_2281/klagomål/A 14665-2023 FSC-klagomål.docx", "A 14665-2023")</f>
        <v/>
      </c>
      <c r="W219">
        <f>HYPERLINK("https://klasma.github.io/Logging_2281/klagomålsmail/A 14665-2023 FSC-klagomål mail.docx", "A 14665-2023")</f>
        <v/>
      </c>
      <c r="X219">
        <f>HYPERLINK("https://klasma.github.io/Logging_2281/tillsyn/A 14665-2023 tillsynsbegäran.docx", "A 14665-2023")</f>
        <v/>
      </c>
      <c r="Y219">
        <f>HYPERLINK("https://klasma.github.io/Logging_2281/tillsynsmail/A 14665-2023 tillsynsbegäran mail.docx", "A 14665-2023")</f>
        <v/>
      </c>
      <c r="Z219">
        <f>HYPERLINK("https://klasma.github.io/Logging_2281/fåglar/A 14665-2023 prioriterade fågelarter.docx", "A 14665-2023")</f>
        <v/>
      </c>
    </row>
    <row r="220" ht="15" customHeight="1">
      <c r="A220" t="inlineStr">
        <is>
          <t>A 19762-2025</t>
        </is>
      </c>
      <c r="B220" s="1" t="n">
        <v>45771.40686342592</v>
      </c>
      <c r="C220" s="1" t="n">
        <v>46181</v>
      </c>
      <c r="D220" t="inlineStr">
        <is>
          <t>VÄSTERNORRLANDS LÄN</t>
        </is>
      </c>
      <c r="E220" t="inlineStr">
        <is>
          <t>SUNDSVALL</t>
        </is>
      </c>
      <c r="F220" t="inlineStr">
        <is>
          <t>Naturvårdsverket</t>
        </is>
      </c>
      <c r="G220" t="n">
        <v>2.3</v>
      </c>
      <c r="H220" t="n">
        <v>0</v>
      </c>
      <c r="I220" t="n">
        <v>1</v>
      </c>
      <c r="J220" t="n">
        <v>0</v>
      </c>
      <c r="K220" t="n">
        <v>0</v>
      </c>
      <c r="L220" t="n">
        <v>0</v>
      </c>
      <c r="M220" t="n">
        <v>0</v>
      </c>
      <c r="N220" t="n">
        <v>0</v>
      </c>
      <c r="O220" t="n">
        <v>0</v>
      </c>
      <c r="P220" t="n">
        <v>0</v>
      </c>
      <c r="Q220" t="n">
        <v>1</v>
      </c>
      <c r="R220" s="2" t="inlineStr">
        <is>
          <t>Barkticka</t>
        </is>
      </c>
      <c r="S220">
        <f>HYPERLINK("https://klasma.github.io/Logging_2281/artfynd/A 19762-2025 artfynd.xlsx", "A 19762-2025")</f>
        <v/>
      </c>
      <c r="T220">
        <f>HYPERLINK("https://klasma.github.io/Logging_2281/kartor/A 19762-2025 karta.png", "A 19762-2025")</f>
        <v/>
      </c>
      <c r="V220">
        <f>HYPERLINK("https://klasma.github.io/Logging_2281/klagomål/A 19762-2025 FSC-klagomål.docx", "A 19762-2025")</f>
        <v/>
      </c>
      <c r="W220">
        <f>HYPERLINK("https://klasma.github.io/Logging_2281/klagomålsmail/A 19762-2025 FSC-klagomål mail.docx", "A 19762-2025")</f>
        <v/>
      </c>
      <c r="X220">
        <f>HYPERLINK("https://klasma.github.io/Logging_2281/tillsyn/A 19762-2025 tillsynsbegäran.docx", "A 19762-2025")</f>
        <v/>
      </c>
      <c r="Y220">
        <f>HYPERLINK("https://klasma.github.io/Logging_2281/tillsynsmail/A 19762-2025 tillsynsbegäran mail.docx", "A 19762-2025")</f>
        <v/>
      </c>
    </row>
    <row r="221" ht="15" customHeight="1">
      <c r="A221" t="inlineStr">
        <is>
          <t>A 27211-2025</t>
        </is>
      </c>
      <c r="B221" s="1" t="n">
        <v>45812.4068287037</v>
      </c>
      <c r="C221" s="1" t="n">
        <v>46181</v>
      </c>
      <c r="D221" t="inlineStr">
        <is>
          <t>VÄSTERNORRLANDS LÄN</t>
        </is>
      </c>
      <c r="E221" t="inlineStr">
        <is>
          <t>SUNDSVALL</t>
        </is>
      </c>
      <c r="F221" t="inlineStr">
        <is>
          <t>SCA</t>
        </is>
      </c>
      <c r="G221" t="n">
        <v>0.6</v>
      </c>
      <c r="H221" t="n">
        <v>0</v>
      </c>
      <c r="I221" t="n">
        <v>0</v>
      </c>
      <c r="J221" t="n">
        <v>1</v>
      </c>
      <c r="K221" t="n">
        <v>0</v>
      </c>
      <c r="L221" t="n">
        <v>0</v>
      </c>
      <c r="M221" t="n">
        <v>0</v>
      </c>
      <c r="N221" t="n">
        <v>0</v>
      </c>
      <c r="O221" t="n">
        <v>1</v>
      </c>
      <c r="P221" t="n">
        <v>0</v>
      </c>
      <c r="Q221" t="n">
        <v>1</v>
      </c>
      <c r="R221" s="2" t="inlineStr">
        <is>
          <t>Garnlav</t>
        </is>
      </c>
      <c r="S221">
        <f>HYPERLINK("https://klasma.github.io/Logging_2281/artfynd/A 27211-2025 artfynd.xlsx", "A 27211-2025")</f>
        <v/>
      </c>
      <c r="T221">
        <f>HYPERLINK("https://klasma.github.io/Logging_2281/kartor/A 27211-2025 karta.png", "A 27211-2025")</f>
        <v/>
      </c>
      <c r="V221">
        <f>HYPERLINK("https://klasma.github.io/Logging_2281/klagomål/A 27211-2025 FSC-klagomål.docx", "A 27211-2025")</f>
        <v/>
      </c>
      <c r="W221">
        <f>HYPERLINK("https://klasma.github.io/Logging_2281/klagomålsmail/A 27211-2025 FSC-klagomål mail.docx", "A 27211-2025")</f>
        <v/>
      </c>
      <c r="X221">
        <f>HYPERLINK("https://klasma.github.io/Logging_2281/tillsyn/A 27211-2025 tillsynsbegäran.docx", "A 27211-2025")</f>
        <v/>
      </c>
      <c r="Y221">
        <f>HYPERLINK("https://klasma.github.io/Logging_2281/tillsynsmail/A 27211-2025 tillsynsbegäran mail.docx", "A 27211-2025")</f>
        <v/>
      </c>
    </row>
    <row r="222" ht="15" customHeight="1">
      <c r="A222" t="inlineStr">
        <is>
          <t>A 3582-2026</t>
        </is>
      </c>
      <c r="B222" s="1" t="n">
        <v>46042.72751157408</v>
      </c>
      <c r="C222" s="1" t="n">
        <v>46181</v>
      </c>
      <c r="D222" t="inlineStr">
        <is>
          <t>VÄSTERNORRLANDS LÄN</t>
        </is>
      </c>
      <c r="E222" t="inlineStr">
        <is>
          <t>SUNDSVALL</t>
        </is>
      </c>
      <c r="G222" t="n">
        <v>3.8</v>
      </c>
      <c r="H222" t="n">
        <v>1</v>
      </c>
      <c r="I222" t="n">
        <v>0</v>
      </c>
      <c r="J222" t="n">
        <v>0</v>
      </c>
      <c r="K222" t="n">
        <v>0</v>
      </c>
      <c r="L222" t="n">
        <v>0</v>
      </c>
      <c r="M222" t="n">
        <v>0</v>
      </c>
      <c r="N222" t="n">
        <v>0</v>
      </c>
      <c r="O222" t="n">
        <v>0</v>
      </c>
      <c r="P222" t="n">
        <v>0</v>
      </c>
      <c r="Q222" t="n">
        <v>1</v>
      </c>
      <c r="R222" s="2" t="inlineStr">
        <is>
          <t>Nattviol</t>
        </is>
      </c>
      <c r="S222">
        <f>HYPERLINK("https://klasma.github.io/Logging_2281/artfynd/A 3582-2026 artfynd.xlsx", "A 3582-2026")</f>
        <v/>
      </c>
      <c r="T222">
        <f>HYPERLINK("https://klasma.github.io/Logging_2281/kartor/A 3582-2026 karta.png", "A 3582-2026")</f>
        <v/>
      </c>
      <c r="V222">
        <f>HYPERLINK("https://klasma.github.io/Logging_2281/klagomål/A 3582-2026 FSC-klagomål.docx", "A 3582-2026")</f>
        <v/>
      </c>
      <c r="W222">
        <f>HYPERLINK("https://klasma.github.io/Logging_2281/klagomålsmail/A 3582-2026 FSC-klagomål mail.docx", "A 3582-2026")</f>
        <v/>
      </c>
      <c r="X222">
        <f>HYPERLINK("https://klasma.github.io/Logging_2281/tillsyn/A 3582-2026 tillsynsbegäran.docx", "A 3582-2026")</f>
        <v/>
      </c>
      <c r="Y222">
        <f>HYPERLINK("https://klasma.github.io/Logging_2281/tillsynsmail/A 3582-2026 tillsynsbegäran mail.docx", "A 3582-2026")</f>
        <v/>
      </c>
    </row>
    <row r="223" ht="15" customHeight="1">
      <c r="A223" t="inlineStr">
        <is>
          <t>A 11146-2025</t>
        </is>
      </c>
      <c r="B223" s="1" t="n">
        <v>45723.6775</v>
      </c>
      <c r="C223" s="1" t="n">
        <v>46181</v>
      </c>
      <c r="D223" t="inlineStr">
        <is>
          <t>VÄSTERNORRLANDS LÄN</t>
        </is>
      </c>
      <c r="E223" t="inlineStr">
        <is>
          <t>SUNDSVALL</t>
        </is>
      </c>
      <c r="F223" t="inlineStr">
        <is>
          <t>SCA</t>
        </is>
      </c>
      <c r="G223" t="n">
        <v>17.4</v>
      </c>
      <c r="H223" t="n">
        <v>0</v>
      </c>
      <c r="I223" t="n">
        <v>0</v>
      </c>
      <c r="J223" t="n">
        <v>1</v>
      </c>
      <c r="K223" t="n">
        <v>0</v>
      </c>
      <c r="L223" t="n">
        <v>0</v>
      </c>
      <c r="M223" t="n">
        <v>0</v>
      </c>
      <c r="N223" t="n">
        <v>0</v>
      </c>
      <c r="O223" t="n">
        <v>1</v>
      </c>
      <c r="P223" t="n">
        <v>0</v>
      </c>
      <c r="Q223" t="n">
        <v>1</v>
      </c>
      <c r="R223" s="2" t="inlineStr">
        <is>
          <t>Skogshare</t>
        </is>
      </c>
      <c r="S223">
        <f>HYPERLINK("https://klasma.github.io/Logging_2281/artfynd/A 11146-2025 artfynd.xlsx", "A 11146-2025")</f>
        <v/>
      </c>
      <c r="T223">
        <f>HYPERLINK("https://klasma.github.io/Logging_2281/kartor/A 11146-2025 karta.png", "A 11146-2025")</f>
        <v/>
      </c>
      <c r="V223">
        <f>HYPERLINK("https://klasma.github.io/Logging_2281/klagomål/A 11146-2025 FSC-klagomål.docx", "A 11146-2025")</f>
        <v/>
      </c>
      <c r="W223">
        <f>HYPERLINK("https://klasma.github.io/Logging_2281/klagomålsmail/A 11146-2025 FSC-klagomål mail.docx", "A 11146-2025")</f>
        <v/>
      </c>
      <c r="X223">
        <f>HYPERLINK("https://klasma.github.io/Logging_2281/tillsyn/A 11146-2025 tillsynsbegäran.docx", "A 11146-2025")</f>
        <v/>
      </c>
      <c r="Y223">
        <f>HYPERLINK("https://klasma.github.io/Logging_2281/tillsynsmail/A 11146-2025 tillsynsbegäran mail.docx", "A 11146-2025")</f>
        <v/>
      </c>
    </row>
    <row r="224" ht="15" customHeight="1">
      <c r="A224" t="inlineStr">
        <is>
          <t>A 3819-2024</t>
        </is>
      </c>
      <c r="B224" s="1" t="n">
        <v>45321</v>
      </c>
      <c r="C224" s="1" t="n">
        <v>46181</v>
      </c>
      <c r="D224" t="inlineStr">
        <is>
          <t>VÄSTERNORRLANDS LÄN</t>
        </is>
      </c>
      <c r="E224" t="inlineStr">
        <is>
          <t>SUNDSVALL</t>
        </is>
      </c>
      <c r="G224" t="n">
        <v>13.5</v>
      </c>
      <c r="H224" t="n">
        <v>1</v>
      </c>
      <c r="I224" t="n">
        <v>0</v>
      </c>
      <c r="J224" t="n">
        <v>0</v>
      </c>
      <c r="K224" t="n">
        <v>1</v>
      </c>
      <c r="L224" t="n">
        <v>0</v>
      </c>
      <c r="M224" t="n">
        <v>0</v>
      </c>
      <c r="N224" t="n">
        <v>0</v>
      </c>
      <c r="O224" t="n">
        <v>1</v>
      </c>
      <c r="P224" t="n">
        <v>1</v>
      </c>
      <c r="Q224" t="n">
        <v>1</v>
      </c>
      <c r="R224" s="2" t="inlineStr">
        <is>
          <t>Bombmurkla</t>
        </is>
      </c>
      <c r="S224">
        <f>HYPERLINK("https://klasma.github.io/Logging_2281/artfynd/A 3819-2024 artfynd.xlsx", "A 3819-2024")</f>
        <v/>
      </c>
      <c r="T224">
        <f>HYPERLINK("https://klasma.github.io/Logging_2281/kartor/A 3819-2024 karta.png", "A 3819-2024")</f>
        <v/>
      </c>
      <c r="V224">
        <f>HYPERLINK("https://klasma.github.io/Logging_2281/klagomål/A 3819-2024 FSC-klagomål.docx", "A 3819-2024")</f>
        <v/>
      </c>
      <c r="W224">
        <f>HYPERLINK("https://klasma.github.io/Logging_2281/klagomålsmail/A 3819-2024 FSC-klagomål mail.docx", "A 3819-2024")</f>
        <v/>
      </c>
      <c r="X224">
        <f>HYPERLINK("https://klasma.github.io/Logging_2281/tillsyn/A 3819-2024 tillsynsbegäran.docx", "A 3819-2024")</f>
        <v/>
      </c>
      <c r="Y224">
        <f>HYPERLINK("https://klasma.github.io/Logging_2281/tillsynsmail/A 3819-2024 tillsynsbegäran mail.docx", "A 3819-2024")</f>
        <v/>
      </c>
    </row>
    <row r="225" ht="15" customHeight="1">
      <c r="A225" t="inlineStr">
        <is>
          <t>A 43362-2025</t>
        </is>
      </c>
      <c r="B225" s="1" t="n">
        <v>45911</v>
      </c>
      <c r="C225" s="1" t="n">
        <v>46181</v>
      </c>
      <c r="D225" t="inlineStr">
        <is>
          <t>VÄSTERNORRLANDS LÄN</t>
        </is>
      </c>
      <c r="E225" t="inlineStr">
        <is>
          <t>SUNDSVALL</t>
        </is>
      </c>
      <c r="F225" t="inlineStr">
        <is>
          <t>Naturvårdsverket</t>
        </is>
      </c>
      <c r="G225" t="n">
        <v>3.7</v>
      </c>
      <c r="H225" t="n">
        <v>1</v>
      </c>
      <c r="I225" t="n">
        <v>0</v>
      </c>
      <c r="J225" t="n">
        <v>1</v>
      </c>
      <c r="K225" t="n">
        <v>0</v>
      </c>
      <c r="L225" t="n">
        <v>0</v>
      </c>
      <c r="M225" t="n">
        <v>0</v>
      </c>
      <c r="N225" t="n">
        <v>0</v>
      </c>
      <c r="O225" t="n">
        <v>1</v>
      </c>
      <c r="P225" t="n">
        <v>0</v>
      </c>
      <c r="Q225" t="n">
        <v>1</v>
      </c>
      <c r="R225" s="2" t="inlineStr">
        <is>
          <t>Utter</t>
        </is>
      </c>
      <c r="S225">
        <f>HYPERLINK("https://klasma.github.io/Logging_2281/artfynd/A 43362-2025 artfynd.xlsx", "A 43362-2025")</f>
        <v/>
      </c>
      <c r="T225">
        <f>HYPERLINK("https://klasma.github.io/Logging_2281/kartor/A 43362-2025 karta.png", "A 43362-2025")</f>
        <v/>
      </c>
      <c r="V225">
        <f>HYPERLINK("https://klasma.github.io/Logging_2281/klagomål/A 43362-2025 FSC-klagomål.docx", "A 43362-2025")</f>
        <v/>
      </c>
      <c r="W225">
        <f>HYPERLINK("https://klasma.github.io/Logging_2281/klagomålsmail/A 43362-2025 FSC-klagomål mail.docx", "A 43362-2025")</f>
        <v/>
      </c>
      <c r="X225">
        <f>HYPERLINK("https://klasma.github.io/Logging_2281/tillsyn/A 43362-2025 tillsynsbegäran.docx", "A 43362-2025")</f>
        <v/>
      </c>
      <c r="Y225">
        <f>HYPERLINK("https://klasma.github.io/Logging_2281/tillsynsmail/A 43362-2025 tillsynsbegäran mail.docx", "A 43362-2025")</f>
        <v/>
      </c>
    </row>
    <row r="226" ht="15" customHeight="1">
      <c r="A226" t="inlineStr">
        <is>
          <t>A 37231-2021</t>
        </is>
      </c>
      <c r="B226" s="1" t="n">
        <v>44396</v>
      </c>
      <c r="C226" s="1" t="n">
        <v>46181</v>
      </c>
      <c r="D226" t="inlineStr">
        <is>
          <t>VÄSTERNORRLANDS LÄN</t>
        </is>
      </c>
      <c r="E226" t="inlineStr">
        <is>
          <t>SUNDSVALL</t>
        </is>
      </c>
      <c r="F226" t="inlineStr">
        <is>
          <t>SCA</t>
        </is>
      </c>
      <c r="G226" t="n">
        <v>7.3</v>
      </c>
      <c r="H226" t="n">
        <v>1</v>
      </c>
      <c r="I226" t="n">
        <v>0</v>
      </c>
      <c r="J226" t="n">
        <v>0</v>
      </c>
      <c r="K226" t="n">
        <v>0</v>
      </c>
      <c r="L226" t="n">
        <v>0</v>
      </c>
      <c r="M226" t="n">
        <v>0</v>
      </c>
      <c r="N226" t="n">
        <v>0</v>
      </c>
      <c r="O226" t="n">
        <v>0</v>
      </c>
      <c r="P226" t="n">
        <v>0</v>
      </c>
      <c r="Q226" t="n">
        <v>1</v>
      </c>
      <c r="R226" s="2" t="inlineStr">
        <is>
          <t>Orre</t>
        </is>
      </c>
      <c r="S226">
        <f>HYPERLINK("https://klasma.github.io/Logging_2281/artfynd/A 37231-2021 artfynd.xlsx", "A 37231-2021")</f>
        <v/>
      </c>
      <c r="T226">
        <f>HYPERLINK("https://klasma.github.io/Logging_2281/kartor/A 37231-2021 karta.png", "A 37231-2021")</f>
        <v/>
      </c>
      <c r="V226">
        <f>HYPERLINK("https://klasma.github.io/Logging_2281/klagomål/A 37231-2021 FSC-klagomål.docx", "A 37231-2021")</f>
        <v/>
      </c>
      <c r="W226">
        <f>HYPERLINK("https://klasma.github.io/Logging_2281/klagomålsmail/A 37231-2021 FSC-klagomål mail.docx", "A 37231-2021")</f>
        <v/>
      </c>
      <c r="X226">
        <f>HYPERLINK("https://klasma.github.io/Logging_2281/tillsyn/A 37231-2021 tillsynsbegäran.docx", "A 37231-2021")</f>
        <v/>
      </c>
      <c r="Y226">
        <f>HYPERLINK("https://klasma.github.io/Logging_2281/tillsynsmail/A 37231-2021 tillsynsbegäran mail.docx", "A 37231-2021")</f>
        <v/>
      </c>
      <c r="Z226">
        <f>HYPERLINK("https://klasma.github.io/Logging_2281/fåglar/A 37231-2021 prioriterade fågelarter.docx", "A 37231-2021")</f>
        <v/>
      </c>
    </row>
    <row r="227" ht="15" customHeight="1">
      <c r="A227" t="inlineStr">
        <is>
          <t>A 28452-2025</t>
        </is>
      </c>
      <c r="B227" s="1" t="n">
        <v>45819.40657407408</v>
      </c>
      <c r="C227" s="1" t="n">
        <v>46181</v>
      </c>
      <c r="D227" t="inlineStr">
        <is>
          <t>VÄSTERNORRLANDS LÄN</t>
        </is>
      </c>
      <c r="E227" t="inlineStr">
        <is>
          <t>SUNDSVALL</t>
        </is>
      </c>
      <c r="F227" t="inlineStr">
        <is>
          <t>Naturvårdsverket</t>
        </is>
      </c>
      <c r="G227" t="n">
        <v>11</v>
      </c>
      <c r="H227" t="n">
        <v>0</v>
      </c>
      <c r="I227" t="n">
        <v>0</v>
      </c>
      <c r="J227" t="n">
        <v>1</v>
      </c>
      <c r="K227" t="n">
        <v>0</v>
      </c>
      <c r="L227" t="n">
        <v>0</v>
      </c>
      <c r="M227" t="n">
        <v>0</v>
      </c>
      <c r="N227" t="n">
        <v>0</v>
      </c>
      <c r="O227" t="n">
        <v>1</v>
      </c>
      <c r="P227" t="n">
        <v>0</v>
      </c>
      <c r="Q227" t="n">
        <v>1</v>
      </c>
      <c r="R227" s="2" t="inlineStr">
        <is>
          <t>Lunglav</t>
        </is>
      </c>
      <c r="S227">
        <f>HYPERLINK("https://klasma.github.io/Logging_2281/artfynd/A 28452-2025 artfynd.xlsx", "A 28452-2025")</f>
        <v/>
      </c>
      <c r="T227">
        <f>HYPERLINK("https://klasma.github.io/Logging_2281/kartor/A 28452-2025 karta.png", "A 28452-2025")</f>
        <v/>
      </c>
      <c r="V227">
        <f>HYPERLINK("https://klasma.github.io/Logging_2281/klagomål/A 28452-2025 FSC-klagomål.docx", "A 28452-2025")</f>
        <v/>
      </c>
      <c r="W227">
        <f>HYPERLINK("https://klasma.github.io/Logging_2281/klagomålsmail/A 28452-2025 FSC-klagomål mail.docx", "A 28452-2025")</f>
        <v/>
      </c>
      <c r="X227">
        <f>HYPERLINK("https://klasma.github.io/Logging_2281/tillsyn/A 28452-2025 tillsynsbegäran.docx", "A 28452-2025")</f>
        <v/>
      </c>
      <c r="Y227">
        <f>HYPERLINK("https://klasma.github.io/Logging_2281/tillsynsmail/A 28452-2025 tillsynsbegäran mail.docx", "A 28452-2025")</f>
        <v/>
      </c>
    </row>
    <row r="228" ht="15" customHeight="1">
      <c r="A228" t="inlineStr">
        <is>
          <t>A 21765-2025</t>
        </is>
      </c>
      <c r="B228" s="1" t="n">
        <v>45783.64675925926</v>
      </c>
      <c r="C228" s="1" t="n">
        <v>46181</v>
      </c>
      <c r="D228" t="inlineStr">
        <is>
          <t>VÄSTERNORRLANDS LÄN</t>
        </is>
      </c>
      <c r="E228" t="inlineStr">
        <is>
          <t>SUNDSVALL</t>
        </is>
      </c>
      <c r="G228" t="n">
        <v>8</v>
      </c>
      <c r="H228" t="n">
        <v>1</v>
      </c>
      <c r="I228" t="n">
        <v>0</v>
      </c>
      <c r="J228" t="n">
        <v>0</v>
      </c>
      <c r="K228" t="n">
        <v>0</v>
      </c>
      <c r="L228" t="n">
        <v>0</v>
      </c>
      <c r="M228" t="n">
        <v>0</v>
      </c>
      <c r="N228" t="n">
        <v>0</v>
      </c>
      <c r="O228" t="n">
        <v>0</v>
      </c>
      <c r="P228" t="n">
        <v>0</v>
      </c>
      <c r="Q228" t="n">
        <v>1</v>
      </c>
      <c r="R228" s="2" t="inlineStr">
        <is>
          <t>Orre</t>
        </is>
      </c>
      <c r="S228">
        <f>HYPERLINK("https://klasma.github.io/Logging_2281/artfynd/A 21765-2025 artfynd.xlsx", "A 21765-2025")</f>
        <v/>
      </c>
      <c r="T228">
        <f>HYPERLINK("https://klasma.github.io/Logging_2281/kartor/A 21765-2025 karta.png", "A 21765-2025")</f>
        <v/>
      </c>
      <c r="V228">
        <f>HYPERLINK("https://klasma.github.io/Logging_2281/klagomål/A 21765-2025 FSC-klagomål.docx", "A 21765-2025")</f>
        <v/>
      </c>
      <c r="W228">
        <f>HYPERLINK("https://klasma.github.io/Logging_2281/klagomålsmail/A 21765-2025 FSC-klagomål mail.docx", "A 21765-2025")</f>
        <v/>
      </c>
      <c r="X228">
        <f>HYPERLINK("https://klasma.github.io/Logging_2281/tillsyn/A 21765-2025 tillsynsbegäran.docx", "A 21765-2025")</f>
        <v/>
      </c>
      <c r="Y228">
        <f>HYPERLINK("https://klasma.github.io/Logging_2281/tillsynsmail/A 21765-2025 tillsynsbegäran mail.docx", "A 21765-2025")</f>
        <v/>
      </c>
      <c r="Z228">
        <f>HYPERLINK("https://klasma.github.io/Logging_2281/fåglar/A 21765-2025 prioriterade fågelarter.docx", "A 21765-2025")</f>
        <v/>
      </c>
    </row>
    <row r="229" ht="15" customHeight="1">
      <c r="A229" t="inlineStr">
        <is>
          <t>A 4265-2026</t>
        </is>
      </c>
      <c r="B229" s="1" t="n">
        <v>46045.34465277778</v>
      </c>
      <c r="C229" s="1" t="n">
        <v>46181</v>
      </c>
      <c r="D229" t="inlineStr">
        <is>
          <t>VÄSTERNORRLANDS LÄN</t>
        </is>
      </c>
      <c r="E229" t="inlineStr">
        <is>
          <t>SUNDSVALL</t>
        </is>
      </c>
      <c r="G229" t="n">
        <v>5.5</v>
      </c>
      <c r="H229" t="n">
        <v>1</v>
      </c>
      <c r="I229" t="n">
        <v>1</v>
      </c>
      <c r="J229" t="n">
        <v>0</v>
      </c>
      <c r="K229" t="n">
        <v>0</v>
      </c>
      <c r="L229" t="n">
        <v>0</v>
      </c>
      <c r="M229" t="n">
        <v>0</v>
      </c>
      <c r="N229" t="n">
        <v>0</v>
      </c>
      <c r="O229" t="n">
        <v>0</v>
      </c>
      <c r="P229" t="n">
        <v>0</v>
      </c>
      <c r="Q229" t="n">
        <v>1</v>
      </c>
      <c r="R229" s="2" t="inlineStr">
        <is>
          <t>Korallrot</t>
        </is>
      </c>
      <c r="S229">
        <f>HYPERLINK("https://klasma.github.io/Logging_2281/artfynd/A 4265-2026 artfynd.xlsx", "A 4265-2026")</f>
        <v/>
      </c>
      <c r="T229">
        <f>HYPERLINK("https://klasma.github.io/Logging_2281/kartor/A 4265-2026 karta.png", "A 4265-2026")</f>
        <v/>
      </c>
      <c r="V229">
        <f>HYPERLINK("https://klasma.github.io/Logging_2281/klagomål/A 4265-2026 FSC-klagomål.docx", "A 4265-2026")</f>
        <v/>
      </c>
      <c r="W229">
        <f>HYPERLINK("https://klasma.github.io/Logging_2281/klagomålsmail/A 4265-2026 FSC-klagomål mail.docx", "A 4265-2026")</f>
        <v/>
      </c>
      <c r="X229">
        <f>HYPERLINK("https://klasma.github.io/Logging_2281/tillsyn/A 4265-2026 tillsynsbegäran.docx", "A 4265-2026")</f>
        <v/>
      </c>
      <c r="Y229">
        <f>HYPERLINK("https://klasma.github.io/Logging_2281/tillsynsmail/A 4265-2026 tillsynsbegäran mail.docx", "A 4265-2026")</f>
        <v/>
      </c>
    </row>
    <row r="230" ht="15" customHeight="1">
      <c r="A230" t="inlineStr">
        <is>
          <t>A 44276-2025</t>
        </is>
      </c>
      <c r="B230" s="1" t="n">
        <v>45916.34459490741</v>
      </c>
      <c r="C230" s="1" t="n">
        <v>46181</v>
      </c>
      <c r="D230" t="inlineStr">
        <is>
          <t>VÄSTERNORRLANDS LÄN</t>
        </is>
      </c>
      <c r="E230" t="inlineStr">
        <is>
          <t>SUNDSVALL</t>
        </is>
      </c>
      <c r="F230" t="inlineStr">
        <is>
          <t>Naturvårdsverket</t>
        </is>
      </c>
      <c r="G230" t="n">
        <v>4.1</v>
      </c>
      <c r="H230" t="n">
        <v>0</v>
      </c>
      <c r="I230" t="n">
        <v>0</v>
      </c>
      <c r="J230" t="n">
        <v>1</v>
      </c>
      <c r="K230" t="n">
        <v>0</v>
      </c>
      <c r="L230" t="n">
        <v>0</v>
      </c>
      <c r="M230" t="n">
        <v>0</v>
      </c>
      <c r="N230" t="n">
        <v>0</v>
      </c>
      <c r="O230" t="n">
        <v>1</v>
      </c>
      <c r="P230" t="n">
        <v>0</v>
      </c>
      <c r="Q230" t="n">
        <v>1</v>
      </c>
      <c r="R230" s="2" t="inlineStr">
        <is>
          <t>Garnlav</t>
        </is>
      </c>
      <c r="S230">
        <f>HYPERLINK("https://klasma.github.io/Logging_2281/artfynd/A 44276-2025 artfynd.xlsx", "A 44276-2025")</f>
        <v/>
      </c>
      <c r="T230">
        <f>HYPERLINK("https://klasma.github.io/Logging_2281/kartor/A 44276-2025 karta.png", "A 44276-2025")</f>
        <v/>
      </c>
      <c r="V230">
        <f>HYPERLINK("https://klasma.github.io/Logging_2281/klagomål/A 44276-2025 FSC-klagomål.docx", "A 44276-2025")</f>
        <v/>
      </c>
      <c r="W230">
        <f>HYPERLINK("https://klasma.github.io/Logging_2281/klagomålsmail/A 44276-2025 FSC-klagomål mail.docx", "A 44276-2025")</f>
        <v/>
      </c>
      <c r="X230">
        <f>HYPERLINK("https://klasma.github.io/Logging_2281/tillsyn/A 44276-2025 tillsynsbegäran.docx", "A 44276-2025")</f>
        <v/>
      </c>
      <c r="Y230">
        <f>HYPERLINK("https://klasma.github.io/Logging_2281/tillsynsmail/A 44276-2025 tillsynsbegäran mail.docx", "A 44276-2025")</f>
        <v/>
      </c>
    </row>
    <row r="231" ht="15" customHeight="1">
      <c r="A231" t="inlineStr">
        <is>
          <t>A 46253-2025</t>
        </is>
      </c>
      <c r="B231" s="1" t="n">
        <v>45925</v>
      </c>
      <c r="C231" s="1" t="n">
        <v>46181</v>
      </c>
      <c r="D231" t="inlineStr">
        <is>
          <t>VÄSTERNORRLANDS LÄN</t>
        </is>
      </c>
      <c r="E231" t="inlineStr">
        <is>
          <t>SUNDSVALL</t>
        </is>
      </c>
      <c r="F231" t="inlineStr">
        <is>
          <t>Naturvårdsverket</t>
        </is>
      </c>
      <c r="G231" t="n">
        <v>19.4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46253-2025 artfynd.xlsx", "A 46253-2025")</f>
        <v/>
      </c>
      <c r="T231">
        <f>HYPERLINK("https://klasma.github.io/Logging_2281/kartor/A 46253-2025 karta.png", "A 46253-2025")</f>
        <v/>
      </c>
      <c r="V231">
        <f>HYPERLINK("https://klasma.github.io/Logging_2281/klagomål/A 46253-2025 FSC-klagomål.docx", "A 46253-2025")</f>
        <v/>
      </c>
      <c r="W231">
        <f>HYPERLINK("https://klasma.github.io/Logging_2281/klagomålsmail/A 46253-2025 FSC-klagomål mail.docx", "A 46253-2025")</f>
        <v/>
      </c>
      <c r="X231">
        <f>HYPERLINK("https://klasma.github.io/Logging_2281/tillsyn/A 46253-2025 tillsynsbegäran.docx", "A 46253-2025")</f>
        <v/>
      </c>
      <c r="Y231">
        <f>HYPERLINK("https://klasma.github.io/Logging_2281/tillsynsmail/A 46253-2025 tillsynsbegäran mail.docx", "A 46253-2025")</f>
        <v/>
      </c>
      <c r="Z231">
        <f>HYPERLINK("https://klasma.github.io/Logging_2281/fåglar/A 46253-2025 prioriterade fågelarter.docx", "A 46253-2025")</f>
        <v/>
      </c>
    </row>
    <row r="232" ht="15" customHeight="1">
      <c r="A232" t="inlineStr">
        <is>
          <t>A 50396-2024</t>
        </is>
      </c>
      <c r="B232" s="1" t="n">
        <v>45601</v>
      </c>
      <c r="C232" s="1" t="n">
        <v>46181</v>
      </c>
      <c r="D232" t="inlineStr">
        <is>
          <t>VÄSTERNORRLANDS LÄN</t>
        </is>
      </c>
      <c r="E232" t="inlineStr">
        <is>
          <t>SUNDSVALL</t>
        </is>
      </c>
      <c r="F232" t="inlineStr">
        <is>
          <t>SCA</t>
        </is>
      </c>
      <c r="G232" t="n">
        <v>8</v>
      </c>
      <c r="H232" t="n">
        <v>1</v>
      </c>
      <c r="I232" t="n">
        <v>0</v>
      </c>
      <c r="J232" t="n">
        <v>1</v>
      </c>
      <c r="K232" t="n">
        <v>0</v>
      </c>
      <c r="L232" t="n">
        <v>0</v>
      </c>
      <c r="M232" t="n">
        <v>0</v>
      </c>
      <c r="N232" t="n">
        <v>0</v>
      </c>
      <c r="O232" t="n">
        <v>1</v>
      </c>
      <c r="P232" t="n">
        <v>0</v>
      </c>
      <c r="Q232" t="n">
        <v>1</v>
      </c>
      <c r="R232" s="2" t="inlineStr">
        <is>
          <t>Järpe</t>
        </is>
      </c>
      <c r="S232">
        <f>HYPERLINK("https://klasma.github.io/Logging_2281/artfynd/A 50396-2024 artfynd.xlsx", "A 50396-2024")</f>
        <v/>
      </c>
      <c r="T232">
        <f>HYPERLINK("https://klasma.github.io/Logging_2281/kartor/A 50396-2024 karta.png", "A 50396-2024")</f>
        <v/>
      </c>
      <c r="V232">
        <f>HYPERLINK("https://klasma.github.io/Logging_2281/klagomål/A 50396-2024 FSC-klagomål.docx", "A 50396-2024")</f>
        <v/>
      </c>
      <c r="W232">
        <f>HYPERLINK("https://klasma.github.io/Logging_2281/klagomålsmail/A 50396-2024 FSC-klagomål mail.docx", "A 50396-2024")</f>
        <v/>
      </c>
      <c r="X232">
        <f>HYPERLINK("https://klasma.github.io/Logging_2281/tillsyn/A 50396-2024 tillsynsbegäran.docx", "A 50396-2024")</f>
        <v/>
      </c>
      <c r="Y232">
        <f>HYPERLINK("https://klasma.github.io/Logging_2281/tillsynsmail/A 50396-2024 tillsynsbegäran mail.docx", "A 50396-2024")</f>
        <v/>
      </c>
      <c r="Z232">
        <f>HYPERLINK("https://klasma.github.io/Logging_2281/fåglar/A 50396-2024 prioriterade fågelarter.docx", "A 50396-2024")</f>
        <v/>
      </c>
    </row>
    <row r="233" ht="15" customHeight="1">
      <c r="A233" t="inlineStr">
        <is>
          <t>A 23711-2022</t>
        </is>
      </c>
      <c r="B233" s="1" t="n">
        <v>44722</v>
      </c>
      <c r="C233" s="1" t="n">
        <v>46181</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52515-2024</t>
        </is>
      </c>
      <c r="B234" s="1" t="n">
        <v>45609</v>
      </c>
      <c r="C234" s="1" t="n">
        <v>46181</v>
      </c>
      <c r="D234" t="inlineStr">
        <is>
          <t>VÄSTERNORRLANDS LÄN</t>
        </is>
      </c>
      <c r="E234" t="inlineStr">
        <is>
          <t>SUNDSVALL</t>
        </is>
      </c>
      <c r="G234" t="n">
        <v>2.4</v>
      </c>
      <c r="H234" t="n">
        <v>0</v>
      </c>
      <c r="I234" t="n">
        <v>1</v>
      </c>
      <c r="J234" t="n">
        <v>0</v>
      </c>
      <c r="K234" t="n">
        <v>0</v>
      </c>
      <c r="L234" t="n">
        <v>0</v>
      </c>
      <c r="M234" t="n">
        <v>0</v>
      </c>
      <c r="N234" t="n">
        <v>0</v>
      </c>
      <c r="O234" t="n">
        <v>0</v>
      </c>
      <c r="P234" t="n">
        <v>0</v>
      </c>
      <c r="Q234" t="n">
        <v>1</v>
      </c>
      <c r="R234" s="2" t="inlineStr">
        <is>
          <t>Tibast</t>
        </is>
      </c>
      <c r="S234">
        <f>HYPERLINK("https://klasma.github.io/Logging_2281/artfynd/A 52515-2024 artfynd.xlsx", "A 52515-2024")</f>
        <v/>
      </c>
      <c r="T234">
        <f>HYPERLINK("https://klasma.github.io/Logging_2281/kartor/A 52515-2024 karta.png", "A 52515-2024")</f>
        <v/>
      </c>
      <c r="V234">
        <f>HYPERLINK("https://klasma.github.io/Logging_2281/klagomål/A 52515-2024 FSC-klagomål.docx", "A 52515-2024")</f>
        <v/>
      </c>
      <c r="W234">
        <f>HYPERLINK("https://klasma.github.io/Logging_2281/klagomålsmail/A 52515-2024 FSC-klagomål mail.docx", "A 52515-2024")</f>
        <v/>
      </c>
      <c r="X234">
        <f>HYPERLINK("https://klasma.github.io/Logging_2281/tillsyn/A 52515-2024 tillsynsbegäran.docx", "A 52515-2024")</f>
        <v/>
      </c>
      <c r="Y234">
        <f>HYPERLINK("https://klasma.github.io/Logging_2281/tillsynsmail/A 52515-2024 tillsynsbegäran mail.docx", "A 52515-2024")</f>
        <v/>
      </c>
    </row>
    <row r="235" ht="15" customHeight="1">
      <c r="A235" t="inlineStr">
        <is>
          <t>A 41118-2025</t>
        </is>
      </c>
      <c r="B235" s="1" t="n">
        <v>45898</v>
      </c>
      <c r="C235" s="1" t="n">
        <v>46181</v>
      </c>
      <c r="D235" t="inlineStr">
        <is>
          <t>VÄSTERNORRLANDS LÄN</t>
        </is>
      </c>
      <c r="E235" t="inlineStr">
        <is>
          <t>SUNDSVALL</t>
        </is>
      </c>
      <c r="G235" t="n">
        <v>3.4</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41118-2025 artfynd.xlsx", "A 41118-2025")</f>
        <v/>
      </c>
      <c r="T235">
        <f>HYPERLINK("https://klasma.github.io/Logging_2281/kartor/A 41118-2025 karta.png", "A 41118-2025")</f>
        <v/>
      </c>
      <c r="V235">
        <f>HYPERLINK("https://klasma.github.io/Logging_2281/klagomål/A 41118-2025 FSC-klagomål.docx", "A 41118-2025")</f>
        <v/>
      </c>
      <c r="W235">
        <f>HYPERLINK("https://klasma.github.io/Logging_2281/klagomålsmail/A 41118-2025 FSC-klagomål mail.docx", "A 41118-2025")</f>
        <v/>
      </c>
      <c r="X235">
        <f>HYPERLINK("https://klasma.github.io/Logging_2281/tillsyn/A 41118-2025 tillsynsbegäran.docx", "A 41118-2025")</f>
        <v/>
      </c>
      <c r="Y235">
        <f>HYPERLINK("https://klasma.github.io/Logging_2281/tillsynsmail/A 41118-2025 tillsynsbegäran mail.docx", "A 41118-2025")</f>
        <v/>
      </c>
      <c r="Z235">
        <f>HYPERLINK("https://klasma.github.io/Logging_2281/fåglar/A 41118-2025 prioriterade fågelarter.docx", "A 41118-2025")</f>
        <v/>
      </c>
    </row>
    <row r="236" ht="15" customHeight="1">
      <c r="A236" t="inlineStr">
        <is>
          <t>A 24431-2025</t>
        </is>
      </c>
      <c r="B236" s="1" t="n">
        <v>45797</v>
      </c>
      <c r="C236" s="1" t="n">
        <v>46181</v>
      </c>
      <c r="D236" t="inlineStr">
        <is>
          <t>VÄSTERNORRLANDS LÄN</t>
        </is>
      </c>
      <c r="E236" t="inlineStr">
        <is>
          <t>SUNDSVALL</t>
        </is>
      </c>
      <c r="F236" t="inlineStr">
        <is>
          <t>SCA</t>
        </is>
      </c>
      <c r="G236" t="n">
        <v>2.3</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24431-2025 artfynd.xlsx", "A 24431-2025")</f>
        <v/>
      </c>
      <c r="T236">
        <f>HYPERLINK("https://klasma.github.io/Logging_2281/kartor/A 24431-2025 karta.png", "A 24431-2025")</f>
        <v/>
      </c>
      <c r="V236">
        <f>HYPERLINK("https://klasma.github.io/Logging_2281/klagomål/A 24431-2025 FSC-klagomål.docx", "A 24431-2025")</f>
        <v/>
      </c>
      <c r="W236">
        <f>HYPERLINK("https://klasma.github.io/Logging_2281/klagomålsmail/A 24431-2025 FSC-klagomål mail.docx", "A 24431-2025")</f>
        <v/>
      </c>
      <c r="X236">
        <f>HYPERLINK("https://klasma.github.io/Logging_2281/tillsyn/A 24431-2025 tillsynsbegäran.docx", "A 24431-2025")</f>
        <v/>
      </c>
      <c r="Y236">
        <f>HYPERLINK("https://klasma.github.io/Logging_2281/tillsynsmail/A 24431-2025 tillsynsbegäran mail.docx", "A 24431-2025")</f>
        <v/>
      </c>
      <c r="Z236">
        <f>HYPERLINK("https://klasma.github.io/Logging_2281/fåglar/A 24431-2025 prioriterade fågelarter.docx", "A 24431-2025")</f>
        <v/>
      </c>
    </row>
    <row r="237" ht="15" customHeight="1">
      <c r="A237" t="inlineStr">
        <is>
          <t>A 51434-2024</t>
        </is>
      </c>
      <c r="B237" s="1" t="n">
        <v>45604.47024305556</v>
      </c>
      <c r="C237" s="1" t="n">
        <v>46181</v>
      </c>
      <c r="D237" t="inlineStr">
        <is>
          <t>VÄSTERNORRLANDS LÄN</t>
        </is>
      </c>
      <c r="E237" t="inlineStr">
        <is>
          <t>SUNDSVALL</t>
        </is>
      </c>
      <c r="G237" t="n">
        <v>5.4</v>
      </c>
      <c r="H237" t="n">
        <v>1</v>
      </c>
      <c r="I237" t="n">
        <v>0</v>
      </c>
      <c r="J237" t="n">
        <v>0</v>
      </c>
      <c r="K237" t="n">
        <v>0</v>
      </c>
      <c r="L237" t="n">
        <v>0</v>
      </c>
      <c r="M237" t="n">
        <v>0</v>
      </c>
      <c r="N237" t="n">
        <v>0</v>
      </c>
      <c r="O237" t="n">
        <v>0</v>
      </c>
      <c r="P237" t="n">
        <v>0</v>
      </c>
      <c r="Q237" t="n">
        <v>1</v>
      </c>
      <c r="R237" s="2" t="inlineStr">
        <is>
          <t>Fläcknycklar</t>
        </is>
      </c>
      <c r="S237">
        <f>HYPERLINK("https://klasma.github.io/Logging_2281/artfynd/A 51434-2024 artfynd.xlsx", "A 51434-2024")</f>
        <v/>
      </c>
      <c r="T237">
        <f>HYPERLINK("https://klasma.github.io/Logging_2281/kartor/A 51434-2024 karta.png", "A 51434-2024")</f>
        <v/>
      </c>
      <c r="V237">
        <f>HYPERLINK("https://klasma.github.io/Logging_2281/klagomål/A 51434-2024 FSC-klagomål.docx", "A 51434-2024")</f>
        <v/>
      </c>
      <c r="W237">
        <f>HYPERLINK("https://klasma.github.io/Logging_2281/klagomålsmail/A 51434-2024 FSC-klagomål mail.docx", "A 51434-2024")</f>
        <v/>
      </c>
      <c r="X237">
        <f>HYPERLINK("https://klasma.github.io/Logging_2281/tillsyn/A 51434-2024 tillsynsbegäran.docx", "A 51434-2024")</f>
        <v/>
      </c>
      <c r="Y237">
        <f>HYPERLINK("https://klasma.github.io/Logging_2281/tillsynsmail/A 51434-2024 tillsynsbegäran mail.docx", "A 51434-2024")</f>
        <v/>
      </c>
    </row>
    <row r="238" ht="15" customHeight="1">
      <c r="A238" t="inlineStr">
        <is>
          <t>A 49626-2025</t>
        </is>
      </c>
      <c r="B238" s="1" t="n">
        <v>45939.59484953704</v>
      </c>
      <c r="C238" s="1" t="n">
        <v>46181</v>
      </c>
      <c r="D238" t="inlineStr">
        <is>
          <t>VÄSTERNORRLANDS LÄN</t>
        </is>
      </c>
      <c r="E238" t="inlineStr">
        <is>
          <t>SUNDSVALL</t>
        </is>
      </c>
      <c r="G238" t="n">
        <v>4</v>
      </c>
      <c r="H238" t="n">
        <v>0</v>
      </c>
      <c r="I238" t="n">
        <v>0</v>
      </c>
      <c r="J238" t="n">
        <v>1</v>
      </c>
      <c r="K238" t="n">
        <v>0</v>
      </c>
      <c r="L238" t="n">
        <v>0</v>
      </c>
      <c r="M238" t="n">
        <v>0</v>
      </c>
      <c r="N238" t="n">
        <v>0</v>
      </c>
      <c r="O238" t="n">
        <v>1</v>
      </c>
      <c r="P238" t="n">
        <v>0</v>
      </c>
      <c r="Q238" t="n">
        <v>1</v>
      </c>
      <c r="R238" s="2" t="inlineStr">
        <is>
          <t>Garnlav</t>
        </is>
      </c>
      <c r="S238">
        <f>HYPERLINK("https://klasma.github.io/Logging_2281/artfynd/A 49626-2025 artfynd.xlsx", "A 49626-2025")</f>
        <v/>
      </c>
      <c r="T238">
        <f>HYPERLINK("https://klasma.github.io/Logging_2281/kartor/A 49626-2025 karta.png", "A 49626-2025")</f>
        <v/>
      </c>
      <c r="V238">
        <f>HYPERLINK("https://klasma.github.io/Logging_2281/klagomål/A 49626-2025 FSC-klagomål.docx", "A 49626-2025")</f>
        <v/>
      </c>
      <c r="W238">
        <f>HYPERLINK("https://klasma.github.io/Logging_2281/klagomålsmail/A 49626-2025 FSC-klagomål mail.docx", "A 49626-2025")</f>
        <v/>
      </c>
      <c r="X238">
        <f>HYPERLINK("https://klasma.github.io/Logging_2281/tillsyn/A 49626-2025 tillsynsbegäran.docx", "A 49626-2025")</f>
        <v/>
      </c>
      <c r="Y238">
        <f>HYPERLINK("https://klasma.github.io/Logging_2281/tillsynsmail/A 49626-2025 tillsynsbegäran mail.docx", "A 49626-2025")</f>
        <v/>
      </c>
    </row>
    <row r="239" ht="15" customHeight="1">
      <c r="A239" t="inlineStr">
        <is>
          <t>A 49554-2025</t>
        </is>
      </c>
      <c r="B239" s="1" t="n">
        <v>45939.44833333333</v>
      </c>
      <c r="C239" s="1" t="n">
        <v>46181</v>
      </c>
      <c r="D239" t="inlineStr">
        <is>
          <t>VÄSTERNORRLANDS LÄN</t>
        </is>
      </c>
      <c r="E239" t="inlineStr">
        <is>
          <t>SUNDSVALL</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HYPERLINK("https://klasma.github.io/Logging_2281/artfynd/A 49554-2025 artfynd.xlsx", "A 49554-2025")</f>
        <v/>
      </c>
      <c r="T239">
        <f>HYPERLINK("https://klasma.github.io/Logging_2281/kartor/A 49554-2025 karta.png", "A 49554-2025")</f>
        <v/>
      </c>
      <c r="V239">
        <f>HYPERLINK("https://klasma.github.io/Logging_2281/klagomål/A 49554-2025 FSC-klagomål.docx", "A 49554-2025")</f>
        <v/>
      </c>
      <c r="W239">
        <f>HYPERLINK("https://klasma.github.io/Logging_2281/klagomålsmail/A 49554-2025 FSC-klagomål mail.docx", "A 49554-2025")</f>
        <v/>
      </c>
      <c r="X239">
        <f>HYPERLINK("https://klasma.github.io/Logging_2281/tillsyn/A 49554-2025 tillsynsbegäran.docx", "A 49554-2025")</f>
        <v/>
      </c>
      <c r="Y239">
        <f>HYPERLINK("https://klasma.github.io/Logging_2281/tillsynsmail/A 49554-2025 tillsynsbegäran mail.docx", "A 49554-2025")</f>
        <v/>
      </c>
    </row>
    <row r="240" ht="15" customHeight="1">
      <c r="A240" t="inlineStr">
        <is>
          <t>A 8176-2026</t>
        </is>
      </c>
      <c r="B240" s="1" t="n">
        <v>46064.40684027778</v>
      </c>
      <c r="C240" s="1" t="n">
        <v>46181</v>
      </c>
      <c r="D240" t="inlineStr">
        <is>
          <t>VÄSTERNORRLANDS LÄN</t>
        </is>
      </c>
      <c r="E240" t="inlineStr">
        <is>
          <t>SUNDSVALL</t>
        </is>
      </c>
      <c r="F240" t="inlineStr">
        <is>
          <t>SCA</t>
        </is>
      </c>
      <c r="G240" t="n">
        <v>31.5</v>
      </c>
      <c r="H240" t="n">
        <v>0</v>
      </c>
      <c r="I240" t="n">
        <v>0</v>
      </c>
      <c r="J240" t="n">
        <v>1</v>
      </c>
      <c r="K240" t="n">
        <v>0</v>
      </c>
      <c r="L240" t="n">
        <v>0</v>
      </c>
      <c r="M240" t="n">
        <v>0</v>
      </c>
      <c r="N240" t="n">
        <v>0</v>
      </c>
      <c r="O240" t="n">
        <v>1</v>
      </c>
      <c r="P240" t="n">
        <v>0</v>
      </c>
      <c r="Q240" t="n">
        <v>1</v>
      </c>
      <c r="R240" s="2" t="inlineStr">
        <is>
          <t>Brunklöver</t>
        </is>
      </c>
      <c r="S240">
        <f>HYPERLINK("https://klasma.github.io/Logging_2281/artfynd/A 8176-2026 artfynd.xlsx", "A 8176-2026")</f>
        <v/>
      </c>
      <c r="T240">
        <f>HYPERLINK("https://klasma.github.io/Logging_2281/kartor/A 8176-2026 karta.png", "A 8176-2026")</f>
        <v/>
      </c>
      <c r="V240">
        <f>HYPERLINK("https://klasma.github.io/Logging_2281/klagomål/A 8176-2026 FSC-klagomål.docx", "A 8176-2026")</f>
        <v/>
      </c>
      <c r="W240">
        <f>HYPERLINK("https://klasma.github.io/Logging_2281/klagomålsmail/A 8176-2026 FSC-klagomål mail.docx", "A 8176-2026")</f>
        <v/>
      </c>
      <c r="X240">
        <f>HYPERLINK("https://klasma.github.io/Logging_2281/tillsyn/A 8176-2026 tillsynsbegäran.docx", "A 8176-2026")</f>
        <v/>
      </c>
      <c r="Y240">
        <f>HYPERLINK("https://klasma.github.io/Logging_2281/tillsynsmail/A 8176-2026 tillsynsbegäran mail.docx", "A 8176-2026")</f>
        <v/>
      </c>
    </row>
    <row r="241" ht="15" customHeight="1">
      <c r="A241" t="inlineStr">
        <is>
          <t>A 12058-2023</t>
        </is>
      </c>
      <c r="B241" s="1" t="n">
        <v>44995</v>
      </c>
      <c r="C241" s="1" t="n">
        <v>46181</v>
      </c>
      <c r="D241" t="inlineStr">
        <is>
          <t>VÄSTERNORRLANDS LÄN</t>
        </is>
      </c>
      <c r="E241" t="inlineStr">
        <is>
          <t>SUNDSVALL</t>
        </is>
      </c>
      <c r="F241" t="inlineStr">
        <is>
          <t>SCA</t>
        </is>
      </c>
      <c r="G241" t="n">
        <v>4</v>
      </c>
      <c r="H241" t="n">
        <v>1</v>
      </c>
      <c r="I241" t="n">
        <v>0</v>
      </c>
      <c r="J241" t="n">
        <v>1</v>
      </c>
      <c r="K241" t="n">
        <v>0</v>
      </c>
      <c r="L241" t="n">
        <v>0</v>
      </c>
      <c r="M241" t="n">
        <v>0</v>
      </c>
      <c r="N241" t="n">
        <v>0</v>
      </c>
      <c r="O241" t="n">
        <v>1</v>
      </c>
      <c r="P241" t="n">
        <v>0</v>
      </c>
      <c r="Q241" t="n">
        <v>1</v>
      </c>
      <c r="R241" s="2" t="inlineStr">
        <is>
          <t>Fiskmås</t>
        </is>
      </c>
      <c r="S241">
        <f>HYPERLINK("https://klasma.github.io/Logging_2281/artfynd/A 12058-2023 artfynd.xlsx", "A 12058-2023")</f>
        <v/>
      </c>
      <c r="T241">
        <f>HYPERLINK("https://klasma.github.io/Logging_2281/kartor/A 12058-2023 karta.png", "A 12058-2023")</f>
        <v/>
      </c>
      <c r="V241">
        <f>HYPERLINK("https://klasma.github.io/Logging_2281/klagomål/A 12058-2023 FSC-klagomål.docx", "A 12058-2023")</f>
        <v/>
      </c>
      <c r="W241">
        <f>HYPERLINK("https://klasma.github.io/Logging_2281/klagomålsmail/A 12058-2023 FSC-klagomål mail.docx", "A 12058-2023")</f>
        <v/>
      </c>
      <c r="X241">
        <f>HYPERLINK("https://klasma.github.io/Logging_2281/tillsyn/A 12058-2023 tillsynsbegäran.docx", "A 12058-2023")</f>
        <v/>
      </c>
      <c r="Y241">
        <f>HYPERLINK("https://klasma.github.io/Logging_2281/tillsynsmail/A 12058-2023 tillsynsbegäran mail.docx", "A 12058-2023")</f>
        <v/>
      </c>
    </row>
    <row r="242" ht="15" customHeight="1">
      <c r="A242" t="inlineStr">
        <is>
          <t>A 50213-2025</t>
        </is>
      </c>
      <c r="B242" s="1" t="n">
        <v>45943.67806712963</v>
      </c>
      <c r="C242" s="1" t="n">
        <v>46181</v>
      </c>
      <c r="D242" t="inlineStr">
        <is>
          <t>VÄSTERNORRLANDS LÄN</t>
        </is>
      </c>
      <c r="E242" t="inlineStr">
        <is>
          <t>SUNDSVALL</t>
        </is>
      </c>
      <c r="F242" t="inlineStr">
        <is>
          <t>SCA</t>
        </is>
      </c>
      <c r="G242" t="n">
        <v>4</v>
      </c>
      <c r="H242" t="n">
        <v>1</v>
      </c>
      <c r="I242" t="n">
        <v>0</v>
      </c>
      <c r="J242" t="n">
        <v>0</v>
      </c>
      <c r="K242" t="n">
        <v>0</v>
      </c>
      <c r="L242" t="n">
        <v>0</v>
      </c>
      <c r="M242" t="n">
        <v>0</v>
      </c>
      <c r="N242" t="n">
        <v>0</v>
      </c>
      <c r="O242" t="n">
        <v>0</v>
      </c>
      <c r="P242" t="n">
        <v>0</v>
      </c>
      <c r="Q242" t="n">
        <v>1</v>
      </c>
      <c r="R242" s="2" t="inlineStr">
        <is>
          <t>Nattviol</t>
        </is>
      </c>
      <c r="S242">
        <f>HYPERLINK("https://klasma.github.io/Logging_2281/artfynd/A 50213-2025 artfynd.xlsx", "A 50213-2025")</f>
        <v/>
      </c>
      <c r="T242">
        <f>HYPERLINK("https://klasma.github.io/Logging_2281/kartor/A 50213-2025 karta.png", "A 50213-2025")</f>
        <v/>
      </c>
      <c r="V242">
        <f>HYPERLINK("https://klasma.github.io/Logging_2281/klagomål/A 50213-2025 FSC-klagomål.docx", "A 50213-2025")</f>
        <v/>
      </c>
      <c r="W242">
        <f>HYPERLINK("https://klasma.github.io/Logging_2281/klagomålsmail/A 50213-2025 FSC-klagomål mail.docx", "A 50213-2025")</f>
        <v/>
      </c>
      <c r="X242">
        <f>HYPERLINK("https://klasma.github.io/Logging_2281/tillsyn/A 50213-2025 tillsynsbegäran.docx", "A 50213-2025")</f>
        <v/>
      </c>
      <c r="Y242">
        <f>HYPERLINK("https://klasma.github.io/Logging_2281/tillsynsmail/A 50213-2025 tillsynsbegäran mail.docx", "A 50213-2025")</f>
        <v/>
      </c>
    </row>
    <row r="243" ht="15" customHeight="1">
      <c r="A243" t="inlineStr">
        <is>
          <t>A 37564-2025</t>
        </is>
      </c>
      <c r="B243" s="1" t="n">
        <v>45880</v>
      </c>
      <c r="C243" s="1" t="n">
        <v>46181</v>
      </c>
      <c r="D243" t="inlineStr">
        <is>
          <t>VÄSTERNORRLANDS LÄN</t>
        </is>
      </c>
      <c r="E243" t="inlineStr">
        <is>
          <t>SUNDSVALL</t>
        </is>
      </c>
      <c r="G243" t="n">
        <v>4</v>
      </c>
      <c r="H243" t="n">
        <v>1</v>
      </c>
      <c r="I243" t="n">
        <v>1</v>
      </c>
      <c r="J243" t="n">
        <v>0</v>
      </c>
      <c r="K243" t="n">
        <v>0</v>
      </c>
      <c r="L243" t="n">
        <v>0</v>
      </c>
      <c r="M243" t="n">
        <v>0</v>
      </c>
      <c r="N243" t="n">
        <v>0</v>
      </c>
      <c r="O243" t="n">
        <v>0</v>
      </c>
      <c r="P243" t="n">
        <v>0</v>
      </c>
      <c r="Q243" t="n">
        <v>1</v>
      </c>
      <c r="R243" s="2" t="inlineStr">
        <is>
          <t>Korallrot</t>
        </is>
      </c>
      <c r="S243">
        <f>HYPERLINK("https://klasma.github.io/Logging_2281/artfynd/A 37564-2025 artfynd.xlsx", "A 37564-2025")</f>
        <v/>
      </c>
      <c r="T243">
        <f>HYPERLINK("https://klasma.github.io/Logging_2281/kartor/A 37564-2025 karta.png", "A 37564-2025")</f>
        <v/>
      </c>
      <c r="V243">
        <f>HYPERLINK("https://klasma.github.io/Logging_2281/klagomål/A 37564-2025 FSC-klagomål.docx", "A 37564-2025")</f>
        <v/>
      </c>
      <c r="W243">
        <f>HYPERLINK("https://klasma.github.io/Logging_2281/klagomålsmail/A 37564-2025 FSC-klagomål mail.docx", "A 37564-2025")</f>
        <v/>
      </c>
      <c r="X243">
        <f>HYPERLINK("https://klasma.github.io/Logging_2281/tillsyn/A 37564-2025 tillsynsbegäran.docx", "A 37564-2025")</f>
        <v/>
      </c>
      <c r="Y243">
        <f>HYPERLINK("https://klasma.github.io/Logging_2281/tillsynsmail/A 37564-2025 tillsynsbegäran mail.docx", "A 37564-2025")</f>
        <v/>
      </c>
    </row>
    <row r="244" ht="15" customHeight="1">
      <c r="A244" t="inlineStr">
        <is>
          <t>A 50987-2025</t>
        </is>
      </c>
      <c r="B244" s="1" t="n">
        <v>45947.34546296296</v>
      </c>
      <c r="C244" s="1" t="n">
        <v>46181</v>
      </c>
      <c r="D244" t="inlineStr">
        <is>
          <t>VÄSTERNORRLANDS LÄN</t>
        </is>
      </c>
      <c r="E244" t="inlineStr">
        <is>
          <t>SUNDSVALL</t>
        </is>
      </c>
      <c r="G244" t="n">
        <v>2.9</v>
      </c>
      <c r="H244" t="n">
        <v>0</v>
      </c>
      <c r="I244" t="n">
        <v>0</v>
      </c>
      <c r="J244" t="n">
        <v>1</v>
      </c>
      <c r="K244" t="n">
        <v>0</v>
      </c>
      <c r="L244" t="n">
        <v>0</v>
      </c>
      <c r="M244" t="n">
        <v>0</v>
      </c>
      <c r="N244" t="n">
        <v>0</v>
      </c>
      <c r="O244" t="n">
        <v>1</v>
      </c>
      <c r="P244" t="n">
        <v>0</v>
      </c>
      <c r="Q244" t="n">
        <v>1</v>
      </c>
      <c r="R244" s="2" t="inlineStr">
        <is>
          <t>Lunglav</t>
        </is>
      </c>
      <c r="S244">
        <f>HYPERLINK("https://klasma.github.io/Logging_2281/artfynd/A 50987-2025 artfynd.xlsx", "A 50987-2025")</f>
        <v/>
      </c>
      <c r="T244">
        <f>HYPERLINK("https://klasma.github.io/Logging_2281/kartor/A 50987-2025 karta.png", "A 50987-2025")</f>
        <v/>
      </c>
      <c r="V244">
        <f>HYPERLINK("https://klasma.github.io/Logging_2281/klagomål/A 50987-2025 FSC-klagomål.docx", "A 50987-2025")</f>
        <v/>
      </c>
      <c r="W244">
        <f>HYPERLINK("https://klasma.github.io/Logging_2281/klagomålsmail/A 50987-2025 FSC-klagomål mail.docx", "A 50987-2025")</f>
        <v/>
      </c>
      <c r="X244">
        <f>HYPERLINK("https://klasma.github.io/Logging_2281/tillsyn/A 50987-2025 tillsynsbegäran.docx", "A 50987-2025")</f>
        <v/>
      </c>
      <c r="Y244">
        <f>HYPERLINK("https://klasma.github.io/Logging_2281/tillsynsmail/A 50987-2025 tillsynsbegäran mail.docx", "A 50987-2025")</f>
        <v/>
      </c>
    </row>
    <row r="245" ht="15" customHeight="1">
      <c r="A245" t="inlineStr">
        <is>
          <t>A 38206-2025</t>
        </is>
      </c>
      <c r="B245" s="1" t="n">
        <v>45882.6987037037</v>
      </c>
      <c r="C245" s="1" t="n">
        <v>46181</v>
      </c>
      <c r="D245" t="inlineStr">
        <is>
          <t>VÄSTERNORRLANDS LÄN</t>
        </is>
      </c>
      <c r="E245" t="inlineStr">
        <is>
          <t>SUNDSVALL</t>
        </is>
      </c>
      <c r="F245" t="inlineStr">
        <is>
          <t>SCA</t>
        </is>
      </c>
      <c r="G245" t="n">
        <v>2.1</v>
      </c>
      <c r="H245" t="n">
        <v>0</v>
      </c>
      <c r="I245" t="n">
        <v>1</v>
      </c>
      <c r="J245" t="n">
        <v>0</v>
      </c>
      <c r="K245" t="n">
        <v>0</v>
      </c>
      <c r="L245" t="n">
        <v>0</v>
      </c>
      <c r="M245" t="n">
        <v>0</v>
      </c>
      <c r="N245" t="n">
        <v>0</v>
      </c>
      <c r="O245" t="n">
        <v>0</v>
      </c>
      <c r="P245" t="n">
        <v>0</v>
      </c>
      <c r="Q245" t="n">
        <v>1</v>
      </c>
      <c r="R245" s="2" t="inlineStr">
        <is>
          <t>Vedticka</t>
        </is>
      </c>
      <c r="S245">
        <f>HYPERLINK("https://klasma.github.io/Logging_2281/artfynd/A 38206-2025 artfynd.xlsx", "A 38206-2025")</f>
        <v/>
      </c>
      <c r="T245">
        <f>HYPERLINK("https://klasma.github.io/Logging_2281/kartor/A 38206-2025 karta.png", "A 38206-2025")</f>
        <v/>
      </c>
      <c r="V245">
        <f>HYPERLINK("https://klasma.github.io/Logging_2281/klagomål/A 38206-2025 FSC-klagomål.docx", "A 38206-2025")</f>
        <v/>
      </c>
      <c r="W245">
        <f>HYPERLINK("https://klasma.github.io/Logging_2281/klagomålsmail/A 38206-2025 FSC-klagomål mail.docx", "A 38206-2025")</f>
        <v/>
      </c>
      <c r="X245">
        <f>HYPERLINK("https://klasma.github.io/Logging_2281/tillsyn/A 38206-2025 tillsynsbegäran.docx", "A 38206-2025")</f>
        <v/>
      </c>
      <c r="Y245">
        <f>HYPERLINK("https://klasma.github.io/Logging_2281/tillsynsmail/A 38206-2025 tillsynsbegäran mail.docx", "A 38206-2025")</f>
        <v/>
      </c>
    </row>
    <row r="246" ht="15" customHeight="1">
      <c r="A246" t="inlineStr">
        <is>
          <t>A 51586-2025</t>
        </is>
      </c>
      <c r="B246" s="1" t="n">
        <v>45951.34594907407</v>
      </c>
      <c r="C246" s="1" t="n">
        <v>46181</v>
      </c>
      <c r="D246" t="inlineStr">
        <is>
          <t>VÄSTERNORRLANDS LÄN</t>
        </is>
      </c>
      <c r="E246" t="inlineStr">
        <is>
          <t>SUNDSVALL</t>
        </is>
      </c>
      <c r="G246" t="n">
        <v>2.1</v>
      </c>
      <c r="H246" t="n">
        <v>1</v>
      </c>
      <c r="I246" t="n">
        <v>0</v>
      </c>
      <c r="J246" t="n">
        <v>0</v>
      </c>
      <c r="K246" t="n">
        <v>0</v>
      </c>
      <c r="L246" t="n">
        <v>0</v>
      </c>
      <c r="M246" t="n">
        <v>0</v>
      </c>
      <c r="N246" t="n">
        <v>0</v>
      </c>
      <c r="O246" t="n">
        <v>0</v>
      </c>
      <c r="P246" t="n">
        <v>0</v>
      </c>
      <c r="Q246" t="n">
        <v>1</v>
      </c>
      <c r="R246" s="2" t="inlineStr">
        <is>
          <t>Nattviol</t>
        </is>
      </c>
      <c r="S246">
        <f>HYPERLINK("https://klasma.github.io/Logging_2281/artfynd/A 51586-2025 artfynd.xlsx", "A 51586-2025")</f>
        <v/>
      </c>
      <c r="T246">
        <f>HYPERLINK("https://klasma.github.io/Logging_2281/kartor/A 51586-2025 karta.png", "A 51586-2025")</f>
        <v/>
      </c>
      <c r="V246">
        <f>HYPERLINK("https://klasma.github.io/Logging_2281/klagomål/A 51586-2025 FSC-klagomål.docx", "A 51586-2025")</f>
        <v/>
      </c>
      <c r="W246">
        <f>HYPERLINK("https://klasma.github.io/Logging_2281/klagomålsmail/A 51586-2025 FSC-klagomål mail.docx", "A 51586-2025")</f>
        <v/>
      </c>
      <c r="X246">
        <f>HYPERLINK("https://klasma.github.io/Logging_2281/tillsyn/A 51586-2025 tillsynsbegäran.docx", "A 51586-2025")</f>
        <v/>
      </c>
      <c r="Y246">
        <f>HYPERLINK("https://klasma.github.io/Logging_2281/tillsynsmail/A 51586-2025 tillsynsbegäran mail.docx", "A 51586-2025")</f>
        <v/>
      </c>
    </row>
    <row r="247" ht="15" customHeight="1">
      <c r="A247" t="inlineStr">
        <is>
          <t>A 37232-2021</t>
        </is>
      </c>
      <c r="B247" s="1" t="n">
        <v>44396</v>
      </c>
      <c r="C247" s="1" t="n">
        <v>46181</v>
      </c>
      <c r="D247" t="inlineStr">
        <is>
          <t>VÄSTERNORRLANDS LÄN</t>
        </is>
      </c>
      <c r="E247" t="inlineStr">
        <is>
          <t>SUNDSVALL</t>
        </is>
      </c>
      <c r="F247" t="inlineStr">
        <is>
          <t>SCA</t>
        </is>
      </c>
      <c r="G247" t="n">
        <v>1.6</v>
      </c>
      <c r="H247" t="n">
        <v>0</v>
      </c>
      <c r="I247" t="n">
        <v>0</v>
      </c>
      <c r="J247" t="n">
        <v>1</v>
      </c>
      <c r="K247" t="n">
        <v>0</v>
      </c>
      <c r="L247" t="n">
        <v>0</v>
      </c>
      <c r="M247" t="n">
        <v>0</v>
      </c>
      <c r="N247" t="n">
        <v>0</v>
      </c>
      <c r="O247" t="n">
        <v>1</v>
      </c>
      <c r="P247" t="n">
        <v>0</v>
      </c>
      <c r="Q247" t="n">
        <v>1</v>
      </c>
      <c r="R247" s="2" t="inlineStr">
        <is>
          <t>Rosenticka</t>
        </is>
      </c>
      <c r="S247">
        <f>HYPERLINK("https://klasma.github.io/Logging_2281/artfynd/A 37232-2021 artfynd.xlsx", "A 37232-2021")</f>
        <v/>
      </c>
      <c r="T247">
        <f>HYPERLINK("https://klasma.github.io/Logging_2281/kartor/A 37232-2021 karta.png", "A 37232-2021")</f>
        <v/>
      </c>
      <c r="V247">
        <f>HYPERLINK("https://klasma.github.io/Logging_2281/klagomål/A 37232-2021 FSC-klagomål.docx", "A 37232-2021")</f>
        <v/>
      </c>
      <c r="W247">
        <f>HYPERLINK("https://klasma.github.io/Logging_2281/klagomålsmail/A 37232-2021 FSC-klagomål mail.docx", "A 37232-2021")</f>
        <v/>
      </c>
      <c r="X247">
        <f>HYPERLINK("https://klasma.github.io/Logging_2281/tillsyn/A 37232-2021 tillsynsbegäran.docx", "A 37232-2021")</f>
        <v/>
      </c>
      <c r="Y247">
        <f>HYPERLINK("https://klasma.github.io/Logging_2281/tillsynsmail/A 37232-2021 tillsynsbegäran mail.docx", "A 37232-2021")</f>
        <v/>
      </c>
    </row>
    <row r="248" ht="15" customHeight="1">
      <c r="A248" t="inlineStr">
        <is>
          <t>A 44193-2023</t>
        </is>
      </c>
      <c r="B248" s="1" t="n">
        <v>45188</v>
      </c>
      <c r="C248" s="1" t="n">
        <v>46181</v>
      </c>
      <c r="D248" t="inlineStr">
        <is>
          <t>VÄSTERNORRLANDS LÄN</t>
        </is>
      </c>
      <c r="E248" t="inlineStr">
        <is>
          <t>SUNDSVALL</t>
        </is>
      </c>
      <c r="F248" t="inlineStr">
        <is>
          <t>Holmen skog AB</t>
        </is>
      </c>
      <c r="G248" t="n">
        <v>15.1</v>
      </c>
      <c r="H248" t="n">
        <v>1</v>
      </c>
      <c r="I248" t="n">
        <v>0</v>
      </c>
      <c r="J248" t="n">
        <v>0</v>
      </c>
      <c r="K248" t="n">
        <v>0</v>
      </c>
      <c r="L248" t="n">
        <v>0</v>
      </c>
      <c r="M248" t="n">
        <v>0</v>
      </c>
      <c r="N248" t="n">
        <v>0</v>
      </c>
      <c r="O248" t="n">
        <v>0</v>
      </c>
      <c r="P248" t="n">
        <v>0</v>
      </c>
      <c r="Q248" t="n">
        <v>1</v>
      </c>
      <c r="R248" s="2" t="inlineStr">
        <is>
          <t>Tjäder</t>
        </is>
      </c>
      <c r="S248">
        <f>HYPERLINK("https://klasma.github.io/Logging_2281/artfynd/A 44193-2023 artfynd.xlsx", "A 44193-2023")</f>
        <v/>
      </c>
      <c r="T248">
        <f>HYPERLINK("https://klasma.github.io/Logging_2281/kartor/A 44193-2023 karta.png", "A 44193-2023")</f>
        <v/>
      </c>
      <c r="V248">
        <f>HYPERLINK("https://klasma.github.io/Logging_2281/klagomål/A 44193-2023 FSC-klagomål.docx", "A 44193-2023")</f>
        <v/>
      </c>
      <c r="W248">
        <f>HYPERLINK("https://klasma.github.io/Logging_2281/klagomålsmail/A 44193-2023 FSC-klagomål mail.docx", "A 44193-2023")</f>
        <v/>
      </c>
      <c r="X248">
        <f>HYPERLINK("https://klasma.github.io/Logging_2281/tillsyn/A 44193-2023 tillsynsbegäran.docx", "A 44193-2023")</f>
        <v/>
      </c>
      <c r="Y248">
        <f>HYPERLINK("https://klasma.github.io/Logging_2281/tillsynsmail/A 44193-2023 tillsynsbegäran mail.docx", "A 44193-2023")</f>
        <v/>
      </c>
      <c r="Z248">
        <f>HYPERLINK("https://klasma.github.io/Logging_2281/fåglar/A 44193-2023 prioriterade fågelarter.docx", "A 44193-2023")</f>
        <v/>
      </c>
    </row>
    <row r="249" ht="15" customHeight="1">
      <c r="A249" t="inlineStr">
        <is>
          <t>A 20078-2025</t>
        </is>
      </c>
      <c r="B249" s="1" t="n">
        <v>45772.44892361111</v>
      </c>
      <c r="C249" s="1" t="n">
        <v>46181</v>
      </c>
      <c r="D249" t="inlineStr">
        <is>
          <t>VÄSTERNORRLANDS LÄN</t>
        </is>
      </c>
      <c r="E249" t="inlineStr">
        <is>
          <t>SUNDSVALL</t>
        </is>
      </c>
      <c r="F249" t="inlineStr">
        <is>
          <t>Naturvårdsverket</t>
        </is>
      </c>
      <c r="G249" t="n">
        <v>6.9</v>
      </c>
      <c r="H249" t="n">
        <v>0</v>
      </c>
      <c r="I249" t="n">
        <v>0</v>
      </c>
      <c r="J249" t="n">
        <v>1</v>
      </c>
      <c r="K249" t="n">
        <v>0</v>
      </c>
      <c r="L249" t="n">
        <v>0</v>
      </c>
      <c r="M249" t="n">
        <v>0</v>
      </c>
      <c r="N249" t="n">
        <v>0</v>
      </c>
      <c r="O249" t="n">
        <v>1</v>
      </c>
      <c r="P249" t="n">
        <v>0</v>
      </c>
      <c r="Q249" t="n">
        <v>1</v>
      </c>
      <c r="R249" s="2" t="inlineStr">
        <is>
          <t>Lunglav</t>
        </is>
      </c>
      <c r="S249">
        <f>HYPERLINK("https://klasma.github.io/Logging_2281/artfynd/A 20078-2025 artfynd.xlsx", "A 20078-2025")</f>
        <v/>
      </c>
      <c r="T249">
        <f>HYPERLINK("https://klasma.github.io/Logging_2281/kartor/A 20078-2025 karta.png", "A 20078-2025")</f>
        <v/>
      </c>
      <c r="V249">
        <f>HYPERLINK("https://klasma.github.io/Logging_2281/klagomål/A 20078-2025 FSC-klagomål.docx", "A 20078-2025")</f>
        <v/>
      </c>
      <c r="W249">
        <f>HYPERLINK("https://klasma.github.io/Logging_2281/klagomålsmail/A 20078-2025 FSC-klagomål mail.docx", "A 20078-2025")</f>
        <v/>
      </c>
      <c r="X249">
        <f>HYPERLINK("https://klasma.github.io/Logging_2281/tillsyn/A 20078-2025 tillsynsbegäran.docx", "A 20078-2025")</f>
        <v/>
      </c>
      <c r="Y249">
        <f>HYPERLINK("https://klasma.github.io/Logging_2281/tillsynsmail/A 20078-2025 tillsynsbegäran mail.docx", "A 20078-2025")</f>
        <v/>
      </c>
    </row>
    <row r="250" ht="15" customHeight="1">
      <c r="A250" t="inlineStr">
        <is>
          <t>A 56427-2025</t>
        </is>
      </c>
      <c r="B250" s="1" t="n">
        <v>45975.34572916666</v>
      </c>
      <c r="C250" s="1" t="n">
        <v>46181</v>
      </c>
      <c r="D250" t="inlineStr">
        <is>
          <t>VÄSTERNORRLANDS LÄN</t>
        </is>
      </c>
      <c r="E250" t="inlineStr">
        <is>
          <t>SUNDSVALL</t>
        </is>
      </c>
      <c r="G250" t="n">
        <v>0.5</v>
      </c>
      <c r="H250" t="n">
        <v>1</v>
      </c>
      <c r="I250" t="n">
        <v>0</v>
      </c>
      <c r="J250" t="n">
        <v>0</v>
      </c>
      <c r="K250" t="n">
        <v>0</v>
      </c>
      <c r="L250" t="n">
        <v>0</v>
      </c>
      <c r="M250" t="n">
        <v>0</v>
      </c>
      <c r="N250" t="n">
        <v>0</v>
      </c>
      <c r="O250" t="n">
        <v>0</v>
      </c>
      <c r="P250" t="n">
        <v>0</v>
      </c>
      <c r="Q250" t="n">
        <v>1</v>
      </c>
      <c r="R250" s="2" t="inlineStr">
        <is>
          <t>Trana</t>
        </is>
      </c>
      <c r="S250">
        <f>HYPERLINK("https://klasma.github.io/Logging_2281/artfynd/A 56427-2025 artfynd.xlsx", "A 56427-2025")</f>
        <v/>
      </c>
      <c r="T250">
        <f>HYPERLINK("https://klasma.github.io/Logging_2281/kartor/A 56427-2025 karta.png", "A 56427-2025")</f>
        <v/>
      </c>
      <c r="V250">
        <f>HYPERLINK("https://klasma.github.io/Logging_2281/klagomål/A 56427-2025 FSC-klagomål.docx", "A 56427-2025")</f>
        <v/>
      </c>
      <c r="W250">
        <f>HYPERLINK("https://klasma.github.io/Logging_2281/klagomålsmail/A 56427-2025 FSC-klagomål mail.docx", "A 56427-2025")</f>
        <v/>
      </c>
      <c r="X250">
        <f>HYPERLINK("https://klasma.github.io/Logging_2281/tillsyn/A 56427-2025 tillsynsbegäran.docx", "A 56427-2025")</f>
        <v/>
      </c>
      <c r="Y250">
        <f>HYPERLINK("https://klasma.github.io/Logging_2281/tillsynsmail/A 56427-2025 tillsynsbegäran mail.docx", "A 56427-2025")</f>
        <v/>
      </c>
      <c r="Z250">
        <f>HYPERLINK("https://klasma.github.io/Logging_2281/fåglar/A 56427-2025 prioriterade fågelarter.docx", "A 56427-2025")</f>
        <v/>
      </c>
    </row>
    <row r="251" ht="15" customHeight="1">
      <c r="A251" t="inlineStr">
        <is>
          <t>A 57049-2025</t>
        </is>
      </c>
      <c r="B251" s="1" t="n">
        <v>45979.34706018519</v>
      </c>
      <c r="C251" s="1" t="n">
        <v>46181</v>
      </c>
      <c r="D251" t="inlineStr">
        <is>
          <t>VÄSTERNORRLANDS LÄN</t>
        </is>
      </c>
      <c r="E251" t="inlineStr">
        <is>
          <t>SUNDSVALL</t>
        </is>
      </c>
      <c r="F251" t="inlineStr">
        <is>
          <t>SCA</t>
        </is>
      </c>
      <c r="G251" t="n">
        <v>7.8</v>
      </c>
      <c r="H251" t="n">
        <v>1</v>
      </c>
      <c r="I251" t="n">
        <v>0</v>
      </c>
      <c r="J251" t="n">
        <v>0</v>
      </c>
      <c r="K251" t="n">
        <v>0</v>
      </c>
      <c r="L251" t="n">
        <v>0</v>
      </c>
      <c r="M251" t="n">
        <v>0</v>
      </c>
      <c r="N251" t="n">
        <v>0</v>
      </c>
      <c r="O251" t="n">
        <v>0</v>
      </c>
      <c r="P251" t="n">
        <v>0</v>
      </c>
      <c r="Q251" t="n">
        <v>1</v>
      </c>
      <c r="R251" s="2" t="inlineStr">
        <is>
          <t>Tjäder</t>
        </is>
      </c>
      <c r="S251">
        <f>HYPERLINK("https://klasma.github.io/Logging_2281/artfynd/A 57049-2025 artfynd.xlsx", "A 57049-2025")</f>
        <v/>
      </c>
      <c r="T251">
        <f>HYPERLINK("https://klasma.github.io/Logging_2281/kartor/A 57049-2025 karta.png", "A 57049-2025")</f>
        <v/>
      </c>
      <c r="V251">
        <f>HYPERLINK("https://klasma.github.io/Logging_2281/klagomål/A 57049-2025 FSC-klagomål.docx", "A 57049-2025")</f>
        <v/>
      </c>
      <c r="W251">
        <f>HYPERLINK("https://klasma.github.io/Logging_2281/klagomålsmail/A 57049-2025 FSC-klagomål mail.docx", "A 57049-2025")</f>
        <v/>
      </c>
      <c r="X251">
        <f>HYPERLINK("https://klasma.github.io/Logging_2281/tillsyn/A 57049-2025 tillsynsbegäran.docx", "A 57049-2025")</f>
        <v/>
      </c>
      <c r="Y251">
        <f>HYPERLINK("https://klasma.github.io/Logging_2281/tillsynsmail/A 57049-2025 tillsynsbegäran mail.docx", "A 57049-2025")</f>
        <v/>
      </c>
      <c r="Z251">
        <f>HYPERLINK("https://klasma.github.io/Logging_2281/fåglar/A 57049-2025 prioriterade fågelarter.docx", "A 57049-2025")</f>
        <v/>
      </c>
    </row>
    <row r="252" ht="15" customHeight="1">
      <c r="A252" t="inlineStr">
        <is>
          <t>A 30462-2024</t>
        </is>
      </c>
      <c r="B252" s="1" t="n">
        <v>45491</v>
      </c>
      <c r="C252" s="1" t="n">
        <v>46181</v>
      </c>
      <c r="D252" t="inlineStr">
        <is>
          <t>VÄSTERNORRLANDS LÄN</t>
        </is>
      </c>
      <c r="E252" t="inlineStr">
        <is>
          <t>SUNDSVALL</t>
        </is>
      </c>
      <c r="F252" t="inlineStr">
        <is>
          <t>SCA</t>
        </is>
      </c>
      <c r="G252" t="n">
        <v>4.1</v>
      </c>
      <c r="H252" t="n">
        <v>0</v>
      </c>
      <c r="I252" t="n">
        <v>0</v>
      </c>
      <c r="J252" t="n">
        <v>1</v>
      </c>
      <c r="K252" t="n">
        <v>0</v>
      </c>
      <c r="L252" t="n">
        <v>0</v>
      </c>
      <c r="M252" t="n">
        <v>0</v>
      </c>
      <c r="N252" t="n">
        <v>0</v>
      </c>
      <c r="O252" t="n">
        <v>1</v>
      </c>
      <c r="P252" t="n">
        <v>0</v>
      </c>
      <c r="Q252" t="n">
        <v>1</v>
      </c>
      <c r="R252" s="2" t="inlineStr">
        <is>
          <t>Igelkott</t>
        </is>
      </c>
      <c r="S252">
        <f>HYPERLINK("https://klasma.github.io/Logging_2281/artfynd/A 30462-2024 artfynd.xlsx", "A 30462-2024")</f>
        <v/>
      </c>
      <c r="T252">
        <f>HYPERLINK("https://klasma.github.io/Logging_2281/kartor/A 30462-2024 karta.png", "A 30462-2024")</f>
        <v/>
      </c>
      <c r="V252">
        <f>HYPERLINK("https://klasma.github.io/Logging_2281/klagomål/A 30462-2024 FSC-klagomål.docx", "A 30462-2024")</f>
        <v/>
      </c>
      <c r="W252">
        <f>HYPERLINK("https://klasma.github.io/Logging_2281/klagomålsmail/A 30462-2024 FSC-klagomål mail.docx", "A 30462-2024")</f>
        <v/>
      </c>
      <c r="X252">
        <f>HYPERLINK("https://klasma.github.io/Logging_2281/tillsyn/A 30462-2024 tillsynsbegäran.docx", "A 30462-2024")</f>
        <v/>
      </c>
      <c r="Y252">
        <f>HYPERLINK("https://klasma.github.io/Logging_2281/tillsynsmail/A 30462-2024 tillsynsbegäran mail.docx", "A 30462-2024")</f>
        <v/>
      </c>
    </row>
    <row r="253" ht="15" customHeight="1">
      <c r="A253" t="inlineStr">
        <is>
          <t>A 13143-2026</t>
        </is>
      </c>
      <c r="B253" s="1" t="n">
        <v>46093</v>
      </c>
      <c r="C253" s="1" t="n">
        <v>46181</v>
      </c>
      <c r="D253" t="inlineStr">
        <is>
          <t>VÄSTERNORRLANDS LÄN</t>
        </is>
      </c>
      <c r="E253" t="inlineStr">
        <is>
          <t>SUNDSVALL</t>
        </is>
      </c>
      <c r="F253" t="inlineStr">
        <is>
          <t>SCA</t>
        </is>
      </c>
      <c r="G253" t="n">
        <v>12.4</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13143-2026 artfynd.xlsx", "A 13143-2026")</f>
        <v/>
      </c>
      <c r="T253">
        <f>HYPERLINK("https://klasma.github.io/Logging_2281/kartor/A 13143-2026 karta.png", "A 13143-2026")</f>
        <v/>
      </c>
      <c r="V253">
        <f>HYPERLINK("https://klasma.github.io/Logging_2281/klagomål/A 13143-2026 FSC-klagomål.docx", "A 13143-2026")</f>
        <v/>
      </c>
      <c r="W253">
        <f>HYPERLINK("https://klasma.github.io/Logging_2281/klagomålsmail/A 13143-2026 FSC-klagomål mail.docx", "A 13143-2026")</f>
        <v/>
      </c>
      <c r="X253">
        <f>HYPERLINK("https://klasma.github.io/Logging_2281/tillsyn/A 13143-2026 tillsynsbegäran.docx", "A 13143-2026")</f>
        <v/>
      </c>
      <c r="Y253">
        <f>HYPERLINK("https://klasma.github.io/Logging_2281/tillsynsmail/A 13143-2026 tillsynsbegäran mail.docx", "A 13143-2026")</f>
        <v/>
      </c>
      <c r="Z253">
        <f>HYPERLINK("https://klasma.github.io/Logging_2281/fåglar/A 13143-2026 prioriterade fågelarter.docx", "A 13143-2026")</f>
        <v/>
      </c>
    </row>
    <row r="254" ht="15" customHeight="1">
      <c r="A254" t="inlineStr">
        <is>
          <t>A 59075-2025</t>
        </is>
      </c>
      <c r="B254" s="1" t="n">
        <v>45988.42923611111</v>
      </c>
      <c r="C254" s="1" t="n">
        <v>46181</v>
      </c>
      <c r="D254" t="inlineStr">
        <is>
          <t>VÄSTERNORRLANDS LÄN</t>
        </is>
      </c>
      <c r="E254" t="inlineStr">
        <is>
          <t>SUNDSVALL</t>
        </is>
      </c>
      <c r="G254" t="n">
        <v>4.2</v>
      </c>
      <c r="H254" t="n">
        <v>0</v>
      </c>
      <c r="I254" t="n">
        <v>1</v>
      </c>
      <c r="J254" t="n">
        <v>0</v>
      </c>
      <c r="K254" t="n">
        <v>0</v>
      </c>
      <c r="L254" t="n">
        <v>0</v>
      </c>
      <c r="M254" t="n">
        <v>0</v>
      </c>
      <c r="N254" t="n">
        <v>0</v>
      </c>
      <c r="O254" t="n">
        <v>0</v>
      </c>
      <c r="P254" t="n">
        <v>0</v>
      </c>
      <c r="Q254" t="n">
        <v>1</v>
      </c>
      <c r="R254" s="2" t="inlineStr">
        <is>
          <t>Bronshjon</t>
        </is>
      </c>
      <c r="S254">
        <f>HYPERLINK("https://klasma.github.io/Logging_2281/artfynd/A 59075-2025 artfynd.xlsx", "A 59075-2025")</f>
        <v/>
      </c>
      <c r="T254">
        <f>HYPERLINK("https://klasma.github.io/Logging_2281/kartor/A 59075-2025 karta.png", "A 59075-2025")</f>
        <v/>
      </c>
      <c r="V254">
        <f>HYPERLINK("https://klasma.github.io/Logging_2281/klagomål/A 59075-2025 FSC-klagomål.docx", "A 59075-2025")</f>
        <v/>
      </c>
      <c r="W254">
        <f>HYPERLINK("https://klasma.github.io/Logging_2281/klagomålsmail/A 59075-2025 FSC-klagomål mail.docx", "A 59075-2025")</f>
        <v/>
      </c>
      <c r="X254">
        <f>HYPERLINK("https://klasma.github.io/Logging_2281/tillsyn/A 59075-2025 tillsynsbegäran.docx", "A 59075-2025")</f>
        <v/>
      </c>
      <c r="Y254">
        <f>HYPERLINK("https://klasma.github.io/Logging_2281/tillsynsmail/A 59075-2025 tillsynsbegäran mail.docx", "A 59075-2025")</f>
        <v/>
      </c>
    </row>
    <row r="255" ht="15" customHeight="1">
      <c r="A255" t="inlineStr">
        <is>
          <t>A 39004-2024</t>
        </is>
      </c>
      <c r="B255" s="1" t="n">
        <v>45548</v>
      </c>
      <c r="C255" s="1" t="n">
        <v>46181</v>
      </c>
      <c r="D255" t="inlineStr">
        <is>
          <t>VÄSTERNORRLANDS LÄN</t>
        </is>
      </c>
      <c r="E255" t="inlineStr">
        <is>
          <t>SUNDSVALL</t>
        </is>
      </c>
      <c r="G255" t="n">
        <v>6.9</v>
      </c>
      <c r="H255" t="n">
        <v>0</v>
      </c>
      <c r="I255" t="n">
        <v>0</v>
      </c>
      <c r="J255" t="n">
        <v>1</v>
      </c>
      <c r="K255" t="n">
        <v>0</v>
      </c>
      <c r="L255" t="n">
        <v>0</v>
      </c>
      <c r="M255" t="n">
        <v>0</v>
      </c>
      <c r="N255" t="n">
        <v>0</v>
      </c>
      <c r="O255" t="n">
        <v>1</v>
      </c>
      <c r="P255" t="n">
        <v>0</v>
      </c>
      <c r="Q255" t="n">
        <v>1</v>
      </c>
      <c r="R255" s="2" t="inlineStr">
        <is>
          <t>Liten parasollmossa</t>
        </is>
      </c>
      <c r="S255">
        <f>HYPERLINK("https://klasma.github.io/Logging_2281/artfynd/A 39004-2024 artfynd.xlsx", "A 39004-2024")</f>
        <v/>
      </c>
      <c r="T255">
        <f>HYPERLINK("https://klasma.github.io/Logging_2281/kartor/A 39004-2024 karta.png", "A 39004-2024")</f>
        <v/>
      </c>
      <c r="V255">
        <f>HYPERLINK("https://klasma.github.io/Logging_2281/klagomål/A 39004-2024 FSC-klagomål.docx", "A 39004-2024")</f>
        <v/>
      </c>
      <c r="W255">
        <f>HYPERLINK("https://klasma.github.io/Logging_2281/klagomålsmail/A 39004-2024 FSC-klagomål mail.docx", "A 39004-2024")</f>
        <v/>
      </c>
      <c r="X255">
        <f>HYPERLINK("https://klasma.github.io/Logging_2281/tillsyn/A 39004-2024 tillsynsbegäran.docx", "A 39004-2024")</f>
        <v/>
      </c>
      <c r="Y255">
        <f>HYPERLINK("https://klasma.github.io/Logging_2281/tillsynsmail/A 39004-2024 tillsynsbegäran mail.docx", "A 39004-2024")</f>
        <v/>
      </c>
    </row>
    <row r="256" ht="15" customHeight="1">
      <c r="A256" t="inlineStr">
        <is>
          <t>A 60595-2025</t>
        </is>
      </c>
      <c r="B256" s="1" t="n">
        <v>45996.34443287037</v>
      </c>
      <c r="C256" s="1" t="n">
        <v>46181</v>
      </c>
      <c r="D256" t="inlineStr">
        <is>
          <t>VÄSTERNORRLANDS LÄN</t>
        </is>
      </c>
      <c r="E256" t="inlineStr">
        <is>
          <t>SUNDSVALL</t>
        </is>
      </c>
      <c r="F256" t="inlineStr">
        <is>
          <t>SCA</t>
        </is>
      </c>
      <c r="G256" t="n">
        <v>2.9</v>
      </c>
      <c r="H256" t="n">
        <v>1</v>
      </c>
      <c r="I256" t="n">
        <v>1</v>
      </c>
      <c r="J256" t="n">
        <v>0</v>
      </c>
      <c r="K256" t="n">
        <v>0</v>
      </c>
      <c r="L256" t="n">
        <v>0</v>
      </c>
      <c r="M256" t="n">
        <v>0</v>
      </c>
      <c r="N256" t="n">
        <v>0</v>
      </c>
      <c r="O256" t="n">
        <v>0</v>
      </c>
      <c r="P256" t="n">
        <v>0</v>
      </c>
      <c r="Q256" t="n">
        <v>1</v>
      </c>
      <c r="R256" s="2" t="inlineStr">
        <is>
          <t>Plattlummer</t>
        </is>
      </c>
      <c r="S256">
        <f>HYPERLINK("https://klasma.github.io/Logging_2281/artfynd/A 60595-2025 artfynd.xlsx", "A 60595-2025")</f>
        <v/>
      </c>
      <c r="T256">
        <f>HYPERLINK("https://klasma.github.io/Logging_2281/kartor/A 60595-2025 karta.png", "A 60595-2025")</f>
        <v/>
      </c>
      <c r="V256">
        <f>HYPERLINK("https://klasma.github.io/Logging_2281/klagomål/A 60595-2025 FSC-klagomål.docx", "A 60595-2025")</f>
        <v/>
      </c>
      <c r="W256">
        <f>HYPERLINK("https://klasma.github.io/Logging_2281/klagomålsmail/A 60595-2025 FSC-klagomål mail.docx", "A 60595-2025")</f>
        <v/>
      </c>
      <c r="X256">
        <f>HYPERLINK("https://klasma.github.io/Logging_2281/tillsyn/A 60595-2025 tillsynsbegäran.docx", "A 60595-2025")</f>
        <v/>
      </c>
      <c r="Y256">
        <f>HYPERLINK("https://klasma.github.io/Logging_2281/tillsynsmail/A 60595-2025 tillsynsbegäran mail.docx", "A 60595-2025")</f>
        <v/>
      </c>
    </row>
    <row r="257" ht="15" customHeight="1">
      <c r="A257" t="inlineStr">
        <is>
          <t>A 13301-2025</t>
        </is>
      </c>
      <c r="B257" s="1" t="n">
        <v>45735.57451388889</v>
      </c>
      <c r="C257" s="1" t="n">
        <v>46181</v>
      </c>
      <c r="D257" t="inlineStr">
        <is>
          <t>VÄSTERNORRLANDS LÄN</t>
        </is>
      </c>
      <c r="E257" t="inlineStr">
        <is>
          <t>SUNDSVALL</t>
        </is>
      </c>
      <c r="F257" t="inlineStr">
        <is>
          <t>SCA</t>
        </is>
      </c>
      <c r="G257" t="n">
        <v>13.4</v>
      </c>
      <c r="H257" t="n">
        <v>1</v>
      </c>
      <c r="I257" t="n">
        <v>0</v>
      </c>
      <c r="J257" t="n">
        <v>0</v>
      </c>
      <c r="K257" t="n">
        <v>0</v>
      </c>
      <c r="L257" t="n">
        <v>0</v>
      </c>
      <c r="M257" t="n">
        <v>0</v>
      </c>
      <c r="N257" t="n">
        <v>0</v>
      </c>
      <c r="O257" t="n">
        <v>0</v>
      </c>
      <c r="P257" t="n">
        <v>0</v>
      </c>
      <c r="Q257" t="n">
        <v>1</v>
      </c>
      <c r="R257" s="2" t="inlineStr">
        <is>
          <t>Blåsippa</t>
        </is>
      </c>
      <c r="S257">
        <f>HYPERLINK("https://klasma.github.io/Logging_2281/artfynd/A 13301-2025 artfynd.xlsx", "A 13301-2025")</f>
        <v/>
      </c>
      <c r="T257">
        <f>HYPERLINK("https://klasma.github.io/Logging_2281/kartor/A 13301-2025 karta.png", "A 13301-2025")</f>
        <v/>
      </c>
      <c r="V257">
        <f>HYPERLINK("https://klasma.github.io/Logging_2281/klagomål/A 13301-2025 FSC-klagomål.docx", "A 13301-2025")</f>
        <v/>
      </c>
      <c r="W257">
        <f>HYPERLINK("https://klasma.github.io/Logging_2281/klagomålsmail/A 13301-2025 FSC-klagomål mail.docx", "A 13301-2025")</f>
        <v/>
      </c>
      <c r="X257">
        <f>HYPERLINK("https://klasma.github.io/Logging_2281/tillsyn/A 13301-2025 tillsynsbegäran.docx", "A 13301-2025")</f>
        <v/>
      </c>
      <c r="Y257">
        <f>HYPERLINK("https://klasma.github.io/Logging_2281/tillsynsmail/A 13301-2025 tillsynsbegäran mail.docx", "A 13301-2025")</f>
        <v/>
      </c>
    </row>
    <row r="258" ht="15" customHeight="1">
      <c r="A258" t="inlineStr">
        <is>
          <t>A 20883-2026</t>
        </is>
      </c>
      <c r="B258" s="1" t="n">
        <v>46142.42783564814</v>
      </c>
      <c r="C258" s="1" t="n">
        <v>46181</v>
      </c>
      <c r="D258" t="inlineStr">
        <is>
          <t>VÄSTERNORRLANDS LÄN</t>
        </is>
      </c>
      <c r="E258" t="inlineStr">
        <is>
          <t>SUNDSVALL</t>
        </is>
      </c>
      <c r="F258" t="inlineStr">
        <is>
          <t>SCA</t>
        </is>
      </c>
      <c r="G258" t="n">
        <v>1.7</v>
      </c>
      <c r="H258" t="n">
        <v>0</v>
      </c>
      <c r="I258" t="n">
        <v>0</v>
      </c>
      <c r="J258" t="n">
        <v>1</v>
      </c>
      <c r="K258" t="n">
        <v>0</v>
      </c>
      <c r="L258" t="n">
        <v>0</v>
      </c>
      <c r="M258" t="n">
        <v>0</v>
      </c>
      <c r="N258" t="n">
        <v>0</v>
      </c>
      <c r="O258" t="n">
        <v>1</v>
      </c>
      <c r="P258" t="n">
        <v>0</v>
      </c>
      <c r="Q258" t="n">
        <v>1</v>
      </c>
      <c r="R258" s="2" t="inlineStr">
        <is>
          <t>Kolflarnlav</t>
        </is>
      </c>
      <c r="S258">
        <f>HYPERLINK("https://klasma.github.io/Logging_2281/artfynd/A 20883-2026 artfynd.xlsx", "A 20883-2026")</f>
        <v/>
      </c>
      <c r="T258">
        <f>HYPERLINK("https://klasma.github.io/Logging_2281/kartor/A 20883-2026 karta.png", "A 20883-2026")</f>
        <v/>
      </c>
      <c r="V258">
        <f>HYPERLINK("https://klasma.github.io/Logging_2281/klagomål/A 20883-2026 FSC-klagomål.docx", "A 20883-2026")</f>
        <v/>
      </c>
      <c r="W258">
        <f>HYPERLINK("https://klasma.github.io/Logging_2281/klagomålsmail/A 20883-2026 FSC-klagomål mail.docx", "A 20883-2026")</f>
        <v/>
      </c>
      <c r="X258">
        <f>HYPERLINK("https://klasma.github.io/Logging_2281/tillsyn/A 20883-2026 tillsynsbegäran.docx", "A 20883-2026")</f>
        <v/>
      </c>
      <c r="Y258">
        <f>HYPERLINK("https://klasma.github.io/Logging_2281/tillsynsmail/A 20883-2026 tillsynsbegäran mail.docx", "A 20883-2026")</f>
        <v/>
      </c>
    </row>
    <row r="259" ht="15" customHeight="1">
      <c r="A259" t="inlineStr">
        <is>
          <t>A 58186-2022</t>
        </is>
      </c>
      <c r="B259" s="1" t="n">
        <v>44900</v>
      </c>
      <c r="C259" s="1" t="n">
        <v>46181</v>
      </c>
      <c r="D259" t="inlineStr">
        <is>
          <t>VÄSTERNORRLANDS LÄN</t>
        </is>
      </c>
      <c r="E259" t="inlineStr">
        <is>
          <t>SUNDSVALL</t>
        </is>
      </c>
      <c r="F259" t="inlineStr">
        <is>
          <t>SCA</t>
        </is>
      </c>
      <c r="G259" t="n">
        <v>9.300000000000001</v>
      </c>
      <c r="H259" t="n">
        <v>1</v>
      </c>
      <c r="I259" t="n">
        <v>1</v>
      </c>
      <c r="J259" t="n">
        <v>0</v>
      </c>
      <c r="K259" t="n">
        <v>0</v>
      </c>
      <c r="L259" t="n">
        <v>0</v>
      </c>
      <c r="M259" t="n">
        <v>0</v>
      </c>
      <c r="N259" t="n">
        <v>0</v>
      </c>
      <c r="O259" t="n">
        <v>0</v>
      </c>
      <c r="P259" t="n">
        <v>0</v>
      </c>
      <c r="Q259" t="n">
        <v>1</v>
      </c>
      <c r="R259" s="2" t="inlineStr">
        <is>
          <t>Plattlummer</t>
        </is>
      </c>
      <c r="S259">
        <f>HYPERLINK("https://klasma.github.io/Logging_2281/artfynd/A 58186-2022 artfynd.xlsx", "A 58186-2022")</f>
        <v/>
      </c>
      <c r="T259">
        <f>HYPERLINK("https://klasma.github.io/Logging_2281/kartor/A 58186-2022 karta.png", "A 58186-2022")</f>
        <v/>
      </c>
      <c r="V259">
        <f>HYPERLINK("https://klasma.github.io/Logging_2281/klagomål/A 58186-2022 FSC-klagomål.docx", "A 58186-2022")</f>
        <v/>
      </c>
      <c r="W259">
        <f>HYPERLINK("https://klasma.github.io/Logging_2281/klagomålsmail/A 58186-2022 FSC-klagomål mail.docx", "A 58186-2022")</f>
        <v/>
      </c>
      <c r="X259">
        <f>HYPERLINK("https://klasma.github.io/Logging_2281/tillsyn/A 58186-2022 tillsynsbegäran.docx", "A 58186-2022")</f>
        <v/>
      </c>
      <c r="Y259">
        <f>HYPERLINK("https://klasma.github.io/Logging_2281/tillsynsmail/A 58186-2022 tillsynsbegäran mail.docx", "A 58186-2022")</f>
        <v/>
      </c>
    </row>
    <row r="260" ht="15" customHeight="1">
      <c r="A260" t="inlineStr">
        <is>
          <t>A 233-2024</t>
        </is>
      </c>
      <c r="B260" s="1" t="n">
        <v>45294</v>
      </c>
      <c r="C260" s="1" t="n">
        <v>46181</v>
      </c>
      <c r="D260" t="inlineStr">
        <is>
          <t>VÄSTERNORRLANDS LÄN</t>
        </is>
      </c>
      <c r="E260" t="inlineStr">
        <is>
          <t>SUNDSVALL</t>
        </is>
      </c>
      <c r="G260" t="n">
        <v>2.4</v>
      </c>
      <c r="H260" t="n">
        <v>1</v>
      </c>
      <c r="I260" t="n">
        <v>0</v>
      </c>
      <c r="J260" t="n">
        <v>1</v>
      </c>
      <c r="K260" t="n">
        <v>0</v>
      </c>
      <c r="L260" t="n">
        <v>0</v>
      </c>
      <c r="M260" t="n">
        <v>0</v>
      </c>
      <c r="N260" t="n">
        <v>0</v>
      </c>
      <c r="O260" t="n">
        <v>1</v>
      </c>
      <c r="P260" t="n">
        <v>0</v>
      </c>
      <c r="Q260" t="n">
        <v>1</v>
      </c>
      <c r="R260" s="2" t="inlineStr">
        <is>
          <t>Duvhök</t>
        </is>
      </c>
      <c r="S260">
        <f>HYPERLINK("https://klasma.github.io/Logging_2281/artfynd/A 233-2024 artfynd.xlsx", "A 233-2024")</f>
        <v/>
      </c>
      <c r="T260">
        <f>HYPERLINK("https://klasma.github.io/Logging_2281/kartor/A 233-2024 karta.png", "A 233-2024")</f>
        <v/>
      </c>
      <c r="V260">
        <f>HYPERLINK("https://klasma.github.io/Logging_2281/klagomål/A 233-2024 FSC-klagomål.docx", "A 233-2024")</f>
        <v/>
      </c>
      <c r="W260">
        <f>HYPERLINK("https://klasma.github.io/Logging_2281/klagomålsmail/A 233-2024 FSC-klagomål mail.docx", "A 233-2024")</f>
        <v/>
      </c>
      <c r="X260">
        <f>HYPERLINK("https://klasma.github.io/Logging_2281/tillsyn/A 233-2024 tillsynsbegäran.docx", "A 233-2024")</f>
        <v/>
      </c>
      <c r="Y260">
        <f>HYPERLINK("https://klasma.github.io/Logging_2281/tillsynsmail/A 233-2024 tillsynsbegäran mail.docx", "A 233-2024")</f>
        <v/>
      </c>
      <c r="Z260">
        <f>HYPERLINK("https://klasma.github.io/Logging_2281/fåglar/A 233-2024 prioriterade fågelarter.docx", "A 233-2024")</f>
        <v/>
      </c>
    </row>
    <row r="261" ht="15" customHeight="1">
      <c r="A261" t="inlineStr">
        <is>
          <t>A 17395-2025</t>
        </is>
      </c>
      <c r="B261" s="1" t="n">
        <v>45757</v>
      </c>
      <c r="C261" s="1" t="n">
        <v>46181</v>
      </c>
      <c r="D261" t="inlineStr">
        <is>
          <t>VÄSTERNORRLANDS LÄN</t>
        </is>
      </c>
      <c r="E261" t="inlineStr">
        <is>
          <t>SUNDSVALL</t>
        </is>
      </c>
      <c r="F261" t="inlineStr">
        <is>
          <t>SCA</t>
        </is>
      </c>
      <c r="G261" t="n">
        <v>7.1</v>
      </c>
      <c r="H261" t="n">
        <v>1</v>
      </c>
      <c r="I261" t="n">
        <v>0</v>
      </c>
      <c r="J261" t="n">
        <v>0</v>
      </c>
      <c r="K261" t="n">
        <v>0</v>
      </c>
      <c r="L261" t="n">
        <v>0</v>
      </c>
      <c r="M261" t="n">
        <v>0</v>
      </c>
      <c r="N261" t="n">
        <v>0</v>
      </c>
      <c r="O261" t="n">
        <v>0</v>
      </c>
      <c r="P261" t="n">
        <v>0</v>
      </c>
      <c r="Q261" t="n">
        <v>1</v>
      </c>
      <c r="R261" s="2" t="inlineStr">
        <is>
          <t>Nattviol</t>
        </is>
      </c>
      <c r="S261">
        <f>HYPERLINK("https://klasma.github.io/Logging_2281/artfynd/A 17395-2025 artfynd.xlsx", "A 17395-2025")</f>
        <v/>
      </c>
      <c r="T261">
        <f>HYPERLINK("https://klasma.github.io/Logging_2281/kartor/A 17395-2025 karta.png", "A 17395-2025")</f>
        <v/>
      </c>
      <c r="V261">
        <f>HYPERLINK("https://klasma.github.io/Logging_2281/klagomål/A 17395-2025 FSC-klagomål.docx", "A 17395-2025")</f>
        <v/>
      </c>
      <c r="W261">
        <f>HYPERLINK("https://klasma.github.io/Logging_2281/klagomålsmail/A 17395-2025 FSC-klagomål mail.docx", "A 17395-2025")</f>
        <v/>
      </c>
      <c r="X261">
        <f>HYPERLINK("https://klasma.github.io/Logging_2281/tillsyn/A 17395-2025 tillsynsbegäran.docx", "A 17395-2025")</f>
        <v/>
      </c>
      <c r="Y261">
        <f>HYPERLINK("https://klasma.github.io/Logging_2281/tillsynsmail/A 17395-2025 tillsynsbegäran mail.docx", "A 17395-2025")</f>
        <v/>
      </c>
    </row>
    <row r="262" ht="15" customHeight="1">
      <c r="A262" t="inlineStr">
        <is>
          <t>A 3347-2025</t>
        </is>
      </c>
      <c r="B262" s="1" t="n">
        <v>45679.78429398148</v>
      </c>
      <c r="C262" s="1" t="n">
        <v>46181</v>
      </c>
      <c r="D262" t="inlineStr">
        <is>
          <t>VÄSTERNORRLANDS LÄN</t>
        </is>
      </c>
      <c r="E262" t="inlineStr">
        <is>
          <t>SUNDSVALL</t>
        </is>
      </c>
      <c r="G262" t="n">
        <v>20.7</v>
      </c>
      <c r="H262" t="n">
        <v>0</v>
      </c>
      <c r="I262" t="n">
        <v>0</v>
      </c>
      <c r="J262" t="n">
        <v>1</v>
      </c>
      <c r="K262" t="n">
        <v>0</v>
      </c>
      <c r="L262" t="n">
        <v>0</v>
      </c>
      <c r="M262" t="n">
        <v>0</v>
      </c>
      <c r="N262" t="n">
        <v>0</v>
      </c>
      <c r="O262" t="n">
        <v>1</v>
      </c>
      <c r="P262" t="n">
        <v>0</v>
      </c>
      <c r="Q262" t="n">
        <v>1</v>
      </c>
      <c r="R262" s="2" t="inlineStr">
        <is>
          <t>Lunglav</t>
        </is>
      </c>
      <c r="S262">
        <f>HYPERLINK("https://klasma.github.io/Logging_2281/artfynd/A 3347-2025 artfynd.xlsx", "A 3347-2025")</f>
        <v/>
      </c>
      <c r="T262">
        <f>HYPERLINK("https://klasma.github.io/Logging_2281/kartor/A 3347-2025 karta.png", "A 3347-2025")</f>
        <v/>
      </c>
      <c r="V262">
        <f>HYPERLINK("https://klasma.github.io/Logging_2281/klagomål/A 3347-2025 FSC-klagomål.docx", "A 3347-2025")</f>
        <v/>
      </c>
      <c r="W262">
        <f>HYPERLINK("https://klasma.github.io/Logging_2281/klagomålsmail/A 3347-2025 FSC-klagomål mail.docx", "A 3347-2025")</f>
        <v/>
      </c>
      <c r="X262">
        <f>HYPERLINK("https://klasma.github.io/Logging_2281/tillsyn/A 3347-2025 tillsynsbegäran.docx", "A 3347-2025")</f>
        <v/>
      </c>
      <c r="Y262">
        <f>HYPERLINK("https://klasma.github.io/Logging_2281/tillsynsmail/A 3347-2025 tillsynsbegäran mail.docx", "A 3347-2025")</f>
        <v/>
      </c>
    </row>
    <row r="263" ht="15" customHeight="1">
      <c r="A263" t="inlineStr">
        <is>
          <t>A 16557-2026</t>
        </is>
      </c>
      <c r="B263" s="1" t="n">
        <v>46112.55262731481</v>
      </c>
      <c r="C263" s="1" t="n">
        <v>46181</v>
      </c>
      <c r="D263" t="inlineStr">
        <is>
          <t>VÄSTERNORRLANDS LÄN</t>
        </is>
      </c>
      <c r="E263" t="inlineStr">
        <is>
          <t>SUNDSVALL</t>
        </is>
      </c>
      <c r="F263" t="inlineStr">
        <is>
          <t>SCA</t>
        </is>
      </c>
      <c r="G263" t="n">
        <v>3.9</v>
      </c>
      <c r="H263" t="n">
        <v>0</v>
      </c>
      <c r="I263" t="n">
        <v>1</v>
      </c>
      <c r="J263" t="n">
        <v>0</v>
      </c>
      <c r="K263" t="n">
        <v>0</v>
      </c>
      <c r="L263" t="n">
        <v>0</v>
      </c>
      <c r="M263" t="n">
        <v>0</v>
      </c>
      <c r="N263" t="n">
        <v>0</v>
      </c>
      <c r="O263" t="n">
        <v>0</v>
      </c>
      <c r="P263" t="n">
        <v>0</v>
      </c>
      <c r="Q263" t="n">
        <v>1</v>
      </c>
      <c r="R263" s="2" t="inlineStr">
        <is>
          <t>Fjällig taggsvamp s.str.</t>
        </is>
      </c>
      <c r="S263">
        <f>HYPERLINK("https://klasma.github.io/Logging_2281/artfynd/A 16557-2026 artfynd.xlsx", "A 16557-2026")</f>
        <v/>
      </c>
      <c r="T263">
        <f>HYPERLINK("https://klasma.github.io/Logging_2281/kartor/A 16557-2026 karta.png", "A 16557-2026")</f>
        <v/>
      </c>
      <c r="V263">
        <f>HYPERLINK("https://klasma.github.io/Logging_2281/klagomål/A 16557-2026 FSC-klagomål.docx", "A 16557-2026")</f>
        <v/>
      </c>
      <c r="W263">
        <f>HYPERLINK("https://klasma.github.io/Logging_2281/klagomålsmail/A 16557-2026 FSC-klagomål mail.docx", "A 16557-2026")</f>
        <v/>
      </c>
      <c r="X263">
        <f>HYPERLINK("https://klasma.github.io/Logging_2281/tillsyn/A 16557-2026 tillsynsbegäran.docx", "A 16557-2026")</f>
        <v/>
      </c>
      <c r="Y263">
        <f>HYPERLINK("https://klasma.github.io/Logging_2281/tillsynsmail/A 16557-2026 tillsynsbegäran mail.docx", "A 16557-2026")</f>
        <v/>
      </c>
    </row>
    <row r="264" ht="15" customHeight="1">
      <c r="A264" t="inlineStr">
        <is>
          <t>A 9200-2022</t>
        </is>
      </c>
      <c r="B264" s="1" t="n">
        <v>44615.92614583333</v>
      </c>
      <c r="C264" s="1" t="n">
        <v>46181</v>
      </c>
      <c r="D264" t="inlineStr">
        <is>
          <t>VÄSTERNORRLANDS LÄN</t>
        </is>
      </c>
      <c r="E264" t="inlineStr">
        <is>
          <t>SUNDSVALL</t>
        </is>
      </c>
      <c r="G264" t="n">
        <v>17.6</v>
      </c>
      <c r="H264" t="n">
        <v>0</v>
      </c>
      <c r="I264" t="n">
        <v>0</v>
      </c>
      <c r="J264" t="n">
        <v>1</v>
      </c>
      <c r="K264" t="n">
        <v>0</v>
      </c>
      <c r="L264" t="n">
        <v>0</v>
      </c>
      <c r="M264" t="n">
        <v>0</v>
      </c>
      <c r="N264" t="n">
        <v>0</v>
      </c>
      <c r="O264" t="n">
        <v>1</v>
      </c>
      <c r="P264" t="n">
        <v>0</v>
      </c>
      <c r="Q264" t="n">
        <v>1</v>
      </c>
      <c r="R264" s="2" t="inlineStr">
        <is>
          <t>Blå taggsvamp</t>
        </is>
      </c>
      <c r="S264">
        <f>HYPERLINK("https://klasma.github.io/Logging_2281/artfynd/A 9200-2022 artfynd.xlsx", "A 9200-2022")</f>
        <v/>
      </c>
      <c r="T264">
        <f>HYPERLINK("https://klasma.github.io/Logging_2281/kartor/A 9200-2022 karta.png", "A 9200-2022")</f>
        <v/>
      </c>
      <c r="V264">
        <f>HYPERLINK("https://klasma.github.io/Logging_2281/klagomål/A 9200-2022 FSC-klagomål.docx", "A 9200-2022")</f>
        <v/>
      </c>
      <c r="W264">
        <f>HYPERLINK("https://klasma.github.io/Logging_2281/klagomålsmail/A 9200-2022 FSC-klagomål mail.docx", "A 9200-2022")</f>
        <v/>
      </c>
      <c r="X264">
        <f>HYPERLINK("https://klasma.github.io/Logging_2281/tillsyn/A 9200-2022 tillsynsbegäran.docx", "A 9200-2022")</f>
        <v/>
      </c>
      <c r="Y264">
        <f>HYPERLINK("https://klasma.github.io/Logging_2281/tillsynsmail/A 9200-2022 tillsynsbegäran mail.docx", "A 9200-2022")</f>
        <v/>
      </c>
    </row>
    <row r="265" ht="15" customHeight="1">
      <c r="A265" t="inlineStr">
        <is>
          <t>A 18347-2023</t>
        </is>
      </c>
      <c r="B265" s="1" t="n">
        <v>45040</v>
      </c>
      <c r="C265" s="1" t="n">
        <v>46181</v>
      </c>
      <c r="D265" t="inlineStr">
        <is>
          <t>VÄSTERNORRLANDS LÄN</t>
        </is>
      </c>
      <c r="E265" t="inlineStr">
        <is>
          <t>SUNDSVALL</t>
        </is>
      </c>
      <c r="G265" t="n">
        <v>16.7</v>
      </c>
      <c r="H265" t="n">
        <v>0</v>
      </c>
      <c r="I265" t="n">
        <v>0</v>
      </c>
      <c r="J265" t="n">
        <v>1</v>
      </c>
      <c r="K265" t="n">
        <v>0</v>
      </c>
      <c r="L265" t="n">
        <v>0</v>
      </c>
      <c r="M265" t="n">
        <v>0</v>
      </c>
      <c r="N265" t="n">
        <v>0</v>
      </c>
      <c r="O265" t="n">
        <v>1</v>
      </c>
      <c r="P265" t="n">
        <v>0</v>
      </c>
      <c r="Q265" t="n">
        <v>1</v>
      </c>
      <c r="R265" s="2" t="inlineStr">
        <is>
          <t>Garnlav</t>
        </is>
      </c>
      <c r="S265">
        <f>HYPERLINK("https://klasma.github.io/Logging_2281/artfynd/A 18347-2023 artfynd.xlsx", "A 18347-2023")</f>
        <v/>
      </c>
      <c r="T265">
        <f>HYPERLINK("https://klasma.github.io/Logging_2281/kartor/A 18347-2023 karta.png", "A 18347-2023")</f>
        <v/>
      </c>
      <c r="V265">
        <f>HYPERLINK("https://klasma.github.io/Logging_2281/klagomål/A 18347-2023 FSC-klagomål.docx", "A 18347-2023")</f>
        <v/>
      </c>
      <c r="W265">
        <f>HYPERLINK("https://klasma.github.io/Logging_2281/klagomålsmail/A 18347-2023 FSC-klagomål mail.docx", "A 18347-2023")</f>
        <v/>
      </c>
      <c r="X265">
        <f>HYPERLINK("https://klasma.github.io/Logging_2281/tillsyn/A 18347-2023 tillsynsbegäran.docx", "A 18347-2023")</f>
        <v/>
      </c>
      <c r="Y265">
        <f>HYPERLINK("https://klasma.github.io/Logging_2281/tillsynsmail/A 18347-2023 tillsynsbegäran mail.docx", "A 18347-2023")</f>
        <v/>
      </c>
    </row>
    <row r="266" ht="15" customHeight="1">
      <c r="A266" t="inlineStr">
        <is>
          <t>A 3924-2025</t>
        </is>
      </c>
      <c r="B266" s="1" t="n">
        <v>45684.44851851852</v>
      </c>
      <c r="C266" s="1" t="n">
        <v>46181</v>
      </c>
      <c r="D266" t="inlineStr">
        <is>
          <t>VÄSTERNORRLANDS LÄN</t>
        </is>
      </c>
      <c r="E266" t="inlineStr">
        <is>
          <t>SUNDSVALL</t>
        </is>
      </c>
      <c r="F266" t="inlineStr">
        <is>
          <t>SCA</t>
        </is>
      </c>
      <c r="G266" t="n">
        <v>5.9</v>
      </c>
      <c r="H266" t="n">
        <v>1</v>
      </c>
      <c r="I266" t="n">
        <v>0</v>
      </c>
      <c r="J266" t="n">
        <v>1</v>
      </c>
      <c r="K266" t="n">
        <v>0</v>
      </c>
      <c r="L266" t="n">
        <v>0</v>
      </c>
      <c r="M266" t="n">
        <v>0</v>
      </c>
      <c r="N266" t="n">
        <v>0</v>
      </c>
      <c r="O266" t="n">
        <v>1</v>
      </c>
      <c r="P266" t="n">
        <v>0</v>
      </c>
      <c r="Q266" t="n">
        <v>1</v>
      </c>
      <c r="R266" s="2" t="inlineStr">
        <is>
          <t>Järpe</t>
        </is>
      </c>
      <c r="S266">
        <f>HYPERLINK("https://klasma.github.io/Logging_2281/artfynd/A 3924-2025 artfynd.xlsx", "A 3924-2025")</f>
        <v/>
      </c>
      <c r="T266">
        <f>HYPERLINK("https://klasma.github.io/Logging_2281/kartor/A 3924-2025 karta.png", "A 3924-2025")</f>
        <v/>
      </c>
      <c r="V266">
        <f>HYPERLINK("https://klasma.github.io/Logging_2281/klagomål/A 3924-2025 FSC-klagomål.docx", "A 3924-2025")</f>
        <v/>
      </c>
      <c r="W266">
        <f>HYPERLINK("https://klasma.github.io/Logging_2281/klagomålsmail/A 3924-2025 FSC-klagomål mail.docx", "A 3924-2025")</f>
        <v/>
      </c>
      <c r="X266">
        <f>HYPERLINK("https://klasma.github.io/Logging_2281/tillsyn/A 3924-2025 tillsynsbegäran.docx", "A 3924-2025")</f>
        <v/>
      </c>
      <c r="Y266">
        <f>HYPERLINK("https://klasma.github.io/Logging_2281/tillsynsmail/A 3924-2025 tillsynsbegäran mail.docx", "A 3924-2025")</f>
        <v/>
      </c>
      <c r="Z266">
        <f>HYPERLINK("https://klasma.github.io/Logging_2281/fåglar/A 3924-2025 prioriterade fågelarter.docx", "A 3924-2025")</f>
        <v/>
      </c>
    </row>
    <row r="267" ht="15" customHeight="1">
      <c r="A267" t="inlineStr">
        <is>
          <t>A 49863-2023</t>
        </is>
      </c>
      <c r="B267" s="1" t="n">
        <v>45212</v>
      </c>
      <c r="C267" s="1" t="n">
        <v>46181</v>
      </c>
      <c r="D267" t="inlineStr">
        <is>
          <t>VÄSTERNORRLANDS LÄN</t>
        </is>
      </c>
      <c r="E267" t="inlineStr">
        <is>
          <t>SUNDSVALL</t>
        </is>
      </c>
      <c r="F267" t="inlineStr">
        <is>
          <t>SCA</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49863-2023 artfynd.xlsx", "A 49863-2023")</f>
        <v/>
      </c>
      <c r="T267">
        <f>HYPERLINK("https://klasma.github.io/Logging_2281/kartor/A 49863-2023 karta.png", "A 49863-2023")</f>
        <v/>
      </c>
      <c r="V267">
        <f>HYPERLINK("https://klasma.github.io/Logging_2281/klagomål/A 49863-2023 FSC-klagomål.docx", "A 49863-2023")</f>
        <v/>
      </c>
      <c r="W267">
        <f>HYPERLINK("https://klasma.github.io/Logging_2281/klagomålsmail/A 49863-2023 FSC-klagomål mail.docx", "A 49863-2023")</f>
        <v/>
      </c>
      <c r="X267">
        <f>HYPERLINK("https://klasma.github.io/Logging_2281/tillsyn/A 49863-2023 tillsynsbegäran.docx", "A 49863-2023")</f>
        <v/>
      </c>
      <c r="Y267">
        <f>HYPERLINK("https://klasma.github.io/Logging_2281/tillsynsmail/A 49863-2023 tillsynsbegäran mail.docx", "A 49863-2023")</f>
        <v/>
      </c>
      <c r="Z267">
        <f>HYPERLINK("https://klasma.github.io/Logging_2281/fåglar/A 49863-2023 prioriterade fågelarter.docx", "A 49863-2023")</f>
        <v/>
      </c>
    </row>
    <row r="268" ht="15" customHeight="1">
      <c r="A268" t="inlineStr">
        <is>
          <t>A 30827-2023</t>
        </is>
      </c>
      <c r="B268" s="1" t="n">
        <v>45112</v>
      </c>
      <c r="C268" s="1" t="n">
        <v>46181</v>
      </c>
      <c r="D268" t="inlineStr">
        <is>
          <t>VÄSTERNORRLANDS LÄN</t>
        </is>
      </c>
      <c r="E268" t="inlineStr">
        <is>
          <t>SUNDSVALL</t>
        </is>
      </c>
      <c r="F268" t="inlineStr">
        <is>
          <t>SCA</t>
        </is>
      </c>
      <c r="G268" t="n">
        <v>21.9</v>
      </c>
      <c r="H268" t="n">
        <v>0</v>
      </c>
      <c r="I268" t="n">
        <v>1</v>
      </c>
      <c r="J268" t="n">
        <v>0</v>
      </c>
      <c r="K268" t="n">
        <v>0</v>
      </c>
      <c r="L268" t="n">
        <v>0</v>
      </c>
      <c r="M268" t="n">
        <v>0</v>
      </c>
      <c r="N268" t="n">
        <v>0</v>
      </c>
      <c r="O268" t="n">
        <v>0</v>
      </c>
      <c r="P268" t="n">
        <v>0</v>
      </c>
      <c r="Q268" t="n">
        <v>1</v>
      </c>
      <c r="R268" s="2" t="inlineStr">
        <is>
          <t>Dropptaggsvamp</t>
        </is>
      </c>
      <c r="S268">
        <f>HYPERLINK("https://klasma.github.io/Logging_2281/artfynd/A 30827-2023 artfynd.xlsx", "A 30827-2023")</f>
        <v/>
      </c>
      <c r="T268">
        <f>HYPERLINK("https://klasma.github.io/Logging_2281/kartor/A 30827-2023 karta.png", "A 30827-2023")</f>
        <v/>
      </c>
      <c r="V268">
        <f>HYPERLINK("https://klasma.github.io/Logging_2281/klagomål/A 30827-2023 FSC-klagomål.docx", "A 30827-2023")</f>
        <v/>
      </c>
      <c r="W268">
        <f>HYPERLINK("https://klasma.github.io/Logging_2281/klagomålsmail/A 30827-2023 FSC-klagomål mail.docx", "A 30827-2023")</f>
        <v/>
      </c>
      <c r="X268">
        <f>HYPERLINK("https://klasma.github.io/Logging_2281/tillsyn/A 30827-2023 tillsynsbegäran.docx", "A 30827-2023")</f>
        <v/>
      </c>
      <c r="Y268">
        <f>HYPERLINK("https://klasma.github.io/Logging_2281/tillsynsmail/A 30827-2023 tillsynsbegäran mail.docx", "A 30827-2023")</f>
        <v/>
      </c>
    </row>
    <row r="269" ht="15" customHeight="1">
      <c r="A269" t="inlineStr">
        <is>
          <t>A 19866-2024</t>
        </is>
      </c>
      <c r="B269" s="1" t="n">
        <v>45433</v>
      </c>
      <c r="C269" s="1" t="n">
        <v>46181</v>
      </c>
      <c r="D269" t="inlineStr">
        <is>
          <t>VÄSTERNORRLANDS LÄN</t>
        </is>
      </c>
      <c r="E269" t="inlineStr">
        <is>
          <t>SUNDSVALL</t>
        </is>
      </c>
      <c r="G269" t="n">
        <v>4.2</v>
      </c>
      <c r="H269" t="n">
        <v>1</v>
      </c>
      <c r="I269" t="n">
        <v>0</v>
      </c>
      <c r="J269" t="n">
        <v>0</v>
      </c>
      <c r="K269" t="n">
        <v>0</v>
      </c>
      <c r="L269" t="n">
        <v>0</v>
      </c>
      <c r="M269" t="n">
        <v>0</v>
      </c>
      <c r="N269" t="n">
        <v>0</v>
      </c>
      <c r="O269" t="n">
        <v>0</v>
      </c>
      <c r="P269" t="n">
        <v>0</v>
      </c>
      <c r="Q269" t="n">
        <v>1</v>
      </c>
      <c r="R269" s="2" t="inlineStr">
        <is>
          <t>Grönsiska</t>
        </is>
      </c>
      <c r="S269">
        <f>HYPERLINK("https://klasma.github.io/Logging_2281/artfynd/A 19866-2024 artfynd.xlsx", "A 19866-2024")</f>
        <v/>
      </c>
      <c r="T269">
        <f>HYPERLINK("https://klasma.github.io/Logging_2281/kartor/A 19866-2024 karta.png", "A 19866-2024")</f>
        <v/>
      </c>
      <c r="V269">
        <f>HYPERLINK("https://klasma.github.io/Logging_2281/klagomål/A 19866-2024 FSC-klagomål.docx", "A 19866-2024")</f>
        <v/>
      </c>
      <c r="W269">
        <f>HYPERLINK("https://klasma.github.io/Logging_2281/klagomålsmail/A 19866-2024 FSC-klagomål mail.docx", "A 19866-2024")</f>
        <v/>
      </c>
      <c r="X269">
        <f>HYPERLINK("https://klasma.github.io/Logging_2281/tillsyn/A 19866-2024 tillsynsbegäran.docx", "A 19866-2024")</f>
        <v/>
      </c>
      <c r="Y269">
        <f>HYPERLINK("https://klasma.github.io/Logging_2281/tillsynsmail/A 19866-2024 tillsynsbegäran mail.docx", "A 19866-2024")</f>
        <v/>
      </c>
      <c r="Z269">
        <f>HYPERLINK("https://klasma.github.io/Logging_2281/fåglar/A 19866-2024 prioriterade fågelarter.docx", "A 19866-2024")</f>
        <v/>
      </c>
    </row>
    <row r="270" ht="15" customHeight="1">
      <c r="A270" t="inlineStr">
        <is>
          <t>A 64483-2023</t>
        </is>
      </c>
      <c r="B270" s="1" t="n">
        <v>45280</v>
      </c>
      <c r="C270" s="1" t="n">
        <v>46181</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64483-2023 artfynd.xlsx", "A 64483-2023")</f>
        <v/>
      </c>
      <c r="T270">
        <f>HYPERLINK("https://klasma.github.io/Logging_2281/kartor/A 64483-2023 karta.png", "A 64483-2023")</f>
        <v/>
      </c>
      <c r="V270">
        <f>HYPERLINK("https://klasma.github.io/Logging_2281/klagomål/A 64483-2023 FSC-klagomål.docx", "A 64483-2023")</f>
        <v/>
      </c>
      <c r="W270">
        <f>HYPERLINK("https://klasma.github.io/Logging_2281/klagomålsmail/A 64483-2023 FSC-klagomål mail.docx", "A 64483-2023")</f>
        <v/>
      </c>
      <c r="X270">
        <f>HYPERLINK("https://klasma.github.io/Logging_2281/tillsyn/A 64483-2023 tillsynsbegäran.docx", "A 64483-2023")</f>
        <v/>
      </c>
      <c r="Y270">
        <f>HYPERLINK("https://klasma.github.io/Logging_2281/tillsynsmail/A 64483-2023 tillsynsbegäran mail.docx", "A 64483-2023")</f>
        <v/>
      </c>
      <c r="Z270">
        <f>HYPERLINK("https://klasma.github.io/Logging_2281/fåglar/A 64483-2023 prioriterade fågelarter.docx", "A 64483-2023")</f>
        <v/>
      </c>
    </row>
    <row r="271" ht="15" customHeight="1">
      <c r="A271" t="inlineStr">
        <is>
          <t>A 27320-2024</t>
        </is>
      </c>
      <c r="B271" s="1" t="n">
        <v>45471</v>
      </c>
      <c r="C271" s="1" t="n">
        <v>46181</v>
      </c>
      <c r="D271" t="inlineStr">
        <is>
          <t>VÄSTERNORRLANDS LÄN</t>
        </is>
      </c>
      <c r="E271" t="inlineStr">
        <is>
          <t>SUNDSVALL</t>
        </is>
      </c>
      <c r="F271" t="inlineStr">
        <is>
          <t>SCA</t>
        </is>
      </c>
      <c r="G271" t="n">
        <v>4</v>
      </c>
      <c r="H271" t="n">
        <v>0</v>
      </c>
      <c r="I271" t="n">
        <v>0</v>
      </c>
      <c r="J271" t="n">
        <v>1</v>
      </c>
      <c r="K271" t="n">
        <v>0</v>
      </c>
      <c r="L271" t="n">
        <v>0</v>
      </c>
      <c r="M271" t="n">
        <v>0</v>
      </c>
      <c r="N271" t="n">
        <v>0</v>
      </c>
      <c r="O271" t="n">
        <v>1</v>
      </c>
      <c r="P271" t="n">
        <v>0</v>
      </c>
      <c r="Q271" t="n">
        <v>1</v>
      </c>
      <c r="R271" s="2" t="inlineStr">
        <is>
          <t>Småflikig brosklav</t>
        </is>
      </c>
      <c r="S271">
        <f>HYPERLINK("https://klasma.github.io/Logging_2281/artfynd/A 27320-2024 artfynd.xlsx", "A 27320-2024")</f>
        <v/>
      </c>
      <c r="T271">
        <f>HYPERLINK("https://klasma.github.io/Logging_2281/kartor/A 27320-2024 karta.png", "A 27320-2024")</f>
        <v/>
      </c>
      <c r="V271">
        <f>HYPERLINK("https://klasma.github.io/Logging_2281/klagomål/A 27320-2024 FSC-klagomål.docx", "A 27320-2024")</f>
        <v/>
      </c>
      <c r="W271">
        <f>HYPERLINK("https://klasma.github.io/Logging_2281/klagomålsmail/A 27320-2024 FSC-klagomål mail.docx", "A 27320-2024")</f>
        <v/>
      </c>
      <c r="X271">
        <f>HYPERLINK("https://klasma.github.io/Logging_2281/tillsyn/A 27320-2024 tillsynsbegäran.docx", "A 27320-2024")</f>
        <v/>
      </c>
      <c r="Y271">
        <f>HYPERLINK("https://klasma.github.io/Logging_2281/tillsynsmail/A 27320-2024 tillsynsbegäran mail.docx", "A 27320-2024")</f>
        <v/>
      </c>
    </row>
    <row r="272" ht="15" customHeight="1">
      <c r="A272" t="inlineStr">
        <is>
          <t>A 19826-2025</t>
        </is>
      </c>
      <c r="B272" s="1" t="n">
        <v>45771.4690625</v>
      </c>
      <c r="C272" s="1" t="n">
        <v>46181</v>
      </c>
      <c r="D272" t="inlineStr">
        <is>
          <t>VÄSTERNORRLANDS LÄN</t>
        </is>
      </c>
      <c r="E272" t="inlineStr">
        <is>
          <t>SUNDSVALL</t>
        </is>
      </c>
      <c r="F272" t="inlineStr">
        <is>
          <t>Naturvårdsverket</t>
        </is>
      </c>
      <c r="G272" t="n">
        <v>1.5</v>
      </c>
      <c r="H272" t="n">
        <v>0</v>
      </c>
      <c r="I272" t="n">
        <v>0</v>
      </c>
      <c r="J272" t="n">
        <v>1</v>
      </c>
      <c r="K272" t="n">
        <v>0</v>
      </c>
      <c r="L272" t="n">
        <v>0</v>
      </c>
      <c r="M272" t="n">
        <v>0</v>
      </c>
      <c r="N272" t="n">
        <v>0</v>
      </c>
      <c r="O272" t="n">
        <v>1</v>
      </c>
      <c r="P272" t="n">
        <v>0</v>
      </c>
      <c r="Q272" t="n">
        <v>1</v>
      </c>
      <c r="R272" s="2" t="inlineStr">
        <is>
          <t>Lunglav</t>
        </is>
      </c>
      <c r="S272">
        <f>HYPERLINK("https://klasma.github.io/Logging_2281/artfynd/A 19826-2025 artfynd.xlsx", "A 19826-2025")</f>
        <v/>
      </c>
      <c r="T272">
        <f>HYPERLINK("https://klasma.github.io/Logging_2281/kartor/A 19826-2025 karta.png", "A 19826-2025")</f>
        <v/>
      </c>
      <c r="V272">
        <f>HYPERLINK("https://klasma.github.io/Logging_2281/klagomål/A 19826-2025 FSC-klagomål.docx", "A 19826-2025")</f>
        <v/>
      </c>
      <c r="W272">
        <f>HYPERLINK("https://klasma.github.io/Logging_2281/klagomålsmail/A 19826-2025 FSC-klagomål mail.docx", "A 19826-2025")</f>
        <v/>
      </c>
      <c r="X272">
        <f>HYPERLINK("https://klasma.github.io/Logging_2281/tillsyn/A 19826-2025 tillsynsbegäran.docx", "A 19826-2025")</f>
        <v/>
      </c>
      <c r="Y272">
        <f>HYPERLINK("https://klasma.github.io/Logging_2281/tillsynsmail/A 19826-2025 tillsynsbegäran mail.docx", "A 19826-2025")</f>
        <v/>
      </c>
    </row>
    <row r="273" ht="15" customHeight="1">
      <c r="A273" t="inlineStr">
        <is>
          <t>A 1058-2024</t>
        </is>
      </c>
      <c r="B273" s="1" t="n">
        <v>45301</v>
      </c>
      <c r="C273" s="1" t="n">
        <v>46181</v>
      </c>
      <c r="D273" t="inlineStr">
        <is>
          <t>VÄSTERNORRLANDS LÄN</t>
        </is>
      </c>
      <c r="E273" t="inlineStr">
        <is>
          <t>SUNDSVALL</t>
        </is>
      </c>
      <c r="F273" t="inlineStr">
        <is>
          <t>SCA</t>
        </is>
      </c>
      <c r="G273" t="n">
        <v>8</v>
      </c>
      <c r="H273" t="n">
        <v>0</v>
      </c>
      <c r="I273" t="n">
        <v>0</v>
      </c>
      <c r="J273" t="n">
        <v>1</v>
      </c>
      <c r="K273" t="n">
        <v>0</v>
      </c>
      <c r="L273" t="n">
        <v>0</v>
      </c>
      <c r="M273" t="n">
        <v>0</v>
      </c>
      <c r="N273" t="n">
        <v>0</v>
      </c>
      <c r="O273" t="n">
        <v>1</v>
      </c>
      <c r="P273" t="n">
        <v>0</v>
      </c>
      <c r="Q273" t="n">
        <v>1</v>
      </c>
      <c r="R273" s="2" t="inlineStr">
        <is>
          <t>Garnlav</t>
        </is>
      </c>
      <c r="S273">
        <f>HYPERLINK("https://klasma.github.io/Logging_2281/artfynd/A 1058-2024 artfynd.xlsx", "A 1058-2024")</f>
        <v/>
      </c>
      <c r="T273">
        <f>HYPERLINK("https://klasma.github.io/Logging_2281/kartor/A 1058-2024 karta.png", "A 1058-2024")</f>
        <v/>
      </c>
      <c r="V273">
        <f>HYPERLINK("https://klasma.github.io/Logging_2281/klagomål/A 1058-2024 FSC-klagomål.docx", "A 1058-2024")</f>
        <v/>
      </c>
      <c r="W273">
        <f>HYPERLINK("https://klasma.github.io/Logging_2281/klagomålsmail/A 1058-2024 FSC-klagomål mail.docx", "A 1058-2024")</f>
        <v/>
      </c>
      <c r="X273">
        <f>HYPERLINK("https://klasma.github.io/Logging_2281/tillsyn/A 1058-2024 tillsynsbegäran.docx", "A 1058-2024")</f>
        <v/>
      </c>
      <c r="Y273">
        <f>HYPERLINK("https://klasma.github.io/Logging_2281/tillsynsmail/A 1058-2024 tillsynsbegäran mail.docx", "A 1058-2024")</f>
        <v/>
      </c>
    </row>
    <row r="274" ht="15" customHeight="1">
      <c r="A274" t="inlineStr">
        <is>
          <t>A 58470-2023</t>
        </is>
      </c>
      <c r="B274" s="1" t="n">
        <v>45250</v>
      </c>
      <c r="C274" s="1" t="n">
        <v>46181</v>
      </c>
      <c r="D274" t="inlineStr">
        <is>
          <t>VÄSTERNORRLANDS LÄN</t>
        </is>
      </c>
      <c r="E274" t="inlineStr">
        <is>
          <t>SUNDSVALL</t>
        </is>
      </c>
      <c r="F274" t="inlineStr">
        <is>
          <t>SCA</t>
        </is>
      </c>
      <c r="G274" t="n">
        <v>3.7</v>
      </c>
      <c r="H274" t="n">
        <v>0</v>
      </c>
      <c r="I274" t="n">
        <v>0</v>
      </c>
      <c r="J274" t="n">
        <v>1</v>
      </c>
      <c r="K274" t="n">
        <v>0</v>
      </c>
      <c r="L274" t="n">
        <v>0</v>
      </c>
      <c r="M274" t="n">
        <v>0</v>
      </c>
      <c r="N274" t="n">
        <v>0</v>
      </c>
      <c r="O274" t="n">
        <v>1</v>
      </c>
      <c r="P274" t="n">
        <v>0</v>
      </c>
      <c r="Q274" t="n">
        <v>1</v>
      </c>
      <c r="R274" s="2" t="inlineStr">
        <is>
          <t>Granticka</t>
        </is>
      </c>
      <c r="S274">
        <f>HYPERLINK("https://klasma.github.io/Logging_2281/artfynd/A 58470-2023 artfynd.xlsx", "A 58470-2023")</f>
        <v/>
      </c>
      <c r="T274">
        <f>HYPERLINK("https://klasma.github.io/Logging_2281/kartor/A 58470-2023 karta.png", "A 58470-2023")</f>
        <v/>
      </c>
      <c r="V274">
        <f>HYPERLINK("https://klasma.github.io/Logging_2281/klagomål/A 58470-2023 FSC-klagomål.docx", "A 58470-2023")</f>
        <v/>
      </c>
      <c r="W274">
        <f>HYPERLINK("https://klasma.github.io/Logging_2281/klagomålsmail/A 58470-2023 FSC-klagomål mail.docx", "A 58470-2023")</f>
        <v/>
      </c>
      <c r="X274">
        <f>HYPERLINK("https://klasma.github.io/Logging_2281/tillsyn/A 58470-2023 tillsynsbegäran.docx", "A 58470-2023")</f>
        <v/>
      </c>
      <c r="Y274">
        <f>HYPERLINK("https://klasma.github.io/Logging_2281/tillsynsmail/A 58470-2023 tillsynsbegäran mail.docx", "A 58470-2023")</f>
        <v/>
      </c>
    </row>
    <row r="275" ht="15" customHeight="1">
      <c r="A275" t="inlineStr">
        <is>
          <t>A 40123-2021</t>
        </is>
      </c>
      <c r="B275" s="1" t="n">
        <v>44418</v>
      </c>
      <c r="C275" s="1" t="n">
        <v>46181</v>
      </c>
      <c r="D275" t="inlineStr">
        <is>
          <t>VÄSTERNORRLANDS LÄN</t>
        </is>
      </c>
      <c r="E275" t="inlineStr">
        <is>
          <t>SUNDSVALL</t>
        </is>
      </c>
      <c r="G275" t="n">
        <v>12.2</v>
      </c>
      <c r="H275" t="n">
        <v>1</v>
      </c>
      <c r="I275" t="n">
        <v>0</v>
      </c>
      <c r="J275" t="n">
        <v>1</v>
      </c>
      <c r="K275" t="n">
        <v>0</v>
      </c>
      <c r="L275" t="n">
        <v>0</v>
      </c>
      <c r="M275" t="n">
        <v>0</v>
      </c>
      <c r="N275" t="n">
        <v>0</v>
      </c>
      <c r="O275" t="n">
        <v>1</v>
      </c>
      <c r="P275" t="n">
        <v>0</v>
      </c>
      <c r="Q275" t="n">
        <v>1</v>
      </c>
      <c r="R275" s="2" t="inlineStr">
        <is>
          <t>Skogsfru</t>
        </is>
      </c>
      <c r="S275">
        <f>HYPERLINK("https://klasma.github.io/Logging_2281/artfynd/A 40123-2021 artfynd.xlsx", "A 40123-2021")</f>
        <v/>
      </c>
      <c r="T275">
        <f>HYPERLINK("https://klasma.github.io/Logging_2281/kartor/A 40123-2021 karta.png", "A 40123-2021")</f>
        <v/>
      </c>
      <c r="V275">
        <f>HYPERLINK("https://klasma.github.io/Logging_2281/klagomål/A 40123-2021 FSC-klagomål.docx", "A 40123-2021")</f>
        <v/>
      </c>
      <c r="W275">
        <f>HYPERLINK("https://klasma.github.io/Logging_2281/klagomålsmail/A 40123-2021 FSC-klagomål mail.docx", "A 40123-2021")</f>
        <v/>
      </c>
      <c r="X275">
        <f>HYPERLINK("https://klasma.github.io/Logging_2281/tillsyn/A 40123-2021 tillsynsbegäran.docx", "A 40123-2021")</f>
        <v/>
      </c>
      <c r="Y275">
        <f>HYPERLINK("https://klasma.github.io/Logging_2281/tillsynsmail/A 40123-2021 tillsynsbegäran mail.docx", "A 40123-2021")</f>
        <v/>
      </c>
    </row>
    <row r="276" ht="15" customHeight="1">
      <c r="A276" t="inlineStr">
        <is>
          <t>A 22993-2023</t>
        </is>
      </c>
      <c r="B276" s="1" t="n">
        <v>45072</v>
      </c>
      <c r="C276" s="1" t="n">
        <v>46181</v>
      </c>
      <c r="D276" t="inlineStr">
        <is>
          <t>VÄSTERNORRLANDS LÄN</t>
        </is>
      </c>
      <c r="E276" t="inlineStr">
        <is>
          <t>SUNDSVALL</t>
        </is>
      </c>
      <c r="F276" t="inlineStr">
        <is>
          <t>SCA</t>
        </is>
      </c>
      <c r="G276" t="n">
        <v>3.6</v>
      </c>
      <c r="H276" t="n">
        <v>0</v>
      </c>
      <c r="I276" t="n">
        <v>0</v>
      </c>
      <c r="J276" t="n">
        <v>1</v>
      </c>
      <c r="K276" t="n">
        <v>0</v>
      </c>
      <c r="L276" t="n">
        <v>0</v>
      </c>
      <c r="M276" t="n">
        <v>0</v>
      </c>
      <c r="N276" t="n">
        <v>0</v>
      </c>
      <c r="O276" t="n">
        <v>1</v>
      </c>
      <c r="P276" t="n">
        <v>0</v>
      </c>
      <c r="Q276" t="n">
        <v>1</v>
      </c>
      <c r="R276" s="2" t="inlineStr">
        <is>
          <t>Lunglav</t>
        </is>
      </c>
      <c r="S276">
        <f>HYPERLINK("https://klasma.github.io/Logging_2281/artfynd/A 22993-2023 artfynd.xlsx", "A 22993-2023")</f>
        <v/>
      </c>
      <c r="T276">
        <f>HYPERLINK("https://klasma.github.io/Logging_2281/kartor/A 22993-2023 karta.png", "A 22993-2023")</f>
        <v/>
      </c>
      <c r="V276">
        <f>HYPERLINK("https://klasma.github.io/Logging_2281/klagomål/A 22993-2023 FSC-klagomål.docx", "A 22993-2023")</f>
        <v/>
      </c>
      <c r="W276">
        <f>HYPERLINK("https://klasma.github.io/Logging_2281/klagomålsmail/A 22993-2023 FSC-klagomål mail.docx", "A 22993-2023")</f>
        <v/>
      </c>
      <c r="X276">
        <f>HYPERLINK("https://klasma.github.io/Logging_2281/tillsyn/A 22993-2023 tillsynsbegäran.docx", "A 22993-2023")</f>
        <v/>
      </c>
      <c r="Y276">
        <f>HYPERLINK("https://klasma.github.io/Logging_2281/tillsynsmail/A 22993-2023 tillsynsbegäran mail.docx", "A 22993-2023")</f>
        <v/>
      </c>
    </row>
    <row r="277" ht="15" customHeight="1">
      <c r="A277" t="inlineStr">
        <is>
          <t>A 11681-2024</t>
        </is>
      </c>
      <c r="B277" s="1" t="n">
        <v>45373.58155092593</v>
      </c>
      <c r="C277" s="1" t="n">
        <v>46181</v>
      </c>
      <c r="D277" t="inlineStr">
        <is>
          <t>VÄSTERNORRLANDS LÄN</t>
        </is>
      </c>
      <c r="E277" t="inlineStr">
        <is>
          <t>SUNDSVALL</t>
        </is>
      </c>
      <c r="F277" t="inlineStr">
        <is>
          <t>Holmen skog AB</t>
        </is>
      </c>
      <c r="G277" t="n">
        <v>9</v>
      </c>
      <c r="H277" t="n">
        <v>1</v>
      </c>
      <c r="I277" t="n">
        <v>0</v>
      </c>
      <c r="J277" t="n">
        <v>0</v>
      </c>
      <c r="K277" t="n">
        <v>0</v>
      </c>
      <c r="L277" t="n">
        <v>0</v>
      </c>
      <c r="M277" t="n">
        <v>0</v>
      </c>
      <c r="N277" t="n">
        <v>0</v>
      </c>
      <c r="O277" t="n">
        <v>0</v>
      </c>
      <c r="P277" t="n">
        <v>0</v>
      </c>
      <c r="Q277" t="n">
        <v>1</v>
      </c>
      <c r="R277" s="2" t="inlineStr">
        <is>
          <t>Tjäder</t>
        </is>
      </c>
      <c r="S277">
        <f>HYPERLINK("https://klasma.github.io/Logging_2281/artfynd/A 11681-2024 artfynd.xlsx", "A 11681-2024")</f>
        <v/>
      </c>
      <c r="T277">
        <f>HYPERLINK("https://klasma.github.io/Logging_2281/kartor/A 11681-2024 karta.png", "A 11681-2024")</f>
        <v/>
      </c>
      <c r="V277">
        <f>HYPERLINK("https://klasma.github.io/Logging_2281/klagomål/A 11681-2024 FSC-klagomål.docx", "A 11681-2024")</f>
        <v/>
      </c>
      <c r="W277">
        <f>HYPERLINK("https://klasma.github.io/Logging_2281/klagomålsmail/A 11681-2024 FSC-klagomål mail.docx", "A 11681-2024")</f>
        <v/>
      </c>
      <c r="X277">
        <f>HYPERLINK("https://klasma.github.io/Logging_2281/tillsyn/A 11681-2024 tillsynsbegäran.docx", "A 11681-2024")</f>
        <v/>
      </c>
      <c r="Y277">
        <f>HYPERLINK("https://klasma.github.io/Logging_2281/tillsynsmail/A 11681-2024 tillsynsbegäran mail.docx", "A 11681-2024")</f>
        <v/>
      </c>
      <c r="Z277">
        <f>HYPERLINK("https://klasma.github.io/Logging_2281/fåglar/A 11681-2024 prioriterade fågelarter.docx", "A 11681-2024")</f>
        <v/>
      </c>
    </row>
    <row r="278" ht="15" customHeight="1">
      <c r="A278" t="inlineStr">
        <is>
          <t>A 19305-2022</t>
        </is>
      </c>
      <c r="B278" s="1" t="n">
        <v>44692</v>
      </c>
      <c r="C278" s="1" t="n">
        <v>46181</v>
      </c>
      <c r="D278" t="inlineStr">
        <is>
          <t>VÄSTERNORRLANDS LÄN</t>
        </is>
      </c>
      <c r="E278" t="inlineStr">
        <is>
          <t>SUNDSVALL</t>
        </is>
      </c>
      <c r="G278" t="n">
        <v>4.1</v>
      </c>
      <c r="H278" t="n">
        <v>0</v>
      </c>
      <c r="I278" t="n">
        <v>0</v>
      </c>
      <c r="J278" t="n">
        <v>1</v>
      </c>
      <c r="K278" t="n">
        <v>0</v>
      </c>
      <c r="L278" t="n">
        <v>0</v>
      </c>
      <c r="M278" t="n">
        <v>0</v>
      </c>
      <c r="N278" t="n">
        <v>0</v>
      </c>
      <c r="O278" t="n">
        <v>1</v>
      </c>
      <c r="P278" t="n">
        <v>0</v>
      </c>
      <c r="Q278" t="n">
        <v>1</v>
      </c>
      <c r="R278" s="2" t="inlineStr">
        <is>
          <t>Månlåsbräken</t>
        </is>
      </c>
      <c r="S278">
        <f>HYPERLINK("https://klasma.github.io/Logging_2281/artfynd/A 19305-2022 artfynd.xlsx", "A 19305-2022")</f>
        <v/>
      </c>
      <c r="T278">
        <f>HYPERLINK("https://klasma.github.io/Logging_2281/kartor/A 19305-2022 karta.png", "A 19305-2022")</f>
        <v/>
      </c>
      <c r="V278">
        <f>HYPERLINK("https://klasma.github.io/Logging_2281/klagomål/A 19305-2022 FSC-klagomål.docx", "A 19305-2022")</f>
        <v/>
      </c>
      <c r="W278">
        <f>HYPERLINK("https://klasma.github.io/Logging_2281/klagomålsmail/A 19305-2022 FSC-klagomål mail.docx", "A 19305-2022")</f>
        <v/>
      </c>
      <c r="X278">
        <f>HYPERLINK("https://klasma.github.io/Logging_2281/tillsyn/A 19305-2022 tillsynsbegäran.docx", "A 19305-2022")</f>
        <v/>
      </c>
      <c r="Y278">
        <f>HYPERLINK("https://klasma.github.io/Logging_2281/tillsynsmail/A 19305-2022 tillsynsbegäran mail.docx", "A 19305-2022")</f>
        <v/>
      </c>
    </row>
    <row r="279" ht="15" customHeight="1">
      <c r="A279" t="inlineStr">
        <is>
          <t>A 20277-2024</t>
        </is>
      </c>
      <c r="B279" s="1" t="n">
        <v>45434</v>
      </c>
      <c r="C279" s="1" t="n">
        <v>46181</v>
      </c>
      <c r="D279" t="inlineStr">
        <is>
          <t>VÄSTERNORRLANDS LÄN</t>
        </is>
      </c>
      <c r="E279" t="inlineStr">
        <is>
          <t>SUNDSVALL</t>
        </is>
      </c>
      <c r="F279" t="inlineStr">
        <is>
          <t>SCA</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HYPERLINK("https://klasma.github.io/Logging_2281/artfynd/A 20277-2024 artfynd.xlsx", "A 20277-2024")</f>
        <v/>
      </c>
      <c r="T279">
        <f>HYPERLINK("https://klasma.github.io/Logging_2281/kartor/A 20277-2024 karta.png", "A 20277-2024")</f>
        <v/>
      </c>
      <c r="V279">
        <f>HYPERLINK("https://klasma.github.io/Logging_2281/klagomål/A 20277-2024 FSC-klagomål.docx", "A 20277-2024")</f>
        <v/>
      </c>
      <c r="W279">
        <f>HYPERLINK("https://klasma.github.io/Logging_2281/klagomålsmail/A 20277-2024 FSC-klagomål mail.docx", "A 20277-2024")</f>
        <v/>
      </c>
      <c r="X279">
        <f>HYPERLINK("https://klasma.github.io/Logging_2281/tillsyn/A 20277-2024 tillsynsbegäran.docx", "A 20277-2024")</f>
        <v/>
      </c>
      <c r="Y279">
        <f>HYPERLINK("https://klasma.github.io/Logging_2281/tillsynsmail/A 20277-2024 tillsynsbegäran mail.docx", "A 20277-2024")</f>
        <v/>
      </c>
    </row>
    <row r="280" ht="15" customHeight="1">
      <c r="A280" t="inlineStr">
        <is>
          <t>A 13347-2024</t>
        </is>
      </c>
      <c r="B280" s="1" t="n">
        <v>45386</v>
      </c>
      <c r="C280" s="1" t="n">
        <v>46181</v>
      </c>
      <c r="D280" t="inlineStr">
        <is>
          <t>VÄSTERNORRLANDS LÄN</t>
        </is>
      </c>
      <c r="E280" t="inlineStr">
        <is>
          <t>SUNDSVALL</t>
        </is>
      </c>
      <c r="G280" t="n">
        <v>1.6</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13347-2024 artfynd.xlsx", "A 13347-2024")</f>
        <v/>
      </c>
      <c r="T280">
        <f>HYPERLINK("https://klasma.github.io/Logging_2281/kartor/A 13347-2024 karta.png", "A 13347-2024")</f>
        <v/>
      </c>
      <c r="V280">
        <f>HYPERLINK("https://klasma.github.io/Logging_2281/klagomål/A 13347-2024 FSC-klagomål.docx", "A 13347-2024")</f>
        <v/>
      </c>
      <c r="W280">
        <f>HYPERLINK("https://klasma.github.io/Logging_2281/klagomålsmail/A 13347-2024 FSC-klagomål mail.docx", "A 13347-2024")</f>
        <v/>
      </c>
      <c r="X280">
        <f>HYPERLINK("https://klasma.github.io/Logging_2281/tillsyn/A 13347-2024 tillsynsbegäran.docx", "A 13347-2024")</f>
        <v/>
      </c>
      <c r="Y280">
        <f>HYPERLINK("https://klasma.github.io/Logging_2281/tillsynsmail/A 13347-2024 tillsynsbegäran mail.docx", "A 13347-2024")</f>
        <v/>
      </c>
      <c r="Z280">
        <f>HYPERLINK("https://klasma.github.io/Logging_2281/fåglar/A 13347-2024 prioriterade fågelarter.docx", "A 13347-2024")</f>
        <v/>
      </c>
    </row>
    <row r="281" ht="15" customHeight="1">
      <c r="A281" t="inlineStr">
        <is>
          <t>A 59895-2024</t>
        </is>
      </c>
      <c r="B281" s="1" t="n">
        <v>45641.59408564815</v>
      </c>
      <c r="C281" s="1" t="n">
        <v>46181</v>
      </c>
      <c r="D281" t="inlineStr">
        <is>
          <t>VÄSTERNORRLANDS LÄN</t>
        </is>
      </c>
      <c r="E281" t="inlineStr">
        <is>
          <t>SUNDSVALL</t>
        </is>
      </c>
      <c r="F281" t="inlineStr">
        <is>
          <t>SCA</t>
        </is>
      </c>
      <c r="G281" t="n">
        <v>3.4</v>
      </c>
      <c r="H281" t="n">
        <v>1</v>
      </c>
      <c r="I281" t="n">
        <v>0</v>
      </c>
      <c r="J281" t="n">
        <v>0</v>
      </c>
      <c r="K281" t="n">
        <v>1</v>
      </c>
      <c r="L281" t="n">
        <v>0</v>
      </c>
      <c r="M281" t="n">
        <v>0</v>
      </c>
      <c r="N281" t="n">
        <v>0</v>
      </c>
      <c r="O281" t="n">
        <v>1</v>
      </c>
      <c r="P281" t="n">
        <v>1</v>
      </c>
      <c r="Q281" t="n">
        <v>1</v>
      </c>
      <c r="R281" s="2" t="inlineStr">
        <is>
          <t>Knärot</t>
        </is>
      </c>
      <c r="S281">
        <f>HYPERLINK("https://klasma.github.io/Logging_2281/artfynd/A 59895-2024 artfynd.xlsx", "A 59895-2024")</f>
        <v/>
      </c>
      <c r="T281">
        <f>HYPERLINK("https://klasma.github.io/Logging_2281/kartor/A 59895-2024 karta.png", "A 59895-2024")</f>
        <v/>
      </c>
      <c r="U281">
        <f>HYPERLINK("https://klasma.github.io/Logging_2281/knärot/A 59895-2024 karta knärot.png", "A 59895-2024")</f>
        <v/>
      </c>
      <c r="V281">
        <f>HYPERLINK("https://klasma.github.io/Logging_2281/klagomål/A 59895-2024 FSC-klagomål.docx", "A 59895-2024")</f>
        <v/>
      </c>
      <c r="W281">
        <f>HYPERLINK("https://klasma.github.io/Logging_2281/klagomålsmail/A 59895-2024 FSC-klagomål mail.docx", "A 59895-2024")</f>
        <v/>
      </c>
      <c r="X281">
        <f>HYPERLINK("https://klasma.github.io/Logging_2281/tillsyn/A 59895-2024 tillsynsbegäran.docx", "A 59895-2024")</f>
        <v/>
      </c>
      <c r="Y281">
        <f>HYPERLINK("https://klasma.github.io/Logging_2281/tillsynsmail/A 59895-2024 tillsynsbegäran mail.docx", "A 59895-2024")</f>
        <v/>
      </c>
    </row>
    <row r="282" ht="15" customHeight="1">
      <c r="A282" t="inlineStr">
        <is>
          <t>A 15346-2023</t>
        </is>
      </c>
      <c r="B282" s="1" t="n">
        <v>45016</v>
      </c>
      <c r="C282" s="1" t="n">
        <v>46181</v>
      </c>
      <c r="D282" t="inlineStr">
        <is>
          <t>VÄSTERNORRLANDS LÄN</t>
        </is>
      </c>
      <c r="E282" t="inlineStr">
        <is>
          <t>SUNDSVALL</t>
        </is>
      </c>
      <c r="G282" t="n">
        <v>3.8</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15346-2023 artfynd.xlsx", "A 15346-2023")</f>
        <v/>
      </c>
      <c r="T282">
        <f>HYPERLINK("https://klasma.github.io/Logging_2281/kartor/A 15346-2023 karta.png", "A 15346-2023")</f>
        <v/>
      </c>
      <c r="V282">
        <f>HYPERLINK("https://klasma.github.io/Logging_2281/klagomål/A 15346-2023 FSC-klagomål.docx", "A 15346-2023")</f>
        <v/>
      </c>
      <c r="W282">
        <f>HYPERLINK("https://klasma.github.io/Logging_2281/klagomålsmail/A 15346-2023 FSC-klagomål mail.docx", "A 15346-2023")</f>
        <v/>
      </c>
      <c r="X282">
        <f>HYPERLINK("https://klasma.github.io/Logging_2281/tillsyn/A 15346-2023 tillsynsbegäran.docx", "A 15346-2023")</f>
        <v/>
      </c>
      <c r="Y282">
        <f>HYPERLINK("https://klasma.github.io/Logging_2281/tillsynsmail/A 15346-2023 tillsynsbegäran mail.docx", "A 15346-2023")</f>
        <v/>
      </c>
      <c r="Z282">
        <f>HYPERLINK("https://klasma.github.io/Logging_2281/fåglar/A 15346-2023 prioriterade fågelarter.docx", "A 15346-2023")</f>
        <v/>
      </c>
    </row>
    <row r="283" ht="15" customHeight="1">
      <c r="A283" t="inlineStr">
        <is>
          <t>A 7264-2025</t>
        </is>
      </c>
      <c r="B283" s="1" t="n">
        <v>45702.59416666667</v>
      </c>
      <c r="C283" s="1" t="n">
        <v>46181</v>
      </c>
      <c r="D283" t="inlineStr">
        <is>
          <t>VÄSTERNORRLANDS LÄN</t>
        </is>
      </c>
      <c r="E283" t="inlineStr">
        <is>
          <t>SUNDSVALL</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HYPERLINK("https://klasma.github.io/Logging_2281/artfynd/A 7264-2025 artfynd.xlsx", "A 7264-2025")</f>
        <v/>
      </c>
      <c r="T283">
        <f>HYPERLINK("https://klasma.github.io/Logging_2281/kartor/A 7264-2025 karta.png", "A 7264-2025")</f>
        <v/>
      </c>
      <c r="U283">
        <f>HYPERLINK("https://klasma.github.io/Logging_2281/knärot/A 7264-2025 karta knärot.png", "A 7264-2025")</f>
        <v/>
      </c>
      <c r="V283">
        <f>HYPERLINK("https://klasma.github.io/Logging_2281/klagomål/A 7264-2025 FSC-klagomål.docx", "A 7264-2025")</f>
        <v/>
      </c>
      <c r="W283">
        <f>HYPERLINK("https://klasma.github.io/Logging_2281/klagomålsmail/A 7264-2025 FSC-klagomål mail.docx", "A 7264-2025")</f>
        <v/>
      </c>
      <c r="X283">
        <f>HYPERLINK("https://klasma.github.io/Logging_2281/tillsyn/A 7264-2025 tillsynsbegäran.docx", "A 7264-2025")</f>
        <v/>
      </c>
      <c r="Y283">
        <f>HYPERLINK("https://klasma.github.io/Logging_2281/tillsynsmail/A 7264-2025 tillsynsbegäran mail.docx", "A 7264-2025")</f>
        <v/>
      </c>
    </row>
    <row r="284" ht="15" customHeight="1">
      <c r="A284" t="inlineStr">
        <is>
          <t>A 9584-2023</t>
        </is>
      </c>
      <c r="B284" s="1" t="n">
        <v>44982</v>
      </c>
      <c r="C284" s="1" t="n">
        <v>46181</v>
      </c>
      <c r="D284" t="inlineStr">
        <is>
          <t>VÄSTERNORRLANDS LÄN</t>
        </is>
      </c>
      <c r="E284" t="inlineStr">
        <is>
          <t>SUNDSVALL</t>
        </is>
      </c>
      <c r="F284" t="inlineStr">
        <is>
          <t>SCA</t>
        </is>
      </c>
      <c r="G284" t="n">
        <v>3.7</v>
      </c>
      <c r="H284" t="n">
        <v>1</v>
      </c>
      <c r="I284" t="n">
        <v>0</v>
      </c>
      <c r="J284" t="n">
        <v>0</v>
      </c>
      <c r="K284" t="n">
        <v>0</v>
      </c>
      <c r="L284" t="n">
        <v>0</v>
      </c>
      <c r="M284" t="n">
        <v>0</v>
      </c>
      <c r="N284" t="n">
        <v>0</v>
      </c>
      <c r="O284" t="n">
        <v>0</v>
      </c>
      <c r="P284" t="n">
        <v>0</v>
      </c>
      <c r="Q284" t="n">
        <v>1</v>
      </c>
      <c r="R284" s="2" t="inlineStr">
        <is>
          <t>Orre</t>
        </is>
      </c>
      <c r="S284">
        <f>HYPERLINK("https://klasma.github.io/Logging_2281/artfynd/A 9584-2023 artfynd.xlsx", "A 9584-2023")</f>
        <v/>
      </c>
      <c r="T284">
        <f>HYPERLINK("https://klasma.github.io/Logging_2281/kartor/A 9584-2023 karta.png", "A 9584-2023")</f>
        <v/>
      </c>
      <c r="V284">
        <f>HYPERLINK("https://klasma.github.io/Logging_2281/klagomål/A 9584-2023 FSC-klagomål.docx", "A 9584-2023")</f>
        <v/>
      </c>
      <c r="W284">
        <f>HYPERLINK("https://klasma.github.io/Logging_2281/klagomålsmail/A 9584-2023 FSC-klagomål mail.docx", "A 9584-2023")</f>
        <v/>
      </c>
      <c r="X284">
        <f>HYPERLINK("https://klasma.github.io/Logging_2281/tillsyn/A 9584-2023 tillsynsbegäran.docx", "A 9584-2023")</f>
        <v/>
      </c>
      <c r="Y284">
        <f>HYPERLINK("https://klasma.github.io/Logging_2281/tillsynsmail/A 9584-2023 tillsynsbegäran mail.docx", "A 9584-2023")</f>
        <v/>
      </c>
      <c r="Z284">
        <f>HYPERLINK("https://klasma.github.io/Logging_2281/fåglar/A 9584-2023 prioriterade fågelarter.docx", "A 9584-2023")</f>
        <v/>
      </c>
    </row>
    <row r="285" ht="15" customHeight="1">
      <c r="A285" t="inlineStr">
        <is>
          <t>A 10683-2025</t>
        </is>
      </c>
      <c r="B285" s="1" t="n">
        <v>45721.94451388889</v>
      </c>
      <c r="C285" s="1" t="n">
        <v>46181</v>
      </c>
      <c r="D285" t="inlineStr">
        <is>
          <t>VÄSTERNORRLANDS LÄN</t>
        </is>
      </c>
      <c r="E285" t="inlineStr">
        <is>
          <t>SUNDSVALL</t>
        </is>
      </c>
      <c r="G285" t="n">
        <v>1.5</v>
      </c>
      <c r="H285" t="n">
        <v>1</v>
      </c>
      <c r="I285" t="n">
        <v>0</v>
      </c>
      <c r="J285" t="n">
        <v>1</v>
      </c>
      <c r="K285" t="n">
        <v>0</v>
      </c>
      <c r="L285" t="n">
        <v>0</v>
      </c>
      <c r="M285" t="n">
        <v>0</v>
      </c>
      <c r="N285" t="n">
        <v>0</v>
      </c>
      <c r="O285" t="n">
        <v>1</v>
      </c>
      <c r="P285" t="n">
        <v>0</v>
      </c>
      <c r="Q285" t="n">
        <v>1</v>
      </c>
      <c r="R285" s="2" t="inlineStr">
        <is>
          <t>Björktrast</t>
        </is>
      </c>
      <c r="S285">
        <f>HYPERLINK("https://klasma.github.io/Logging_2281/artfynd/A 10683-2025 artfynd.xlsx", "A 10683-2025")</f>
        <v/>
      </c>
      <c r="T285">
        <f>HYPERLINK("https://klasma.github.io/Logging_2281/kartor/A 10683-2025 karta.png", "A 10683-2025")</f>
        <v/>
      </c>
      <c r="V285">
        <f>HYPERLINK("https://klasma.github.io/Logging_2281/klagomål/A 10683-2025 FSC-klagomål.docx", "A 10683-2025")</f>
        <v/>
      </c>
      <c r="W285">
        <f>HYPERLINK("https://klasma.github.io/Logging_2281/klagomålsmail/A 10683-2025 FSC-klagomål mail.docx", "A 10683-2025")</f>
        <v/>
      </c>
      <c r="X285">
        <f>HYPERLINK("https://klasma.github.io/Logging_2281/tillsyn/A 10683-2025 tillsynsbegäran.docx", "A 10683-2025")</f>
        <v/>
      </c>
      <c r="Y285">
        <f>HYPERLINK("https://klasma.github.io/Logging_2281/tillsynsmail/A 10683-2025 tillsynsbegäran mail.docx", "A 10683-2025")</f>
        <v/>
      </c>
      <c r="Z285">
        <f>HYPERLINK("https://klasma.github.io/Logging_2281/fåglar/A 10683-2025 prioriterade fågelarter.docx", "A 10683-2025")</f>
        <v/>
      </c>
    </row>
    <row r="286" ht="15" customHeight="1">
      <c r="A286" t="inlineStr">
        <is>
          <t>A 7704-2026</t>
        </is>
      </c>
      <c r="B286" s="1" t="n">
        <v>46062</v>
      </c>
      <c r="C286" s="1" t="n">
        <v>46181</v>
      </c>
      <c r="D286" t="inlineStr">
        <is>
          <t>VÄSTERNORRLANDS LÄN</t>
        </is>
      </c>
      <c r="E286" t="inlineStr">
        <is>
          <t>SUNDSVALL</t>
        </is>
      </c>
      <c r="G286" t="n">
        <v>0.7</v>
      </c>
      <c r="H286" t="n">
        <v>1</v>
      </c>
      <c r="I286" t="n">
        <v>0</v>
      </c>
      <c r="J286" t="n">
        <v>1</v>
      </c>
      <c r="K286" t="n">
        <v>0</v>
      </c>
      <c r="L286" t="n">
        <v>0</v>
      </c>
      <c r="M286" t="n">
        <v>0</v>
      </c>
      <c r="N286" t="n">
        <v>0</v>
      </c>
      <c r="O286" t="n">
        <v>1</v>
      </c>
      <c r="P286" t="n">
        <v>0</v>
      </c>
      <c r="Q286" t="n">
        <v>1</v>
      </c>
      <c r="R286" s="2" t="inlineStr">
        <is>
          <t>Tretåig hackspett</t>
        </is>
      </c>
      <c r="S286">
        <f>HYPERLINK("https://klasma.github.io/Logging_2281/artfynd/A 7704-2026 artfynd.xlsx", "A 7704-2026")</f>
        <v/>
      </c>
      <c r="T286">
        <f>HYPERLINK("https://klasma.github.io/Logging_2281/kartor/A 7704-2026 karta.png", "A 7704-2026")</f>
        <v/>
      </c>
      <c r="V286">
        <f>HYPERLINK("https://klasma.github.io/Logging_2281/klagomål/A 7704-2026 FSC-klagomål.docx", "A 7704-2026")</f>
        <v/>
      </c>
      <c r="W286">
        <f>HYPERLINK("https://klasma.github.io/Logging_2281/klagomålsmail/A 7704-2026 FSC-klagomål mail.docx", "A 7704-2026")</f>
        <v/>
      </c>
      <c r="X286">
        <f>HYPERLINK("https://klasma.github.io/Logging_2281/tillsyn/A 7704-2026 tillsynsbegäran.docx", "A 7704-2026")</f>
        <v/>
      </c>
      <c r="Y286">
        <f>HYPERLINK("https://klasma.github.io/Logging_2281/tillsynsmail/A 7704-2026 tillsynsbegäran mail.docx", "A 7704-2026")</f>
        <v/>
      </c>
      <c r="Z286">
        <f>HYPERLINK("https://klasma.github.io/Logging_2281/fåglar/A 7704-2026 prioriterade fågelarter.docx", "A 7704-2026")</f>
        <v/>
      </c>
    </row>
    <row r="287" ht="15" customHeight="1">
      <c r="A287" t="inlineStr">
        <is>
          <t>A 20631-2025</t>
        </is>
      </c>
      <c r="B287" s="1" t="n">
        <v>45776</v>
      </c>
      <c r="C287" s="1" t="n">
        <v>46181</v>
      </c>
      <c r="D287" t="inlineStr">
        <is>
          <t>VÄSTERNORRLANDS LÄN</t>
        </is>
      </c>
      <c r="E287" t="inlineStr">
        <is>
          <t>SUNDSVALL</t>
        </is>
      </c>
      <c r="F287" t="inlineStr">
        <is>
          <t>Naturvårdsverket</t>
        </is>
      </c>
      <c r="G287" t="n">
        <v>9.6</v>
      </c>
      <c r="H287" t="n">
        <v>0</v>
      </c>
      <c r="I287" t="n">
        <v>0</v>
      </c>
      <c r="J287" t="n">
        <v>1</v>
      </c>
      <c r="K287" t="n">
        <v>0</v>
      </c>
      <c r="L287" t="n">
        <v>0</v>
      </c>
      <c r="M287" t="n">
        <v>0</v>
      </c>
      <c r="N287" t="n">
        <v>0</v>
      </c>
      <c r="O287" t="n">
        <v>1</v>
      </c>
      <c r="P287" t="n">
        <v>0</v>
      </c>
      <c r="Q287" t="n">
        <v>1</v>
      </c>
      <c r="R287" s="2" t="inlineStr">
        <is>
          <t>Nordtagging</t>
        </is>
      </c>
      <c r="S287">
        <f>HYPERLINK("https://klasma.github.io/Logging_2281/artfynd/A 20631-2025 artfynd.xlsx", "A 20631-2025")</f>
        <v/>
      </c>
      <c r="T287">
        <f>HYPERLINK("https://klasma.github.io/Logging_2281/kartor/A 20631-2025 karta.png", "A 20631-2025")</f>
        <v/>
      </c>
      <c r="V287">
        <f>HYPERLINK("https://klasma.github.io/Logging_2281/klagomål/A 20631-2025 FSC-klagomål.docx", "A 20631-2025")</f>
        <v/>
      </c>
      <c r="W287">
        <f>HYPERLINK("https://klasma.github.io/Logging_2281/klagomålsmail/A 20631-2025 FSC-klagomål mail.docx", "A 20631-2025")</f>
        <v/>
      </c>
      <c r="X287">
        <f>HYPERLINK("https://klasma.github.io/Logging_2281/tillsyn/A 20631-2025 tillsynsbegäran.docx", "A 20631-2025")</f>
        <v/>
      </c>
      <c r="Y287">
        <f>HYPERLINK("https://klasma.github.io/Logging_2281/tillsynsmail/A 20631-2025 tillsynsbegäran mail.docx", "A 20631-2025")</f>
        <v/>
      </c>
    </row>
    <row r="288" ht="15" customHeight="1">
      <c r="A288" t="inlineStr">
        <is>
          <t>A 21318-2025</t>
        </is>
      </c>
      <c r="B288" s="1" t="n">
        <v>45782.34424768519</v>
      </c>
      <c r="C288" s="1" t="n">
        <v>46181</v>
      </c>
      <c r="D288" t="inlineStr">
        <is>
          <t>VÄSTERNORRLANDS LÄN</t>
        </is>
      </c>
      <c r="E288" t="inlineStr">
        <is>
          <t>SUNDSVALL</t>
        </is>
      </c>
      <c r="F288" t="inlineStr">
        <is>
          <t>Naturvårdsverket</t>
        </is>
      </c>
      <c r="G288" t="n">
        <v>3.7</v>
      </c>
      <c r="H288" t="n">
        <v>0</v>
      </c>
      <c r="I288" t="n">
        <v>0</v>
      </c>
      <c r="J288" t="n">
        <v>1</v>
      </c>
      <c r="K288" t="n">
        <v>0</v>
      </c>
      <c r="L288" t="n">
        <v>0</v>
      </c>
      <c r="M288" t="n">
        <v>0</v>
      </c>
      <c r="N288" t="n">
        <v>0</v>
      </c>
      <c r="O288" t="n">
        <v>1</v>
      </c>
      <c r="P288" t="n">
        <v>0</v>
      </c>
      <c r="Q288" t="n">
        <v>1</v>
      </c>
      <c r="R288" s="2" t="inlineStr">
        <is>
          <t>Reliktbock</t>
        </is>
      </c>
      <c r="S288">
        <f>HYPERLINK("https://klasma.github.io/Logging_2281/artfynd/A 21318-2025 artfynd.xlsx", "A 21318-2025")</f>
        <v/>
      </c>
      <c r="T288">
        <f>HYPERLINK("https://klasma.github.io/Logging_2281/kartor/A 21318-2025 karta.png", "A 21318-2025")</f>
        <v/>
      </c>
      <c r="V288">
        <f>HYPERLINK("https://klasma.github.io/Logging_2281/klagomål/A 21318-2025 FSC-klagomål.docx", "A 21318-2025")</f>
        <v/>
      </c>
      <c r="W288">
        <f>HYPERLINK("https://klasma.github.io/Logging_2281/klagomålsmail/A 21318-2025 FSC-klagomål mail.docx", "A 21318-2025")</f>
        <v/>
      </c>
      <c r="X288">
        <f>HYPERLINK("https://klasma.github.io/Logging_2281/tillsyn/A 21318-2025 tillsynsbegäran.docx", "A 21318-2025")</f>
        <v/>
      </c>
      <c r="Y288">
        <f>HYPERLINK("https://klasma.github.io/Logging_2281/tillsynsmail/A 21318-2025 tillsynsbegäran mail.docx", "A 21318-2025")</f>
        <v/>
      </c>
    </row>
    <row r="289" ht="15" customHeight="1">
      <c r="A289" t="inlineStr">
        <is>
          <t>A 20119-2026</t>
        </is>
      </c>
      <c r="B289" s="1" t="n">
        <v>46136.65724537037</v>
      </c>
      <c r="C289" s="1" t="n">
        <v>46181</v>
      </c>
      <c r="D289" t="inlineStr">
        <is>
          <t>VÄSTERNORRLANDS LÄN</t>
        </is>
      </c>
      <c r="E289" t="inlineStr">
        <is>
          <t>SUNDSVALL</t>
        </is>
      </c>
      <c r="F289" t="inlineStr">
        <is>
          <t>SCA</t>
        </is>
      </c>
      <c r="G289" t="n">
        <v>2</v>
      </c>
      <c r="H289" t="n">
        <v>1</v>
      </c>
      <c r="I289" t="n">
        <v>0</v>
      </c>
      <c r="J289" t="n">
        <v>0</v>
      </c>
      <c r="K289" t="n">
        <v>0</v>
      </c>
      <c r="L289" t="n">
        <v>0</v>
      </c>
      <c r="M289" t="n">
        <v>0</v>
      </c>
      <c r="N289" t="n">
        <v>0</v>
      </c>
      <c r="O289" t="n">
        <v>0</v>
      </c>
      <c r="P289" t="n">
        <v>0</v>
      </c>
      <c r="Q289" t="n">
        <v>1</v>
      </c>
      <c r="R289" s="2" t="inlineStr">
        <is>
          <t>Tjäder</t>
        </is>
      </c>
      <c r="S289">
        <f>HYPERLINK("https://klasma.github.io/Logging_2281/artfynd/A 20119-2026 artfynd.xlsx", "A 20119-2026")</f>
        <v/>
      </c>
      <c r="T289">
        <f>HYPERLINK("https://klasma.github.io/Logging_2281/kartor/A 20119-2026 karta.png", "A 20119-2026")</f>
        <v/>
      </c>
      <c r="V289">
        <f>HYPERLINK("https://klasma.github.io/Logging_2281/klagomål/A 20119-2026 FSC-klagomål.docx", "A 20119-2026")</f>
        <v/>
      </c>
      <c r="W289">
        <f>HYPERLINK("https://klasma.github.io/Logging_2281/klagomålsmail/A 20119-2026 FSC-klagomål mail.docx", "A 20119-2026")</f>
        <v/>
      </c>
      <c r="X289">
        <f>HYPERLINK("https://klasma.github.io/Logging_2281/tillsyn/A 20119-2026 tillsynsbegäran.docx", "A 20119-2026")</f>
        <v/>
      </c>
      <c r="Y289">
        <f>HYPERLINK("https://klasma.github.io/Logging_2281/tillsynsmail/A 20119-2026 tillsynsbegäran mail.docx", "A 20119-2026")</f>
        <v/>
      </c>
      <c r="Z289">
        <f>HYPERLINK("https://klasma.github.io/Logging_2281/fåglar/A 20119-2026 prioriterade fågelarter.docx", "A 20119-2026")</f>
        <v/>
      </c>
    </row>
    <row r="290" ht="15" customHeight="1">
      <c r="A290" t="inlineStr">
        <is>
          <t>A 45500-2025</t>
        </is>
      </c>
      <c r="B290" s="1" t="n">
        <v>45922.57185185186</v>
      </c>
      <c r="C290" s="1" t="n">
        <v>46181</v>
      </c>
      <c r="D290" t="inlineStr">
        <is>
          <t>VÄSTERNORRLANDS LÄN</t>
        </is>
      </c>
      <c r="E290" t="inlineStr">
        <is>
          <t>SUNDSVALL</t>
        </is>
      </c>
      <c r="G290" t="n">
        <v>4.5</v>
      </c>
      <c r="H290" t="n">
        <v>1</v>
      </c>
      <c r="I290" t="n">
        <v>0</v>
      </c>
      <c r="J290" t="n">
        <v>0</v>
      </c>
      <c r="K290" t="n">
        <v>0</v>
      </c>
      <c r="L290" t="n">
        <v>0</v>
      </c>
      <c r="M290" t="n">
        <v>0</v>
      </c>
      <c r="N290" t="n">
        <v>0</v>
      </c>
      <c r="O290" t="n">
        <v>0</v>
      </c>
      <c r="P290" t="n">
        <v>0</v>
      </c>
      <c r="Q290" t="n">
        <v>1</v>
      </c>
      <c r="R290" s="2" t="inlineStr">
        <is>
          <t>Revlummer</t>
        </is>
      </c>
      <c r="S290">
        <f>HYPERLINK("https://klasma.github.io/Logging_2281/artfynd/A 45500-2025 artfynd.xlsx", "A 45500-2025")</f>
        <v/>
      </c>
      <c r="T290">
        <f>HYPERLINK("https://klasma.github.io/Logging_2281/kartor/A 45500-2025 karta.png", "A 45500-2025")</f>
        <v/>
      </c>
      <c r="V290">
        <f>HYPERLINK("https://klasma.github.io/Logging_2281/klagomål/A 45500-2025 FSC-klagomål.docx", "A 45500-2025")</f>
        <v/>
      </c>
      <c r="W290">
        <f>HYPERLINK("https://klasma.github.io/Logging_2281/klagomålsmail/A 45500-2025 FSC-klagomål mail.docx", "A 45500-2025")</f>
        <v/>
      </c>
      <c r="X290">
        <f>HYPERLINK("https://klasma.github.io/Logging_2281/tillsyn/A 45500-2025 tillsynsbegäran.docx", "A 45500-2025")</f>
        <v/>
      </c>
      <c r="Y290">
        <f>HYPERLINK("https://klasma.github.io/Logging_2281/tillsynsmail/A 45500-2025 tillsynsbegäran mail.docx", "A 45500-2025")</f>
        <v/>
      </c>
    </row>
    <row r="291" ht="15" customHeight="1">
      <c r="A291" t="inlineStr">
        <is>
          <t>A 19966-2026</t>
        </is>
      </c>
      <c r="B291" s="1" t="n">
        <v>46136.42440972223</v>
      </c>
      <c r="C291" s="1" t="n">
        <v>46181</v>
      </c>
      <c r="D291" t="inlineStr">
        <is>
          <t>VÄSTERNORRLANDS LÄN</t>
        </is>
      </c>
      <c r="E291" t="inlineStr">
        <is>
          <t>SUNDSVALL</t>
        </is>
      </c>
      <c r="G291" t="n">
        <v>6.4</v>
      </c>
      <c r="H291" t="n">
        <v>1</v>
      </c>
      <c r="I291" t="n">
        <v>0</v>
      </c>
      <c r="J291" t="n">
        <v>0</v>
      </c>
      <c r="K291" t="n">
        <v>0</v>
      </c>
      <c r="L291" t="n">
        <v>0</v>
      </c>
      <c r="M291" t="n">
        <v>0</v>
      </c>
      <c r="N291" t="n">
        <v>0</v>
      </c>
      <c r="O291" t="n">
        <v>0</v>
      </c>
      <c r="P291" t="n">
        <v>0</v>
      </c>
      <c r="Q291" t="n">
        <v>1</v>
      </c>
      <c r="R291" s="2" t="inlineStr">
        <is>
          <t>Fläcknycklar</t>
        </is>
      </c>
      <c r="S291">
        <f>HYPERLINK("https://klasma.github.io/Logging_2281/artfynd/A 19966-2026 artfynd.xlsx", "A 19966-2026")</f>
        <v/>
      </c>
      <c r="T291">
        <f>HYPERLINK("https://klasma.github.io/Logging_2281/kartor/A 19966-2026 karta.png", "A 19966-2026")</f>
        <v/>
      </c>
      <c r="V291">
        <f>HYPERLINK("https://klasma.github.io/Logging_2281/klagomål/A 19966-2026 FSC-klagomål.docx", "A 19966-2026")</f>
        <v/>
      </c>
      <c r="W291">
        <f>HYPERLINK("https://klasma.github.io/Logging_2281/klagomålsmail/A 19966-2026 FSC-klagomål mail.docx", "A 19966-2026")</f>
        <v/>
      </c>
      <c r="X291">
        <f>HYPERLINK("https://klasma.github.io/Logging_2281/tillsyn/A 19966-2026 tillsynsbegäran.docx", "A 19966-2026")</f>
        <v/>
      </c>
      <c r="Y291">
        <f>HYPERLINK("https://klasma.github.io/Logging_2281/tillsynsmail/A 19966-2026 tillsynsbegäran mail.docx", "A 19966-2026")</f>
        <v/>
      </c>
    </row>
    <row r="292" ht="15" customHeight="1">
      <c r="A292" t="inlineStr">
        <is>
          <t>A 20115-2026</t>
        </is>
      </c>
      <c r="B292" s="1" t="n">
        <v>46136.65674768519</v>
      </c>
      <c r="C292" s="1" t="n">
        <v>46181</v>
      </c>
      <c r="D292" t="inlineStr">
        <is>
          <t>VÄSTERNORRLANDS LÄN</t>
        </is>
      </c>
      <c r="E292" t="inlineStr">
        <is>
          <t>SUNDSVALL</t>
        </is>
      </c>
      <c r="F292" t="inlineStr">
        <is>
          <t>SCA</t>
        </is>
      </c>
      <c r="G292" t="n">
        <v>1.8</v>
      </c>
      <c r="H292" t="n">
        <v>1</v>
      </c>
      <c r="I292" t="n">
        <v>0</v>
      </c>
      <c r="J292" t="n">
        <v>0</v>
      </c>
      <c r="K292" t="n">
        <v>0</v>
      </c>
      <c r="L292" t="n">
        <v>0</v>
      </c>
      <c r="M292" t="n">
        <v>0</v>
      </c>
      <c r="N292" t="n">
        <v>0</v>
      </c>
      <c r="O292" t="n">
        <v>0</v>
      </c>
      <c r="P292" t="n">
        <v>0</v>
      </c>
      <c r="Q292" t="n">
        <v>1</v>
      </c>
      <c r="R292" s="2" t="inlineStr">
        <is>
          <t>Tjäder</t>
        </is>
      </c>
      <c r="S292">
        <f>HYPERLINK("https://klasma.github.io/Logging_2281/artfynd/A 20115-2026 artfynd.xlsx", "A 20115-2026")</f>
        <v/>
      </c>
      <c r="T292">
        <f>HYPERLINK("https://klasma.github.io/Logging_2281/kartor/A 20115-2026 karta.png", "A 20115-2026")</f>
        <v/>
      </c>
      <c r="V292">
        <f>HYPERLINK("https://klasma.github.io/Logging_2281/klagomål/A 20115-2026 FSC-klagomål.docx", "A 20115-2026")</f>
        <v/>
      </c>
      <c r="W292">
        <f>HYPERLINK("https://klasma.github.io/Logging_2281/klagomålsmail/A 20115-2026 FSC-klagomål mail.docx", "A 20115-2026")</f>
        <v/>
      </c>
      <c r="X292">
        <f>HYPERLINK("https://klasma.github.io/Logging_2281/tillsyn/A 20115-2026 tillsynsbegäran.docx", "A 20115-2026")</f>
        <v/>
      </c>
      <c r="Y292">
        <f>HYPERLINK("https://klasma.github.io/Logging_2281/tillsynsmail/A 20115-2026 tillsynsbegäran mail.docx", "A 20115-2026")</f>
        <v/>
      </c>
      <c r="Z292">
        <f>HYPERLINK("https://klasma.github.io/Logging_2281/fåglar/A 20115-2026 prioriterade fågelarter.docx", "A 20115-2026")</f>
        <v/>
      </c>
    </row>
    <row r="293" ht="15" customHeight="1">
      <c r="A293" t="inlineStr">
        <is>
          <t>A 44610-2021</t>
        </is>
      </c>
      <c r="B293" s="1" t="n">
        <v>44435.94177083333</v>
      </c>
      <c r="C293" s="1" t="n">
        <v>46181</v>
      </c>
      <c r="D293" t="inlineStr">
        <is>
          <t>VÄSTERNORRLANDS LÄN</t>
        </is>
      </c>
      <c r="E293" t="inlineStr">
        <is>
          <t>SUNDSVALL</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44399-2022</t>
        </is>
      </c>
      <c r="B294" s="1" t="n">
        <v>44838</v>
      </c>
      <c r="C294" s="1" t="n">
        <v>46181</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46181</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50127-2021</t>
        </is>
      </c>
      <c r="B296" s="1" t="n">
        <v>44456</v>
      </c>
      <c r="C296" s="1" t="n">
        <v>46181</v>
      </c>
      <c r="D296" t="inlineStr">
        <is>
          <t>VÄSTERNORRLANDS LÄN</t>
        </is>
      </c>
      <c r="E296" t="inlineStr">
        <is>
          <t>SUNDSVALL</t>
        </is>
      </c>
      <c r="G296" t="n">
        <v>0.5</v>
      </c>
      <c r="H296" t="n">
        <v>0</v>
      </c>
      <c r="I296" t="n">
        <v>0</v>
      </c>
      <c r="J296" t="n">
        <v>0</v>
      </c>
      <c r="K296" t="n">
        <v>0</v>
      </c>
      <c r="L296" t="n">
        <v>0</v>
      </c>
      <c r="M296" t="n">
        <v>0</v>
      </c>
      <c r="N296" t="n">
        <v>0</v>
      </c>
      <c r="O296" t="n">
        <v>0</v>
      </c>
      <c r="P296" t="n">
        <v>0</v>
      </c>
      <c r="Q296" t="n">
        <v>0</v>
      </c>
      <c r="R296" s="2" t="inlineStr"/>
    </row>
    <row r="297" ht="15" customHeight="1">
      <c r="A297" t="inlineStr">
        <is>
          <t>A 50237-2021</t>
        </is>
      </c>
      <c r="B297" s="1" t="n">
        <v>44457.94170138889</v>
      </c>
      <c r="C297" s="1" t="n">
        <v>46181</v>
      </c>
      <c r="D297" t="inlineStr">
        <is>
          <t>VÄSTERNORRLANDS LÄN</t>
        </is>
      </c>
      <c r="E297" t="inlineStr">
        <is>
          <t>SUNDSVALL</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46181</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64478-2021</t>
        </is>
      </c>
      <c r="B299" s="1" t="n">
        <v>44511</v>
      </c>
      <c r="C299" s="1" t="n">
        <v>46181</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61851-2021</t>
        </is>
      </c>
      <c r="B300" s="1" t="n">
        <v>44501</v>
      </c>
      <c r="C300" s="1" t="n">
        <v>46181</v>
      </c>
      <c r="D300" t="inlineStr">
        <is>
          <t>VÄSTERNORRLANDS LÄN</t>
        </is>
      </c>
      <c r="E300" t="inlineStr">
        <is>
          <t>SUNDSVALL</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46181</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46181</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46181</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46181</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46181</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46181</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46181</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1232-2022</t>
        </is>
      </c>
      <c r="B308" s="1" t="n">
        <v>44572.57984953704</v>
      </c>
      <c r="C308" s="1" t="n">
        <v>46181</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228-2022</t>
        </is>
      </c>
      <c r="B309" s="1" t="n">
        <v>44564</v>
      </c>
      <c r="C309" s="1" t="n">
        <v>46181</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55496-2022</t>
        </is>
      </c>
      <c r="B310" s="1" t="n">
        <v>44887.72143518519</v>
      </c>
      <c r="C310" s="1" t="n">
        <v>46181</v>
      </c>
      <c r="D310" t="inlineStr">
        <is>
          <t>VÄSTERNORRLANDS LÄN</t>
        </is>
      </c>
      <c r="E310" t="inlineStr">
        <is>
          <t>SUNDSVALL</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67388-2021</t>
        </is>
      </c>
      <c r="B311" s="1" t="n">
        <v>44523.92046296296</v>
      </c>
      <c r="C311" s="1" t="n">
        <v>46181</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12177-2022</t>
        </is>
      </c>
      <c r="B312" s="1" t="n">
        <v>44636.77550925926</v>
      </c>
      <c r="C312" s="1" t="n">
        <v>46181</v>
      </c>
      <c r="D312" t="inlineStr">
        <is>
          <t>VÄSTERNORRLANDS LÄN</t>
        </is>
      </c>
      <c r="E312" t="inlineStr">
        <is>
          <t>SUNDSVALL</t>
        </is>
      </c>
      <c r="G312" t="n">
        <v>5.3</v>
      </c>
      <c r="H312" t="n">
        <v>0</v>
      </c>
      <c r="I312" t="n">
        <v>0</v>
      </c>
      <c r="J312" t="n">
        <v>0</v>
      </c>
      <c r="K312" t="n">
        <v>0</v>
      </c>
      <c r="L312" t="n">
        <v>0</v>
      </c>
      <c r="M312" t="n">
        <v>0</v>
      </c>
      <c r="N312" t="n">
        <v>0</v>
      </c>
      <c r="O312" t="n">
        <v>0</v>
      </c>
      <c r="P312" t="n">
        <v>0</v>
      </c>
      <c r="Q312" t="n">
        <v>0</v>
      </c>
      <c r="R312" s="2" t="inlineStr"/>
    </row>
    <row r="313" ht="15" customHeight="1">
      <c r="A313" t="inlineStr">
        <is>
          <t>A 7437-2022</t>
        </is>
      </c>
      <c r="B313" s="1" t="n">
        <v>44606</v>
      </c>
      <c r="C313" s="1" t="n">
        <v>46181</v>
      </c>
      <c r="D313" t="inlineStr">
        <is>
          <t>VÄSTERNORRLANDS LÄN</t>
        </is>
      </c>
      <c r="E313" t="inlineStr">
        <is>
          <t>SUNDSVALL</t>
        </is>
      </c>
      <c r="G313" t="n">
        <v>2</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46181</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46181</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36316-2021</t>
        </is>
      </c>
      <c r="B316" s="1" t="n">
        <v>44390.45508101852</v>
      </c>
      <c r="C316" s="1" t="n">
        <v>46181</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14233-2022</t>
        </is>
      </c>
      <c r="B317" s="1" t="n">
        <v>44651</v>
      </c>
      <c r="C317" s="1" t="n">
        <v>46181</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46181</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45775-2021</t>
        </is>
      </c>
      <c r="B319" s="1" t="n">
        <v>44441</v>
      </c>
      <c r="C319" s="1" t="n">
        <v>46181</v>
      </c>
      <c r="D319" t="inlineStr">
        <is>
          <t>VÄSTERNORRLANDS LÄN</t>
        </is>
      </c>
      <c r="E319" t="inlineStr">
        <is>
          <t>SUNDSVALL</t>
        </is>
      </c>
      <c r="G319" t="n">
        <v>3.7</v>
      </c>
      <c r="H319" t="n">
        <v>0</v>
      </c>
      <c r="I319" t="n">
        <v>0</v>
      </c>
      <c r="J319" t="n">
        <v>0</v>
      </c>
      <c r="K319" t="n">
        <v>0</v>
      </c>
      <c r="L319" t="n">
        <v>0</v>
      </c>
      <c r="M319" t="n">
        <v>0</v>
      </c>
      <c r="N319" t="n">
        <v>0</v>
      </c>
      <c r="O319" t="n">
        <v>0</v>
      </c>
      <c r="P319" t="n">
        <v>0</v>
      </c>
      <c r="Q319" t="n">
        <v>0</v>
      </c>
      <c r="R319" s="2" t="inlineStr"/>
    </row>
    <row r="320" ht="15" customHeight="1">
      <c r="A320" t="inlineStr">
        <is>
          <t>A 29292-2021</t>
        </is>
      </c>
      <c r="B320" s="1" t="n">
        <v>44358</v>
      </c>
      <c r="C320" s="1" t="n">
        <v>46181</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46181</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70309-2021</t>
        </is>
      </c>
      <c r="B322" s="1" t="n">
        <v>44533</v>
      </c>
      <c r="C322" s="1" t="n">
        <v>46181</v>
      </c>
      <c r="D322" t="inlineStr">
        <is>
          <t>VÄSTERNORRLANDS LÄN</t>
        </is>
      </c>
      <c r="E322" t="inlineStr">
        <is>
          <t>SUNDSVALL</t>
        </is>
      </c>
      <c r="G322" t="n">
        <v>18.8</v>
      </c>
      <c r="H322" t="n">
        <v>0</v>
      </c>
      <c r="I322" t="n">
        <v>0</v>
      </c>
      <c r="J322" t="n">
        <v>0</v>
      </c>
      <c r="K322" t="n">
        <v>0</v>
      </c>
      <c r="L322" t="n">
        <v>0</v>
      </c>
      <c r="M322" t="n">
        <v>0</v>
      </c>
      <c r="N322" t="n">
        <v>0</v>
      </c>
      <c r="O322" t="n">
        <v>0</v>
      </c>
      <c r="P322" t="n">
        <v>0</v>
      </c>
      <c r="Q322" t="n">
        <v>0</v>
      </c>
      <c r="R322" s="2" t="inlineStr"/>
    </row>
    <row r="323" ht="15" customHeight="1">
      <c r="A323" t="inlineStr">
        <is>
          <t>A 31959-2022</t>
        </is>
      </c>
      <c r="B323" s="1" t="n">
        <v>44777.92671296297</v>
      </c>
      <c r="C323" s="1" t="n">
        <v>46181</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45006-2021</t>
        </is>
      </c>
      <c r="B324" s="1" t="n">
        <v>44438.91969907407</v>
      </c>
      <c r="C324" s="1" t="n">
        <v>46181</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59127-2021</t>
        </is>
      </c>
      <c r="B325" s="1" t="n">
        <v>44490</v>
      </c>
      <c r="C325" s="1" t="n">
        <v>46181</v>
      </c>
      <c r="D325" t="inlineStr">
        <is>
          <t>VÄSTERNORRLANDS LÄN</t>
        </is>
      </c>
      <c r="E325" t="inlineStr">
        <is>
          <t>SUNDSVALL</t>
        </is>
      </c>
      <c r="G325" t="n">
        <v>0.6</v>
      </c>
      <c r="H325" t="n">
        <v>0</v>
      </c>
      <c r="I325" t="n">
        <v>0</v>
      </c>
      <c r="J325" t="n">
        <v>0</v>
      </c>
      <c r="K325" t="n">
        <v>0</v>
      </c>
      <c r="L325" t="n">
        <v>0</v>
      </c>
      <c r="M325" t="n">
        <v>0</v>
      </c>
      <c r="N325" t="n">
        <v>0</v>
      </c>
      <c r="O325" t="n">
        <v>0</v>
      </c>
      <c r="P325" t="n">
        <v>0</v>
      </c>
      <c r="Q325" t="n">
        <v>0</v>
      </c>
      <c r="R325" s="2" t="inlineStr"/>
    </row>
    <row r="326" ht="15" customHeight="1">
      <c r="A326" t="inlineStr">
        <is>
          <t>A 59496-2021</t>
        </is>
      </c>
      <c r="B326" s="1" t="n">
        <v>44491</v>
      </c>
      <c r="C326" s="1" t="n">
        <v>46181</v>
      </c>
      <c r="D326" t="inlineStr">
        <is>
          <t>VÄSTERNORRLANDS LÄN</t>
        </is>
      </c>
      <c r="E326" t="inlineStr">
        <is>
          <t>SUNDSVALL</t>
        </is>
      </c>
      <c r="G326" t="n">
        <v>1.3</v>
      </c>
      <c r="H326" t="n">
        <v>0</v>
      </c>
      <c r="I326" t="n">
        <v>0</v>
      </c>
      <c r="J326" t="n">
        <v>0</v>
      </c>
      <c r="K326" t="n">
        <v>0</v>
      </c>
      <c r="L326" t="n">
        <v>0</v>
      </c>
      <c r="M326" t="n">
        <v>0</v>
      </c>
      <c r="N326" t="n">
        <v>0</v>
      </c>
      <c r="O326" t="n">
        <v>0</v>
      </c>
      <c r="P326" t="n">
        <v>0</v>
      </c>
      <c r="Q326" t="n">
        <v>0</v>
      </c>
      <c r="R326" s="2" t="inlineStr"/>
    </row>
    <row r="327" ht="15" customHeight="1">
      <c r="A327" t="inlineStr">
        <is>
          <t>A 67698-2021</t>
        </is>
      </c>
      <c r="B327" s="1" t="n">
        <v>44524.94635416667</v>
      </c>
      <c r="C327" s="1" t="n">
        <v>46181</v>
      </c>
      <c r="D327" t="inlineStr">
        <is>
          <t>VÄSTERNORRLANDS LÄN</t>
        </is>
      </c>
      <c r="E327" t="inlineStr">
        <is>
          <t>SUNDSVALL</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46181</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30460-2021</t>
        </is>
      </c>
      <c r="B329" s="1" t="n">
        <v>44364</v>
      </c>
      <c r="C329" s="1" t="n">
        <v>46181</v>
      </c>
      <c r="D329" t="inlineStr">
        <is>
          <t>VÄSTERNORRLANDS LÄN</t>
        </is>
      </c>
      <c r="E329" t="inlineStr">
        <is>
          <t>SUNDSVALL</t>
        </is>
      </c>
      <c r="G329" t="n">
        <v>1</v>
      </c>
      <c r="H329" t="n">
        <v>0</v>
      </c>
      <c r="I329" t="n">
        <v>0</v>
      </c>
      <c r="J329" t="n">
        <v>0</v>
      </c>
      <c r="K329" t="n">
        <v>0</v>
      </c>
      <c r="L329" t="n">
        <v>0</v>
      </c>
      <c r="M329" t="n">
        <v>0</v>
      </c>
      <c r="N329" t="n">
        <v>0</v>
      </c>
      <c r="O329" t="n">
        <v>0</v>
      </c>
      <c r="P329" t="n">
        <v>0</v>
      </c>
      <c r="Q329" t="n">
        <v>0</v>
      </c>
      <c r="R329" s="2" t="inlineStr"/>
    </row>
    <row r="330" ht="15" customHeight="1">
      <c r="A330" t="inlineStr">
        <is>
          <t>A 74383-2021</t>
        </is>
      </c>
      <c r="B330" s="1" t="n">
        <v>44559</v>
      </c>
      <c r="C330" s="1" t="n">
        <v>46181</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38670-2022</t>
        </is>
      </c>
      <c r="B331" s="1" t="n">
        <v>44813.94760416666</v>
      </c>
      <c r="C331" s="1" t="n">
        <v>46181</v>
      </c>
      <c r="D331" t="inlineStr">
        <is>
          <t>VÄSTERNORRLANDS LÄN</t>
        </is>
      </c>
      <c r="E331" t="inlineStr">
        <is>
          <t>SUNDSVALL</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37611-2021</t>
        </is>
      </c>
      <c r="B332" s="1" t="n">
        <v>44399</v>
      </c>
      <c r="C332" s="1" t="n">
        <v>46181</v>
      </c>
      <c r="D332" t="inlineStr">
        <is>
          <t>VÄSTERNORRLANDS LÄN</t>
        </is>
      </c>
      <c r="E332" t="inlineStr">
        <is>
          <t>SUNDSVALL</t>
        </is>
      </c>
      <c r="F332" t="inlineStr">
        <is>
          <t>SCA</t>
        </is>
      </c>
      <c r="G332" t="n">
        <v>3.5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46181</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26287-2022</t>
        </is>
      </c>
      <c r="B334" s="1" t="n">
        <v>44735</v>
      </c>
      <c r="C334" s="1" t="n">
        <v>46181</v>
      </c>
      <c r="D334" t="inlineStr">
        <is>
          <t>VÄSTERNORRLANDS LÄN</t>
        </is>
      </c>
      <c r="E334" t="inlineStr">
        <is>
          <t>SUNDSVALL</t>
        </is>
      </c>
      <c r="G334" t="n">
        <v>0.2</v>
      </c>
      <c r="H334" t="n">
        <v>0</v>
      </c>
      <c r="I334" t="n">
        <v>0</v>
      </c>
      <c r="J334" t="n">
        <v>0</v>
      </c>
      <c r="K334" t="n">
        <v>0</v>
      </c>
      <c r="L334" t="n">
        <v>0</v>
      </c>
      <c r="M334" t="n">
        <v>0</v>
      </c>
      <c r="N334" t="n">
        <v>0</v>
      </c>
      <c r="O334" t="n">
        <v>0</v>
      </c>
      <c r="P334" t="n">
        <v>0</v>
      </c>
      <c r="Q334" t="n">
        <v>0</v>
      </c>
      <c r="R334" s="2" t="inlineStr"/>
    </row>
    <row r="335" ht="15" customHeight="1">
      <c r="A335" t="inlineStr">
        <is>
          <t>A 15598-2022</t>
        </is>
      </c>
      <c r="B335" s="1" t="n">
        <v>44662</v>
      </c>
      <c r="C335" s="1" t="n">
        <v>46181</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26453-2022</t>
        </is>
      </c>
      <c r="B336" s="1" t="n">
        <v>44739</v>
      </c>
      <c r="C336" s="1" t="n">
        <v>46181</v>
      </c>
      <c r="D336" t="inlineStr">
        <is>
          <t>VÄSTERNORRLANDS LÄN</t>
        </is>
      </c>
      <c r="E336" t="inlineStr">
        <is>
          <t>SUNDSVALL</t>
        </is>
      </c>
      <c r="G336" t="n">
        <v>0.4</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46181</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46181</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24313-2022</t>
        </is>
      </c>
      <c r="B339" s="1" t="n">
        <v>44725.94418981481</v>
      </c>
      <c r="C339" s="1" t="n">
        <v>46181</v>
      </c>
      <c r="D339" t="inlineStr">
        <is>
          <t>VÄSTERNORRLANDS LÄN</t>
        </is>
      </c>
      <c r="E339" t="inlineStr">
        <is>
          <t>SUNDSVALL</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46181</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27948-2022</t>
        </is>
      </c>
      <c r="B341" s="1" t="n">
        <v>44743</v>
      </c>
      <c r="C341" s="1" t="n">
        <v>46181</v>
      </c>
      <c r="D341" t="inlineStr">
        <is>
          <t>VÄSTERNORRLANDS LÄN</t>
        </is>
      </c>
      <c r="E341" t="inlineStr">
        <is>
          <t>SUNDSVALL</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51585-2022</t>
        </is>
      </c>
      <c r="B342" s="1" t="n">
        <v>44870.95725694444</v>
      </c>
      <c r="C342" s="1" t="n">
        <v>46181</v>
      </c>
      <c r="D342" t="inlineStr">
        <is>
          <t>VÄSTERNORRLANDS LÄN</t>
        </is>
      </c>
      <c r="E342" t="inlineStr">
        <is>
          <t>SUNDSVALL</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65696-2021</t>
        </is>
      </c>
      <c r="B343" s="1" t="n">
        <v>44516</v>
      </c>
      <c r="C343" s="1" t="n">
        <v>46181</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29403-2021</t>
        </is>
      </c>
      <c r="B344" s="1" t="n">
        <v>44361</v>
      </c>
      <c r="C344" s="1" t="n">
        <v>46181</v>
      </c>
      <c r="D344" t="inlineStr">
        <is>
          <t>VÄSTERNORRLANDS LÄN</t>
        </is>
      </c>
      <c r="E344" t="inlineStr">
        <is>
          <t>SUNDSVALL</t>
        </is>
      </c>
      <c r="G344" t="n">
        <v>1</v>
      </c>
      <c r="H344" t="n">
        <v>0</v>
      </c>
      <c r="I344" t="n">
        <v>0</v>
      </c>
      <c r="J344" t="n">
        <v>0</v>
      </c>
      <c r="K344" t="n">
        <v>0</v>
      </c>
      <c r="L344" t="n">
        <v>0</v>
      </c>
      <c r="M344" t="n">
        <v>0</v>
      </c>
      <c r="N344" t="n">
        <v>0</v>
      </c>
      <c r="O344" t="n">
        <v>0</v>
      </c>
      <c r="P344" t="n">
        <v>0</v>
      </c>
      <c r="Q344" t="n">
        <v>0</v>
      </c>
      <c r="R344" s="2" t="inlineStr"/>
    </row>
    <row r="345" ht="15" customHeight="1">
      <c r="A345" t="inlineStr">
        <is>
          <t>A 35483-2022</t>
        </is>
      </c>
      <c r="B345" s="1" t="n">
        <v>44798.92721064815</v>
      </c>
      <c r="C345" s="1" t="n">
        <v>46181</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33723-2022</t>
        </is>
      </c>
      <c r="B346" s="1" t="n">
        <v>44789.9271875</v>
      </c>
      <c r="C346" s="1" t="n">
        <v>46181</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32172-2021</t>
        </is>
      </c>
      <c r="B347" s="1" t="n">
        <v>44371</v>
      </c>
      <c r="C347" s="1" t="n">
        <v>46181</v>
      </c>
      <c r="D347" t="inlineStr">
        <is>
          <t>VÄSTERNORRLANDS LÄN</t>
        </is>
      </c>
      <c r="E347" t="inlineStr">
        <is>
          <t>SUNDSVALL</t>
        </is>
      </c>
      <c r="G347" t="n">
        <v>0.5</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46181</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49857-2022</t>
        </is>
      </c>
      <c r="B349" s="1" t="n">
        <v>44862</v>
      </c>
      <c r="C349" s="1" t="n">
        <v>46181</v>
      </c>
      <c r="D349" t="inlineStr">
        <is>
          <t>VÄSTERNORRLANDS LÄN</t>
        </is>
      </c>
      <c r="E349" t="inlineStr">
        <is>
          <t>SUNDSVALL</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55217-2022</t>
        </is>
      </c>
      <c r="B350" s="1" t="n">
        <v>44886.96212962963</v>
      </c>
      <c r="C350" s="1" t="n">
        <v>46181</v>
      </c>
      <c r="D350" t="inlineStr">
        <is>
          <t>VÄSTERNORRLANDS LÄN</t>
        </is>
      </c>
      <c r="E350" t="inlineStr">
        <is>
          <t>SUNDSVALL</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44039-2021</t>
        </is>
      </c>
      <c r="B351" s="1" t="n">
        <v>44434</v>
      </c>
      <c r="C351" s="1" t="n">
        <v>46181</v>
      </c>
      <c r="D351" t="inlineStr">
        <is>
          <t>VÄSTERNORRLANDS LÄN</t>
        </is>
      </c>
      <c r="E351" t="inlineStr">
        <is>
          <t>SUNDSVALL</t>
        </is>
      </c>
      <c r="G351" t="n">
        <v>1.7</v>
      </c>
      <c r="H351" t="n">
        <v>0</v>
      </c>
      <c r="I351" t="n">
        <v>0</v>
      </c>
      <c r="J351" t="n">
        <v>0</v>
      </c>
      <c r="K351" t="n">
        <v>0</v>
      </c>
      <c r="L351" t="n">
        <v>0</v>
      </c>
      <c r="M351" t="n">
        <v>0</v>
      </c>
      <c r="N351" t="n">
        <v>0</v>
      </c>
      <c r="O351" t="n">
        <v>0</v>
      </c>
      <c r="P351" t="n">
        <v>0</v>
      </c>
      <c r="Q351" t="n">
        <v>0</v>
      </c>
      <c r="R351" s="2" t="inlineStr"/>
    </row>
    <row r="352" ht="15" customHeight="1">
      <c r="A352" t="inlineStr">
        <is>
          <t>A 70873-2021</t>
        </is>
      </c>
      <c r="B352" s="1" t="n">
        <v>44538</v>
      </c>
      <c r="C352" s="1" t="n">
        <v>46181</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35004-2022</t>
        </is>
      </c>
      <c r="B353" s="1" t="n">
        <v>44796</v>
      </c>
      <c r="C353" s="1" t="n">
        <v>46181</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45506-2021</t>
        </is>
      </c>
      <c r="B354" s="1" t="n">
        <v>44440</v>
      </c>
      <c r="C354" s="1" t="n">
        <v>46181</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67562-2021</t>
        </is>
      </c>
      <c r="B355" s="1" t="n">
        <v>44524</v>
      </c>
      <c r="C355" s="1" t="n">
        <v>46181</v>
      </c>
      <c r="D355" t="inlineStr">
        <is>
          <t>VÄSTERNORRLANDS LÄN</t>
        </is>
      </c>
      <c r="E355" t="inlineStr">
        <is>
          <t>SUNDSVALL</t>
        </is>
      </c>
      <c r="G355" t="n">
        <v>1.9</v>
      </c>
      <c r="H355" t="n">
        <v>0</v>
      </c>
      <c r="I355" t="n">
        <v>0</v>
      </c>
      <c r="J355" t="n">
        <v>0</v>
      </c>
      <c r="K355" t="n">
        <v>0</v>
      </c>
      <c r="L355" t="n">
        <v>0</v>
      </c>
      <c r="M355" t="n">
        <v>0</v>
      </c>
      <c r="N355" t="n">
        <v>0</v>
      </c>
      <c r="O355" t="n">
        <v>0</v>
      </c>
      <c r="P355" t="n">
        <v>0</v>
      </c>
      <c r="Q355" t="n">
        <v>0</v>
      </c>
      <c r="R355" s="2" t="inlineStr"/>
    </row>
    <row r="356" ht="15" customHeight="1">
      <c r="A356" t="inlineStr">
        <is>
          <t>A 15726-2022</t>
        </is>
      </c>
      <c r="B356" s="1" t="n">
        <v>44663.49225694445</v>
      </c>
      <c r="C356" s="1" t="n">
        <v>46181</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46181</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19468-2022</t>
        </is>
      </c>
      <c r="B358" s="1" t="n">
        <v>44693</v>
      </c>
      <c r="C358" s="1" t="n">
        <v>46181</v>
      </c>
      <c r="D358" t="inlineStr">
        <is>
          <t>VÄSTERNORRLANDS LÄN</t>
        </is>
      </c>
      <c r="E358" t="inlineStr">
        <is>
          <t>SUNDSVALL</t>
        </is>
      </c>
      <c r="G358" t="n">
        <v>0.1</v>
      </c>
      <c r="H358" t="n">
        <v>0</v>
      </c>
      <c r="I358" t="n">
        <v>0</v>
      </c>
      <c r="J358" t="n">
        <v>0</v>
      </c>
      <c r="K358" t="n">
        <v>0</v>
      </c>
      <c r="L358" t="n">
        <v>0</v>
      </c>
      <c r="M358" t="n">
        <v>0</v>
      </c>
      <c r="N358" t="n">
        <v>0</v>
      </c>
      <c r="O358" t="n">
        <v>0</v>
      </c>
      <c r="P358" t="n">
        <v>0</v>
      </c>
      <c r="Q358" t="n">
        <v>0</v>
      </c>
      <c r="R358" s="2" t="inlineStr"/>
    </row>
    <row r="359" ht="15" customHeight="1">
      <c r="A359" t="inlineStr">
        <is>
          <t>A 47249-2022</t>
        </is>
      </c>
      <c r="B359" s="1" t="n">
        <v>44852</v>
      </c>
      <c r="C359" s="1" t="n">
        <v>46181</v>
      </c>
      <c r="D359" t="inlineStr">
        <is>
          <t>VÄSTERNORRLANDS LÄN</t>
        </is>
      </c>
      <c r="E359" t="inlineStr">
        <is>
          <t>SUNDSVALL</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46181</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46181</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63464-2021</t>
        </is>
      </c>
      <c r="B362" s="1" t="n">
        <v>44504</v>
      </c>
      <c r="C362" s="1" t="n">
        <v>46181</v>
      </c>
      <c r="D362" t="inlineStr">
        <is>
          <t>VÄSTERNORRLANDS LÄN</t>
        </is>
      </c>
      <c r="E362" t="inlineStr">
        <is>
          <t>SUNDSVALL</t>
        </is>
      </c>
      <c r="G362" t="n">
        <v>1.6</v>
      </c>
      <c r="H362" t="n">
        <v>0</v>
      </c>
      <c r="I362" t="n">
        <v>0</v>
      </c>
      <c r="J362" t="n">
        <v>0</v>
      </c>
      <c r="K362" t="n">
        <v>0</v>
      </c>
      <c r="L362" t="n">
        <v>0</v>
      </c>
      <c r="M362" t="n">
        <v>0</v>
      </c>
      <c r="N362" t="n">
        <v>0</v>
      </c>
      <c r="O362" t="n">
        <v>0</v>
      </c>
      <c r="P362" t="n">
        <v>0</v>
      </c>
      <c r="Q362" t="n">
        <v>0</v>
      </c>
      <c r="R362" s="2" t="inlineStr"/>
    </row>
    <row r="363" ht="15" customHeight="1">
      <c r="A363" t="inlineStr">
        <is>
          <t>A 47197-2022</t>
        </is>
      </c>
      <c r="B363" s="1" t="n">
        <v>44851</v>
      </c>
      <c r="C363" s="1" t="n">
        <v>46181</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46181</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67474-2021</t>
        </is>
      </c>
      <c r="B365" s="1" t="n">
        <v>44524</v>
      </c>
      <c r="C365" s="1" t="n">
        <v>46181</v>
      </c>
      <c r="D365" t="inlineStr">
        <is>
          <t>VÄSTERNORRLANDS LÄN</t>
        </is>
      </c>
      <c r="E365" t="inlineStr">
        <is>
          <t>SUNDSVALL</t>
        </is>
      </c>
      <c r="G365" t="n">
        <v>8</v>
      </c>
      <c r="H365" t="n">
        <v>0</v>
      </c>
      <c r="I365" t="n">
        <v>0</v>
      </c>
      <c r="J365" t="n">
        <v>0</v>
      </c>
      <c r="K365" t="n">
        <v>0</v>
      </c>
      <c r="L365" t="n">
        <v>0</v>
      </c>
      <c r="M365" t="n">
        <v>0</v>
      </c>
      <c r="N365" t="n">
        <v>0</v>
      </c>
      <c r="O365" t="n">
        <v>0</v>
      </c>
      <c r="P365" t="n">
        <v>0</v>
      </c>
      <c r="Q365" t="n">
        <v>0</v>
      </c>
      <c r="R365" s="2" t="inlineStr"/>
    </row>
    <row r="366" ht="15" customHeight="1">
      <c r="A366" t="inlineStr">
        <is>
          <t>A 31510-2021</t>
        </is>
      </c>
      <c r="B366" s="1" t="n">
        <v>44369.45827546297</v>
      </c>
      <c r="C366" s="1" t="n">
        <v>46181</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57533-2021</t>
        </is>
      </c>
      <c r="B367" s="1" t="n">
        <v>44483.92024305555</v>
      </c>
      <c r="C367" s="1" t="n">
        <v>46181</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66872-2021</t>
        </is>
      </c>
      <c r="B368" s="1" t="n">
        <v>44522</v>
      </c>
      <c r="C368" s="1" t="n">
        <v>46181</v>
      </c>
      <c r="D368" t="inlineStr">
        <is>
          <t>VÄSTERNORRLANDS LÄN</t>
        </is>
      </c>
      <c r="E368" t="inlineStr">
        <is>
          <t>SUNDSVALL</t>
        </is>
      </c>
      <c r="G368" t="n">
        <v>4.3</v>
      </c>
      <c r="H368" t="n">
        <v>0</v>
      </c>
      <c r="I368" t="n">
        <v>0</v>
      </c>
      <c r="J368" t="n">
        <v>0</v>
      </c>
      <c r="K368" t="n">
        <v>0</v>
      </c>
      <c r="L368" t="n">
        <v>0</v>
      </c>
      <c r="M368" t="n">
        <v>0</v>
      </c>
      <c r="N368" t="n">
        <v>0</v>
      </c>
      <c r="O368" t="n">
        <v>0</v>
      </c>
      <c r="P368" t="n">
        <v>0</v>
      </c>
      <c r="Q368" t="n">
        <v>0</v>
      </c>
      <c r="R368" s="2" t="inlineStr"/>
    </row>
    <row r="369" ht="15" customHeight="1">
      <c r="A369" t="inlineStr">
        <is>
          <t>A 48705-2021</t>
        </is>
      </c>
      <c r="B369" s="1" t="n">
        <v>44452</v>
      </c>
      <c r="C369" s="1" t="n">
        <v>46181</v>
      </c>
      <c r="D369" t="inlineStr">
        <is>
          <t>VÄSTERNORRLANDS LÄN</t>
        </is>
      </c>
      <c r="E369" t="inlineStr">
        <is>
          <t>SUNDSVALL</t>
        </is>
      </c>
      <c r="G369" t="n">
        <v>0.1</v>
      </c>
      <c r="H369" t="n">
        <v>0</v>
      </c>
      <c r="I369" t="n">
        <v>0</v>
      </c>
      <c r="J369" t="n">
        <v>0</v>
      </c>
      <c r="K369" t="n">
        <v>0</v>
      </c>
      <c r="L369" t="n">
        <v>0</v>
      </c>
      <c r="M369" t="n">
        <v>0</v>
      </c>
      <c r="N369" t="n">
        <v>0</v>
      </c>
      <c r="O369" t="n">
        <v>0</v>
      </c>
      <c r="P369" t="n">
        <v>0</v>
      </c>
      <c r="Q369" t="n">
        <v>0</v>
      </c>
      <c r="R369" s="2" t="inlineStr"/>
    </row>
    <row r="370" ht="15" customHeight="1">
      <c r="A370" t="inlineStr">
        <is>
          <t>A 36694-2022</t>
        </is>
      </c>
      <c r="B370" s="1" t="n">
        <v>44804.94784722223</v>
      </c>
      <c r="C370" s="1" t="n">
        <v>46181</v>
      </c>
      <c r="D370" t="inlineStr">
        <is>
          <t>VÄSTERNORRLANDS LÄN</t>
        </is>
      </c>
      <c r="E370" t="inlineStr">
        <is>
          <t>SUNDSVALL</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29468-2021</t>
        </is>
      </c>
      <c r="B371" s="1" t="n">
        <v>44361</v>
      </c>
      <c r="C371" s="1" t="n">
        <v>46181</v>
      </c>
      <c r="D371" t="inlineStr">
        <is>
          <t>VÄSTERNORRLANDS LÄN</t>
        </is>
      </c>
      <c r="E371" t="inlineStr">
        <is>
          <t>SUNDSVALL</t>
        </is>
      </c>
      <c r="G371" t="n">
        <v>2.5</v>
      </c>
      <c r="H371" t="n">
        <v>0</v>
      </c>
      <c r="I371" t="n">
        <v>0</v>
      </c>
      <c r="J371" t="n">
        <v>0</v>
      </c>
      <c r="K371" t="n">
        <v>0</v>
      </c>
      <c r="L371" t="n">
        <v>0</v>
      </c>
      <c r="M371" t="n">
        <v>0</v>
      </c>
      <c r="N371" t="n">
        <v>0</v>
      </c>
      <c r="O371" t="n">
        <v>0</v>
      </c>
      <c r="P371" t="n">
        <v>0</v>
      </c>
      <c r="Q371" t="n">
        <v>0</v>
      </c>
      <c r="R371" s="2" t="inlineStr"/>
    </row>
    <row r="372" ht="15" customHeight="1">
      <c r="A372" t="inlineStr">
        <is>
          <t>A 29576-2021</t>
        </is>
      </c>
      <c r="B372" s="1" t="n">
        <v>44361</v>
      </c>
      <c r="C372" s="1" t="n">
        <v>46181</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32183-2021</t>
        </is>
      </c>
      <c r="B373" s="1" t="n">
        <v>44371</v>
      </c>
      <c r="C373" s="1" t="n">
        <v>46181</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41469-2021</t>
        </is>
      </c>
      <c r="B374" s="1" t="n">
        <v>44424</v>
      </c>
      <c r="C374" s="1" t="n">
        <v>46181</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32285-2021</t>
        </is>
      </c>
      <c r="B375" s="1" t="n">
        <v>44371</v>
      </c>
      <c r="C375" s="1" t="n">
        <v>46181</v>
      </c>
      <c r="D375" t="inlineStr">
        <is>
          <t>VÄSTERNORRLANDS LÄN</t>
        </is>
      </c>
      <c r="E375" t="inlineStr">
        <is>
          <t>SUNDSVALL</t>
        </is>
      </c>
      <c r="G375" t="n">
        <v>3.9</v>
      </c>
      <c r="H375" t="n">
        <v>0</v>
      </c>
      <c r="I375" t="n">
        <v>0</v>
      </c>
      <c r="J375" t="n">
        <v>0</v>
      </c>
      <c r="K375" t="n">
        <v>0</v>
      </c>
      <c r="L375" t="n">
        <v>0</v>
      </c>
      <c r="M375" t="n">
        <v>0</v>
      </c>
      <c r="N375" t="n">
        <v>0</v>
      </c>
      <c r="O375" t="n">
        <v>0</v>
      </c>
      <c r="P375" t="n">
        <v>0</v>
      </c>
      <c r="Q375" t="n">
        <v>0</v>
      </c>
      <c r="R375" s="2" t="inlineStr"/>
    </row>
    <row r="376" ht="15" customHeight="1">
      <c r="A376" t="inlineStr">
        <is>
          <t>A 62080-2021</t>
        </is>
      </c>
      <c r="B376" s="1" t="n">
        <v>44502</v>
      </c>
      <c r="C376" s="1" t="n">
        <v>46181</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41800-2022</t>
        </is>
      </c>
      <c r="B377" s="1" t="n">
        <v>44827.9250462963</v>
      </c>
      <c r="C377" s="1" t="n">
        <v>46181</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55594-2021</t>
        </is>
      </c>
      <c r="B378" s="1" t="n">
        <v>44475</v>
      </c>
      <c r="C378" s="1" t="n">
        <v>46181</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43199-2021</t>
        </is>
      </c>
      <c r="B379" s="1" t="n">
        <v>44431.91931712963</v>
      </c>
      <c r="C379" s="1" t="n">
        <v>46181</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48705-2021</t>
        </is>
      </c>
      <c r="B380" s="1" t="n">
        <v>44452</v>
      </c>
      <c r="C380" s="1" t="n">
        <v>46181</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53289-2022</t>
        </is>
      </c>
      <c r="B381" s="1" t="n">
        <v>44876.95109953704</v>
      </c>
      <c r="C381" s="1" t="n">
        <v>46181</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54993-2022</t>
        </is>
      </c>
      <c r="B382" s="1" t="n">
        <v>44881</v>
      </c>
      <c r="C382" s="1" t="n">
        <v>46181</v>
      </c>
      <c r="D382" t="inlineStr">
        <is>
          <t>VÄSTERNORRLANDS LÄN</t>
        </is>
      </c>
      <c r="E382" t="inlineStr">
        <is>
          <t>SUNDSVALL</t>
        </is>
      </c>
      <c r="G382" t="n">
        <v>2.1</v>
      </c>
      <c r="H382" t="n">
        <v>0</v>
      </c>
      <c r="I382" t="n">
        <v>0</v>
      </c>
      <c r="J382" t="n">
        <v>0</v>
      </c>
      <c r="K382" t="n">
        <v>0</v>
      </c>
      <c r="L382" t="n">
        <v>0</v>
      </c>
      <c r="M382" t="n">
        <v>0</v>
      </c>
      <c r="N382" t="n">
        <v>0</v>
      </c>
      <c r="O382" t="n">
        <v>0</v>
      </c>
      <c r="P382" t="n">
        <v>0</v>
      </c>
      <c r="Q382" t="n">
        <v>0</v>
      </c>
      <c r="R382" s="2" t="inlineStr"/>
    </row>
    <row r="383" ht="15" customHeight="1">
      <c r="A383" t="inlineStr">
        <is>
          <t>A 28829-2021</t>
        </is>
      </c>
      <c r="B383" s="1" t="n">
        <v>44357</v>
      </c>
      <c r="C383" s="1" t="n">
        <v>46181</v>
      </c>
      <c r="D383" t="inlineStr">
        <is>
          <t>VÄSTERNORRLANDS LÄN</t>
        </is>
      </c>
      <c r="E383" t="inlineStr">
        <is>
          <t>SUNDSVALL</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65597-2021</t>
        </is>
      </c>
      <c r="B384" s="1" t="n">
        <v>44516</v>
      </c>
      <c r="C384" s="1" t="n">
        <v>46181</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51599-2021</t>
        </is>
      </c>
      <c r="B385" s="1" t="n">
        <v>44461</v>
      </c>
      <c r="C385" s="1" t="n">
        <v>46181</v>
      </c>
      <c r="D385" t="inlineStr">
        <is>
          <t>VÄSTERNORRLANDS LÄN</t>
        </is>
      </c>
      <c r="E385" t="inlineStr">
        <is>
          <t>SUNDSVALL</t>
        </is>
      </c>
      <c r="G385" t="n">
        <v>3.2</v>
      </c>
      <c r="H385" t="n">
        <v>0</v>
      </c>
      <c r="I385" t="n">
        <v>0</v>
      </c>
      <c r="J385" t="n">
        <v>0</v>
      </c>
      <c r="K385" t="n">
        <v>0</v>
      </c>
      <c r="L385" t="n">
        <v>0</v>
      </c>
      <c r="M385" t="n">
        <v>0</v>
      </c>
      <c r="N385" t="n">
        <v>0</v>
      </c>
      <c r="O385" t="n">
        <v>0</v>
      </c>
      <c r="P385" t="n">
        <v>0</v>
      </c>
      <c r="Q385" t="n">
        <v>0</v>
      </c>
      <c r="R385" s="2" t="inlineStr"/>
    </row>
    <row r="386" ht="15" customHeight="1">
      <c r="A386" t="inlineStr">
        <is>
          <t>A 66191-2021</t>
        </is>
      </c>
      <c r="B386" s="1" t="n">
        <v>44517</v>
      </c>
      <c r="C386" s="1" t="n">
        <v>46181</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63163-2021</t>
        </is>
      </c>
      <c r="B387" s="1" t="n">
        <v>44505</v>
      </c>
      <c r="C387" s="1" t="n">
        <v>46181</v>
      </c>
      <c r="D387" t="inlineStr">
        <is>
          <t>VÄSTERNORRLANDS LÄN</t>
        </is>
      </c>
      <c r="E387" t="inlineStr">
        <is>
          <t>SUNDSVALL</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40160-2021</t>
        </is>
      </c>
      <c r="B388" s="1" t="n">
        <v>44418.6568287037</v>
      </c>
      <c r="C388" s="1" t="n">
        <v>46181</v>
      </c>
      <c r="D388" t="inlineStr">
        <is>
          <t>VÄSTERNORRLANDS LÄN</t>
        </is>
      </c>
      <c r="E388" t="inlineStr">
        <is>
          <t>SUNDSVALL</t>
        </is>
      </c>
      <c r="G388" t="n">
        <v>1.6</v>
      </c>
      <c r="H388" t="n">
        <v>0</v>
      </c>
      <c r="I388" t="n">
        <v>0</v>
      </c>
      <c r="J388" t="n">
        <v>0</v>
      </c>
      <c r="K388" t="n">
        <v>0</v>
      </c>
      <c r="L388" t="n">
        <v>0</v>
      </c>
      <c r="M388" t="n">
        <v>0</v>
      </c>
      <c r="N388" t="n">
        <v>0</v>
      </c>
      <c r="O388" t="n">
        <v>0</v>
      </c>
      <c r="P388" t="n">
        <v>0</v>
      </c>
      <c r="Q388" t="n">
        <v>0</v>
      </c>
      <c r="R388" s="2" t="inlineStr"/>
    </row>
    <row r="389" ht="15" customHeight="1">
      <c r="A389" t="inlineStr">
        <is>
          <t>A 1335-2022</t>
        </is>
      </c>
      <c r="B389" s="1" t="n">
        <v>44572.92060185185</v>
      </c>
      <c r="C389" s="1" t="n">
        <v>46181</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19178-2022</t>
        </is>
      </c>
      <c r="B390" s="1" t="n">
        <v>44691</v>
      </c>
      <c r="C390" s="1" t="n">
        <v>46181</v>
      </c>
      <c r="D390" t="inlineStr">
        <is>
          <t>VÄSTERNORRLANDS LÄN</t>
        </is>
      </c>
      <c r="E390" t="inlineStr">
        <is>
          <t>SUNDSVALL</t>
        </is>
      </c>
      <c r="G390" t="n">
        <v>1.3</v>
      </c>
      <c r="H390" t="n">
        <v>0</v>
      </c>
      <c r="I390" t="n">
        <v>0</v>
      </c>
      <c r="J390" t="n">
        <v>0</v>
      </c>
      <c r="K390" t="n">
        <v>0</v>
      </c>
      <c r="L390" t="n">
        <v>0</v>
      </c>
      <c r="M390" t="n">
        <v>0</v>
      </c>
      <c r="N390" t="n">
        <v>0</v>
      </c>
      <c r="O390" t="n">
        <v>0</v>
      </c>
      <c r="P390" t="n">
        <v>0</v>
      </c>
      <c r="Q390" t="n">
        <v>0</v>
      </c>
      <c r="R390" s="2" t="inlineStr"/>
    </row>
    <row r="391" ht="15" customHeight="1">
      <c r="A391" t="inlineStr">
        <is>
          <t>A 39503-2021</t>
        </is>
      </c>
      <c r="B391" s="1" t="n">
        <v>44414</v>
      </c>
      <c r="C391" s="1" t="n">
        <v>46181</v>
      </c>
      <c r="D391" t="inlineStr">
        <is>
          <t>VÄSTERNORRLANDS LÄN</t>
        </is>
      </c>
      <c r="E391" t="inlineStr">
        <is>
          <t>SUNDSVALL</t>
        </is>
      </c>
      <c r="G391" t="n">
        <v>0.8</v>
      </c>
      <c r="H391" t="n">
        <v>0</v>
      </c>
      <c r="I391" t="n">
        <v>0</v>
      </c>
      <c r="J391" t="n">
        <v>0</v>
      </c>
      <c r="K391" t="n">
        <v>0</v>
      </c>
      <c r="L391" t="n">
        <v>0</v>
      </c>
      <c r="M391" t="n">
        <v>0</v>
      </c>
      <c r="N391" t="n">
        <v>0</v>
      </c>
      <c r="O391" t="n">
        <v>0</v>
      </c>
      <c r="P391" t="n">
        <v>0</v>
      </c>
      <c r="Q391" t="n">
        <v>0</v>
      </c>
      <c r="R391" s="2" t="inlineStr"/>
    </row>
    <row r="392" ht="15" customHeight="1">
      <c r="A392" t="inlineStr">
        <is>
          <t>A 47914-2021</t>
        </is>
      </c>
      <c r="B392" s="1" t="n">
        <v>44448.92056712963</v>
      </c>
      <c r="C392" s="1" t="n">
        <v>46181</v>
      </c>
      <c r="D392" t="inlineStr">
        <is>
          <t>VÄSTERNORRLANDS LÄN</t>
        </is>
      </c>
      <c r="E392" t="inlineStr">
        <is>
          <t>SUNDSVALL</t>
        </is>
      </c>
      <c r="G392" t="n">
        <v>2</v>
      </c>
      <c r="H392" t="n">
        <v>0</v>
      </c>
      <c r="I392" t="n">
        <v>0</v>
      </c>
      <c r="J392" t="n">
        <v>0</v>
      </c>
      <c r="K392" t="n">
        <v>0</v>
      </c>
      <c r="L392" t="n">
        <v>0</v>
      </c>
      <c r="M392" t="n">
        <v>0</v>
      </c>
      <c r="N392" t="n">
        <v>0</v>
      </c>
      <c r="O392" t="n">
        <v>0</v>
      </c>
      <c r="P392" t="n">
        <v>0</v>
      </c>
      <c r="Q392" t="n">
        <v>0</v>
      </c>
      <c r="R392" s="2" t="inlineStr"/>
    </row>
    <row r="393" ht="15" customHeight="1">
      <c r="A393" t="inlineStr">
        <is>
          <t>A 20947-2022</t>
        </is>
      </c>
      <c r="B393" s="1" t="n">
        <v>44701.93956018519</v>
      </c>
      <c r="C393" s="1" t="n">
        <v>46181</v>
      </c>
      <c r="D393" t="inlineStr">
        <is>
          <t>VÄSTERNORRLANDS LÄN</t>
        </is>
      </c>
      <c r="E393" t="inlineStr">
        <is>
          <t>SUNDSVALL</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56892-2021</t>
        </is>
      </c>
      <c r="B394" s="1" t="n">
        <v>44481</v>
      </c>
      <c r="C394" s="1" t="n">
        <v>46181</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61562-2021</t>
        </is>
      </c>
      <c r="B395" s="1" t="n">
        <v>44501</v>
      </c>
      <c r="C395" s="1" t="n">
        <v>46181</v>
      </c>
      <c r="D395" t="inlineStr">
        <is>
          <t>VÄSTERNORRLANDS LÄN</t>
        </is>
      </c>
      <c r="E395" t="inlineStr">
        <is>
          <t>SUNDSVALL</t>
        </is>
      </c>
      <c r="G395" t="n">
        <v>6</v>
      </c>
      <c r="H395" t="n">
        <v>0</v>
      </c>
      <c r="I395" t="n">
        <v>0</v>
      </c>
      <c r="J395" t="n">
        <v>0</v>
      </c>
      <c r="K395" t="n">
        <v>0</v>
      </c>
      <c r="L395" t="n">
        <v>0</v>
      </c>
      <c r="M395" t="n">
        <v>0</v>
      </c>
      <c r="N395" t="n">
        <v>0</v>
      </c>
      <c r="O395" t="n">
        <v>0</v>
      </c>
      <c r="P395" t="n">
        <v>0</v>
      </c>
      <c r="Q395" t="n">
        <v>0</v>
      </c>
      <c r="R395" s="2" t="inlineStr"/>
    </row>
    <row r="396" ht="15" customHeight="1">
      <c r="A396" t="inlineStr">
        <is>
          <t>A 37238-2022</t>
        </is>
      </c>
      <c r="B396" s="1" t="n">
        <v>44806</v>
      </c>
      <c r="C396" s="1" t="n">
        <v>46181</v>
      </c>
      <c r="D396" t="inlineStr">
        <is>
          <t>VÄSTERNORRLANDS LÄN</t>
        </is>
      </c>
      <c r="E396" t="inlineStr">
        <is>
          <t>SUNDSVALL</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55873-2022</t>
        </is>
      </c>
      <c r="B397" s="1" t="n">
        <v>44888.92850694444</v>
      </c>
      <c r="C397" s="1" t="n">
        <v>46181</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46181</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57212-2021</t>
        </is>
      </c>
      <c r="B399" s="1" t="n">
        <v>44482.9406712963</v>
      </c>
      <c r="C399" s="1" t="n">
        <v>46181</v>
      </c>
      <c r="D399" t="inlineStr">
        <is>
          <t>VÄSTERNORRLANDS LÄN</t>
        </is>
      </c>
      <c r="E399" t="inlineStr">
        <is>
          <t>SUNDSVALL</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57234-2021</t>
        </is>
      </c>
      <c r="B400" s="1" t="n">
        <v>44482</v>
      </c>
      <c r="C400" s="1" t="n">
        <v>46181</v>
      </c>
      <c r="D400" t="inlineStr">
        <is>
          <t>VÄSTERNORRLANDS LÄN</t>
        </is>
      </c>
      <c r="E400" t="inlineStr">
        <is>
          <t>SUNDSVALL</t>
        </is>
      </c>
      <c r="G400" t="n">
        <v>3</v>
      </c>
      <c r="H400" t="n">
        <v>0</v>
      </c>
      <c r="I400" t="n">
        <v>0</v>
      </c>
      <c r="J400" t="n">
        <v>0</v>
      </c>
      <c r="K400" t="n">
        <v>0</v>
      </c>
      <c r="L400" t="n">
        <v>0</v>
      </c>
      <c r="M400" t="n">
        <v>0</v>
      </c>
      <c r="N400" t="n">
        <v>0</v>
      </c>
      <c r="O400" t="n">
        <v>0</v>
      </c>
      <c r="P400" t="n">
        <v>0</v>
      </c>
      <c r="Q400" t="n">
        <v>0</v>
      </c>
      <c r="R400" s="2" t="inlineStr"/>
    </row>
    <row r="401" ht="15" customHeight="1">
      <c r="A401" t="inlineStr">
        <is>
          <t>A 55897-2022</t>
        </is>
      </c>
      <c r="B401" s="1" t="n">
        <v>44888.95325231482</v>
      </c>
      <c r="C401" s="1" t="n">
        <v>46181</v>
      </c>
      <c r="D401" t="inlineStr">
        <is>
          <t>VÄSTERNORRLANDS LÄN</t>
        </is>
      </c>
      <c r="E401" t="inlineStr">
        <is>
          <t>SUNDSVALL</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25964-2022</t>
        </is>
      </c>
      <c r="B402" s="1" t="n">
        <v>44734</v>
      </c>
      <c r="C402" s="1" t="n">
        <v>46181</v>
      </c>
      <c r="D402" t="inlineStr">
        <is>
          <t>VÄSTERNORRLANDS LÄN</t>
        </is>
      </c>
      <c r="E402" t="inlineStr">
        <is>
          <t>SUNDSVALL</t>
        </is>
      </c>
      <c r="G402" t="n">
        <v>2.4</v>
      </c>
      <c r="H402" t="n">
        <v>0</v>
      </c>
      <c r="I402" t="n">
        <v>0</v>
      </c>
      <c r="J402" t="n">
        <v>0</v>
      </c>
      <c r="K402" t="n">
        <v>0</v>
      </c>
      <c r="L402" t="n">
        <v>0</v>
      </c>
      <c r="M402" t="n">
        <v>0</v>
      </c>
      <c r="N402" t="n">
        <v>0</v>
      </c>
      <c r="O402" t="n">
        <v>0</v>
      </c>
      <c r="P402" t="n">
        <v>0</v>
      </c>
      <c r="Q402" t="n">
        <v>0</v>
      </c>
      <c r="R402" s="2" t="inlineStr"/>
    </row>
    <row r="403" ht="15" customHeight="1">
      <c r="A403" t="inlineStr">
        <is>
          <t>A 60891-2021</t>
        </is>
      </c>
      <c r="B403" s="1" t="n">
        <v>44497</v>
      </c>
      <c r="C403" s="1" t="n">
        <v>46181</v>
      </c>
      <c r="D403" t="inlineStr">
        <is>
          <t>VÄSTERNORRLANDS LÄN</t>
        </is>
      </c>
      <c r="E403" t="inlineStr">
        <is>
          <t>SUNDSVALL</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28708-2022</t>
        </is>
      </c>
      <c r="B404" s="1" t="n">
        <v>44748</v>
      </c>
      <c r="C404" s="1" t="n">
        <v>46181</v>
      </c>
      <c r="D404" t="inlineStr">
        <is>
          <t>VÄSTERNORRLANDS LÄN</t>
        </is>
      </c>
      <c r="E404" t="inlineStr">
        <is>
          <t>SUNDSVALL</t>
        </is>
      </c>
      <c r="G404" t="n">
        <v>4.4</v>
      </c>
      <c r="H404" t="n">
        <v>0</v>
      </c>
      <c r="I404" t="n">
        <v>0</v>
      </c>
      <c r="J404" t="n">
        <v>0</v>
      </c>
      <c r="K404" t="n">
        <v>0</v>
      </c>
      <c r="L404" t="n">
        <v>0</v>
      </c>
      <c r="M404" t="n">
        <v>0</v>
      </c>
      <c r="N404" t="n">
        <v>0</v>
      </c>
      <c r="O404" t="n">
        <v>0</v>
      </c>
      <c r="P404" t="n">
        <v>0</v>
      </c>
      <c r="Q404" t="n">
        <v>0</v>
      </c>
      <c r="R404" s="2" t="inlineStr"/>
    </row>
    <row r="405" ht="15" customHeight="1">
      <c r="A405" t="inlineStr">
        <is>
          <t>A 23556-2022</t>
        </is>
      </c>
      <c r="B405" s="1" t="n">
        <v>44721</v>
      </c>
      <c r="C405" s="1" t="n">
        <v>46181</v>
      </c>
      <c r="D405" t="inlineStr">
        <is>
          <t>VÄSTERNORRLANDS LÄN</t>
        </is>
      </c>
      <c r="E405" t="inlineStr">
        <is>
          <t>SUNDSVALL</t>
        </is>
      </c>
      <c r="G405" t="n">
        <v>0.5</v>
      </c>
      <c r="H405" t="n">
        <v>0</v>
      </c>
      <c r="I405" t="n">
        <v>0</v>
      </c>
      <c r="J405" t="n">
        <v>0</v>
      </c>
      <c r="K405" t="n">
        <v>0</v>
      </c>
      <c r="L405" t="n">
        <v>0</v>
      </c>
      <c r="M405" t="n">
        <v>0</v>
      </c>
      <c r="N405" t="n">
        <v>0</v>
      </c>
      <c r="O405" t="n">
        <v>0</v>
      </c>
      <c r="P405" t="n">
        <v>0</v>
      </c>
      <c r="Q405" t="n">
        <v>0</v>
      </c>
      <c r="R405" s="2" t="inlineStr"/>
    </row>
    <row r="406" ht="15" customHeight="1">
      <c r="A406" t="inlineStr">
        <is>
          <t>A 5654-2022</t>
        </is>
      </c>
      <c r="B406" s="1" t="n">
        <v>44595</v>
      </c>
      <c r="C406" s="1" t="n">
        <v>46181</v>
      </c>
      <c r="D406" t="inlineStr">
        <is>
          <t>VÄSTERNORRLANDS LÄN</t>
        </is>
      </c>
      <c r="E406" t="inlineStr">
        <is>
          <t>SUNDSVALL</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44406-2022</t>
        </is>
      </c>
      <c r="B407" s="1" t="n">
        <v>44838</v>
      </c>
      <c r="C407" s="1" t="n">
        <v>46181</v>
      </c>
      <c r="D407" t="inlineStr">
        <is>
          <t>VÄSTERNORRLANDS LÄN</t>
        </is>
      </c>
      <c r="E407" t="inlineStr">
        <is>
          <t>SUNDSVALL</t>
        </is>
      </c>
      <c r="G407" t="n">
        <v>0.3</v>
      </c>
      <c r="H407" t="n">
        <v>0</v>
      </c>
      <c r="I407" t="n">
        <v>0</v>
      </c>
      <c r="J407" t="n">
        <v>0</v>
      </c>
      <c r="K407" t="n">
        <v>0</v>
      </c>
      <c r="L407" t="n">
        <v>0</v>
      </c>
      <c r="M407" t="n">
        <v>0</v>
      </c>
      <c r="N407" t="n">
        <v>0</v>
      </c>
      <c r="O407" t="n">
        <v>0</v>
      </c>
      <c r="P407" t="n">
        <v>0</v>
      </c>
      <c r="Q407" t="n">
        <v>0</v>
      </c>
      <c r="R407" s="2" t="inlineStr"/>
    </row>
    <row r="408" ht="15" customHeight="1">
      <c r="A408" t="inlineStr">
        <is>
          <t>A 44415-2022</t>
        </is>
      </c>
      <c r="B408" s="1" t="n">
        <v>44839</v>
      </c>
      <c r="C408" s="1" t="n">
        <v>46181</v>
      </c>
      <c r="D408" t="inlineStr">
        <is>
          <t>VÄSTERNORRLANDS LÄN</t>
        </is>
      </c>
      <c r="E408" t="inlineStr">
        <is>
          <t>SUNDSVALL</t>
        </is>
      </c>
      <c r="G408" t="n">
        <v>0.4</v>
      </c>
      <c r="H408" t="n">
        <v>0</v>
      </c>
      <c r="I408" t="n">
        <v>0</v>
      </c>
      <c r="J408" t="n">
        <v>0</v>
      </c>
      <c r="K408" t="n">
        <v>0</v>
      </c>
      <c r="L408" t="n">
        <v>0</v>
      </c>
      <c r="M408" t="n">
        <v>0</v>
      </c>
      <c r="N408" t="n">
        <v>0</v>
      </c>
      <c r="O408" t="n">
        <v>0</v>
      </c>
      <c r="P408" t="n">
        <v>0</v>
      </c>
      <c r="Q408" t="n">
        <v>0</v>
      </c>
      <c r="R408" s="2" t="inlineStr"/>
    </row>
    <row r="409" ht="15" customHeight="1">
      <c r="A409" t="inlineStr">
        <is>
          <t>A 44416-2022</t>
        </is>
      </c>
      <c r="B409" s="1" t="n">
        <v>44839</v>
      </c>
      <c r="C409" s="1" t="n">
        <v>46181</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55896-2022</t>
        </is>
      </c>
      <c r="B410" s="1" t="n">
        <v>44888.95318287037</v>
      </c>
      <c r="C410" s="1" t="n">
        <v>46181</v>
      </c>
      <c r="D410" t="inlineStr">
        <is>
          <t>VÄSTERNORRLANDS LÄN</t>
        </is>
      </c>
      <c r="E410" t="inlineStr">
        <is>
          <t>SUNDSVALL</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59326-2021</t>
        </is>
      </c>
      <c r="B411" s="1" t="n">
        <v>44490.94144675926</v>
      </c>
      <c r="C411" s="1" t="n">
        <v>46181</v>
      </c>
      <c r="D411" t="inlineStr">
        <is>
          <t>VÄSTERNORRLANDS LÄN</t>
        </is>
      </c>
      <c r="E411" t="inlineStr">
        <is>
          <t>SUNDSVALL</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42195-2021</t>
        </is>
      </c>
      <c r="B412" s="1" t="n">
        <v>44426.69466435185</v>
      </c>
      <c r="C412" s="1" t="n">
        <v>46181</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53934-2022</t>
        </is>
      </c>
      <c r="B413" s="1" t="n">
        <v>44880.95587962963</v>
      </c>
      <c r="C413" s="1" t="n">
        <v>46181</v>
      </c>
      <c r="D413" t="inlineStr">
        <is>
          <t>VÄSTERNORRLANDS LÄN</t>
        </is>
      </c>
      <c r="E413" t="inlineStr">
        <is>
          <t>SUNDSVALL</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29301-2021</t>
        </is>
      </c>
      <c r="B414" s="1" t="n">
        <v>44361.40407407407</v>
      </c>
      <c r="C414" s="1" t="n">
        <v>46181</v>
      </c>
      <c r="D414" t="inlineStr">
        <is>
          <t>VÄSTERNORRLANDS LÄN</t>
        </is>
      </c>
      <c r="E414" t="inlineStr">
        <is>
          <t>SUNDSVALL</t>
        </is>
      </c>
      <c r="G414" t="n">
        <v>3.8</v>
      </c>
      <c r="H414" t="n">
        <v>0</v>
      </c>
      <c r="I414" t="n">
        <v>0</v>
      </c>
      <c r="J414" t="n">
        <v>0</v>
      </c>
      <c r="K414" t="n">
        <v>0</v>
      </c>
      <c r="L414" t="n">
        <v>0</v>
      </c>
      <c r="M414" t="n">
        <v>0</v>
      </c>
      <c r="N414" t="n">
        <v>0</v>
      </c>
      <c r="O414" t="n">
        <v>0</v>
      </c>
      <c r="P414" t="n">
        <v>0</v>
      </c>
      <c r="Q414" t="n">
        <v>0</v>
      </c>
      <c r="R414" s="2" t="inlineStr"/>
    </row>
    <row r="415" ht="15" customHeight="1">
      <c r="A415" t="inlineStr">
        <is>
          <t>A 57082-2021</t>
        </is>
      </c>
      <c r="B415" s="1" t="n">
        <v>44482</v>
      </c>
      <c r="C415" s="1" t="n">
        <v>46181</v>
      </c>
      <c r="D415" t="inlineStr">
        <is>
          <t>VÄSTERNORRLANDS LÄN</t>
        </is>
      </c>
      <c r="E415" t="inlineStr">
        <is>
          <t>SUNDSVALL</t>
        </is>
      </c>
      <c r="G415" t="n">
        <v>0.3</v>
      </c>
      <c r="H415" t="n">
        <v>0</v>
      </c>
      <c r="I415" t="n">
        <v>0</v>
      </c>
      <c r="J415" t="n">
        <v>0</v>
      </c>
      <c r="K415" t="n">
        <v>0</v>
      </c>
      <c r="L415" t="n">
        <v>0</v>
      </c>
      <c r="M415" t="n">
        <v>0</v>
      </c>
      <c r="N415" t="n">
        <v>0</v>
      </c>
      <c r="O415" t="n">
        <v>0</v>
      </c>
      <c r="P415" t="n">
        <v>0</v>
      </c>
      <c r="Q415" t="n">
        <v>0</v>
      </c>
      <c r="R415" s="2" t="inlineStr"/>
    </row>
    <row r="416" ht="15" customHeight="1">
      <c r="A416" t="inlineStr">
        <is>
          <t>A 23081-2022</t>
        </is>
      </c>
      <c r="B416" s="1" t="n">
        <v>44719.46951388889</v>
      </c>
      <c r="C416" s="1" t="n">
        <v>46181</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20510-2022</t>
        </is>
      </c>
      <c r="B417" s="1" t="n">
        <v>44699.92501157407</v>
      </c>
      <c r="C417" s="1" t="n">
        <v>46181</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20516-2022</t>
        </is>
      </c>
      <c r="B418" s="1" t="n">
        <v>44699.92626157407</v>
      </c>
      <c r="C418" s="1" t="n">
        <v>46181</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25937-2022</t>
        </is>
      </c>
      <c r="B419" s="1" t="n">
        <v>44734.39086805555</v>
      </c>
      <c r="C419" s="1" t="n">
        <v>46181</v>
      </c>
      <c r="D419" t="inlineStr">
        <is>
          <t>VÄSTERNORRLANDS LÄN</t>
        </is>
      </c>
      <c r="E419" t="inlineStr">
        <is>
          <t>SUNDSVALL</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39169-2021</t>
        </is>
      </c>
      <c r="B420" s="1" t="n">
        <v>44412</v>
      </c>
      <c r="C420" s="1" t="n">
        <v>46181</v>
      </c>
      <c r="D420" t="inlineStr">
        <is>
          <t>VÄSTERNORRLANDS LÄN</t>
        </is>
      </c>
      <c r="E420" t="inlineStr">
        <is>
          <t>SUNDSVALL</t>
        </is>
      </c>
      <c r="G420" t="n">
        <v>3</v>
      </c>
      <c r="H420" t="n">
        <v>0</v>
      </c>
      <c r="I420" t="n">
        <v>0</v>
      </c>
      <c r="J420" t="n">
        <v>0</v>
      </c>
      <c r="K420" t="n">
        <v>0</v>
      </c>
      <c r="L420" t="n">
        <v>0</v>
      </c>
      <c r="M420" t="n">
        <v>0</v>
      </c>
      <c r="N420" t="n">
        <v>0</v>
      </c>
      <c r="O420" t="n">
        <v>0</v>
      </c>
      <c r="P420" t="n">
        <v>0</v>
      </c>
      <c r="Q420" t="n">
        <v>0</v>
      </c>
      <c r="R420" s="2" t="inlineStr"/>
    </row>
    <row r="421" ht="15" customHeight="1">
      <c r="A421" t="inlineStr">
        <is>
          <t>A 45704-2022</t>
        </is>
      </c>
      <c r="B421" s="1" t="n">
        <v>44845.95418981482</v>
      </c>
      <c r="C421" s="1" t="n">
        <v>46181</v>
      </c>
      <c r="D421" t="inlineStr">
        <is>
          <t>VÄSTERNORRLANDS LÄN</t>
        </is>
      </c>
      <c r="E421" t="inlineStr">
        <is>
          <t>SUNDSVALL</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34612-2021</t>
        </is>
      </c>
      <c r="B422" s="1" t="n">
        <v>44379</v>
      </c>
      <c r="C422" s="1" t="n">
        <v>46181</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34643-2021</t>
        </is>
      </c>
      <c r="B423" s="1" t="n">
        <v>44379</v>
      </c>
      <c r="C423" s="1" t="n">
        <v>46181</v>
      </c>
      <c r="D423" t="inlineStr">
        <is>
          <t>VÄSTERNORRLANDS LÄN</t>
        </is>
      </c>
      <c r="E423" t="inlineStr">
        <is>
          <t>SUNDSVALL</t>
        </is>
      </c>
      <c r="G423" t="n">
        <v>1.5</v>
      </c>
      <c r="H423" t="n">
        <v>0</v>
      </c>
      <c r="I423" t="n">
        <v>0</v>
      </c>
      <c r="J423" t="n">
        <v>0</v>
      </c>
      <c r="K423" t="n">
        <v>0</v>
      </c>
      <c r="L423" t="n">
        <v>0</v>
      </c>
      <c r="M423" t="n">
        <v>0</v>
      </c>
      <c r="N423" t="n">
        <v>0</v>
      </c>
      <c r="O423" t="n">
        <v>0</v>
      </c>
      <c r="P423" t="n">
        <v>0</v>
      </c>
      <c r="Q423" t="n">
        <v>0</v>
      </c>
      <c r="R423" s="2" t="inlineStr"/>
    </row>
    <row r="424" ht="15" customHeight="1">
      <c r="A424" t="inlineStr">
        <is>
          <t>A 55874-2022</t>
        </is>
      </c>
      <c r="B424" s="1" t="n">
        <v>44888.92855324074</v>
      </c>
      <c r="C424" s="1" t="n">
        <v>46181</v>
      </c>
      <c r="D424" t="inlineStr">
        <is>
          <t>VÄSTERNORRLANDS LÄN</t>
        </is>
      </c>
      <c r="E424" t="inlineStr">
        <is>
          <t>SUNDSVALL</t>
        </is>
      </c>
      <c r="G424" t="n">
        <v>0.4</v>
      </c>
      <c r="H424" t="n">
        <v>0</v>
      </c>
      <c r="I424" t="n">
        <v>0</v>
      </c>
      <c r="J424" t="n">
        <v>0</v>
      </c>
      <c r="K424" t="n">
        <v>0</v>
      </c>
      <c r="L424" t="n">
        <v>0</v>
      </c>
      <c r="M424" t="n">
        <v>0</v>
      </c>
      <c r="N424" t="n">
        <v>0</v>
      </c>
      <c r="O424" t="n">
        <v>0</v>
      </c>
      <c r="P424" t="n">
        <v>0</v>
      </c>
      <c r="Q424" t="n">
        <v>0</v>
      </c>
      <c r="R424" s="2" t="inlineStr"/>
    </row>
    <row r="425" ht="15" customHeight="1">
      <c r="A425" t="inlineStr">
        <is>
          <t>A 47512-2022</t>
        </is>
      </c>
      <c r="B425" s="1" t="n">
        <v>44852</v>
      </c>
      <c r="C425" s="1" t="n">
        <v>46181</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32335-2021</t>
        </is>
      </c>
      <c r="B426" s="1" t="n">
        <v>44371</v>
      </c>
      <c r="C426" s="1" t="n">
        <v>46181</v>
      </c>
      <c r="D426" t="inlineStr">
        <is>
          <t>VÄSTERNORRLANDS LÄN</t>
        </is>
      </c>
      <c r="E426" t="inlineStr">
        <is>
          <t>SUNDSVALL</t>
        </is>
      </c>
      <c r="G426" t="n">
        <v>3.1</v>
      </c>
      <c r="H426" t="n">
        <v>0</v>
      </c>
      <c r="I426" t="n">
        <v>0</v>
      </c>
      <c r="J426" t="n">
        <v>0</v>
      </c>
      <c r="K426" t="n">
        <v>0</v>
      </c>
      <c r="L426" t="n">
        <v>0</v>
      </c>
      <c r="M426" t="n">
        <v>0</v>
      </c>
      <c r="N426" t="n">
        <v>0</v>
      </c>
      <c r="O426" t="n">
        <v>0</v>
      </c>
      <c r="P426" t="n">
        <v>0</v>
      </c>
      <c r="Q426" t="n">
        <v>0</v>
      </c>
      <c r="R426" s="2" t="inlineStr"/>
    </row>
    <row r="427" ht="15" customHeight="1">
      <c r="A427" t="inlineStr">
        <is>
          <t>A 32203-2021</t>
        </is>
      </c>
      <c r="B427" s="1" t="n">
        <v>44371</v>
      </c>
      <c r="C427" s="1" t="n">
        <v>46181</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15687-2022</t>
        </is>
      </c>
      <c r="B428" s="1" t="n">
        <v>44663.37660879629</v>
      </c>
      <c r="C428" s="1" t="n">
        <v>46181</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44596-2022</t>
        </is>
      </c>
      <c r="B429" s="1" t="n">
        <v>44839</v>
      </c>
      <c r="C429" s="1" t="n">
        <v>46181</v>
      </c>
      <c r="D429" t="inlineStr">
        <is>
          <t>VÄSTERNORRLANDS LÄN</t>
        </is>
      </c>
      <c r="E429" t="inlineStr">
        <is>
          <t>SUNDSVALL</t>
        </is>
      </c>
      <c r="G429" t="n">
        <v>6.9</v>
      </c>
      <c r="H429" t="n">
        <v>0</v>
      </c>
      <c r="I429" t="n">
        <v>0</v>
      </c>
      <c r="J429" t="n">
        <v>0</v>
      </c>
      <c r="K429" t="n">
        <v>0</v>
      </c>
      <c r="L429" t="n">
        <v>0</v>
      </c>
      <c r="M429" t="n">
        <v>0</v>
      </c>
      <c r="N429" t="n">
        <v>0</v>
      </c>
      <c r="O429" t="n">
        <v>0</v>
      </c>
      <c r="P429" t="n">
        <v>0</v>
      </c>
      <c r="Q429" t="n">
        <v>0</v>
      </c>
      <c r="R429" s="2" t="inlineStr"/>
    </row>
    <row r="430" ht="15" customHeight="1">
      <c r="A430" t="inlineStr">
        <is>
          <t>A 44605-2022</t>
        </is>
      </c>
      <c r="B430" s="1" t="n">
        <v>44839</v>
      </c>
      <c r="C430" s="1" t="n">
        <v>46181</v>
      </c>
      <c r="D430" t="inlineStr">
        <is>
          <t>VÄSTERNORRLANDS LÄN</t>
        </is>
      </c>
      <c r="E430" t="inlineStr">
        <is>
          <t>SUNDSVALL</t>
        </is>
      </c>
      <c r="G430" t="n">
        <v>5.9</v>
      </c>
      <c r="H430" t="n">
        <v>0</v>
      </c>
      <c r="I430" t="n">
        <v>0</v>
      </c>
      <c r="J430" t="n">
        <v>0</v>
      </c>
      <c r="K430" t="n">
        <v>0</v>
      </c>
      <c r="L430" t="n">
        <v>0</v>
      </c>
      <c r="M430" t="n">
        <v>0</v>
      </c>
      <c r="N430" t="n">
        <v>0</v>
      </c>
      <c r="O430" t="n">
        <v>0</v>
      </c>
      <c r="P430" t="n">
        <v>0</v>
      </c>
      <c r="Q430" t="n">
        <v>0</v>
      </c>
      <c r="R430" s="2" t="inlineStr"/>
    </row>
    <row r="431" ht="15" customHeight="1">
      <c r="A431" t="inlineStr">
        <is>
          <t>A 13293-2022</t>
        </is>
      </c>
      <c r="B431" s="1" t="n">
        <v>44644</v>
      </c>
      <c r="C431" s="1" t="n">
        <v>46181</v>
      </c>
      <c r="D431" t="inlineStr">
        <is>
          <t>VÄSTERNORRLANDS LÄN</t>
        </is>
      </c>
      <c r="E431" t="inlineStr">
        <is>
          <t>SUNDSVALL</t>
        </is>
      </c>
      <c r="G431" t="n">
        <v>18.5</v>
      </c>
      <c r="H431" t="n">
        <v>0</v>
      </c>
      <c r="I431" t="n">
        <v>0</v>
      </c>
      <c r="J431" t="n">
        <v>0</v>
      </c>
      <c r="K431" t="n">
        <v>0</v>
      </c>
      <c r="L431" t="n">
        <v>0</v>
      </c>
      <c r="M431" t="n">
        <v>0</v>
      </c>
      <c r="N431" t="n">
        <v>0</v>
      </c>
      <c r="O431" t="n">
        <v>0</v>
      </c>
      <c r="P431" t="n">
        <v>0</v>
      </c>
      <c r="Q431" t="n">
        <v>0</v>
      </c>
      <c r="R431" s="2" t="inlineStr"/>
    </row>
    <row r="432" ht="15" customHeight="1">
      <c r="A432" t="inlineStr">
        <is>
          <t>A 61407-2021</t>
        </is>
      </c>
      <c r="B432" s="1" t="n">
        <v>44500</v>
      </c>
      <c r="C432" s="1" t="n">
        <v>46181</v>
      </c>
      <c r="D432" t="inlineStr">
        <is>
          <t>VÄSTERNORRLANDS LÄN</t>
        </is>
      </c>
      <c r="E432" t="inlineStr">
        <is>
          <t>SUNDSVALL</t>
        </is>
      </c>
      <c r="G432" t="n">
        <v>1.8</v>
      </c>
      <c r="H432" t="n">
        <v>0</v>
      </c>
      <c r="I432" t="n">
        <v>0</v>
      </c>
      <c r="J432" t="n">
        <v>0</v>
      </c>
      <c r="K432" t="n">
        <v>0</v>
      </c>
      <c r="L432" t="n">
        <v>0</v>
      </c>
      <c r="M432" t="n">
        <v>0</v>
      </c>
      <c r="N432" t="n">
        <v>0</v>
      </c>
      <c r="O432" t="n">
        <v>0</v>
      </c>
      <c r="P432" t="n">
        <v>0</v>
      </c>
      <c r="Q432" t="n">
        <v>0</v>
      </c>
      <c r="R432" s="2" t="inlineStr"/>
    </row>
    <row r="433" ht="15" customHeight="1">
      <c r="A433" t="inlineStr">
        <is>
          <t>A 32275-2021</t>
        </is>
      </c>
      <c r="B433" s="1" t="n">
        <v>44371</v>
      </c>
      <c r="C433" s="1" t="n">
        <v>46181</v>
      </c>
      <c r="D433" t="inlineStr">
        <is>
          <t>VÄSTERNORRLANDS LÄN</t>
        </is>
      </c>
      <c r="E433" t="inlineStr">
        <is>
          <t>SUNDSVALL</t>
        </is>
      </c>
      <c r="G433" t="n">
        <v>3.9</v>
      </c>
      <c r="H433" t="n">
        <v>0</v>
      </c>
      <c r="I433" t="n">
        <v>0</v>
      </c>
      <c r="J433" t="n">
        <v>0</v>
      </c>
      <c r="K433" t="n">
        <v>0</v>
      </c>
      <c r="L433" t="n">
        <v>0</v>
      </c>
      <c r="M433" t="n">
        <v>0</v>
      </c>
      <c r="N433" t="n">
        <v>0</v>
      </c>
      <c r="O433" t="n">
        <v>0</v>
      </c>
      <c r="P433" t="n">
        <v>0</v>
      </c>
      <c r="Q433" t="n">
        <v>0</v>
      </c>
      <c r="R433" s="2" t="inlineStr"/>
    </row>
    <row r="434" ht="15" customHeight="1">
      <c r="A434" t="inlineStr">
        <is>
          <t>A 59146-2021</t>
        </is>
      </c>
      <c r="B434" s="1" t="n">
        <v>44490</v>
      </c>
      <c r="C434" s="1" t="n">
        <v>46181</v>
      </c>
      <c r="D434" t="inlineStr">
        <is>
          <t>VÄSTERNORRLANDS LÄN</t>
        </is>
      </c>
      <c r="E434" t="inlineStr">
        <is>
          <t>SUNDSVALL</t>
        </is>
      </c>
      <c r="G434" t="n">
        <v>4</v>
      </c>
      <c r="H434" t="n">
        <v>0</v>
      </c>
      <c r="I434" t="n">
        <v>0</v>
      </c>
      <c r="J434" t="n">
        <v>0</v>
      </c>
      <c r="K434" t="n">
        <v>0</v>
      </c>
      <c r="L434" t="n">
        <v>0</v>
      </c>
      <c r="M434" t="n">
        <v>0</v>
      </c>
      <c r="N434" t="n">
        <v>0</v>
      </c>
      <c r="O434" t="n">
        <v>0</v>
      </c>
      <c r="P434" t="n">
        <v>0</v>
      </c>
      <c r="Q434" t="n">
        <v>0</v>
      </c>
      <c r="R434" s="2" t="inlineStr"/>
    </row>
    <row r="435" ht="15" customHeight="1">
      <c r="A435" t="inlineStr">
        <is>
          <t>A 29298-2022</t>
        </is>
      </c>
      <c r="B435" s="1" t="n">
        <v>44750.94349537037</v>
      </c>
      <c r="C435" s="1" t="n">
        <v>46181</v>
      </c>
      <c r="D435" t="inlineStr">
        <is>
          <t>VÄSTERNORRLANDS LÄN</t>
        </is>
      </c>
      <c r="E435" t="inlineStr">
        <is>
          <t>SUNDSVALL</t>
        </is>
      </c>
      <c r="F435" t="inlineStr">
        <is>
          <t>Naturvårdsverket</t>
        </is>
      </c>
      <c r="G435" t="n">
        <v>0.5</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46181</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46181</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46181</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46181</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40827-2022</t>
        </is>
      </c>
      <c r="B440" s="1" t="n">
        <v>44824</v>
      </c>
      <c r="C440" s="1" t="n">
        <v>46181</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40950-2022</t>
        </is>
      </c>
      <c r="B441" s="1" t="n">
        <v>44823</v>
      </c>
      <c r="C441" s="1" t="n">
        <v>46181</v>
      </c>
      <c r="D441" t="inlineStr">
        <is>
          <t>VÄSTERNORRLANDS LÄN</t>
        </is>
      </c>
      <c r="E441" t="inlineStr">
        <is>
          <t>SUNDSVALL</t>
        </is>
      </c>
      <c r="G441" t="n">
        <v>0.1</v>
      </c>
      <c r="H441" t="n">
        <v>0</v>
      </c>
      <c r="I441" t="n">
        <v>0</v>
      </c>
      <c r="J441" t="n">
        <v>0</v>
      </c>
      <c r="K441" t="n">
        <v>0</v>
      </c>
      <c r="L441" t="n">
        <v>0</v>
      </c>
      <c r="M441" t="n">
        <v>0</v>
      </c>
      <c r="N441" t="n">
        <v>0</v>
      </c>
      <c r="O441" t="n">
        <v>0</v>
      </c>
      <c r="P441" t="n">
        <v>0</v>
      </c>
      <c r="Q441" t="n">
        <v>0</v>
      </c>
      <c r="R441" s="2" t="inlineStr"/>
    </row>
    <row r="442" ht="15" customHeight="1">
      <c r="A442" t="inlineStr">
        <is>
          <t>A 32119-2022</t>
        </is>
      </c>
      <c r="B442" s="1" t="n">
        <v>44778.94293981481</v>
      </c>
      <c r="C442" s="1" t="n">
        <v>46181</v>
      </c>
      <c r="D442" t="inlineStr">
        <is>
          <t>VÄSTERNORRLANDS LÄN</t>
        </is>
      </c>
      <c r="E442" t="inlineStr">
        <is>
          <t>SUNDSVALL</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45700-2022</t>
        </is>
      </c>
      <c r="B443" s="1" t="n">
        <v>44845</v>
      </c>
      <c r="C443" s="1" t="n">
        <v>46181</v>
      </c>
      <c r="D443" t="inlineStr">
        <is>
          <t>VÄSTERNORRLANDS LÄN</t>
        </is>
      </c>
      <c r="E443" t="inlineStr">
        <is>
          <t>SUNDSVALL</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45716-2022</t>
        </is>
      </c>
      <c r="B444" s="1" t="n">
        <v>44845</v>
      </c>
      <c r="C444" s="1" t="n">
        <v>46181</v>
      </c>
      <c r="D444" t="inlineStr">
        <is>
          <t>VÄSTERNORRLANDS LÄN</t>
        </is>
      </c>
      <c r="E444" t="inlineStr">
        <is>
          <t>SUNDSVALL</t>
        </is>
      </c>
      <c r="F444" t="inlineStr">
        <is>
          <t>Naturvårdsverket</t>
        </is>
      </c>
      <c r="G444" t="n">
        <v>1.9</v>
      </c>
      <c r="H444" t="n">
        <v>0</v>
      </c>
      <c r="I444" t="n">
        <v>0</v>
      </c>
      <c r="J444" t="n">
        <v>0</v>
      </c>
      <c r="K444" t="n">
        <v>0</v>
      </c>
      <c r="L444" t="n">
        <v>0</v>
      </c>
      <c r="M444" t="n">
        <v>0</v>
      </c>
      <c r="N444" t="n">
        <v>0</v>
      </c>
      <c r="O444" t="n">
        <v>0</v>
      </c>
      <c r="P444" t="n">
        <v>0</v>
      </c>
      <c r="Q444" t="n">
        <v>0</v>
      </c>
      <c r="R444" s="2" t="inlineStr"/>
    </row>
    <row r="445" ht="15" customHeight="1">
      <c r="A445" t="inlineStr">
        <is>
          <t>A 15698-2022</t>
        </is>
      </c>
      <c r="B445" s="1" t="n">
        <v>44663</v>
      </c>
      <c r="C445" s="1" t="n">
        <v>46181</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15733-2022</t>
        </is>
      </c>
      <c r="B446" s="1" t="n">
        <v>44663.5059837963</v>
      </c>
      <c r="C446" s="1" t="n">
        <v>46181</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50654-2022</t>
        </is>
      </c>
      <c r="B447" s="1" t="n">
        <v>44866</v>
      </c>
      <c r="C447" s="1" t="n">
        <v>46181</v>
      </c>
      <c r="D447" t="inlineStr">
        <is>
          <t>VÄSTERNORRLANDS LÄN</t>
        </is>
      </c>
      <c r="E447" t="inlineStr">
        <is>
          <t>SUNDSVALL</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30450-2021</t>
        </is>
      </c>
      <c r="B448" s="1" t="n">
        <v>44364</v>
      </c>
      <c r="C448" s="1" t="n">
        <v>46181</v>
      </c>
      <c r="D448" t="inlineStr">
        <is>
          <t>VÄSTERNORRLANDS LÄN</t>
        </is>
      </c>
      <c r="E448" t="inlineStr">
        <is>
          <t>SUNDSVALL</t>
        </is>
      </c>
      <c r="G448" t="n">
        <v>6.3</v>
      </c>
      <c r="H448" t="n">
        <v>0</v>
      </c>
      <c r="I448" t="n">
        <v>0</v>
      </c>
      <c r="J448" t="n">
        <v>0</v>
      </c>
      <c r="K448" t="n">
        <v>0</v>
      </c>
      <c r="L448" t="n">
        <v>0</v>
      </c>
      <c r="M448" t="n">
        <v>0</v>
      </c>
      <c r="N448" t="n">
        <v>0</v>
      </c>
      <c r="O448" t="n">
        <v>0</v>
      </c>
      <c r="P448" t="n">
        <v>0</v>
      </c>
      <c r="Q448" t="n">
        <v>0</v>
      </c>
      <c r="R448" s="2" t="inlineStr"/>
    </row>
    <row r="449" ht="15" customHeight="1">
      <c r="A449" t="inlineStr">
        <is>
          <t>A 70690-2021</t>
        </is>
      </c>
      <c r="B449" s="1" t="n">
        <v>44537</v>
      </c>
      <c r="C449" s="1" t="n">
        <v>46181</v>
      </c>
      <c r="D449" t="inlineStr">
        <is>
          <t>VÄSTERNORRLANDS LÄN</t>
        </is>
      </c>
      <c r="E449" t="inlineStr">
        <is>
          <t>SUNDSVALL</t>
        </is>
      </c>
      <c r="G449" t="n">
        <v>8.1</v>
      </c>
      <c r="H449" t="n">
        <v>0</v>
      </c>
      <c r="I449" t="n">
        <v>0</v>
      </c>
      <c r="J449" t="n">
        <v>0</v>
      </c>
      <c r="K449" t="n">
        <v>0</v>
      </c>
      <c r="L449" t="n">
        <v>0</v>
      </c>
      <c r="M449" t="n">
        <v>0</v>
      </c>
      <c r="N449" t="n">
        <v>0</v>
      </c>
      <c r="O449" t="n">
        <v>0</v>
      </c>
      <c r="P449" t="n">
        <v>0</v>
      </c>
      <c r="Q449" t="n">
        <v>0</v>
      </c>
      <c r="R449" s="2" t="inlineStr"/>
    </row>
    <row r="450" ht="15" customHeight="1">
      <c r="A450" t="inlineStr">
        <is>
          <t>A 52029-2022</t>
        </is>
      </c>
      <c r="B450" s="1" t="n">
        <v>44872.95721064815</v>
      </c>
      <c r="C450" s="1" t="n">
        <v>46181</v>
      </c>
      <c r="D450" t="inlineStr">
        <is>
          <t>VÄSTERNORRLANDS LÄN</t>
        </is>
      </c>
      <c r="E450" t="inlineStr">
        <is>
          <t>SUNDSVALL</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39933-2021</t>
        </is>
      </c>
      <c r="B451" s="1" t="n">
        <v>44417</v>
      </c>
      <c r="C451" s="1" t="n">
        <v>46181</v>
      </c>
      <c r="D451" t="inlineStr">
        <is>
          <t>VÄSTERNORRLANDS LÄN</t>
        </is>
      </c>
      <c r="E451" t="inlineStr">
        <is>
          <t>SUNDSVALL</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40141-2021</t>
        </is>
      </c>
      <c r="B452" s="1" t="n">
        <v>44418.63759259259</v>
      </c>
      <c r="C452" s="1" t="n">
        <v>46181</v>
      </c>
      <c r="D452" t="inlineStr">
        <is>
          <t>VÄSTERNORRLANDS LÄN</t>
        </is>
      </c>
      <c r="E452" t="inlineStr">
        <is>
          <t>SUNDSVALL</t>
        </is>
      </c>
      <c r="G452" t="n">
        <v>5.3</v>
      </c>
      <c r="H452" t="n">
        <v>0</v>
      </c>
      <c r="I452" t="n">
        <v>0</v>
      </c>
      <c r="J452" t="n">
        <v>0</v>
      </c>
      <c r="K452" t="n">
        <v>0</v>
      </c>
      <c r="L452" t="n">
        <v>0</v>
      </c>
      <c r="M452" t="n">
        <v>0</v>
      </c>
      <c r="N452" t="n">
        <v>0</v>
      </c>
      <c r="O452" t="n">
        <v>0</v>
      </c>
      <c r="P452" t="n">
        <v>0</v>
      </c>
      <c r="Q452" t="n">
        <v>0</v>
      </c>
      <c r="R452" s="2" t="inlineStr"/>
    </row>
    <row r="453" ht="15" customHeight="1">
      <c r="A453" t="inlineStr">
        <is>
          <t>A 29297-2022</t>
        </is>
      </c>
      <c r="B453" s="1" t="n">
        <v>44750.94342592593</v>
      </c>
      <c r="C453" s="1" t="n">
        <v>46181</v>
      </c>
      <c r="D453" t="inlineStr">
        <is>
          <t>VÄSTERNORRLANDS LÄN</t>
        </is>
      </c>
      <c r="E453" t="inlineStr">
        <is>
          <t>SUNDSVALL</t>
        </is>
      </c>
      <c r="F453" t="inlineStr">
        <is>
          <t>Naturvårdsverket</t>
        </is>
      </c>
      <c r="G453" t="n">
        <v>0.9</v>
      </c>
      <c r="H453" t="n">
        <v>0</v>
      </c>
      <c r="I453" t="n">
        <v>0</v>
      </c>
      <c r="J453" t="n">
        <v>0</v>
      </c>
      <c r="K453" t="n">
        <v>0</v>
      </c>
      <c r="L453" t="n">
        <v>0</v>
      </c>
      <c r="M453" t="n">
        <v>0</v>
      </c>
      <c r="N453" t="n">
        <v>0</v>
      </c>
      <c r="O453" t="n">
        <v>0</v>
      </c>
      <c r="P453" t="n">
        <v>0</v>
      </c>
      <c r="Q453" t="n">
        <v>0</v>
      </c>
      <c r="R453" s="2" t="inlineStr"/>
    </row>
    <row r="454" ht="15" customHeight="1">
      <c r="A454" t="inlineStr">
        <is>
          <t>A 59978-2021</t>
        </is>
      </c>
      <c r="B454" s="1" t="n">
        <v>44494.93712962963</v>
      </c>
      <c r="C454" s="1" t="n">
        <v>46181</v>
      </c>
      <c r="D454" t="inlineStr">
        <is>
          <t>VÄSTERNORRLANDS LÄN</t>
        </is>
      </c>
      <c r="E454" t="inlineStr">
        <is>
          <t>SUNDSVALL</t>
        </is>
      </c>
      <c r="F454" t="inlineStr">
        <is>
          <t>SCA</t>
        </is>
      </c>
      <c r="G454" t="n">
        <v>8.1</v>
      </c>
      <c r="H454" t="n">
        <v>0</v>
      </c>
      <c r="I454" t="n">
        <v>0</v>
      </c>
      <c r="J454" t="n">
        <v>0</v>
      </c>
      <c r="K454" t="n">
        <v>0</v>
      </c>
      <c r="L454" t="n">
        <v>0</v>
      </c>
      <c r="M454" t="n">
        <v>0</v>
      </c>
      <c r="N454" t="n">
        <v>0</v>
      </c>
      <c r="O454" t="n">
        <v>0</v>
      </c>
      <c r="P454" t="n">
        <v>0</v>
      </c>
      <c r="Q454" t="n">
        <v>0</v>
      </c>
      <c r="R454" s="2" t="inlineStr"/>
    </row>
    <row r="455" ht="15" customHeight="1">
      <c r="A455" t="inlineStr">
        <is>
          <t>A 62077-2021</t>
        </is>
      </c>
      <c r="B455" s="1" t="n">
        <v>44502</v>
      </c>
      <c r="C455" s="1" t="n">
        <v>46181</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45000-2021</t>
        </is>
      </c>
      <c r="B456" s="1" t="n">
        <v>44438.91943287037</v>
      </c>
      <c r="C456" s="1" t="n">
        <v>46181</v>
      </c>
      <c r="D456" t="inlineStr">
        <is>
          <t>VÄSTERNORRLANDS LÄN</t>
        </is>
      </c>
      <c r="E456" t="inlineStr">
        <is>
          <t>SUNDSVALL</t>
        </is>
      </c>
      <c r="G456" t="n">
        <v>4.8</v>
      </c>
      <c r="H456" t="n">
        <v>0</v>
      </c>
      <c r="I456" t="n">
        <v>0</v>
      </c>
      <c r="J456" t="n">
        <v>0</v>
      </c>
      <c r="K456" t="n">
        <v>0</v>
      </c>
      <c r="L456" t="n">
        <v>0</v>
      </c>
      <c r="M456" t="n">
        <v>0</v>
      </c>
      <c r="N456" t="n">
        <v>0</v>
      </c>
      <c r="O456" t="n">
        <v>0</v>
      </c>
      <c r="P456" t="n">
        <v>0</v>
      </c>
      <c r="Q456" t="n">
        <v>0</v>
      </c>
      <c r="R456" s="2" t="inlineStr"/>
    </row>
    <row r="457" ht="15" customHeight="1">
      <c r="A457" t="inlineStr">
        <is>
          <t>A 55161-2021</t>
        </is>
      </c>
      <c r="B457" s="1" t="n">
        <v>44474.92077546296</v>
      </c>
      <c r="C457" s="1" t="n">
        <v>46181</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52554-2021</t>
        </is>
      </c>
      <c r="B458" s="1" t="n">
        <v>44466</v>
      </c>
      <c r="C458" s="1" t="n">
        <v>46181</v>
      </c>
      <c r="D458" t="inlineStr">
        <is>
          <t>VÄSTERNORRLANDS LÄN</t>
        </is>
      </c>
      <c r="E458" t="inlineStr">
        <is>
          <t>SUNDSVALL</t>
        </is>
      </c>
      <c r="G458" t="n">
        <v>0.4</v>
      </c>
      <c r="H458" t="n">
        <v>0</v>
      </c>
      <c r="I458" t="n">
        <v>0</v>
      </c>
      <c r="J458" t="n">
        <v>0</v>
      </c>
      <c r="K458" t="n">
        <v>0</v>
      </c>
      <c r="L458" t="n">
        <v>0</v>
      </c>
      <c r="M458" t="n">
        <v>0</v>
      </c>
      <c r="N458" t="n">
        <v>0</v>
      </c>
      <c r="O458" t="n">
        <v>0</v>
      </c>
      <c r="P458" t="n">
        <v>0</v>
      </c>
      <c r="Q458" t="n">
        <v>0</v>
      </c>
      <c r="R458" s="2" t="inlineStr"/>
    </row>
    <row r="459" ht="15" customHeight="1">
      <c r="A459" t="inlineStr">
        <is>
          <t>A 59975-2021</t>
        </is>
      </c>
      <c r="B459" s="1" t="n">
        <v>44494.93675925926</v>
      </c>
      <c r="C459" s="1" t="n">
        <v>46181</v>
      </c>
      <c r="D459" t="inlineStr">
        <is>
          <t>VÄSTERNORRLANDS LÄN</t>
        </is>
      </c>
      <c r="E459" t="inlineStr">
        <is>
          <t>SUNDSVALL</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223-2022</t>
        </is>
      </c>
      <c r="B460" s="1" t="n">
        <v>44564.9027662037</v>
      </c>
      <c r="C460" s="1" t="n">
        <v>46181</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44920-2021</t>
        </is>
      </c>
      <c r="B461" s="1" t="n">
        <v>44438</v>
      </c>
      <c r="C461" s="1" t="n">
        <v>46181</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45870-2022</t>
        </is>
      </c>
      <c r="B462" s="1" t="n">
        <v>44844</v>
      </c>
      <c r="C462" s="1" t="n">
        <v>46181</v>
      </c>
      <c r="D462" t="inlineStr">
        <is>
          <t>VÄSTERNORRLANDS LÄN</t>
        </is>
      </c>
      <c r="E462" t="inlineStr">
        <is>
          <t>SUNDSVALL</t>
        </is>
      </c>
      <c r="G462" t="n">
        <v>6</v>
      </c>
      <c r="H462" t="n">
        <v>0</v>
      </c>
      <c r="I462" t="n">
        <v>0</v>
      </c>
      <c r="J462" t="n">
        <v>0</v>
      </c>
      <c r="K462" t="n">
        <v>0</v>
      </c>
      <c r="L462" t="n">
        <v>0</v>
      </c>
      <c r="M462" t="n">
        <v>0</v>
      </c>
      <c r="N462" t="n">
        <v>0</v>
      </c>
      <c r="O462" t="n">
        <v>0</v>
      </c>
      <c r="P462" t="n">
        <v>0</v>
      </c>
      <c r="Q462" t="n">
        <v>0</v>
      </c>
      <c r="R462" s="2" t="inlineStr"/>
    </row>
    <row r="463" ht="15" customHeight="1">
      <c r="A463" t="inlineStr">
        <is>
          <t>A 31956-2022</t>
        </is>
      </c>
      <c r="B463" s="1" t="n">
        <v>44777.92658564815</v>
      </c>
      <c r="C463" s="1" t="n">
        <v>46181</v>
      </c>
      <c r="D463" t="inlineStr">
        <is>
          <t>VÄSTERNORRLANDS LÄN</t>
        </is>
      </c>
      <c r="E463" t="inlineStr">
        <is>
          <t>SUNDSVALL</t>
        </is>
      </c>
      <c r="G463" t="n">
        <v>6.1</v>
      </c>
      <c r="H463" t="n">
        <v>0</v>
      </c>
      <c r="I463" t="n">
        <v>0</v>
      </c>
      <c r="J463" t="n">
        <v>0</v>
      </c>
      <c r="K463" t="n">
        <v>0</v>
      </c>
      <c r="L463" t="n">
        <v>0</v>
      </c>
      <c r="M463" t="n">
        <v>0</v>
      </c>
      <c r="N463" t="n">
        <v>0</v>
      </c>
      <c r="O463" t="n">
        <v>0</v>
      </c>
      <c r="P463" t="n">
        <v>0</v>
      </c>
      <c r="Q463" t="n">
        <v>0</v>
      </c>
      <c r="R463" s="2" t="inlineStr"/>
    </row>
    <row r="464" ht="15" customHeight="1">
      <c r="A464" t="inlineStr">
        <is>
          <t>A 49984-2022</t>
        </is>
      </c>
      <c r="B464" s="1" t="n">
        <v>44859</v>
      </c>
      <c r="C464" s="1" t="n">
        <v>46181</v>
      </c>
      <c r="D464" t="inlineStr">
        <is>
          <t>VÄSTERNORRLANDS LÄN</t>
        </is>
      </c>
      <c r="E464" t="inlineStr">
        <is>
          <t>SUNDSVALL</t>
        </is>
      </c>
      <c r="G464" t="n">
        <v>0.3</v>
      </c>
      <c r="H464" t="n">
        <v>0</v>
      </c>
      <c r="I464" t="n">
        <v>0</v>
      </c>
      <c r="J464" t="n">
        <v>0</v>
      </c>
      <c r="K464" t="n">
        <v>0</v>
      </c>
      <c r="L464" t="n">
        <v>0</v>
      </c>
      <c r="M464" t="n">
        <v>0</v>
      </c>
      <c r="N464" t="n">
        <v>0</v>
      </c>
      <c r="O464" t="n">
        <v>0</v>
      </c>
      <c r="P464" t="n">
        <v>0</v>
      </c>
      <c r="Q464" t="n">
        <v>0</v>
      </c>
      <c r="R464" s="2" t="inlineStr"/>
    </row>
    <row r="465" ht="15" customHeight="1">
      <c r="A465" t="inlineStr">
        <is>
          <t>A 56894-2021</t>
        </is>
      </c>
      <c r="B465" s="1" t="n">
        <v>44481</v>
      </c>
      <c r="C465" s="1" t="n">
        <v>46181</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23840-2022</t>
        </is>
      </c>
      <c r="B466" s="1" t="n">
        <v>44722</v>
      </c>
      <c r="C466" s="1" t="n">
        <v>46181</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20509-2022</t>
        </is>
      </c>
      <c r="B467" s="1" t="n">
        <v>44699.92497685185</v>
      </c>
      <c r="C467" s="1" t="n">
        <v>46181</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17060-2022</t>
        </is>
      </c>
      <c r="B468" s="1" t="n">
        <v>44676.94297453704</v>
      </c>
      <c r="C468" s="1" t="n">
        <v>46181</v>
      </c>
      <c r="D468" t="inlineStr">
        <is>
          <t>VÄSTERNORRLANDS LÄN</t>
        </is>
      </c>
      <c r="E468" t="inlineStr">
        <is>
          <t>SUNDSVALL</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30019-2021</t>
        </is>
      </c>
      <c r="B469" s="1" t="n">
        <v>44363.42795138889</v>
      </c>
      <c r="C469" s="1" t="n">
        <v>46181</v>
      </c>
      <c r="D469" t="inlineStr">
        <is>
          <t>VÄSTERNORRLANDS LÄN</t>
        </is>
      </c>
      <c r="E469" t="inlineStr">
        <is>
          <t>SUNDSVALL</t>
        </is>
      </c>
      <c r="G469" t="n">
        <v>1.8</v>
      </c>
      <c r="H469" t="n">
        <v>0</v>
      </c>
      <c r="I469" t="n">
        <v>0</v>
      </c>
      <c r="J469" t="n">
        <v>0</v>
      </c>
      <c r="K469" t="n">
        <v>0</v>
      </c>
      <c r="L469" t="n">
        <v>0</v>
      </c>
      <c r="M469" t="n">
        <v>0</v>
      </c>
      <c r="N469" t="n">
        <v>0</v>
      </c>
      <c r="O469" t="n">
        <v>0</v>
      </c>
      <c r="P469" t="n">
        <v>0</v>
      </c>
      <c r="Q469" t="n">
        <v>0</v>
      </c>
      <c r="R469" s="2" t="inlineStr"/>
    </row>
    <row r="470" ht="15" customHeight="1">
      <c r="A470" t="inlineStr">
        <is>
          <t>A 7436-2022</t>
        </is>
      </c>
      <c r="B470" s="1" t="n">
        <v>44606</v>
      </c>
      <c r="C470" s="1" t="n">
        <v>46181</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33498-2022</t>
        </is>
      </c>
      <c r="B471" s="1" t="n">
        <v>44788.9269212963</v>
      </c>
      <c r="C471" s="1" t="n">
        <v>46181</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72499-2021</t>
        </is>
      </c>
      <c r="B472" s="1" t="n">
        <v>44545.94166666667</v>
      </c>
      <c r="C472" s="1" t="n">
        <v>46181</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67098-2021</t>
        </is>
      </c>
      <c r="B473" s="1" t="n">
        <v>44522.94567129629</v>
      </c>
      <c r="C473" s="1" t="n">
        <v>46181</v>
      </c>
      <c r="D473" t="inlineStr">
        <is>
          <t>VÄSTERNORRLANDS LÄN</t>
        </is>
      </c>
      <c r="E473" t="inlineStr">
        <is>
          <t>SUNDSVALL</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7434-2022</t>
        </is>
      </c>
      <c r="B474" s="1" t="n">
        <v>44606.93344907407</v>
      </c>
      <c r="C474" s="1" t="n">
        <v>46181</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29577-2021</t>
        </is>
      </c>
      <c r="B475" s="1" t="n">
        <v>44361</v>
      </c>
      <c r="C475" s="1" t="n">
        <v>46181</v>
      </c>
      <c r="D475" t="inlineStr">
        <is>
          <t>VÄSTERNORRLANDS LÄN</t>
        </is>
      </c>
      <c r="E475" t="inlineStr">
        <is>
          <t>SUNDSVALL</t>
        </is>
      </c>
      <c r="G475" t="n">
        <v>2.3</v>
      </c>
      <c r="H475" t="n">
        <v>0</v>
      </c>
      <c r="I475" t="n">
        <v>0</v>
      </c>
      <c r="J475" t="n">
        <v>0</v>
      </c>
      <c r="K475" t="n">
        <v>0</v>
      </c>
      <c r="L475" t="n">
        <v>0</v>
      </c>
      <c r="M475" t="n">
        <v>0</v>
      </c>
      <c r="N475" t="n">
        <v>0</v>
      </c>
      <c r="O475" t="n">
        <v>0</v>
      </c>
      <c r="P475" t="n">
        <v>0</v>
      </c>
      <c r="Q475" t="n">
        <v>0</v>
      </c>
      <c r="R475" s="2" t="inlineStr"/>
    </row>
    <row r="476" ht="15" customHeight="1">
      <c r="A476" t="inlineStr">
        <is>
          <t>A 14468-2022</t>
        </is>
      </c>
      <c r="B476" s="1" t="n">
        <v>44654.67935185185</v>
      </c>
      <c r="C476" s="1" t="n">
        <v>46181</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20517-2022</t>
        </is>
      </c>
      <c r="B477" s="1" t="n">
        <v>44699.92630787037</v>
      </c>
      <c r="C477" s="1" t="n">
        <v>46181</v>
      </c>
      <c r="D477" t="inlineStr">
        <is>
          <t>VÄSTERNORRLANDS LÄN</t>
        </is>
      </c>
      <c r="E477" t="inlineStr">
        <is>
          <t>SUNDSVALL</t>
        </is>
      </c>
      <c r="G477" t="n">
        <v>0.8</v>
      </c>
      <c r="H477" t="n">
        <v>0</v>
      </c>
      <c r="I477" t="n">
        <v>0</v>
      </c>
      <c r="J477" t="n">
        <v>0</v>
      </c>
      <c r="K477" t="n">
        <v>0</v>
      </c>
      <c r="L477" t="n">
        <v>0</v>
      </c>
      <c r="M477" t="n">
        <v>0</v>
      </c>
      <c r="N477" t="n">
        <v>0</v>
      </c>
      <c r="O477" t="n">
        <v>0</v>
      </c>
      <c r="P477" t="n">
        <v>0</v>
      </c>
      <c r="Q477" t="n">
        <v>0</v>
      </c>
      <c r="R477" s="2" t="inlineStr"/>
    </row>
    <row r="478" ht="15" customHeight="1">
      <c r="A478" t="inlineStr">
        <is>
          <t>A 44404-2022</t>
        </is>
      </c>
      <c r="B478" s="1" t="n">
        <v>44838</v>
      </c>
      <c r="C478" s="1" t="n">
        <v>46181</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44405-2022</t>
        </is>
      </c>
      <c r="B479" s="1" t="n">
        <v>44838</v>
      </c>
      <c r="C479" s="1" t="n">
        <v>46181</v>
      </c>
      <c r="D479" t="inlineStr">
        <is>
          <t>VÄSTERNORRLANDS LÄN</t>
        </is>
      </c>
      <c r="E479" t="inlineStr">
        <is>
          <t>SUNDSVALL</t>
        </is>
      </c>
      <c r="G479" t="n">
        <v>0.2</v>
      </c>
      <c r="H479" t="n">
        <v>0</v>
      </c>
      <c r="I479" t="n">
        <v>0</v>
      </c>
      <c r="J479" t="n">
        <v>0</v>
      </c>
      <c r="K479" t="n">
        <v>0</v>
      </c>
      <c r="L479" t="n">
        <v>0</v>
      </c>
      <c r="M479" t="n">
        <v>0</v>
      </c>
      <c r="N479" t="n">
        <v>0</v>
      </c>
      <c r="O479" t="n">
        <v>0</v>
      </c>
      <c r="P479" t="n">
        <v>0</v>
      </c>
      <c r="Q479" t="n">
        <v>0</v>
      </c>
      <c r="R479" s="2" t="inlineStr"/>
    </row>
    <row r="480" ht="15" customHeight="1">
      <c r="A480" t="inlineStr">
        <is>
          <t>A 44409-2022</t>
        </is>
      </c>
      <c r="B480" s="1" t="n">
        <v>44839.88365740741</v>
      </c>
      <c r="C480" s="1" t="n">
        <v>46181</v>
      </c>
      <c r="D480" t="inlineStr">
        <is>
          <t>VÄSTERNORRLANDS LÄN</t>
        </is>
      </c>
      <c r="E480" t="inlineStr">
        <is>
          <t>SUNDSVALL</t>
        </is>
      </c>
      <c r="G480" t="n">
        <v>1.5</v>
      </c>
      <c r="H480" t="n">
        <v>0</v>
      </c>
      <c r="I480" t="n">
        <v>0</v>
      </c>
      <c r="J480" t="n">
        <v>0</v>
      </c>
      <c r="K480" t="n">
        <v>0</v>
      </c>
      <c r="L480" t="n">
        <v>0</v>
      </c>
      <c r="M480" t="n">
        <v>0</v>
      </c>
      <c r="N480" t="n">
        <v>0</v>
      </c>
      <c r="O480" t="n">
        <v>0</v>
      </c>
      <c r="P480" t="n">
        <v>0</v>
      </c>
      <c r="Q480" t="n">
        <v>0</v>
      </c>
      <c r="R480" s="2" t="inlineStr"/>
    </row>
    <row r="481" ht="15" customHeight="1">
      <c r="A481" t="inlineStr">
        <is>
          <t>A 39676-2021</t>
        </is>
      </c>
      <c r="B481" s="1" t="n">
        <v>44414</v>
      </c>
      <c r="C481" s="1" t="n">
        <v>46181</v>
      </c>
      <c r="D481" t="inlineStr">
        <is>
          <t>VÄSTERNORRLANDS LÄN</t>
        </is>
      </c>
      <c r="E481" t="inlineStr">
        <is>
          <t>SUNDSVALL</t>
        </is>
      </c>
      <c r="G481" t="n">
        <v>2.8</v>
      </c>
      <c r="H481" t="n">
        <v>0</v>
      </c>
      <c r="I481" t="n">
        <v>0</v>
      </c>
      <c r="J481" t="n">
        <v>0</v>
      </c>
      <c r="K481" t="n">
        <v>0</v>
      </c>
      <c r="L481" t="n">
        <v>0</v>
      </c>
      <c r="M481" t="n">
        <v>0</v>
      </c>
      <c r="N481" t="n">
        <v>0</v>
      </c>
      <c r="O481" t="n">
        <v>0</v>
      </c>
      <c r="P481" t="n">
        <v>0</v>
      </c>
      <c r="Q481" t="n">
        <v>0</v>
      </c>
      <c r="R481" s="2" t="inlineStr"/>
    </row>
    <row r="482" ht="15" customHeight="1">
      <c r="A482" t="inlineStr">
        <is>
          <t>A 17586-2022</t>
        </is>
      </c>
      <c r="B482" s="1" t="n">
        <v>44679.94385416667</v>
      </c>
      <c r="C482" s="1" t="n">
        <v>46181</v>
      </c>
      <c r="D482" t="inlineStr">
        <is>
          <t>VÄSTERNORRLANDS LÄN</t>
        </is>
      </c>
      <c r="E482" t="inlineStr">
        <is>
          <t>SUNDSVALL</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29322-2021</t>
        </is>
      </c>
      <c r="B483" s="1" t="n">
        <v>44361.42559027778</v>
      </c>
      <c r="C483" s="1" t="n">
        <v>46181</v>
      </c>
      <c r="D483" t="inlineStr">
        <is>
          <t>VÄSTERNORRLANDS LÄN</t>
        </is>
      </c>
      <c r="E483" t="inlineStr">
        <is>
          <t>SUNDSVALL</t>
        </is>
      </c>
      <c r="G483" t="n">
        <v>7.2</v>
      </c>
      <c r="H483" t="n">
        <v>0</v>
      </c>
      <c r="I483" t="n">
        <v>0</v>
      </c>
      <c r="J483" t="n">
        <v>0</v>
      </c>
      <c r="K483" t="n">
        <v>0</v>
      </c>
      <c r="L483" t="n">
        <v>0</v>
      </c>
      <c r="M483" t="n">
        <v>0</v>
      </c>
      <c r="N483" t="n">
        <v>0</v>
      </c>
      <c r="O483" t="n">
        <v>0</v>
      </c>
      <c r="P483" t="n">
        <v>0</v>
      </c>
      <c r="Q483" t="n">
        <v>0</v>
      </c>
      <c r="R483" s="2" t="inlineStr"/>
    </row>
    <row r="484" ht="15" customHeight="1">
      <c r="A484" t="inlineStr">
        <is>
          <t>A 41222-2022</t>
        </is>
      </c>
      <c r="B484" s="1" t="n">
        <v>44825</v>
      </c>
      <c r="C484" s="1" t="n">
        <v>46181</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10242-2025</t>
        </is>
      </c>
      <c r="B485" s="1" t="n">
        <v>45720.34821759259</v>
      </c>
      <c r="C485" s="1" t="n">
        <v>46181</v>
      </c>
      <c r="D485" t="inlineStr">
        <is>
          <t>VÄSTERNORRLANDS LÄN</t>
        </is>
      </c>
      <c r="E485" t="inlineStr">
        <is>
          <t>SUNDSVALL</t>
        </is>
      </c>
      <c r="G485" t="n">
        <v>4.5</v>
      </c>
      <c r="H485" t="n">
        <v>0</v>
      </c>
      <c r="I485" t="n">
        <v>0</v>
      </c>
      <c r="J485" t="n">
        <v>0</v>
      </c>
      <c r="K485" t="n">
        <v>0</v>
      </c>
      <c r="L485" t="n">
        <v>0</v>
      </c>
      <c r="M485" t="n">
        <v>0</v>
      </c>
      <c r="N485" t="n">
        <v>0</v>
      </c>
      <c r="O485" t="n">
        <v>0</v>
      </c>
      <c r="P485" t="n">
        <v>0</v>
      </c>
      <c r="Q485" t="n">
        <v>0</v>
      </c>
      <c r="R485" s="2" t="inlineStr"/>
    </row>
    <row r="486" ht="15" customHeight="1">
      <c r="A486" t="inlineStr">
        <is>
          <t>A 62283-2023</t>
        </is>
      </c>
      <c r="B486" s="1" t="n">
        <v>45266</v>
      </c>
      <c r="C486" s="1" t="n">
        <v>46181</v>
      </c>
      <c r="D486" t="inlineStr">
        <is>
          <t>VÄSTERNORRLANDS LÄN</t>
        </is>
      </c>
      <c r="E486" t="inlineStr">
        <is>
          <t>SUNDSVALL</t>
        </is>
      </c>
      <c r="G486" t="n">
        <v>6.4</v>
      </c>
      <c r="H486" t="n">
        <v>0</v>
      </c>
      <c r="I486" t="n">
        <v>0</v>
      </c>
      <c r="J486" t="n">
        <v>0</v>
      </c>
      <c r="K486" t="n">
        <v>0</v>
      </c>
      <c r="L486" t="n">
        <v>0</v>
      </c>
      <c r="M486" t="n">
        <v>0</v>
      </c>
      <c r="N486" t="n">
        <v>0</v>
      </c>
      <c r="O486" t="n">
        <v>0</v>
      </c>
      <c r="P486" t="n">
        <v>0</v>
      </c>
      <c r="Q486" t="n">
        <v>0</v>
      </c>
      <c r="R486" s="2" t="inlineStr"/>
    </row>
    <row r="487" ht="15" customHeight="1">
      <c r="A487" t="inlineStr">
        <is>
          <t>A 8850-2025</t>
        </is>
      </c>
      <c r="B487" s="1" t="n">
        <v>45713</v>
      </c>
      <c r="C487" s="1" t="n">
        <v>46181</v>
      </c>
      <c r="D487" t="inlineStr">
        <is>
          <t>VÄSTERNORRLANDS LÄN</t>
        </is>
      </c>
      <c r="E487" t="inlineStr">
        <is>
          <t>SUNDSVALL</t>
        </is>
      </c>
      <c r="G487" t="n">
        <v>4.1</v>
      </c>
      <c r="H487" t="n">
        <v>0</v>
      </c>
      <c r="I487" t="n">
        <v>0</v>
      </c>
      <c r="J487" t="n">
        <v>0</v>
      </c>
      <c r="K487" t="n">
        <v>0</v>
      </c>
      <c r="L487" t="n">
        <v>0</v>
      </c>
      <c r="M487" t="n">
        <v>0</v>
      </c>
      <c r="N487" t="n">
        <v>0</v>
      </c>
      <c r="O487" t="n">
        <v>0</v>
      </c>
      <c r="P487" t="n">
        <v>0</v>
      </c>
      <c r="Q487" t="n">
        <v>0</v>
      </c>
      <c r="R487" s="2" t="inlineStr"/>
    </row>
    <row r="488" ht="15" customHeight="1">
      <c r="A488" t="inlineStr">
        <is>
          <t>A 53450-2023</t>
        </is>
      </c>
      <c r="B488" s="1" t="n">
        <v>45229.96534722222</v>
      </c>
      <c r="C488" s="1" t="n">
        <v>46181</v>
      </c>
      <c r="D488" t="inlineStr">
        <is>
          <t>VÄSTERNORRLANDS LÄN</t>
        </is>
      </c>
      <c r="E488" t="inlineStr">
        <is>
          <t>SUNDSVALL</t>
        </is>
      </c>
      <c r="F488" t="inlineStr">
        <is>
          <t>SCA</t>
        </is>
      </c>
      <c r="G488" t="n">
        <v>5.9</v>
      </c>
      <c r="H488" t="n">
        <v>0</v>
      </c>
      <c r="I488" t="n">
        <v>0</v>
      </c>
      <c r="J488" t="n">
        <v>0</v>
      </c>
      <c r="K488" t="n">
        <v>0</v>
      </c>
      <c r="L488" t="n">
        <v>0</v>
      </c>
      <c r="M488" t="n">
        <v>0</v>
      </c>
      <c r="N488" t="n">
        <v>0</v>
      </c>
      <c r="O488" t="n">
        <v>0</v>
      </c>
      <c r="P488" t="n">
        <v>0</v>
      </c>
      <c r="Q488" t="n">
        <v>0</v>
      </c>
      <c r="R488" s="2" t="inlineStr"/>
    </row>
    <row r="489" ht="15" customHeight="1">
      <c r="A489" t="inlineStr">
        <is>
          <t>A 29926-2021</t>
        </is>
      </c>
      <c r="B489" s="1" t="n">
        <v>44362.93724537037</v>
      </c>
      <c r="C489" s="1" t="n">
        <v>46181</v>
      </c>
      <c r="D489" t="inlineStr">
        <is>
          <t>VÄSTERNORRLANDS LÄN</t>
        </is>
      </c>
      <c r="E489" t="inlineStr">
        <is>
          <t>SUNDSVALL</t>
        </is>
      </c>
      <c r="G489" t="n">
        <v>3.3</v>
      </c>
      <c r="H489" t="n">
        <v>0</v>
      </c>
      <c r="I489" t="n">
        <v>0</v>
      </c>
      <c r="J489" t="n">
        <v>0</v>
      </c>
      <c r="K489" t="n">
        <v>0</v>
      </c>
      <c r="L489" t="n">
        <v>0</v>
      </c>
      <c r="M489" t="n">
        <v>0</v>
      </c>
      <c r="N489" t="n">
        <v>0</v>
      </c>
      <c r="O489" t="n">
        <v>0</v>
      </c>
      <c r="P489" t="n">
        <v>0</v>
      </c>
      <c r="Q489" t="n">
        <v>0</v>
      </c>
      <c r="R489" s="2" t="inlineStr"/>
    </row>
    <row r="490" ht="15" customHeight="1">
      <c r="A490" t="inlineStr">
        <is>
          <t>A 7463-2025</t>
        </is>
      </c>
      <c r="B490" s="1" t="n">
        <v>45705.44458333333</v>
      </c>
      <c r="C490" s="1" t="n">
        <v>46181</v>
      </c>
      <c r="D490" t="inlineStr">
        <is>
          <t>VÄSTERNORRLANDS LÄN</t>
        </is>
      </c>
      <c r="E490" t="inlineStr">
        <is>
          <t>SUNDSVALL</t>
        </is>
      </c>
      <c r="G490" t="n">
        <v>3.4</v>
      </c>
      <c r="H490" t="n">
        <v>0</v>
      </c>
      <c r="I490" t="n">
        <v>0</v>
      </c>
      <c r="J490" t="n">
        <v>0</v>
      </c>
      <c r="K490" t="n">
        <v>0</v>
      </c>
      <c r="L490" t="n">
        <v>0</v>
      </c>
      <c r="M490" t="n">
        <v>0</v>
      </c>
      <c r="N490" t="n">
        <v>0</v>
      </c>
      <c r="O490" t="n">
        <v>0</v>
      </c>
      <c r="P490" t="n">
        <v>0</v>
      </c>
      <c r="Q490" t="n">
        <v>0</v>
      </c>
      <c r="R490" s="2" t="inlineStr"/>
    </row>
    <row r="491" ht="15" customHeight="1">
      <c r="A491" t="inlineStr">
        <is>
          <t>A 49319-2023</t>
        </is>
      </c>
      <c r="B491" s="1" t="n">
        <v>45210.94841435185</v>
      </c>
      <c r="C491" s="1" t="n">
        <v>46181</v>
      </c>
      <c r="D491" t="inlineStr">
        <is>
          <t>VÄSTERNORRLANDS LÄN</t>
        </is>
      </c>
      <c r="E491" t="inlineStr">
        <is>
          <t>SUNDSVALL</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44688-2023</t>
        </is>
      </c>
      <c r="B492" s="1" t="n">
        <v>45189.92204861111</v>
      </c>
      <c r="C492" s="1" t="n">
        <v>46181</v>
      </c>
      <c r="D492" t="inlineStr">
        <is>
          <t>VÄSTERNORRLANDS LÄN</t>
        </is>
      </c>
      <c r="E492" t="inlineStr">
        <is>
          <t>SUNDSVALL</t>
        </is>
      </c>
      <c r="G492" t="n">
        <v>3</v>
      </c>
      <c r="H492" t="n">
        <v>0</v>
      </c>
      <c r="I492" t="n">
        <v>0</v>
      </c>
      <c r="J492" t="n">
        <v>0</v>
      </c>
      <c r="K492" t="n">
        <v>0</v>
      </c>
      <c r="L492" t="n">
        <v>0</v>
      </c>
      <c r="M492" t="n">
        <v>0</v>
      </c>
      <c r="N492" t="n">
        <v>0</v>
      </c>
      <c r="O492" t="n">
        <v>0</v>
      </c>
      <c r="P492" t="n">
        <v>0</v>
      </c>
      <c r="Q492" t="n">
        <v>0</v>
      </c>
      <c r="R492" s="2" t="inlineStr"/>
    </row>
    <row r="493" ht="15" customHeight="1">
      <c r="A493" t="inlineStr">
        <is>
          <t>A 4045-2024</t>
        </is>
      </c>
      <c r="B493" s="1" t="n">
        <v>45323.46451388889</v>
      </c>
      <c r="C493" s="1" t="n">
        <v>46181</v>
      </c>
      <c r="D493" t="inlineStr">
        <is>
          <t>VÄSTERNORRLANDS LÄN</t>
        </is>
      </c>
      <c r="E493" t="inlineStr">
        <is>
          <t>SUNDSVALL</t>
        </is>
      </c>
      <c r="F493" t="inlineStr">
        <is>
          <t>Kommuner</t>
        </is>
      </c>
      <c r="G493" t="n">
        <v>6.9</v>
      </c>
      <c r="H493" t="n">
        <v>0</v>
      </c>
      <c r="I493" t="n">
        <v>0</v>
      </c>
      <c r="J493" t="n">
        <v>0</v>
      </c>
      <c r="K493" t="n">
        <v>0</v>
      </c>
      <c r="L493" t="n">
        <v>0</v>
      </c>
      <c r="M493" t="n">
        <v>0</v>
      </c>
      <c r="N493" t="n">
        <v>0</v>
      </c>
      <c r="O493" t="n">
        <v>0</v>
      </c>
      <c r="P493" t="n">
        <v>0</v>
      </c>
      <c r="Q493" t="n">
        <v>0</v>
      </c>
      <c r="R493" s="2" t="inlineStr"/>
    </row>
    <row r="494" ht="15" customHeight="1">
      <c r="A494" t="inlineStr">
        <is>
          <t>A 57784-2023</t>
        </is>
      </c>
      <c r="B494" s="1" t="n">
        <v>45246</v>
      </c>
      <c r="C494" s="1" t="n">
        <v>46181</v>
      </c>
      <c r="D494" t="inlineStr">
        <is>
          <t>VÄSTERNORRLANDS LÄN</t>
        </is>
      </c>
      <c r="E494" t="inlineStr">
        <is>
          <t>SUNDSVALL</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44350-2022</t>
        </is>
      </c>
      <c r="B495" s="1" t="n">
        <v>44839.68814814815</v>
      </c>
      <c r="C495" s="1" t="n">
        <v>46181</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39821-2023</t>
        </is>
      </c>
      <c r="B496" s="1" t="n">
        <v>45167.96028935185</v>
      </c>
      <c r="C496" s="1" t="n">
        <v>46181</v>
      </c>
      <c r="D496" t="inlineStr">
        <is>
          <t>VÄSTERNORRLANDS LÄN</t>
        </is>
      </c>
      <c r="E496" t="inlineStr">
        <is>
          <t>SUNDSVALL</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58652-2023</t>
        </is>
      </c>
      <c r="B497" s="1" t="n">
        <v>45251.60342592592</v>
      </c>
      <c r="C497" s="1" t="n">
        <v>46181</v>
      </c>
      <c r="D497" t="inlineStr">
        <is>
          <t>VÄSTERNORRLANDS LÄN</t>
        </is>
      </c>
      <c r="E497" t="inlineStr">
        <is>
          <t>SUNDSVALL</t>
        </is>
      </c>
      <c r="G497" t="n">
        <v>1.4</v>
      </c>
      <c r="H497" t="n">
        <v>0</v>
      </c>
      <c r="I497" t="n">
        <v>0</v>
      </c>
      <c r="J497" t="n">
        <v>0</v>
      </c>
      <c r="K497" t="n">
        <v>0</v>
      </c>
      <c r="L497" t="n">
        <v>0</v>
      </c>
      <c r="M497" t="n">
        <v>0</v>
      </c>
      <c r="N497" t="n">
        <v>0</v>
      </c>
      <c r="O497" t="n">
        <v>0</v>
      </c>
      <c r="P497" t="n">
        <v>0</v>
      </c>
      <c r="Q497" t="n">
        <v>0</v>
      </c>
      <c r="R497" s="2" t="inlineStr"/>
    </row>
    <row r="498" ht="15" customHeight="1">
      <c r="A498" t="inlineStr">
        <is>
          <t>A 3941-2024</t>
        </is>
      </c>
      <c r="B498" s="1" t="n">
        <v>45322</v>
      </c>
      <c r="C498" s="1" t="n">
        <v>46181</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5316-2024</t>
        </is>
      </c>
      <c r="B499" s="1" t="n">
        <v>45331</v>
      </c>
      <c r="C499" s="1" t="n">
        <v>46181</v>
      </c>
      <c r="D499" t="inlineStr">
        <is>
          <t>VÄSTERNORRLANDS LÄN</t>
        </is>
      </c>
      <c r="E499" t="inlineStr">
        <is>
          <t>SUNDSVALL</t>
        </is>
      </c>
      <c r="G499" t="n">
        <v>12.9</v>
      </c>
      <c r="H499" t="n">
        <v>0</v>
      </c>
      <c r="I499" t="n">
        <v>0</v>
      </c>
      <c r="J499" t="n">
        <v>0</v>
      </c>
      <c r="K499" t="n">
        <v>0</v>
      </c>
      <c r="L499" t="n">
        <v>0</v>
      </c>
      <c r="M499" t="n">
        <v>0</v>
      </c>
      <c r="N499" t="n">
        <v>0</v>
      </c>
      <c r="O499" t="n">
        <v>0</v>
      </c>
      <c r="P499" t="n">
        <v>0</v>
      </c>
      <c r="Q499" t="n">
        <v>0</v>
      </c>
      <c r="R499" s="2" t="inlineStr"/>
    </row>
    <row r="500" ht="15" customHeight="1">
      <c r="A500" t="inlineStr">
        <is>
          <t>A 39711-2024</t>
        </is>
      </c>
      <c r="B500" s="1" t="n">
        <v>45552</v>
      </c>
      <c r="C500" s="1" t="n">
        <v>46181</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49994-2023</t>
        </is>
      </c>
      <c r="B501" s="1" t="n">
        <v>45215</v>
      </c>
      <c r="C501" s="1" t="n">
        <v>46181</v>
      </c>
      <c r="D501" t="inlineStr">
        <is>
          <t>VÄSTERNORRLANDS LÄN</t>
        </is>
      </c>
      <c r="E501" t="inlineStr">
        <is>
          <t>SUNDSVALL</t>
        </is>
      </c>
      <c r="G501" t="n">
        <v>2.3</v>
      </c>
      <c r="H501" t="n">
        <v>0</v>
      </c>
      <c r="I501" t="n">
        <v>0</v>
      </c>
      <c r="J501" t="n">
        <v>0</v>
      </c>
      <c r="K501" t="n">
        <v>0</v>
      </c>
      <c r="L501" t="n">
        <v>0</v>
      </c>
      <c r="M501" t="n">
        <v>0</v>
      </c>
      <c r="N501" t="n">
        <v>0</v>
      </c>
      <c r="O501" t="n">
        <v>0</v>
      </c>
      <c r="P501" t="n">
        <v>0</v>
      </c>
      <c r="Q501" t="n">
        <v>0</v>
      </c>
      <c r="R501" s="2" t="inlineStr"/>
    </row>
    <row r="502" ht="15" customHeight="1">
      <c r="A502" t="inlineStr">
        <is>
          <t>A 53764-2023</t>
        </is>
      </c>
      <c r="B502" s="1" t="n">
        <v>45230.96416666666</v>
      </c>
      <c r="C502" s="1" t="n">
        <v>46181</v>
      </c>
      <c r="D502" t="inlineStr">
        <is>
          <t>VÄSTERNORRLANDS LÄN</t>
        </is>
      </c>
      <c r="E502" t="inlineStr">
        <is>
          <t>SUNDSVALL</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34554-2022</t>
        </is>
      </c>
      <c r="B503" s="1" t="n">
        <v>44794</v>
      </c>
      <c r="C503" s="1" t="n">
        <v>46181</v>
      </c>
      <c r="D503" t="inlineStr">
        <is>
          <t>VÄSTERNORRLANDS LÄN</t>
        </is>
      </c>
      <c r="E503" t="inlineStr">
        <is>
          <t>SUNDSVALL</t>
        </is>
      </c>
      <c r="G503" t="n">
        <v>3.1</v>
      </c>
      <c r="H503" t="n">
        <v>0</v>
      </c>
      <c r="I503" t="n">
        <v>0</v>
      </c>
      <c r="J503" t="n">
        <v>0</v>
      </c>
      <c r="K503" t="n">
        <v>0</v>
      </c>
      <c r="L503" t="n">
        <v>0</v>
      </c>
      <c r="M503" t="n">
        <v>0</v>
      </c>
      <c r="N503" t="n">
        <v>0</v>
      </c>
      <c r="O503" t="n">
        <v>0</v>
      </c>
      <c r="P503" t="n">
        <v>0</v>
      </c>
      <c r="Q503" t="n">
        <v>0</v>
      </c>
      <c r="R503" s="2" t="inlineStr"/>
    </row>
    <row r="504" ht="15" customHeight="1">
      <c r="A504" t="inlineStr">
        <is>
          <t>A 54053-2023</t>
        </is>
      </c>
      <c r="B504" s="1" t="n">
        <v>45231.96831018518</v>
      </c>
      <c r="C504" s="1" t="n">
        <v>46181</v>
      </c>
      <c r="D504" t="inlineStr">
        <is>
          <t>VÄSTERNORRLANDS LÄN</t>
        </is>
      </c>
      <c r="E504" t="inlineStr">
        <is>
          <t>SUNDSVALL</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59654-2022</t>
        </is>
      </c>
      <c r="B505" s="1" t="n">
        <v>44907.96673611111</v>
      </c>
      <c r="C505" s="1" t="n">
        <v>46181</v>
      </c>
      <c r="D505" t="inlineStr">
        <is>
          <t>VÄSTERNORRLANDS LÄN</t>
        </is>
      </c>
      <c r="E505" t="inlineStr">
        <is>
          <t>SUNDSVALL</t>
        </is>
      </c>
      <c r="F505" t="inlineStr">
        <is>
          <t>Naturvårdsverket</t>
        </is>
      </c>
      <c r="G505" t="n">
        <v>3.6</v>
      </c>
      <c r="H505" t="n">
        <v>0</v>
      </c>
      <c r="I505" t="n">
        <v>0</v>
      </c>
      <c r="J505" t="n">
        <v>0</v>
      </c>
      <c r="K505" t="n">
        <v>0</v>
      </c>
      <c r="L505" t="n">
        <v>0</v>
      </c>
      <c r="M505" t="n">
        <v>0</v>
      </c>
      <c r="N505" t="n">
        <v>0</v>
      </c>
      <c r="O505" t="n">
        <v>0</v>
      </c>
      <c r="P505" t="n">
        <v>0</v>
      </c>
      <c r="Q505" t="n">
        <v>0</v>
      </c>
      <c r="R505" s="2" t="inlineStr"/>
    </row>
    <row r="506" ht="15" customHeight="1">
      <c r="A506" t="inlineStr">
        <is>
          <t>A 11083-2025</t>
        </is>
      </c>
      <c r="B506" s="1" t="n">
        <v>45723.56657407407</v>
      </c>
      <c r="C506" s="1" t="n">
        <v>46181</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9149-2025</t>
        </is>
      </c>
      <c r="B507" s="1" t="n">
        <v>45714</v>
      </c>
      <c r="C507" s="1" t="n">
        <v>46181</v>
      </c>
      <c r="D507" t="inlineStr">
        <is>
          <t>VÄSTERNORRLANDS LÄN</t>
        </is>
      </c>
      <c r="E507" t="inlineStr">
        <is>
          <t>SUNDSVALL</t>
        </is>
      </c>
      <c r="F507" t="inlineStr">
        <is>
          <t>SCA</t>
        </is>
      </c>
      <c r="G507" t="n">
        <v>15.5</v>
      </c>
      <c r="H507" t="n">
        <v>0</v>
      </c>
      <c r="I507" t="n">
        <v>0</v>
      </c>
      <c r="J507" t="n">
        <v>0</v>
      </c>
      <c r="K507" t="n">
        <v>0</v>
      </c>
      <c r="L507" t="n">
        <v>0</v>
      </c>
      <c r="M507" t="n">
        <v>0</v>
      </c>
      <c r="N507" t="n">
        <v>0</v>
      </c>
      <c r="O507" t="n">
        <v>0</v>
      </c>
      <c r="P507" t="n">
        <v>0</v>
      </c>
      <c r="Q507" t="n">
        <v>0</v>
      </c>
      <c r="R507" s="2" t="inlineStr"/>
    </row>
    <row r="508" ht="15" customHeight="1">
      <c r="A508" t="inlineStr">
        <is>
          <t>A 35682-2024</t>
        </is>
      </c>
      <c r="B508" s="1" t="n">
        <v>45532.40609953704</v>
      </c>
      <c r="C508" s="1" t="n">
        <v>46181</v>
      </c>
      <c r="D508" t="inlineStr">
        <is>
          <t>VÄSTERNORRLANDS LÄN</t>
        </is>
      </c>
      <c r="E508" t="inlineStr">
        <is>
          <t>SUNDSVALL</t>
        </is>
      </c>
      <c r="G508" t="n">
        <v>1.3</v>
      </c>
      <c r="H508" t="n">
        <v>0</v>
      </c>
      <c r="I508" t="n">
        <v>0</v>
      </c>
      <c r="J508" t="n">
        <v>0</v>
      </c>
      <c r="K508" t="n">
        <v>0</v>
      </c>
      <c r="L508" t="n">
        <v>0</v>
      </c>
      <c r="M508" t="n">
        <v>0</v>
      </c>
      <c r="N508" t="n">
        <v>0</v>
      </c>
      <c r="O508" t="n">
        <v>0</v>
      </c>
      <c r="P508" t="n">
        <v>0</v>
      </c>
      <c r="Q508" t="n">
        <v>0</v>
      </c>
      <c r="R508" s="2" t="inlineStr"/>
    </row>
    <row r="509" ht="15" customHeight="1">
      <c r="A509" t="inlineStr">
        <is>
          <t>A 58129-2023</t>
        </is>
      </c>
      <c r="B509" s="1" t="n">
        <v>45249</v>
      </c>
      <c r="C509" s="1" t="n">
        <v>46181</v>
      </c>
      <c r="D509" t="inlineStr">
        <is>
          <t>VÄSTERNORRLANDS LÄN</t>
        </is>
      </c>
      <c r="E509" t="inlineStr">
        <is>
          <t>SUNDSVALL</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6270-2024</t>
        </is>
      </c>
      <c r="B510" s="1" t="n">
        <v>45337</v>
      </c>
      <c r="C510" s="1" t="n">
        <v>46181</v>
      </c>
      <c r="D510" t="inlineStr">
        <is>
          <t>VÄSTERNORRLANDS LÄN</t>
        </is>
      </c>
      <c r="E510" t="inlineStr">
        <is>
          <t>SUNDSVALL</t>
        </is>
      </c>
      <c r="G510" t="n">
        <v>9.5</v>
      </c>
      <c r="H510" t="n">
        <v>0</v>
      </c>
      <c r="I510" t="n">
        <v>0</v>
      </c>
      <c r="J510" t="n">
        <v>0</v>
      </c>
      <c r="K510" t="n">
        <v>0</v>
      </c>
      <c r="L510" t="n">
        <v>0</v>
      </c>
      <c r="M510" t="n">
        <v>0</v>
      </c>
      <c r="N510" t="n">
        <v>0</v>
      </c>
      <c r="O510" t="n">
        <v>0</v>
      </c>
      <c r="P510" t="n">
        <v>0</v>
      </c>
      <c r="Q510" t="n">
        <v>0</v>
      </c>
      <c r="R510" s="2" t="inlineStr"/>
    </row>
    <row r="511" ht="15" customHeight="1">
      <c r="A511" t="inlineStr">
        <is>
          <t>A 9102-2025</t>
        </is>
      </c>
      <c r="B511" s="1" t="n">
        <v>45713.6914699074</v>
      </c>
      <c r="C511" s="1" t="n">
        <v>46181</v>
      </c>
      <c r="D511" t="inlineStr">
        <is>
          <t>VÄSTERNORRLANDS LÄN</t>
        </is>
      </c>
      <c r="E511" t="inlineStr">
        <is>
          <t>SUNDSVALL</t>
        </is>
      </c>
      <c r="G511" t="n">
        <v>21</v>
      </c>
      <c r="H511" t="n">
        <v>0</v>
      </c>
      <c r="I511" t="n">
        <v>0</v>
      </c>
      <c r="J511" t="n">
        <v>0</v>
      </c>
      <c r="K511" t="n">
        <v>0</v>
      </c>
      <c r="L511" t="n">
        <v>0</v>
      </c>
      <c r="M511" t="n">
        <v>0</v>
      </c>
      <c r="N511" t="n">
        <v>0</v>
      </c>
      <c r="O511" t="n">
        <v>0</v>
      </c>
      <c r="P511" t="n">
        <v>0</v>
      </c>
      <c r="Q511" t="n">
        <v>0</v>
      </c>
      <c r="R511" s="2" t="inlineStr"/>
    </row>
    <row r="512" ht="15" customHeight="1">
      <c r="A512" t="inlineStr">
        <is>
          <t>A 20076-2025</t>
        </is>
      </c>
      <c r="B512" s="1" t="n">
        <v>45772.4487037037</v>
      </c>
      <c r="C512" s="1" t="n">
        <v>46181</v>
      </c>
      <c r="D512" t="inlineStr">
        <is>
          <t>VÄSTERNORRLANDS LÄN</t>
        </is>
      </c>
      <c r="E512" t="inlineStr">
        <is>
          <t>SUNDSVALL</t>
        </is>
      </c>
      <c r="F512" t="inlineStr">
        <is>
          <t>Naturvårdsverket</t>
        </is>
      </c>
      <c r="G512" t="n">
        <v>6</v>
      </c>
      <c r="H512" t="n">
        <v>0</v>
      </c>
      <c r="I512" t="n">
        <v>0</v>
      </c>
      <c r="J512" t="n">
        <v>0</v>
      </c>
      <c r="K512" t="n">
        <v>0</v>
      </c>
      <c r="L512" t="n">
        <v>0</v>
      </c>
      <c r="M512" t="n">
        <v>0</v>
      </c>
      <c r="N512" t="n">
        <v>0</v>
      </c>
      <c r="O512" t="n">
        <v>0</v>
      </c>
      <c r="P512" t="n">
        <v>0</v>
      </c>
      <c r="Q512" t="n">
        <v>0</v>
      </c>
      <c r="R512" s="2" t="inlineStr"/>
    </row>
    <row r="513" ht="15" customHeight="1">
      <c r="A513" t="inlineStr">
        <is>
          <t>A 14152-2024</t>
        </is>
      </c>
      <c r="B513" s="1" t="n">
        <v>45392</v>
      </c>
      <c r="C513" s="1" t="n">
        <v>46181</v>
      </c>
      <c r="D513" t="inlineStr">
        <is>
          <t>VÄSTERNORRLANDS LÄN</t>
        </is>
      </c>
      <c r="E513" t="inlineStr">
        <is>
          <t>SUNDSVALL</t>
        </is>
      </c>
      <c r="G513" t="n">
        <v>4.8</v>
      </c>
      <c r="H513" t="n">
        <v>0</v>
      </c>
      <c r="I513" t="n">
        <v>0</v>
      </c>
      <c r="J513" t="n">
        <v>0</v>
      </c>
      <c r="K513" t="n">
        <v>0</v>
      </c>
      <c r="L513" t="n">
        <v>0</v>
      </c>
      <c r="M513" t="n">
        <v>0</v>
      </c>
      <c r="N513" t="n">
        <v>0</v>
      </c>
      <c r="O513" t="n">
        <v>0</v>
      </c>
      <c r="P513" t="n">
        <v>0</v>
      </c>
      <c r="Q513" t="n">
        <v>0</v>
      </c>
      <c r="R513" s="2" t="inlineStr"/>
    </row>
    <row r="514" ht="15" customHeight="1">
      <c r="A514" t="inlineStr">
        <is>
          <t>A 48011-2023</t>
        </is>
      </c>
      <c r="B514" s="1" t="n">
        <v>45198</v>
      </c>
      <c r="C514" s="1" t="n">
        <v>46181</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39899-2024</t>
        </is>
      </c>
      <c r="B515" s="1" t="n">
        <v>45553.48993055556</v>
      </c>
      <c r="C515" s="1" t="n">
        <v>46181</v>
      </c>
      <c r="D515" t="inlineStr">
        <is>
          <t>VÄSTERNORRLANDS LÄN</t>
        </is>
      </c>
      <c r="E515" t="inlineStr">
        <is>
          <t>SUNDSVALL</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39900-2024</t>
        </is>
      </c>
      <c r="B516" s="1" t="n">
        <v>45553.49010416667</v>
      </c>
      <c r="C516" s="1" t="n">
        <v>46181</v>
      </c>
      <c r="D516" t="inlineStr">
        <is>
          <t>VÄSTERNORRLANDS LÄN</t>
        </is>
      </c>
      <c r="E516" t="inlineStr">
        <is>
          <t>SUNDSVALL</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52706-2022</t>
        </is>
      </c>
      <c r="B517" s="1" t="n">
        <v>44874</v>
      </c>
      <c r="C517" s="1" t="n">
        <v>46181</v>
      </c>
      <c r="D517" t="inlineStr">
        <is>
          <t>VÄSTERNORRLANDS LÄN</t>
        </is>
      </c>
      <c r="E517" t="inlineStr">
        <is>
          <t>SUNDSVALL</t>
        </is>
      </c>
      <c r="G517" t="n">
        <v>11</v>
      </c>
      <c r="H517" t="n">
        <v>0</v>
      </c>
      <c r="I517" t="n">
        <v>0</v>
      </c>
      <c r="J517" t="n">
        <v>0</v>
      </c>
      <c r="K517" t="n">
        <v>0</v>
      </c>
      <c r="L517" t="n">
        <v>0</v>
      </c>
      <c r="M517" t="n">
        <v>0</v>
      </c>
      <c r="N517" t="n">
        <v>0</v>
      </c>
      <c r="O517" t="n">
        <v>0</v>
      </c>
      <c r="P517" t="n">
        <v>0</v>
      </c>
      <c r="Q517" t="n">
        <v>0</v>
      </c>
      <c r="R517" s="2" t="inlineStr"/>
    </row>
    <row r="518" ht="15" customHeight="1">
      <c r="A518" t="inlineStr">
        <is>
          <t>A 52740-2022</t>
        </is>
      </c>
      <c r="B518" s="1" t="n">
        <v>44874</v>
      </c>
      <c r="C518" s="1" t="n">
        <v>46181</v>
      </c>
      <c r="D518" t="inlineStr">
        <is>
          <t>VÄSTERNORRLANDS LÄN</t>
        </is>
      </c>
      <c r="E518" t="inlineStr">
        <is>
          <t>SUNDSVALL</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51754-2023</t>
        </is>
      </c>
      <c r="B519" s="1" t="n">
        <v>45222</v>
      </c>
      <c r="C519" s="1" t="n">
        <v>46181</v>
      </c>
      <c r="D519" t="inlineStr">
        <is>
          <t>VÄSTERNORRLANDS LÄN</t>
        </is>
      </c>
      <c r="E519" t="inlineStr">
        <is>
          <t>SUNDSVALL</t>
        </is>
      </c>
      <c r="F519" t="inlineStr">
        <is>
          <t>Kommuner</t>
        </is>
      </c>
      <c r="G519" t="n">
        <v>5.2</v>
      </c>
      <c r="H519" t="n">
        <v>0</v>
      </c>
      <c r="I519" t="n">
        <v>0</v>
      </c>
      <c r="J519" t="n">
        <v>0</v>
      </c>
      <c r="K519" t="n">
        <v>0</v>
      </c>
      <c r="L519" t="n">
        <v>0</v>
      </c>
      <c r="M519" t="n">
        <v>0</v>
      </c>
      <c r="N519" t="n">
        <v>0</v>
      </c>
      <c r="O519" t="n">
        <v>0</v>
      </c>
      <c r="P519" t="n">
        <v>0</v>
      </c>
      <c r="Q519" t="n">
        <v>0</v>
      </c>
      <c r="R519" s="2" t="inlineStr"/>
    </row>
    <row r="520" ht="15" customHeight="1">
      <c r="A520" t="inlineStr">
        <is>
          <t>A 21998-2023</t>
        </is>
      </c>
      <c r="B520" s="1" t="n">
        <v>45068</v>
      </c>
      <c r="C520" s="1" t="n">
        <v>46181</v>
      </c>
      <c r="D520" t="inlineStr">
        <is>
          <t>VÄSTERNORRLANDS LÄN</t>
        </is>
      </c>
      <c r="E520" t="inlineStr">
        <is>
          <t>SUNDSVALL</t>
        </is>
      </c>
      <c r="G520" t="n">
        <v>1.7</v>
      </c>
      <c r="H520" t="n">
        <v>0</v>
      </c>
      <c r="I520" t="n">
        <v>0</v>
      </c>
      <c r="J520" t="n">
        <v>0</v>
      </c>
      <c r="K520" t="n">
        <v>0</v>
      </c>
      <c r="L520" t="n">
        <v>0</v>
      </c>
      <c r="M520" t="n">
        <v>0</v>
      </c>
      <c r="N520" t="n">
        <v>0</v>
      </c>
      <c r="O520" t="n">
        <v>0</v>
      </c>
      <c r="P520" t="n">
        <v>0</v>
      </c>
      <c r="Q520" t="n">
        <v>0</v>
      </c>
      <c r="R520" s="2" t="inlineStr"/>
    </row>
    <row r="521" ht="15" customHeight="1">
      <c r="A521" t="inlineStr">
        <is>
          <t>A 14398-2025</t>
        </is>
      </c>
      <c r="B521" s="1" t="n">
        <v>45741</v>
      </c>
      <c r="C521" s="1" t="n">
        <v>46181</v>
      </c>
      <c r="D521" t="inlineStr">
        <is>
          <t>VÄSTERNORRLANDS LÄN</t>
        </is>
      </c>
      <c r="E521" t="inlineStr">
        <is>
          <t>SUNDSVALL</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15673-2024</t>
        </is>
      </c>
      <c r="B522" s="1" t="n">
        <v>45404.40168981482</v>
      </c>
      <c r="C522" s="1" t="n">
        <v>46181</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17190-2024</t>
        </is>
      </c>
      <c r="B523" s="1" t="n">
        <v>45412</v>
      </c>
      <c r="C523" s="1" t="n">
        <v>46181</v>
      </c>
      <c r="D523" t="inlineStr">
        <is>
          <t>VÄSTERNORRLANDS LÄN</t>
        </is>
      </c>
      <c r="E523" t="inlineStr">
        <is>
          <t>SUNDSVALL</t>
        </is>
      </c>
      <c r="G523" t="n">
        <v>4.1</v>
      </c>
      <c r="H523" t="n">
        <v>0</v>
      </c>
      <c r="I523" t="n">
        <v>0</v>
      </c>
      <c r="J523" t="n">
        <v>0</v>
      </c>
      <c r="K523" t="n">
        <v>0</v>
      </c>
      <c r="L523" t="n">
        <v>0</v>
      </c>
      <c r="M523" t="n">
        <v>0</v>
      </c>
      <c r="N523" t="n">
        <v>0</v>
      </c>
      <c r="O523" t="n">
        <v>0</v>
      </c>
      <c r="P523" t="n">
        <v>0</v>
      </c>
      <c r="Q523" t="n">
        <v>0</v>
      </c>
      <c r="R523" s="2" t="inlineStr"/>
    </row>
    <row r="524" ht="15" customHeight="1">
      <c r="A524" t="inlineStr">
        <is>
          <t>A 51370-2022</t>
        </is>
      </c>
      <c r="B524" s="1" t="n">
        <v>44869</v>
      </c>
      <c r="C524" s="1" t="n">
        <v>46181</v>
      </c>
      <c r="D524" t="inlineStr">
        <is>
          <t>VÄSTERNORRLANDS LÄN</t>
        </is>
      </c>
      <c r="E524" t="inlineStr">
        <is>
          <t>SUNDSVALL</t>
        </is>
      </c>
      <c r="G524" t="n">
        <v>18.7</v>
      </c>
      <c r="H524" t="n">
        <v>0</v>
      </c>
      <c r="I524" t="n">
        <v>0</v>
      </c>
      <c r="J524" t="n">
        <v>0</v>
      </c>
      <c r="K524" t="n">
        <v>0</v>
      </c>
      <c r="L524" t="n">
        <v>0</v>
      </c>
      <c r="M524" t="n">
        <v>0</v>
      </c>
      <c r="N524" t="n">
        <v>0</v>
      </c>
      <c r="O524" t="n">
        <v>0</v>
      </c>
      <c r="P524" t="n">
        <v>0</v>
      </c>
      <c r="Q524" t="n">
        <v>0</v>
      </c>
      <c r="R524" s="2" t="inlineStr"/>
    </row>
    <row r="525" ht="15" customHeight="1">
      <c r="A525" t="inlineStr">
        <is>
          <t>A 20183-2024</t>
        </is>
      </c>
      <c r="B525" s="1" t="n">
        <v>45434</v>
      </c>
      <c r="C525" s="1" t="n">
        <v>46181</v>
      </c>
      <c r="D525" t="inlineStr">
        <is>
          <t>VÄSTERNORRLANDS LÄN</t>
        </is>
      </c>
      <c r="E525" t="inlineStr">
        <is>
          <t>SUNDSVALL</t>
        </is>
      </c>
      <c r="G525" t="n">
        <v>5.4</v>
      </c>
      <c r="H525" t="n">
        <v>0</v>
      </c>
      <c r="I525" t="n">
        <v>0</v>
      </c>
      <c r="J525" t="n">
        <v>0</v>
      </c>
      <c r="K525" t="n">
        <v>0</v>
      </c>
      <c r="L525" t="n">
        <v>0</v>
      </c>
      <c r="M525" t="n">
        <v>0</v>
      </c>
      <c r="N525" t="n">
        <v>0</v>
      </c>
      <c r="O525" t="n">
        <v>0</v>
      </c>
      <c r="P525" t="n">
        <v>0</v>
      </c>
      <c r="Q525" t="n">
        <v>0</v>
      </c>
      <c r="R525" s="2" t="inlineStr"/>
    </row>
    <row r="526" ht="15" customHeight="1">
      <c r="A526" t="inlineStr">
        <is>
          <t>A 40846-2022</t>
        </is>
      </c>
      <c r="B526" s="1" t="n">
        <v>44824.94766203704</v>
      </c>
      <c r="C526" s="1" t="n">
        <v>46181</v>
      </c>
      <c r="D526" t="inlineStr">
        <is>
          <t>VÄSTERNORRLANDS LÄN</t>
        </is>
      </c>
      <c r="E526" t="inlineStr">
        <is>
          <t>SUNDSVALL</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16249-2024</t>
        </is>
      </c>
      <c r="B527" s="1" t="n">
        <v>45407</v>
      </c>
      <c r="C527" s="1" t="n">
        <v>46181</v>
      </c>
      <c r="D527" t="inlineStr">
        <is>
          <t>VÄSTERNORRLANDS LÄN</t>
        </is>
      </c>
      <c r="E527" t="inlineStr">
        <is>
          <t>SUNDSVALL</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200-2023</t>
        </is>
      </c>
      <c r="B528" s="1" t="n">
        <v>44928</v>
      </c>
      <c r="C528" s="1" t="n">
        <v>46181</v>
      </c>
      <c r="D528" t="inlineStr">
        <is>
          <t>VÄSTERNORRLANDS LÄN</t>
        </is>
      </c>
      <c r="E528" t="inlineStr">
        <is>
          <t>SUNDSVALL</t>
        </is>
      </c>
      <c r="G528" t="n">
        <v>1.7</v>
      </c>
      <c r="H528" t="n">
        <v>0</v>
      </c>
      <c r="I528" t="n">
        <v>0</v>
      </c>
      <c r="J528" t="n">
        <v>0</v>
      </c>
      <c r="K528" t="n">
        <v>0</v>
      </c>
      <c r="L528" t="n">
        <v>0</v>
      </c>
      <c r="M528" t="n">
        <v>0</v>
      </c>
      <c r="N528" t="n">
        <v>0</v>
      </c>
      <c r="O528" t="n">
        <v>0</v>
      </c>
      <c r="P528" t="n">
        <v>0</v>
      </c>
      <c r="Q528" t="n">
        <v>0</v>
      </c>
      <c r="R528" s="2" t="inlineStr"/>
    </row>
    <row r="529" ht="15" customHeight="1">
      <c r="A529" t="inlineStr">
        <is>
          <t>A 20418-2024</t>
        </is>
      </c>
      <c r="B529" s="1" t="n">
        <v>45435</v>
      </c>
      <c r="C529" s="1" t="n">
        <v>46181</v>
      </c>
      <c r="D529" t="inlineStr">
        <is>
          <t>VÄSTERNORRLANDS LÄN</t>
        </is>
      </c>
      <c r="E529" t="inlineStr">
        <is>
          <t>SUNDSVALL</t>
        </is>
      </c>
      <c r="G529" t="n">
        <v>14</v>
      </c>
      <c r="H529" t="n">
        <v>0</v>
      </c>
      <c r="I529" t="n">
        <v>0</v>
      </c>
      <c r="J529" t="n">
        <v>0</v>
      </c>
      <c r="K529" t="n">
        <v>0</v>
      </c>
      <c r="L529" t="n">
        <v>0</v>
      </c>
      <c r="M529" t="n">
        <v>0</v>
      </c>
      <c r="N529" t="n">
        <v>0</v>
      </c>
      <c r="O529" t="n">
        <v>0</v>
      </c>
      <c r="P529" t="n">
        <v>0</v>
      </c>
      <c r="Q529" t="n">
        <v>0</v>
      </c>
      <c r="R529" s="2" t="inlineStr"/>
    </row>
    <row r="530" ht="15" customHeight="1">
      <c r="A530" t="inlineStr">
        <is>
          <t>A 13937-2024</t>
        </is>
      </c>
      <c r="B530" s="1" t="n">
        <v>45391</v>
      </c>
      <c r="C530" s="1" t="n">
        <v>46181</v>
      </c>
      <c r="D530" t="inlineStr">
        <is>
          <t>VÄSTERNORRLANDS LÄN</t>
        </is>
      </c>
      <c r="E530" t="inlineStr">
        <is>
          <t>SUNDSVALL</t>
        </is>
      </c>
      <c r="F530" t="inlineStr">
        <is>
          <t>SCA</t>
        </is>
      </c>
      <c r="G530" t="n">
        <v>13.5</v>
      </c>
      <c r="H530" t="n">
        <v>0</v>
      </c>
      <c r="I530" t="n">
        <v>0</v>
      </c>
      <c r="J530" t="n">
        <v>0</v>
      </c>
      <c r="K530" t="n">
        <v>0</v>
      </c>
      <c r="L530" t="n">
        <v>0</v>
      </c>
      <c r="M530" t="n">
        <v>0</v>
      </c>
      <c r="N530" t="n">
        <v>0</v>
      </c>
      <c r="O530" t="n">
        <v>0</v>
      </c>
      <c r="P530" t="n">
        <v>0</v>
      </c>
      <c r="Q530" t="n">
        <v>0</v>
      </c>
      <c r="R530" s="2" t="inlineStr"/>
    </row>
    <row r="531" ht="15" customHeight="1">
      <c r="A531" t="inlineStr">
        <is>
          <t>A 57400-2023</t>
        </is>
      </c>
      <c r="B531" s="1" t="n">
        <v>45245.96820601852</v>
      </c>
      <c r="C531" s="1" t="n">
        <v>46181</v>
      </c>
      <c r="D531" t="inlineStr">
        <is>
          <t>VÄSTERNORRLANDS LÄN</t>
        </is>
      </c>
      <c r="E531" t="inlineStr">
        <is>
          <t>SUNDSVALL</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57404-2023</t>
        </is>
      </c>
      <c r="B532" s="1" t="n">
        <v>45245.96857638889</v>
      </c>
      <c r="C532" s="1" t="n">
        <v>46181</v>
      </c>
      <c r="D532" t="inlineStr">
        <is>
          <t>VÄSTERNORRLANDS LÄN</t>
        </is>
      </c>
      <c r="E532" t="inlineStr">
        <is>
          <t>SUNDSVALL</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51110-2023</t>
        </is>
      </c>
      <c r="B533" s="1" t="n">
        <v>45218</v>
      </c>
      <c r="C533" s="1" t="n">
        <v>46181</v>
      </c>
      <c r="D533" t="inlineStr">
        <is>
          <t>VÄSTERNORRLANDS LÄN</t>
        </is>
      </c>
      <c r="E533" t="inlineStr">
        <is>
          <t>SUNDSVALL</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18153-2023</t>
        </is>
      </c>
      <c r="B534" s="1" t="n">
        <v>45040</v>
      </c>
      <c r="C534" s="1" t="n">
        <v>46181</v>
      </c>
      <c r="D534" t="inlineStr">
        <is>
          <t>VÄSTERNORRLANDS LÄN</t>
        </is>
      </c>
      <c r="E534" t="inlineStr">
        <is>
          <t>SUNDSVALL</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49186-2022</t>
        </is>
      </c>
      <c r="B535" s="1" t="n">
        <v>44860</v>
      </c>
      <c r="C535" s="1" t="n">
        <v>46181</v>
      </c>
      <c r="D535" t="inlineStr">
        <is>
          <t>VÄSTERNORRLANDS LÄN</t>
        </is>
      </c>
      <c r="E535" t="inlineStr">
        <is>
          <t>SUNDSVALL</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30084-2022</t>
        </is>
      </c>
      <c r="B536" s="1" t="n">
        <v>44757.3788425926</v>
      </c>
      <c r="C536" s="1" t="n">
        <v>46181</v>
      </c>
      <c r="D536" t="inlineStr">
        <is>
          <t>VÄSTERNORRLANDS LÄN</t>
        </is>
      </c>
      <c r="E536" t="inlineStr">
        <is>
          <t>SUNDSVALL</t>
        </is>
      </c>
      <c r="G536" t="n">
        <v>1.9</v>
      </c>
      <c r="H536" t="n">
        <v>0</v>
      </c>
      <c r="I536" t="n">
        <v>0</v>
      </c>
      <c r="J536" t="n">
        <v>0</v>
      </c>
      <c r="K536" t="n">
        <v>0</v>
      </c>
      <c r="L536" t="n">
        <v>0</v>
      </c>
      <c r="M536" t="n">
        <v>0</v>
      </c>
      <c r="N536" t="n">
        <v>0</v>
      </c>
      <c r="O536" t="n">
        <v>0</v>
      </c>
      <c r="P536" t="n">
        <v>0</v>
      </c>
      <c r="Q536" t="n">
        <v>0</v>
      </c>
      <c r="R536" s="2" t="inlineStr"/>
    </row>
    <row r="537" ht="15" customHeight="1">
      <c r="A537" t="inlineStr">
        <is>
          <t>A 14537-2024</t>
        </is>
      </c>
      <c r="B537" s="1" t="n">
        <v>45394</v>
      </c>
      <c r="C537" s="1" t="n">
        <v>46181</v>
      </c>
      <c r="D537" t="inlineStr">
        <is>
          <t>VÄSTERNORRLANDS LÄN</t>
        </is>
      </c>
      <c r="E537" t="inlineStr">
        <is>
          <t>SUNDSVALL</t>
        </is>
      </c>
      <c r="G537" t="n">
        <v>2.6</v>
      </c>
      <c r="H537" t="n">
        <v>0</v>
      </c>
      <c r="I537" t="n">
        <v>0</v>
      </c>
      <c r="J537" t="n">
        <v>0</v>
      </c>
      <c r="K537" t="n">
        <v>0</v>
      </c>
      <c r="L537" t="n">
        <v>0</v>
      </c>
      <c r="M537" t="n">
        <v>0</v>
      </c>
      <c r="N537" t="n">
        <v>0</v>
      </c>
      <c r="O537" t="n">
        <v>0</v>
      </c>
      <c r="P537" t="n">
        <v>0</v>
      </c>
      <c r="Q537" t="n">
        <v>0</v>
      </c>
      <c r="R537" s="2" t="inlineStr"/>
    </row>
    <row r="538" ht="15" customHeight="1">
      <c r="A538" t="inlineStr">
        <is>
          <t>A 42879-2022</t>
        </is>
      </c>
      <c r="B538" s="1" t="n">
        <v>44832</v>
      </c>
      <c r="C538" s="1" t="n">
        <v>46181</v>
      </c>
      <c r="D538" t="inlineStr">
        <is>
          <t>VÄSTERNORRLANDS LÄN</t>
        </is>
      </c>
      <c r="E538" t="inlineStr">
        <is>
          <t>SUNDSVALL</t>
        </is>
      </c>
      <c r="G538" t="n">
        <v>1.8</v>
      </c>
      <c r="H538" t="n">
        <v>0</v>
      </c>
      <c r="I538" t="n">
        <v>0</v>
      </c>
      <c r="J538" t="n">
        <v>0</v>
      </c>
      <c r="K538" t="n">
        <v>0</v>
      </c>
      <c r="L538" t="n">
        <v>0</v>
      </c>
      <c r="M538" t="n">
        <v>0</v>
      </c>
      <c r="N538" t="n">
        <v>0</v>
      </c>
      <c r="O538" t="n">
        <v>0</v>
      </c>
      <c r="P538" t="n">
        <v>0</v>
      </c>
      <c r="Q538" t="n">
        <v>0</v>
      </c>
      <c r="R538" s="2" t="inlineStr"/>
    </row>
    <row r="539" ht="15" customHeight="1">
      <c r="A539" t="inlineStr">
        <is>
          <t>A 7293-2025</t>
        </is>
      </c>
      <c r="B539" s="1" t="n">
        <v>45702</v>
      </c>
      <c r="C539" s="1" t="n">
        <v>46181</v>
      </c>
      <c r="D539" t="inlineStr">
        <is>
          <t>VÄSTERNORRLANDS LÄN</t>
        </is>
      </c>
      <c r="E539" t="inlineStr">
        <is>
          <t>SUNDSVALL</t>
        </is>
      </c>
      <c r="G539" t="n">
        <v>0.3</v>
      </c>
      <c r="H539" t="n">
        <v>0</v>
      </c>
      <c r="I539" t="n">
        <v>0</v>
      </c>
      <c r="J539" t="n">
        <v>0</v>
      </c>
      <c r="K539" t="n">
        <v>0</v>
      </c>
      <c r="L539" t="n">
        <v>0</v>
      </c>
      <c r="M539" t="n">
        <v>0</v>
      </c>
      <c r="N539" t="n">
        <v>0</v>
      </c>
      <c r="O539" t="n">
        <v>0</v>
      </c>
      <c r="P539" t="n">
        <v>0</v>
      </c>
      <c r="Q539" t="n">
        <v>0</v>
      </c>
      <c r="R539" s="2" t="inlineStr"/>
    </row>
    <row r="540" ht="15" customHeight="1">
      <c r="A540" t="inlineStr">
        <is>
          <t>A 53451-2023</t>
        </is>
      </c>
      <c r="B540" s="1" t="n">
        <v>45229.96545138889</v>
      </c>
      <c r="C540" s="1" t="n">
        <v>46181</v>
      </c>
      <c r="D540" t="inlineStr">
        <is>
          <t>VÄSTERNORRLANDS LÄN</t>
        </is>
      </c>
      <c r="E540" t="inlineStr">
        <is>
          <t>SUNDSVALL</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21899-2024</t>
        </is>
      </c>
      <c r="B541" s="1" t="n">
        <v>45443</v>
      </c>
      <c r="C541" s="1" t="n">
        <v>46181</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52109-2023</t>
        </is>
      </c>
      <c r="B542" s="1" t="n">
        <v>45223</v>
      </c>
      <c r="C542" s="1" t="n">
        <v>46181</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52110-2023</t>
        </is>
      </c>
      <c r="B543" s="1" t="n">
        <v>45223</v>
      </c>
      <c r="C543" s="1" t="n">
        <v>46181</v>
      </c>
      <c r="D543" t="inlineStr">
        <is>
          <t>VÄSTERNORRLANDS LÄN</t>
        </is>
      </c>
      <c r="E543" t="inlineStr">
        <is>
          <t>SUNDSVALL</t>
        </is>
      </c>
      <c r="G543" t="n">
        <v>1.7</v>
      </c>
      <c r="H543" t="n">
        <v>0</v>
      </c>
      <c r="I543" t="n">
        <v>0</v>
      </c>
      <c r="J543" t="n">
        <v>0</v>
      </c>
      <c r="K543" t="n">
        <v>0</v>
      </c>
      <c r="L543" t="n">
        <v>0</v>
      </c>
      <c r="M543" t="n">
        <v>0</v>
      </c>
      <c r="N543" t="n">
        <v>0</v>
      </c>
      <c r="O543" t="n">
        <v>0</v>
      </c>
      <c r="P543" t="n">
        <v>0</v>
      </c>
      <c r="Q543" t="n">
        <v>0</v>
      </c>
      <c r="R543" s="2" t="inlineStr"/>
    </row>
    <row r="544" ht="15" customHeight="1">
      <c r="A544" t="inlineStr">
        <is>
          <t>A 37962-2021</t>
        </is>
      </c>
      <c r="B544" s="1" t="n">
        <v>44403.94012731482</v>
      </c>
      <c r="C544" s="1" t="n">
        <v>46181</v>
      </c>
      <c r="D544" t="inlineStr">
        <is>
          <t>VÄSTERNORRLANDS LÄN</t>
        </is>
      </c>
      <c r="E544" t="inlineStr">
        <is>
          <t>SUNDSVALL</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15633-2025</t>
        </is>
      </c>
      <c r="B545" s="1" t="n">
        <v>45748.37162037037</v>
      </c>
      <c r="C545" s="1" t="n">
        <v>46181</v>
      </c>
      <c r="D545" t="inlineStr">
        <is>
          <t>VÄSTERNORRLANDS LÄN</t>
        </is>
      </c>
      <c r="E545" t="inlineStr">
        <is>
          <t>SUNDSVALL</t>
        </is>
      </c>
      <c r="G545" t="n">
        <v>7.6</v>
      </c>
      <c r="H545" t="n">
        <v>0</v>
      </c>
      <c r="I545" t="n">
        <v>0</v>
      </c>
      <c r="J545" t="n">
        <v>0</v>
      </c>
      <c r="K545" t="n">
        <v>0</v>
      </c>
      <c r="L545" t="n">
        <v>0</v>
      </c>
      <c r="M545" t="n">
        <v>0</v>
      </c>
      <c r="N545" t="n">
        <v>0</v>
      </c>
      <c r="O545" t="n">
        <v>0</v>
      </c>
      <c r="P545" t="n">
        <v>0</v>
      </c>
      <c r="Q545" t="n">
        <v>0</v>
      </c>
      <c r="R545" s="2" t="inlineStr"/>
    </row>
    <row r="546" ht="15" customHeight="1">
      <c r="A546" t="inlineStr">
        <is>
          <t>A 45739-2021</t>
        </is>
      </c>
      <c r="B546" s="1" t="n">
        <v>44441</v>
      </c>
      <c r="C546" s="1" t="n">
        <v>46181</v>
      </c>
      <c r="D546" t="inlineStr">
        <is>
          <t>VÄSTERNORRLANDS LÄN</t>
        </is>
      </c>
      <c r="E546" t="inlineStr">
        <is>
          <t>SUNDSVALL</t>
        </is>
      </c>
      <c r="G546" t="n">
        <v>14.8</v>
      </c>
      <c r="H546" t="n">
        <v>0</v>
      </c>
      <c r="I546" t="n">
        <v>0</v>
      </c>
      <c r="J546" t="n">
        <v>0</v>
      </c>
      <c r="K546" t="n">
        <v>0</v>
      </c>
      <c r="L546" t="n">
        <v>0</v>
      </c>
      <c r="M546" t="n">
        <v>0</v>
      </c>
      <c r="N546" t="n">
        <v>0</v>
      </c>
      <c r="O546" t="n">
        <v>0</v>
      </c>
      <c r="P546" t="n">
        <v>0</v>
      </c>
      <c r="Q546" t="n">
        <v>0</v>
      </c>
      <c r="R546" s="2" t="inlineStr"/>
    </row>
    <row r="547" ht="15" customHeight="1">
      <c r="A547" t="inlineStr">
        <is>
          <t>A 53645-2022</t>
        </is>
      </c>
      <c r="B547" s="1" t="n">
        <v>44879</v>
      </c>
      <c r="C547" s="1" t="n">
        <v>46181</v>
      </c>
      <c r="D547" t="inlineStr">
        <is>
          <t>VÄSTERNORRLANDS LÄN</t>
        </is>
      </c>
      <c r="E547" t="inlineStr">
        <is>
          <t>SUNDSVALL</t>
        </is>
      </c>
      <c r="G547" t="n">
        <v>0.2</v>
      </c>
      <c r="H547" t="n">
        <v>0</v>
      </c>
      <c r="I547" t="n">
        <v>0</v>
      </c>
      <c r="J547" t="n">
        <v>0</v>
      </c>
      <c r="K547" t="n">
        <v>0</v>
      </c>
      <c r="L547" t="n">
        <v>0</v>
      </c>
      <c r="M547" t="n">
        <v>0</v>
      </c>
      <c r="N547" t="n">
        <v>0</v>
      </c>
      <c r="O547" t="n">
        <v>0</v>
      </c>
      <c r="P547" t="n">
        <v>0</v>
      </c>
      <c r="Q547" t="n">
        <v>0</v>
      </c>
      <c r="R547" s="2" t="inlineStr"/>
    </row>
    <row r="548" ht="15" customHeight="1">
      <c r="A548" t="inlineStr">
        <is>
          <t>A 45357-2024</t>
        </is>
      </c>
      <c r="B548" s="1" t="n">
        <v>45576.48070601852</v>
      </c>
      <c r="C548" s="1" t="n">
        <v>46181</v>
      </c>
      <c r="D548" t="inlineStr">
        <is>
          <t>VÄSTERNORRLANDS LÄN</t>
        </is>
      </c>
      <c r="E548" t="inlineStr">
        <is>
          <t>SUNDSVALL</t>
        </is>
      </c>
      <c r="G548" t="n">
        <v>18.2</v>
      </c>
      <c r="H548" t="n">
        <v>0</v>
      </c>
      <c r="I548" t="n">
        <v>0</v>
      </c>
      <c r="J548" t="n">
        <v>0</v>
      </c>
      <c r="K548" t="n">
        <v>0</v>
      </c>
      <c r="L548" t="n">
        <v>0</v>
      </c>
      <c r="M548" t="n">
        <v>0</v>
      </c>
      <c r="N548" t="n">
        <v>0</v>
      </c>
      <c r="O548" t="n">
        <v>0</v>
      </c>
      <c r="P548" t="n">
        <v>0</v>
      </c>
      <c r="Q548" t="n">
        <v>0</v>
      </c>
      <c r="R548" s="2" t="inlineStr"/>
    </row>
    <row r="549" ht="15" customHeight="1">
      <c r="A549" t="inlineStr">
        <is>
          <t>A 4912-2023</t>
        </is>
      </c>
      <c r="B549" s="1" t="n">
        <v>44956</v>
      </c>
      <c r="C549" s="1" t="n">
        <v>46181</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29629-2023</t>
        </is>
      </c>
      <c r="B550" s="1" t="n">
        <v>45106.94587962963</v>
      </c>
      <c r="C550" s="1" t="n">
        <v>46181</v>
      </c>
      <c r="D550" t="inlineStr">
        <is>
          <t>VÄSTERNORRLANDS LÄN</t>
        </is>
      </c>
      <c r="E550" t="inlineStr">
        <is>
          <t>SUNDSVALL</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58352-2022</t>
        </is>
      </c>
      <c r="B551" s="1" t="n">
        <v>44901.60188657408</v>
      </c>
      <c r="C551" s="1" t="n">
        <v>46181</v>
      </c>
      <c r="D551" t="inlineStr">
        <is>
          <t>VÄSTERNORRLANDS LÄN</t>
        </is>
      </c>
      <c r="E551" t="inlineStr">
        <is>
          <t>SUNDSVALL</t>
        </is>
      </c>
      <c r="G551" t="n">
        <v>3</v>
      </c>
      <c r="H551" t="n">
        <v>0</v>
      </c>
      <c r="I551" t="n">
        <v>0</v>
      </c>
      <c r="J551" t="n">
        <v>0</v>
      </c>
      <c r="K551" t="n">
        <v>0</v>
      </c>
      <c r="L551" t="n">
        <v>0</v>
      </c>
      <c r="M551" t="n">
        <v>0</v>
      </c>
      <c r="N551" t="n">
        <v>0</v>
      </c>
      <c r="O551" t="n">
        <v>0</v>
      </c>
      <c r="P551" t="n">
        <v>0</v>
      </c>
      <c r="Q551" t="n">
        <v>0</v>
      </c>
      <c r="R551" s="2" t="inlineStr"/>
    </row>
    <row r="552" ht="15" customHeight="1">
      <c r="A552" t="inlineStr">
        <is>
          <t>A 58453-2023</t>
        </is>
      </c>
      <c r="B552" s="1" t="n">
        <v>45250.93866898148</v>
      </c>
      <c r="C552" s="1" t="n">
        <v>46181</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50651-2022</t>
        </is>
      </c>
      <c r="B553" s="1" t="n">
        <v>44866</v>
      </c>
      <c r="C553" s="1" t="n">
        <v>46181</v>
      </c>
      <c r="D553" t="inlineStr">
        <is>
          <t>VÄSTERNORRLANDS LÄN</t>
        </is>
      </c>
      <c r="E553" t="inlineStr">
        <is>
          <t>SUNDSVALL</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42700-2021</t>
        </is>
      </c>
      <c r="B554" s="1" t="n">
        <v>44428</v>
      </c>
      <c r="C554" s="1" t="n">
        <v>46181</v>
      </c>
      <c r="D554" t="inlineStr">
        <is>
          <t>VÄSTERNORRLANDS LÄN</t>
        </is>
      </c>
      <c r="E554" t="inlineStr">
        <is>
          <t>SUNDSVALL</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795-2023</t>
        </is>
      </c>
      <c r="B555" s="1" t="n">
        <v>44928</v>
      </c>
      <c r="C555" s="1" t="n">
        <v>46181</v>
      </c>
      <c r="D555" t="inlineStr">
        <is>
          <t>VÄSTERNORRLANDS LÄN</t>
        </is>
      </c>
      <c r="E555" t="inlineStr">
        <is>
          <t>SUNDSVALL</t>
        </is>
      </c>
      <c r="G555" t="n">
        <v>1.5</v>
      </c>
      <c r="H555" t="n">
        <v>0</v>
      </c>
      <c r="I555" t="n">
        <v>0</v>
      </c>
      <c r="J555" t="n">
        <v>0</v>
      </c>
      <c r="K555" t="n">
        <v>0</v>
      </c>
      <c r="L555" t="n">
        <v>0</v>
      </c>
      <c r="M555" t="n">
        <v>0</v>
      </c>
      <c r="N555" t="n">
        <v>0</v>
      </c>
      <c r="O555" t="n">
        <v>0</v>
      </c>
      <c r="P555" t="n">
        <v>0</v>
      </c>
      <c r="Q555" t="n">
        <v>0</v>
      </c>
      <c r="R555" s="2" t="inlineStr"/>
    </row>
    <row r="556" ht="15" customHeight="1">
      <c r="A556" t="inlineStr">
        <is>
          <t>A 46247-2022</t>
        </is>
      </c>
      <c r="B556" s="1" t="n">
        <v>44846</v>
      </c>
      <c r="C556" s="1" t="n">
        <v>46181</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14804-2024</t>
        </is>
      </c>
      <c r="B557" s="1" t="n">
        <v>45397</v>
      </c>
      <c r="C557" s="1" t="n">
        <v>46181</v>
      </c>
      <c r="D557" t="inlineStr">
        <is>
          <t>VÄSTERNORRLANDS LÄN</t>
        </is>
      </c>
      <c r="E557" t="inlineStr">
        <is>
          <t>SUNDSVALL</t>
        </is>
      </c>
      <c r="G557" t="n">
        <v>7.4</v>
      </c>
      <c r="H557" t="n">
        <v>0</v>
      </c>
      <c r="I557" t="n">
        <v>0</v>
      </c>
      <c r="J557" t="n">
        <v>0</v>
      </c>
      <c r="K557" t="n">
        <v>0</v>
      </c>
      <c r="L557" t="n">
        <v>0</v>
      </c>
      <c r="M557" t="n">
        <v>0</v>
      </c>
      <c r="N557" t="n">
        <v>0</v>
      </c>
      <c r="O557" t="n">
        <v>0</v>
      </c>
      <c r="P557" t="n">
        <v>0</v>
      </c>
      <c r="Q557" t="n">
        <v>0</v>
      </c>
      <c r="R557" s="2" t="inlineStr"/>
    </row>
    <row r="558" ht="15" customHeight="1">
      <c r="A558" t="inlineStr">
        <is>
          <t>A 63978-2023</t>
        </is>
      </c>
      <c r="B558" s="1" t="n">
        <v>45278</v>
      </c>
      <c r="C558" s="1" t="n">
        <v>46181</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61860-2023</t>
        </is>
      </c>
      <c r="B559" s="1" t="n">
        <v>45264</v>
      </c>
      <c r="C559" s="1" t="n">
        <v>46181</v>
      </c>
      <c r="D559" t="inlineStr">
        <is>
          <t>VÄSTERNORRLANDS LÄN</t>
        </is>
      </c>
      <c r="E559" t="inlineStr">
        <is>
          <t>SUNDSVALL</t>
        </is>
      </c>
      <c r="G559" t="n">
        <v>5.9</v>
      </c>
      <c r="H559" t="n">
        <v>0</v>
      </c>
      <c r="I559" t="n">
        <v>0</v>
      </c>
      <c r="J559" t="n">
        <v>0</v>
      </c>
      <c r="K559" t="n">
        <v>0</v>
      </c>
      <c r="L559" t="n">
        <v>0</v>
      </c>
      <c r="M559" t="n">
        <v>0</v>
      </c>
      <c r="N559" t="n">
        <v>0</v>
      </c>
      <c r="O559" t="n">
        <v>0</v>
      </c>
      <c r="P559" t="n">
        <v>0</v>
      </c>
      <c r="Q559" t="n">
        <v>0</v>
      </c>
      <c r="R559" s="2" t="inlineStr"/>
    </row>
    <row r="560" ht="15" customHeight="1">
      <c r="A560" t="inlineStr">
        <is>
          <t>A 66027-2021</t>
        </is>
      </c>
      <c r="B560" s="1" t="n">
        <v>44517</v>
      </c>
      <c r="C560" s="1" t="n">
        <v>46181</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2620-2024</t>
        </is>
      </c>
      <c r="B561" s="1" t="n">
        <v>45313.92673611111</v>
      </c>
      <c r="C561" s="1" t="n">
        <v>46181</v>
      </c>
      <c r="D561" t="inlineStr">
        <is>
          <t>VÄSTERNORRLANDS LÄN</t>
        </is>
      </c>
      <c r="E561" t="inlineStr">
        <is>
          <t>SUNDSVALL</t>
        </is>
      </c>
      <c r="G561" t="n">
        <v>2.8</v>
      </c>
      <c r="H561" t="n">
        <v>0</v>
      </c>
      <c r="I561" t="n">
        <v>0</v>
      </c>
      <c r="J561" t="n">
        <v>0</v>
      </c>
      <c r="K561" t="n">
        <v>0</v>
      </c>
      <c r="L561" t="n">
        <v>0</v>
      </c>
      <c r="M561" t="n">
        <v>0</v>
      </c>
      <c r="N561" t="n">
        <v>0</v>
      </c>
      <c r="O561" t="n">
        <v>0</v>
      </c>
      <c r="P561" t="n">
        <v>0</v>
      </c>
      <c r="Q561" t="n">
        <v>0</v>
      </c>
      <c r="R561" s="2" t="inlineStr"/>
    </row>
    <row r="562" ht="15" customHeight="1">
      <c r="A562" t="inlineStr">
        <is>
          <t>A 28302-2024</t>
        </is>
      </c>
      <c r="B562" s="1" t="n">
        <v>45477</v>
      </c>
      <c r="C562" s="1" t="n">
        <v>46181</v>
      </c>
      <c r="D562" t="inlineStr">
        <is>
          <t>VÄSTERNORRLANDS LÄN</t>
        </is>
      </c>
      <c r="E562" t="inlineStr">
        <is>
          <t>SUNDSVALL</t>
        </is>
      </c>
      <c r="F562" t="inlineStr">
        <is>
          <t>Holmen skog AB</t>
        </is>
      </c>
      <c r="G562" t="n">
        <v>4</v>
      </c>
      <c r="H562" t="n">
        <v>0</v>
      </c>
      <c r="I562" t="n">
        <v>0</v>
      </c>
      <c r="J562" t="n">
        <v>0</v>
      </c>
      <c r="K562" t="n">
        <v>0</v>
      </c>
      <c r="L562" t="n">
        <v>0</v>
      </c>
      <c r="M562" t="n">
        <v>0</v>
      </c>
      <c r="N562" t="n">
        <v>0</v>
      </c>
      <c r="O562" t="n">
        <v>0</v>
      </c>
      <c r="P562" t="n">
        <v>0</v>
      </c>
      <c r="Q562" t="n">
        <v>0</v>
      </c>
      <c r="R562" s="2" t="inlineStr"/>
    </row>
    <row r="563" ht="15" customHeight="1">
      <c r="A563" t="inlineStr">
        <is>
          <t>A 27304-2024</t>
        </is>
      </c>
      <c r="B563" s="1" t="n">
        <v>45471.94401620371</v>
      </c>
      <c r="C563" s="1" t="n">
        <v>46181</v>
      </c>
      <c r="D563" t="inlineStr">
        <is>
          <t>VÄSTERNORRLANDS LÄN</t>
        </is>
      </c>
      <c r="E563" t="inlineStr">
        <is>
          <t>SUNDSVALL</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4056-2024</t>
        </is>
      </c>
      <c r="B564" s="1" t="n">
        <v>45323</v>
      </c>
      <c r="C564" s="1" t="n">
        <v>46181</v>
      </c>
      <c r="D564" t="inlineStr">
        <is>
          <t>VÄSTERNORRLANDS LÄN</t>
        </is>
      </c>
      <c r="E564" t="inlineStr">
        <is>
          <t>SUNDSVALL</t>
        </is>
      </c>
      <c r="F564" t="inlineStr">
        <is>
          <t>Kommuner</t>
        </is>
      </c>
      <c r="G564" t="n">
        <v>0.7</v>
      </c>
      <c r="H564" t="n">
        <v>0</v>
      </c>
      <c r="I564" t="n">
        <v>0</v>
      </c>
      <c r="J564" t="n">
        <v>0</v>
      </c>
      <c r="K564" t="n">
        <v>0</v>
      </c>
      <c r="L564" t="n">
        <v>0</v>
      </c>
      <c r="M564" t="n">
        <v>0</v>
      </c>
      <c r="N564" t="n">
        <v>0</v>
      </c>
      <c r="O564" t="n">
        <v>0</v>
      </c>
      <c r="P564" t="n">
        <v>0</v>
      </c>
      <c r="Q564" t="n">
        <v>0</v>
      </c>
      <c r="R564" s="2" t="inlineStr"/>
    </row>
    <row r="565" ht="15" customHeight="1">
      <c r="A565" t="inlineStr">
        <is>
          <t>A 25982-2024</t>
        </is>
      </c>
      <c r="B565" s="1" t="n">
        <v>45467</v>
      </c>
      <c r="C565" s="1" t="n">
        <v>46181</v>
      </c>
      <c r="D565" t="inlineStr">
        <is>
          <t>VÄSTERNORRLANDS LÄN</t>
        </is>
      </c>
      <c r="E565" t="inlineStr">
        <is>
          <t>SUNDSVALL</t>
        </is>
      </c>
      <c r="G565" t="n">
        <v>1.5</v>
      </c>
      <c r="H565" t="n">
        <v>0</v>
      </c>
      <c r="I565" t="n">
        <v>0</v>
      </c>
      <c r="J565" t="n">
        <v>0</v>
      </c>
      <c r="K565" t="n">
        <v>0</v>
      </c>
      <c r="L565" t="n">
        <v>0</v>
      </c>
      <c r="M565" t="n">
        <v>0</v>
      </c>
      <c r="N565" t="n">
        <v>0</v>
      </c>
      <c r="O565" t="n">
        <v>0</v>
      </c>
      <c r="P565" t="n">
        <v>0</v>
      </c>
      <c r="Q565" t="n">
        <v>0</v>
      </c>
      <c r="R565" s="2" t="inlineStr"/>
    </row>
    <row r="566" ht="15" customHeight="1">
      <c r="A566" t="inlineStr">
        <is>
          <t>A 22759-2023</t>
        </is>
      </c>
      <c r="B566" s="1" t="n">
        <v>45071.94153935185</v>
      </c>
      <c r="C566" s="1" t="n">
        <v>46181</v>
      </c>
      <c r="D566" t="inlineStr">
        <is>
          <t>VÄSTERNORRLANDS LÄN</t>
        </is>
      </c>
      <c r="E566" t="inlineStr">
        <is>
          <t>SUNDSVALL</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60119-2023</t>
        </is>
      </c>
      <c r="B567" s="1" t="n">
        <v>45258.47869212963</v>
      </c>
      <c r="C567" s="1" t="n">
        <v>46181</v>
      </c>
      <c r="D567" t="inlineStr">
        <is>
          <t>VÄSTERNORRLANDS LÄN</t>
        </is>
      </c>
      <c r="E567" t="inlineStr">
        <is>
          <t>SUNDSVALL</t>
        </is>
      </c>
      <c r="G567" t="n">
        <v>3.2</v>
      </c>
      <c r="H567" t="n">
        <v>0</v>
      </c>
      <c r="I567" t="n">
        <v>0</v>
      </c>
      <c r="J567" t="n">
        <v>0</v>
      </c>
      <c r="K567" t="n">
        <v>0</v>
      </c>
      <c r="L567" t="n">
        <v>0</v>
      </c>
      <c r="M567" t="n">
        <v>0</v>
      </c>
      <c r="N567" t="n">
        <v>0</v>
      </c>
      <c r="O567" t="n">
        <v>0</v>
      </c>
      <c r="P567" t="n">
        <v>0</v>
      </c>
      <c r="Q567" t="n">
        <v>0</v>
      </c>
      <c r="R567" s="2" t="inlineStr"/>
    </row>
    <row r="568" ht="15" customHeight="1">
      <c r="A568" t="inlineStr">
        <is>
          <t>A 45959-2021</t>
        </is>
      </c>
      <c r="B568" s="1" t="n">
        <v>44441</v>
      </c>
      <c r="C568" s="1" t="n">
        <v>46181</v>
      </c>
      <c r="D568" t="inlineStr">
        <is>
          <t>VÄSTERNORRLANDS LÄN</t>
        </is>
      </c>
      <c r="E568" t="inlineStr">
        <is>
          <t>SUNDSVALL</t>
        </is>
      </c>
      <c r="G568" t="n">
        <v>1.2</v>
      </c>
      <c r="H568" t="n">
        <v>0</v>
      </c>
      <c r="I568" t="n">
        <v>0</v>
      </c>
      <c r="J568" t="n">
        <v>0</v>
      </c>
      <c r="K568" t="n">
        <v>0</v>
      </c>
      <c r="L568" t="n">
        <v>0</v>
      </c>
      <c r="M568" t="n">
        <v>0</v>
      </c>
      <c r="N568" t="n">
        <v>0</v>
      </c>
      <c r="O568" t="n">
        <v>0</v>
      </c>
      <c r="P568" t="n">
        <v>0</v>
      </c>
      <c r="Q568" t="n">
        <v>0</v>
      </c>
      <c r="R568" s="2" t="inlineStr"/>
    </row>
    <row r="569" ht="15" customHeight="1">
      <c r="A569" t="inlineStr">
        <is>
          <t>A 31507-2024</t>
        </is>
      </c>
      <c r="B569" s="1" t="n">
        <v>45505</v>
      </c>
      <c r="C569" s="1" t="n">
        <v>46181</v>
      </c>
      <c r="D569" t="inlineStr">
        <is>
          <t>VÄSTERNORRLANDS LÄN</t>
        </is>
      </c>
      <c r="E569" t="inlineStr">
        <is>
          <t>SUNDSVALL</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35389-2024</t>
        </is>
      </c>
      <c r="B570" s="1" t="n">
        <v>45531.40188657407</v>
      </c>
      <c r="C570" s="1" t="n">
        <v>46181</v>
      </c>
      <c r="D570" t="inlineStr">
        <is>
          <t>VÄSTERNORRLANDS LÄN</t>
        </is>
      </c>
      <c r="E570" t="inlineStr">
        <is>
          <t>SUNDSVALL</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2347-2022</t>
        </is>
      </c>
      <c r="B571" s="1" t="n">
        <v>44578</v>
      </c>
      <c r="C571" s="1" t="n">
        <v>46181</v>
      </c>
      <c r="D571" t="inlineStr">
        <is>
          <t>VÄSTERNORRLANDS LÄN</t>
        </is>
      </c>
      <c r="E571" t="inlineStr">
        <is>
          <t>SUNDSVALL</t>
        </is>
      </c>
      <c r="G571" t="n">
        <v>3.3</v>
      </c>
      <c r="H571" t="n">
        <v>0</v>
      </c>
      <c r="I571" t="n">
        <v>0</v>
      </c>
      <c r="J571" t="n">
        <v>0</v>
      </c>
      <c r="K571" t="n">
        <v>0</v>
      </c>
      <c r="L571" t="n">
        <v>0</v>
      </c>
      <c r="M571" t="n">
        <v>0</v>
      </c>
      <c r="N571" t="n">
        <v>0</v>
      </c>
      <c r="O571" t="n">
        <v>0</v>
      </c>
      <c r="P571" t="n">
        <v>0</v>
      </c>
      <c r="Q571" t="n">
        <v>0</v>
      </c>
      <c r="R571" s="2" t="inlineStr"/>
    </row>
    <row r="572" ht="15" customHeight="1">
      <c r="A572" t="inlineStr">
        <is>
          <t>A 27639-2023</t>
        </is>
      </c>
      <c r="B572" s="1" t="n">
        <v>45097</v>
      </c>
      <c r="C572" s="1" t="n">
        <v>46181</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25362-2024</t>
        </is>
      </c>
      <c r="B573" s="1" t="n">
        <v>45462.95824074074</v>
      </c>
      <c r="C573" s="1" t="n">
        <v>46181</v>
      </c>
      <c r="D573" t="inlineStr">
        <is>
          <t>VÄSTERNORRLANDS LÄN</t>
        </is>
      </c>
      <c r="E573" t="inlineStr">
        <is>
          <t>SUNDSVALL</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28594-2021</t>
        </is>
      </c>
      <c r="B574" s="1" t="n">
        <v>44356</v>
      </c>
      <c r="C574" s="1" t="n">
        <v>46181</v>
      </c>
      <c r="D574" t="inlineStr">
        <is>
          <t>VÄSTERNORRLANDS LÄN</t>
        </is>
      </c>
      <c r="E574" t="inlineStr">
        <is>
          <t>SUNDSVALL</t>
        </is>
      </c>
      <c r="G574" t="n">
        <v>1.2</v>
      </c>
      <c r="H574" t="n">
        <v>0</v>
      </c>
      <c r="I574" t="n">
        <v>0</v>
      </c>
      <c r="J574" t="n">
        <v>0</v>
      </c>
      <c r="K574" t="n">
        <v>0</v>
      </c>
      <c r="L574" t="n">
        <v>0</v>
      </c>
      <c r="M574" t="n">
        <v>0</v>
      </c>
      <c r="N574" t="n">
        <v>0</v>
      </c>
      <c r="O574" t="n">
        <v>0</v>
      </c>
      <c r="P574" t="n">
        <v>0</v>
      </c>
      <c r="Q574" t="n">
        <v>0</v>
      </c>
      <c r="R574" s="2" t="inlineStr"/>
    </row>
    <row r="575" ht="15" customHeight="1">
      <c r="A575" t="inlineStr">
        <is>
          <t>A 44730-2024</t>
        </is>
      </c>
      <c r="B575" s="1" t="n">
        <v>45574.58511574074</v>
      </c>
      <c r="C575" s="1" t="n">
        <v>46181</v>
      </c>
      <c r="D575" t="inlineStr">
        <is>
          <t>VÄSTERNORRLANDS LÄN</t>
        </is>
      </c>
      <c r="E575" t="inlineStr">
        <is>
          <t>SUNDSVALL</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30298-2024</t>
        </is>
      </c>
      <c r="B576" s="1" t="n">
        <v>45490</v>
      </c>
      <c r="C576" s="1" t="n">
        <v>46181</v>
      </c>
      <c r="D576" t="inlineStr">
        <is>
          <t>VÄSTERNORRLANDS LÄN</t>
        </is>
      </c>
      <c r="E576" t="inlineStr">
        <is>
          <t>SUNDSVALL</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27470-2023</t>
        </is>
      </c>
      <c r="B577" s="1" t="n">
        <v>45097</v>
      </c>
      <c r="C577" s="1" t="n">
        <v>46181</v>
      </c>
      <c r="D577" t="inlineStr">
        <is>
          <t>VÄSTERNORRLANDS LÄN</t>
        </is>
      </c>
      <c r="E577" t="inlineStr">
        <is>
          <t>SUNDSVALL</t>
        </is>
      </c>
      <c r="G577" t="n">
        <v>3.7</v>
      </c>
      <c r="H577" t="n">
        <v>0</v>
      </c>
      <c r="I577" t="n">
        <v>0</v>
      </c>
      <c r="J577" t="n">
        <v>0</v>
      </c>
      <c r="K577" t="n">
        <v>0</v>
      </c>
      <c r="L577" t="n">
        <v>0</v>
      </c>
      <c r="M577" t="n">
        <v>0</v>
      </c>
      <c r="N577" t="n">
        <v>0</v>
      </c>
      <c r="O577" t="n">
        <v>0</v>
      </c>
      <c r="P577" t="n">
        <v>0</v>
      </c>
      <c r="Q577" t="n">
        <v>0</v>
      </c>
      <c r="R577" s="2" t="inlineStr"/>
    </row>
    <row r="578" ht="15" customHeight="1">
      <c r="A578" t="inlineStr">
        <is>
          <t>A 23765-2025</t>
        </is>
      </c>
      <c r="B578" s="1" t="n">
        <v>45793.46952546296</v>
      </c>
      <c r="C578" s="1" t="n">
        <v>46181</v>
      </c>
      <c r="D578" t="inlineStr">
        <is>
          <t>VÄSTERNORRLANDS LÄN</t>
        </is>
      </c>
      <c r="E578" t="inlineStr">
        <is>
          <t>SUNDSVALL</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32391-2024</t>
        </is>
      </c>
      <c r="B579" s="1" t="n">
        <v>45512.64163194445</v>
      </c>
      <c r="C579" s="1" t="n">
        <v>46181</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26030-2024</t>
        </is>
      </c>
      <c r="B580" s="1" t="n">
        <v>45467.96278935186</v>
      </c>
      <c r="C580" s="1" t="n">
        <v>46181</v>
      </c>
      <c r="D580" t="inlineStr">
        <is>
          <t>VÄSTERNORRLANDS LÄN</t>
        </is>
      </c>
      <c r="E580" t="inlineStr">
        <is>
          <t>SUNDSVALL</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26031-2024</t>
        </is>
      </c>
      <c r="B581" s="1" t="n">
        <v>45467</v>
      </c>
      <c r="C581" s="1" t="n">
        <v>46181</v>
      </c>
      <c r="D581" t="inlineStr">
        <is>
          <t>VÄSTERNORRLANDS LÄN</t>
        </is>
      </c>
      <c r="E581" t="inlineStr">
        <is>
          <t>SUNDSVALL</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25022-2024</t>
        </is>
      </c>
      <c r="B582" s="1" t="n">
        <v>45461.9628125</v>
      </c>
      <c r="C582" s="1" t="n">
        <v>46181</v>
      </c>
      <c r="D582" t="inlineStr">
        <is>
          <t>VÄSTERNORRLANDS LÄN</t>
        </is>
      </c>
      <c r="E582" t="inlineStr">
        <is>
          <t>SUNDSVALL</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15411-2025</t>
        </is>
      </c>
      <c r="B583" s="1" t="n">
        <v>45747.45125</v>
      </c>
      <c r="C583" s="1" t="n">
        <v>46181</v>
      </c>
      <c r="D583" t="inlineStr">
        <is>
          <t>VÄSTERNORRLANDS LÄN</t>
        </is>
      </c>
      <c r="E583" t="inlineStr">
        <is>
          <t>SUNDSVALL</t>
        </is>
      </c>
      <c r="G583" t="n">
        <v>2.9</v>
      </c>
      <c r="H583" t="n">
        <v>0</v>
      </c>
      <c r="I583" t="n">
        <v>0</v>
      </c>
      <c r="J583" t="n">
        <v>0</v>
      </c>
      <c r="K583" t="n">
        <v>0</v>
      </c>
      <c r="L583" t="n">
        <v>0</v>
      </c>
      <c r="M583" t="n">
        <v>0</v>
      </c>
      <c r="N583" t="n">
        <v>0</v>
      </c>
      <c r="O583" t="n">
        <v>0</v>
      </c>
      <c r="P583" t="n">
        <v>0</v>
      </c>
      <c r="Q583" t="n">
        <v>0</v>
      </c>
      <c r="R583" s="2" t="inlineStr"/>
    </row>
    <row r="584" ht="15" customHeight="1">
      <c r="A584" t="inlineStr">
        <is>
          <t>A 24090-2025</t>
        </is>
      </c>
      <c r="B584" s="1" t="n">
        <v>45796.57068287037</v>
      </c>
      <c r="C584" s="1" t="n">
        <v>46181</v>
      </c>
      <c r="D584" t="inlineStr">
        <is>
          <t>VÄSTERNORRLANDS LÄN</t>
        </is>
      </c>
      <c r="E584" t="inlineStr">
        <is>
          <t>SUNDSVALL</t>
        </is>
      </c>
      <c r="G584" t="n">
        <v>5.9</v>
      </c>
      <c r="H584" t="n">
        <v>0</v>
      </c>
      <c r="I584" t="n">
        <v>0</v>
      </c>
      <c r="J584" t="n">
        <v>0</v>
      </c>
      <c r="K584" t="n">
        <v>0</v>
      </c>
      <c r="L584" t="n">
        <v>0</v>
      </c>
      <c r="M584" t="n">
        <v>0</v>
      </c>
      <c r="N584" t="n">
        <v>0</v>
      </c>
      <c r="O584" t="n">
        <v>0</v>
      </c>
      <c r="P584" t="n">
        <v>0</v>
      </c>
      <c r="Q584" t="n">
        <v>0</v>
      </c>
      <c r="R584" s="2" t="inlineStr"/>
    </row>
    <row r="585" ht="15" customHeight="1">
      <c r="A585" t="inlineStr">
        <is>
          <t>A 23736-2025</t>
        </is>
      </c>
      <c r="B585" s="1" t="n">
        <v>45793.42796296296</v>
      </c>
      <c r="C585" s="1" t="n">
        <v>46181</v>
      </c>
      <c r="D585" t="inlineStr">
        <is>
          <t>VÄSTERNORRLANDS LÄN</t>
        </is>
      </c>
      <c r="E585" t="inlineStr">
        <is>
          <t>SUNDSVALL</t>
        </is>
      </c>
      <c r="F585" t="inlineStr">
        <is>
          <t>SCA</t>
        </is>
      </c>
      <c r="G585" t="n">
        <v>22.8</v>
      </c>
      <c r="H585" t="n">
        <v>0</v>
      </c>
      <c r="I585" t="n">
        <v>0</v>
      </c>
      <c r="J585" t="n">
        <v>0</v>
      </c>
      <c r="K585" t="n">
        <v>0</v>
      </c>
      <c r="L585" t="n">
        <v>0</v>
      </c>
      <c r="M585" t="n">
        <v>0</v>
      </c>
      <c r="N585" t="n">
        <v>0</v>
      </c>
      <c r="O585" t="n">
        <v>0</v>
      </c>
      <c r="P585" t="n">
        <v>0</v>
      </c>
      <c r="Q585" t="n">
        <v>0</v>
      </c>
      <c r="R585" s="2" t="inlineStr"/>
    </row>
    <row r="586" ht="15" customHeight="1">
      <c r="A586" t="inlineStr">
        <is>
          <t>A 22126-2024</t>
        </is>
      </c>
      <c r="B586" s="1" t="n">
        <v>45443.95326388889</v>
      </c>
      <c r="C586" s="1" t="n">
        <v>46181</v>
      </c>
      <c r="D586" t="inlineStr">
        <is>
          <t>VÄSTERNORRLANDS LÄN</t>
        </is>
      </c>
      <c r="E586" t="inlineStr">
        <is>
          <t>SUNDSVALL</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9336-2024</t>
        </is>
      </c>
      <c r="B587" s="1" t="n">
        <v>45358</v>
      </c>
      <c r="C587" s="1" t="n">
        <v>46181</v>
      </c>
      <c r="D587" t="inlineStr">
        <is>
          <t>VÄSTERNORRLANDS LÄN</t>
        </is>
      </c>
      <c r="E587" t="inlineStr">
        <is>
          <t>SUNDSVALL</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44080-2024</t>
        </is>
      </c>
      <c r="B588" s="1" t="n">
        <v>45572.61517361111</v>
      </c>
      <c r="C588" s="1" t="n">
        <v>46181</v>
      </c>
      <c r="D588" t="inlineStr">
        <is>
          <t>VÄSTERNORRLANDS LÄN</t>
        </is>
      </c>
      <c r="E588" t="inlineStr">
        <is>
          <t>SUNDSVALL</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138-2026</t>
        </is>
      </c>
      <c r="B589" s="1" t="n">
        <v>46024</v>
      </c>
      <c r="C589" s="1" t="n">
        <v>46181</v>
      </c>
      <c r="D589" t="inlineStr">
        <is>
          <t>VÄSTERNORRLANDS LÄN</t>
        </is>
      </c>
      <c r="E589" t="inlineStr">
        <is>
          <t>SUNDSVALL</t>
        </is>
      </c>
      <c r="G589" t="n">
        <v>18.4</v>
      </c>
      <c r="H589" t="n">
        <v>0</v>
      </c>
      <c r="I589" t="n">
        <v>0</v>
      </c>
      <c r="J589" t="n">
        <v>0</v>
      </c>
      <c r="K589" t="n">
        <v>0</v>
      </c>
      <c r="L589" t="n">
        <v>0</v>
      </c>
      <c r="M589" t="n">
        <v>0</v>
      </c>
      <c r="N589" t="n">
        <v>0</v>
      </c>
      <c r="O589" t="n">
        <v>0</v>
      </c>
      <c r="P589" t="n">
        <v>0</v>
      </c>
      <c r="Q589" t="n">
        <v>0</v>
      </c>
      <c r="R589" s="2" t="inlineStr"/>
    </row>
    <row r="590" ht="15" customHeight="1">
      <c r="A590" t="inlineStr">
        <is>
          <t>A 416-2026</t>
        </is>
      </c>
      <c r="B590" s="1" t="n">
        <v>46028</v>
      </c>
      <c r="C590" s="1" t="n">
        <v>46181</v>
      </c>
      <c r="D590" t="inlineStr">
        <is>
          <t>VÄSTERNORRLANDS LÄN</t>
        </is>
      </c>
      <c r="E590" t="inlineStr">
        <is>
          <t>SUNDSVALL</t>
        </is>
      </c>
      <c r="G590" t="n">
        <v>3</v>
      </c>
      <c r="H590" t="n">
        <v>0</v>
      </c>
      <c r="I590" t="n">
        <v>0</v>
      </c>
      <c r="J590" t="n">
        <v>0</v>
      </c>
      <c r="K590" t="n">
        <v>0</v>
      </c>
      <c r="L590" t="n">
        <v>0</v>
      </c>
      <c r="M590" t="n">
        <v>0</v>
      </c>
      <c r="N590" t="n">
        <v>0</v>
      </c>
      <c r="O590" t="n">
        <v>0</v>
      </c>
      <c r="P590" t="n">
        <v>0</v>
      </c>
      <c r="Q590" t="n">
        <v>0</v>
      </c>
      <c r="R590" s="2" t="inlineStr"/>
    </row>
    <row r="591" ht="15" customHeight="1">
      <c r="A591" t="inlineStr">
        <is>
          <t>A 172-2026</t>
        </is>
      </c>
      <c r="B591" s="1" t="n">
        <v>46025.37100694444</v>
      </c>
      <c r="C591" s="1" t="n">
        <v>46181</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249-2026</t>
        </is>
      </c>
      <c r="B592" s="1" t="n">
        <v>46027</v>
      </c>
      <c r="C592" s="1" t="n">
        <v>46181</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269-2026</t>
        </is>
      </c>
      <c r="B593" s="1" t="n">
        <v>46027.45719907407</v>
      </c>
      <c r="C593" s="1" t="n">
        <v>46181</v>
      </c>
      <c r="D593" t="inlineStr">
        <is>
          <t>VÄSTERNORRLANDS LÄN</t>
        </is>
      </c>
      <c r="E593" t="inlineStr">
        <is>
          <t>SUNDSVALL</t>
        </is>
      </c>
      <c r="G593" t="n">
        <v>9.4</v>
      </c>
      <c r="H593" t="n">
        <v>0</v>
      </c>
      <c r="I593" t="n">
        <v>0</v>
      </c>
      <c r="J593" t="n">
        <v>0</v>
      </c>
      <c r="K593" t="n">
        <v>0</v>
      </c>
      <c r="L593" t="n">
        <v>0</v>
      </c>
      <c r="M593" t="n">
        <v>0</v>
      </c>
      <c r="N593" t="n">
        <v>0</v>
      </c>
      <c r="O593" t="n">
        <v>0</v>
      </c>
      <c r="P593" t="n">
        <v>0</v>
      </c>
      <c r="Q593" t="n">
        <v>0</v>
      </c>
      <c r="R593" s="2" t="inlineStr"/>
    </row>
    <row r="594" ht="15" customHeight="1">
      <c r="A594" t="inlineStr">
        <is>
          <t>A 36885-2023</t>
        </is>
      </c>
      <c r="B594" s="1" t="n">
        <v>45154</v>
      </c>
      <c r="C594" s="1" t="n">
        <v>46181</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58032-2021</t>
        </is>
      </c>
      <c r="B595" s="1" t="n">
        <v>44487</v>
      </c>
      <c r="C595" s="1" t="n">
        <v>46181</v>
      </c>
      <c r="D595" t="inlineStr">
        <is>
          <t>VÄSTERNORRLANDS LÄN</t>
        </is>
      </c>
      <c r="E595" t="inlineStr">
        <is>
          <t>SUNDSVALL</t>
        </is>
      </c>
      <c r="G595" t="n">
        <v>1.5</v>
      </c>
      <c r="H595" t="n">
        <v>0</v>
      </c>
      <c r="I595" t="n">
        <v>0</v>
      </c>
      <c r="J595" t="n">
        <v>0</v>
      </c>
      <c r="K595" t="n">
        <v>0</v>
      </c>
      <c r="L595" t="n">
        <v>0</v>
      </c>
      <c r="M595" t="n">
        <v>0</v>
      </c>
      <c r="N595" t="n">
        <v>0</v>
      </c>
      <c r="O595" t="n">
        <v>0</v>
      </c>
      <c r="P595" t="n">
        <v>0</v>
      </c>
      <c r="Q595" t="n">
        <v>0</v>
      </c>
      <c r="R595" s="2" t="inlineStr"/>
    </row>
    <row r="596" ht="15" customHeight="1">
      <c r="A596" t="inlineStr">
        <is>
          <t>A 174-2026</t>
        </is>
      </c>
      <c r="B596" s="1" t="n">
        <v>46025.37271990741</v>
      </c>
      <c r="C596" s="1" t="n">
        <v>46181</v>
      </c>
      <c r="D596" t="inlineStr">
        <is>
          <t>VÄSTERNORRLANDS LÄN</t>
        </is>
      </c>
      <c r="E596" t="inlineStr">
        <is>
          <t>SUNDSVALL</t>
        </is>
      </c>
      <c r="G596" t="n">
        <v>1.9</v>
      </c>
      <c r="H596" t="n">
        <v>0</v>
      </c>
      <c r="I596" t="n">
        <v>0</v>
      </c>
      <c r="J596" t="n">
        <v>0</v>
      </c>
      <c r="K596" t="n">
        <v>0</v>
      </c>
      <c r="L596" t="n">
        <v>0</v>
      </c>
      <c r="M596" t="n">
        <v>0</v>
      </c>
      <c r="N596" t="n">
        <v>0</v>
      </c>
      <c r="O596" t="n">
        <v>0</v>
      </c>
      <c r="P596" t="n">
        <v>0</v>
      </c>
      <c r="Q596" t="n">
        <v>0</v>
      </c>
      <c r="R596" s="2" t="inlineStr"/>
    </row>
    <row r="597" ht="15" customHeight="1">
      <c r="A597" t="inlineStr">
        <is>
          <t>A 176-2026</t>
        </is>
      </c>
      <c r="B597" s="1" t="n">
        <v>46025.37502314815</v>
      </c>
      <c r="C597" s="1" t="n">
        <v>46181</v>
      </c>
      <c r="D597" t="inlineStr">
        <is>
          <t>VÄSTERNORRLANDS LÄN</t>
        </is>
      </c>
      <c r="E597" t="inlineStr">
        <is>
          <t>SUNDSVALL</t>
        </is>
      </c>
      <c r="G597" t="n">
        <v>1.7</v>
      </c>
      <c r="H597" t="n">
        <v>0</v>
      </c>
      <c r="I597" t="n">
        <v>0</v>
      </c>
      <c r="J597" t="n">
        <v>0</v>
      </c>
      <c r="K597" t="n">
        <v>0</v>
      </c>
      <c r="L597" t="n">
        <v>0</v>
      </c>
      <c r="M597" t="n">
        <v>0</v>
      </c>
      <c r="N597" t="n">
        <v>0</v>
      </c>
      <c r="O597" t="n">
        <v>0</v>
      </c>
      <c r="P597" t="n">
        <v>0</v>
      </c>
      <c r="Q597" t="n">
        <v>0</v>
      </c>
      <c r="R597" s="2" t="inlineStr"/>
    </row>
    <row r="598" ht="15" customHeight="1">
      <c r="A598" t="inlineStr">
        <is>
          <t>A 173-2026</t>
        </is>
      </c>
      <c r="B598" s="1" t="n">
        <v>46025.37215277777</v>
      </c>
      <c r="C598" s="1" t="n">
        <v>46181</v>
      </c>
      <c r="D598" t="inlineStr">
        <is>
          <t>VÄSTERNORRLANDS LÄN</t>
        </is>
      </c>
      <c r="E598" t="inlineStr">
        <is>
          <t>SUNDSVALL</t>
        </is>
      </c>
      <c r="G598" t="n">
        <v>1.6</v>
      </c>
      <c r="H598" t="n">
        <v>0</v>
      </c>
      <c r="I598" t="n">
        <v>0</v>
      </c>
      <c r="J598" t="n">
        <v>0</v>
      </c>
      <c r="K598" t="n">
        <v>0</v>
      </c>
      <c r="L598" t="n">
        <v>0</v>
      </c>
      <c r="M598" t="n">
        <v>0</v>
      </c>
      <c r="N598" t="n">
        <v>0</v>
      </c>
      <c r="O598" t="n">
        <v>0</v>
      </c>
      <c r="P598" t="n">
        <v>0</v>
      </c>
      <c r="Q598" t="n">
        <v>0</v>
      </c>
      <c r="R598" s="2" t="inlineStr"/>
    </row>
    <row r="599" ht="15" customHeight="1">
      <c r="A599" t="inlineStr">
        <is>
          <t>A 309-2026</t>
        </is>
      </c>
      <c r="B599" s="1" t="n">
        <v>46027</v>
      </c>
      <c r="C599" s="1" t="n">
        <v>46181</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100-2024</t>
        </is>
      </c>
      <c r="B600" s="1" t="n">
        <v>45293.92984953704</v>
      </c>
      <c r="C600" s="1" t="n">
        <v>46181</v>
      </c>
      <c r="D600" t="inlineStr">
        <is>
          <t>VÄSTERNORRLANDS LÄN</t>
        </is>
      </c>
      <c r="E600" t="inlineStr">
        <is>
          <t>SUNDSVALL</t>
        </is>
      </c>
      <c r="G600" t="n">
        <v>2.2</v>
      </c>
      <c r="H600" t="n">
        <v>0</v>
      </c>
      <c r="I600" t="n">
        <v>0</v>
      </c>
      <c r="J600" t="n">
        <v>0</v>
      </c>
      <c r="K600" t="n">
        <v>0</v>
      </c>
      <c r="L600" t="n">
        <v>0</v>
      </c>
      <c r="M600" t="n">
        <v>0</v>
      </c>
      <c r="N600" t="n">
        <v>0</v>
      </c>
      <c r="O600" t="n">
        <v>0</v>
      </c>
      <c r="P600" t="n">
        <v>0</v>
      </c>
      <c r="Q600" t="n">
        <v>0</v>
      </c>
      <c r="R600" s="2" t="inlineStr"/>
    </row>
    <row r="601" ht="15" customHeight="1">
      <c r="A601" t="inlineStr">
        <is>
          <t>A 175-2026</t>
        </is>
      </c>
      <c r="B601" s="1" t="n">
        <v>46025.37434027778</v>
      </c>
      <c r="C601" s="1" t="n">
        <v>46181</v>
      </c>
      <c r="D601" t="inlineStr">
        <is>
          <t>VÄSTERNORRLANDS LÄN</t>
        </is>
      </c>
      <c r="E601" t="inlineStr">
        <is>
          <t>SUNDSVALL</t>
        </is>
      </c>
      <c r="G601" t="n">
        <v>17.3</v>
      </c>
      <c r="H601" t="n">
        <v>0</v>
      </c>
      <c r="I601" t="n">
        <v>0</v>
      </c>
      <c r="J601" t="n">
        <v>0</v>
      </c>
      <c r="K601" t="n">
        <v>0</v>
      </c>
      <c r="L601" t="n">
        <v>0</v>
      </c>
      <c r="M601" t="n">
        <v>0</v>
      </c>
      <c r="N601" t="n">
        <v>0</v>
      </c>
      <c r="O601" t="n">
        <v>0</v>
      </c>
      <c r="P601" t="n">
        <v>0</v>
      </c>
      <c r="Q601" t="n">
        <v>0</v>
      </c>
      <c r="R601" s="2" t="inlineStr"/>
    </row>
    <row r="602" ht="15" customHeight="1">
      <c r="A602" t="inlineStr">
        <is>
          <t>A 272-2026</t>
        </is>
      </c>
      <c r="B602" s="1" t="n">
        <v>46027.46248842592</v>
      </c>
      <c r="C602" s="1" t="n">
        <v>46181</v>
      </c>
      <c r="D602" t="inlineStr">
        <is>
          <t>VÄSTERNORRLANDS LÄN</t>
        </is>
      </c>
      <c r="E602" t="inlineStr">
        <is>
          <t>SUNDSVALL</t>
        </is>
      </c>
      <c r="G602" t="n">
        <v>3</v>
      </c>
      <c r="H602" t="n">
        <v>0</v>
      </c>
      <c r="I602" t="n">
        <v>0</v>
      </c>
      <c r="J602" t="n">
        <v>0</v>
      </c>
      <c r="K602" t="n">
        <v>0</v>
      </c>
      <c r="L602" t="n">
        <v>0</v>
      </c>
      <c r="M602" t="n">
        <v>0</v>
      </c>
      <c r="N602" t="n">
        <v>0</v>
      </c>
      <c r="O602" t="n">
        <v>0</v>
      </c>
      <c r="P602" t="n">
        <v>0</v>
      </c>
      <c r="Q602" t="n">
        <v>0</v>
      </c>
      <c r="R602" s="2" t="inlineStr"/>
    </row>
    <row r="603" ht="15" customHeight="1">
      <c r="A603" t="inlineStr">
        <is>
          <t>A 30299-2024</t>
        </is>
      </c>
      <c r="B603" s="1" t="n">
        <v>45490</v>
      </c>
      <c r="C603" s="1" t="n">
        <v>46181</v>
      </c>
      <c r="D603" t="inlineStr">
        <is>
          <t>VÄSTERNORRLANDS LÄN</t>
        </is>
      </c>
      <c r="E603" t="inlineStr">
        <is>
          <t>SUNDSVALL</t>
        </is>
      </c>
      <c r="G603" t="n">
        <v>4.4</v>
      </c>
      <c r="H603" t="n">
        <v>0</v>
      </c>
      <c r="I603" t="n">
        <v>0</v>
      </c>
      <c r="J603" t="n">
        <v>0</v>
      </c>
      <c r="K603" t="n">
        <v>0</v>
      </c>
      <c r="L603" t="n">
        <v>0</v>
      </c>
      <c r="M603" t="n">
        <v>0</v>
      </c>
      <c r="N603" t="n">
        <v>0</v>
      </c>
      <c r="O603" t="n">
        <v>0</v>
      </c>
      <c r="P603" t="n">
        <v>0</v>
      </c>
      <c r="Q603" t="n">
        <v>0</v>
      </c>
      <c r="R603" s="2" t="inlineStr"/>
    </row>
    <row r="604" ht="15" customHeight="1">
      <c r="A604" t="inlineStr">
        <is>
          <t>A 177-2026</t>
        </is>
      </c>
      <c r="B604" s="1" t="n">
        <v>46025.37813657407</v>
      </c>
      <c r="C604" s="1" t="n">
        <v>46181</v>
      </c>
      <c r="D604" t="inlineStr">
        <is>
          <t>VÄSTERNORRLANDS LÄN</t>
        </is>
      </c>
      <c r="E604" t="inlineStr">
        <is>
          <t>SUNDSVALL</t>
        </is>
      </c>
      <c r="G604" t="n">
        <v>0.3</v>
      </c>
      <c r="H604" t="n">
        <v>0</v>
      </c>
      <c r="I604" t="n">
        <v>0</v>
      </c>
      <c r="J604" t="n">
        <v>0</v>
      </c>
      <c r="K604" t="n">
        <v>0</v>
      </c>
      <c r="L604" t="n">
        <v>0</v>
      </c>
      <c r="M604" t="n">
        <v>0</v>
      </c>
      <c r="N604" t="n">
        <v>0</v>
      </c>
      <c r="O604" t="n">
        <v>0</v>
      </c>
      <c r="P604" t="n">
        <v>0</v>
      </c>
      <c r="Q604" t="n">
        <v>0</v>
      </c>
      <c r="R604" s="2" t="inlineStr"/>
    </row>
    <row r="605" ht="15" customHeight="1">
      <c r="A605" t="inlineStr">
        <is>
          <t>A 1049-2026</t>
        </is>
      </c>
      <c r="B605" s="1" t="n">
        <v>46030</v>
      </c>
      <c r="C605" s="1" t="n">
        <v>46181</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4800-2023</t>
        </is>
      </c>
      <c r="B606" s="1" t="n">
        <v>44952</v>
      </c>
      <c r="C606" s="1" t="n">
        <v>46181</v>
      </c>
      <c r="D606" t="inlineStr">
        <is>
          <t>VÄSTERNORRLANDS LÄN</t>
        </is>
      </c>
      <c r="E606" t="inlineStr">
        <is>
          <t>SUNDSVALL</t>
        </is>
      </c>
      <c r="G606" t="n">
        <v>0.3</v>
      </c>
      <c r="H606" t="n">
        <v>0</v>
      </c>
      <c r="I606" t="n">
        <v>0</v>
      </c>
      <c r="J606" t="n">
        <v>0</v>
      </c>
      <c r="K606" t="n">
        <v>0</v>
      </c>
      <c r="L606" t="n">
        <v>0</v>
      </c>
      <c r="M606" t="n">
        <v>0</v>
      </c>
      <c r="N606" t="n">
        <v>0</v>
      </c>
      <c r="O606" t="n">
        <v>0</v>
      </c>
      <c r="P606" t="n">
        <v>0</v>
      </c>
      <c r="Q606" t="n">
        <v>0</v>
      </c>
      <c r="R606" s="2" t="inlineStr"/>
    </row>
    <row r="607" ht="15" customHeight="1">
      <c r="A607" t="inlineStr">
        <is>
          <t>A 38351-2025</t>
        </is>
      </c>
      <c r="B607" s="1" t="n">
        <v>45883.53170138889</v>
      </c>
      <c r="C607" s="1" t="n">
        <v>46181</v>
      </c>
      <c r="D607" t="inlineStr">
        <is>
          <t>VÄSTERNORRLANDS LÄN</t>
        </is>
      </c>
      <c r="E607" t="inlineStr">
        <is>
          <t>SUNDSVALL</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1035-2026</t>
        </is>
      </c>
      <c r="B608" s="1" t="n">
        <v>46030.61703703704</v>
      </c>
      <c r="C608" s="1" t="n">
        <v>46181</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36007-2021</t>
        </is>
      </c>
      <c r="B609" s="1" t="n">
        <v>44389.37854166667</v>
      </c>
      <c r="C609" s="1" t="n">
        <v>46181</v>
      </c>
      <c r="D609" t="inlineStr">
        <is>
          <t>VÄSTERNORRLANDS LÄN</t>
        </is>
      </c>
      <c r="E609" t="inlineStr">
        <is>
          <t>SUNDSVALL</t>
        </is>
      </c>
      <c r="G609" t="n">
        <v>6.4</v>
      </c>
      <c r="H609" t="n">
        <v>0</v>
      </c>
      <c r="I609" t="n">
        <v>0</v>
      </c>
      <c r="J609" t="n">
        <v>0</v>
      </c>
      <c r="K609" t="n">
        <v>0</v>
      </c>
      <c r="L609" t="n">
        <v>0</v>
      </c>
      <c r="M609" t="n">
        <v>0</v>
      </c>
      <c r="N609" t="n">
        <v>0</v>
      </c>
      <c r="O609" t="n">
        <v>0</v>
      </c>
      <c r="P609" t="n">
        <v>0</v>
      </c>
      <c r="Q609" t="n">
        <v>0</v>
      </c>
      <c r="R609" s="2" t="inlineStr"/>
    </row>
    <row r="610" ht="15" customHeight="1">
      <c r="A610" t="inlineStr">
        <is>
          <t>A 1009-2026</t>
        </is>
      </c>
      <c r="B610" s="1" t="n">
        <v>46030.60008101852</v>
      </c>
      <c r="C610" s="1" t="n">
        <v>46181</v>
      </c>
      <c r="D610" t="inlineStr">
        <is>
          <t>VÄSTERNORRLANDS LÄN</t>
        </is>
      </c>
      <c r="E610" t="inlineStr">
        <is>
          <t>SUNDSVALL</t>
        </is>
      </c>
      <c r="G610" t="n">
        <v>1</v>
      </c>
      <c r="H610" t="n">
        <v>0</v>
      </c>
      <c r="I610" t="n">
        <v>0</v>
      </c>
      <c r="J610" t="n">
        <v>0</v>
      </c>
      <c r="K610" t="n">
        <v>0</v>
      </c>
      <c r="L610" t="n">
        <v>0</v>
      </c>
      <c r="M610" t="n">
        <v>0</v>
      </c>
      <c r="N610" t="n">
        <v>0</v>
      </c>
      <c r="O610" t="n">
        <v>0</v>
      </c>
      <c r="P610" t="n">
        <v>0</v>
      </c>
      <c r="Q610" t="n">
        <v>0</v>
      </c>
      <c r="R610" s="2" t="inlineStr"/>
    </row>
    <row r="611" ht="15" customHeight="1">
      <c r="A611" t="inlineStr">
        <is>
          <t>A 726-2026</t>
        </is>
      </c>
      <c r="B611" s="1" t="n">
        <v>46029</v>
      </c>
      <c r="C611" s="1" t="n">
        <v>46181</v>
      </c>
      <c r="D611" t="inlineStr">
        <is>
          <t>VÄSTERNORRLANDS LÄN</t>
        </is>
      </c>
      <c r="E611" t="inlineStr">
        <is>
          <t>SUNDSVALL</t>
        </is>
      </c>
      <c r="G611" t="n">
        <v>2.5</v>
      </c>
      <c r="H611" t="n">
        <v>0</v>
      </c>
      <c r="I611" t="n">
        <v>0</v>
      </c>
      <c r="J611" t="n">
        <v>0</v>
      </c>
      <c r="K611" t="n">
        <v>0</v>
      </c>
      <c r="L611" t="n">
        <v>0</v>
      </c>
      <c r="M611" t="n">
        <v>0</v>
      </c>
      <c r="N611" t="n">
        <v>0</v>
      </c>
      <c r="O611" t="n">
        <v>0</v>
      </c>
      <c r="P611" t="n">
        <v>0</v>
      </c>
      <c r="Q611" t="n">
        <v>0</v>
      </c>
      <c r="R611" s="2" t="inlineStr"/>
    </row>
    <row r="612" ht="15" customHeight="1">
      <c r="A612" t="inlineStr">
        <is>
          <t>A 847-2026</t>
        </is>
      </c>
      <c r="B612" s="1" t="n">
        <v>46030.38679398148</v>
      </c>
      <c r="C612" s="1" t="n">
        <v>46181</v>
      </c>
      <c r="D612" t="inlineStr">
        <is>
          <t>VÄSTERNORRLANDS LÄN</t>
        </is>
      </c>
      <c r="E612" t="inlineStr">
        <is>
          <t>SUNDSVALL</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29535-2021</t>
        </is>
      </c>
      <c r="B613" s="1" t="n">
        <v>44361</v>
      </c>
      <c r="C613" s="1" t="n">
        <v>46181</v>
      </c>
      <c r="D613" t="inlineStr">
        <is>
          <t>VÄSTERNORRLANDS LÄN</t>
        </is>
      </c>
      <c r="E613" t="inlineStr">
        <is>
          <t>SUNDSVALL</t>
        </is>
      </c>
      <c r="G613" t="n">
        <v>1.9</v>
      </c>
      <c r="H613" t="n">
        <v>0</v>
      </c>
      <c r="I613" t="n">
        <v>0</v>
      </c>
      <c r="J613" t="n">
        <v>0</v>
      </c>
      <c r="K613" t="n">
        <v>0</v>
      </c>
      <c r="L613" t="n">
        <v>0</v>
      </c>
      <c r="M613" t="n">
        <v>0</v>
      </c>
      <c r="N613" t="n">
        <v>0</v>
      </c>
      <c r="O613" t="n">
        <v>0</v>
      </c>
      <c r="P613" t="n">
        <v>0</v>
      </c>
      <c r="Q613" t="n">
        <v>0</v>
      </c>
      <c r="R613" s="2" t="inlineStr"/>
    </row>
    <row r="614" ht="15" customHeight="1">
      <c r="A614" t="inlineStr">
        <is>
          <t>A 17437-2023</t>
        </is>
      </c>
      <c r="B614" s="1" t="n">
        <v>45035.92703703704</v>
      </c>
      <c r="C614" s="1" t="n">
        <v>46181</v>
      </c>
      <c r="D614" t="inlineStr">
        <is>
          <t>VÄSTERNORRLANDS LÄN</t>
        </is>
      </c>
      <c r="E614" t="inlineStr">
        <is>
          <t>SUNDSVALL</t>
        </is>
      </c>
      <c r="G614" t="n">
        <v>13.7</v>
      </c>
      <c r="H614" t="n">
        <v>0</v>
      </c>
      <c r="I614" t="n">
        <v>0</v>
      </c>
      <c r="J614" t="n">
        <v>0</v>
      </c>
      <c r="K614" t="n">
        <v>0</v>
      </c>
      <c r="L614" t="n">
        <v>0</v>
      </c>
      <c r="M614" t="n">
        <v>0</v>
      </c>
      <c r="N614" t="n">
        <v>0</v>
      </c>
      <c r="O614" t="n">
        <v>0</v>
      </c>
      <c r="P614" t="n">
        <v>0</v>
      </c>
      <c r="Q614" t="n">
        <v>0</v>
      </c>
      <c r="R614" s="2" t="inlineStr"/>
    </row>
    <row r="615" ht="15" customHeight="1">
      <c r="A615" t="inlineStr">
        <is>
          <t>A 783-2026</t>
        </is>
      </c>
      <c r="B615" s="1" t="n">
        <v>46029</v>
      </c>
      <c r="C615" s="1" t="n">
        <v>46181</v>
      </c>
      <c r="D615" t="inlineStr">
        <is>
          <t>VÄSTERNORRLANDS LÄN</t>
        </is>
      </c>
      <c r="E615" t="inlineStr">
        <is>
          <t>SUNDSVALL</t>
        </is>
      </c>
      <c r="G615" t="n">
        <v>1.3</v>
      </c>
      <c r="H615" t="n">
        <v>0</v>
      </c>
      <c r="I615" t="n">
        <v>0</v>
      </c>
      <c r="J615" t="n">
        <v>0</v>
      </c>
      <c r="K615" t="n">
        <v>0</v>
      </c>
      <c r="L615" t="n">
        <v>0</v>
      </c>
      <c r="M615" t="n">
        <v>0</v>
      </c>
      <c r="N615" t="n">
        <v>0</v>
      </c>
      <c r="O615" t="n">
        <v>0</v>
      </c>
      <c r="P615" t="n">
        <v>0</v>
      </c>
      <c r="Q615" t="n">
        <v>0</v>
      </c>
      <c r="R615" s="2" t="inlineStr"/>
    </row>
    <row r="616" ht="15" customHeight="1">
      <c r="A616" t="inlineStr">
        <is>
          <t>A 984-2026</t>
        </is>
      </c>
      <c r="B616" s="1" t="n">
        <v>46030</v>
      </c>
      <c r="C616" s="1" t="n">
        <v>46181</v>
      </c>
      <c r="D616" t="inlineStr">
        <is>
          <t>VÄSTERNORRLANDS LÄN</t>
        </is>
      </c>
      <c r="E616" t="inlineStr">
        <is>
          <t>SUNDSVALL</t>
        </is>
      </c>
      <c r="G616" t="n">
        <v>4.7</v>
      </c>
      <c r="H616" t="n">
        <v>0</v>
      </c>
      <c r="I616" t="n">
        <v>0</v>
      </c>
      <c r="J616" t="n">
        <v>0</v>
      </c>
      <c r="K616" t="n">
        <v>0</v>
      </c>
      <c r="L616" t="n">
        <v>0</v>
      </c>
      <c r="M616" t="n">
        <v>0</v>
      </c>
      <c r="N616" t="n">
        <v>0</v>
      </c>
      <c r="O616" t="n">
        <v>0</v>
      </c>
      <c r="P616" t="n">
        <v>0</v>
      </c>
      <c r="Q616" t="n">
        <v>0</v>
      </c>
      <c r="R616" s="2" t="inlineStr"/>
    </row>
    <row r="617" ht="15" customHeight="1">
      <c r="A617" t="inlineStr">
        <is>
          <t>A 999-2026</t>
        </is>
      </c>
      <c r="B617" s="1" t="n">
        <v>46030.59460648148</v>
      </c>
      <c r="C617" s="1" t="n">
        <v>46181</v>
      </c>
      <c r="D617" t="inlineStr">
        <is>
          <t>VÄSTERNORRLANDS LÄN</t>
        </is>
      </c>
      <c r="E617" t="inlineStr">
        <is>
          <t>SUNDSVALL</t>
        </is>
      </c>
      <c r="G617" t="n">
        <v>1</v>
      </c>
      <c r="H617" t="n">
        <v>0</v>
      </c>
      <c r="I617" t="n">
        <v>0</v>
      </c>
      <c r="J617" t="n">
        <v>0</v>
      </c>
      <c r="K617" t="n">
        <v>0</v>
      </c>
      <c r="L617" t="n">
        <v>0</v>
      </c>
      <c r="M617" t="n">
        <v>0</v>
      </c>
      <c r="N617" t="n">
        <v>0</v>
      </c>
      <c r="O617" t="n">
        <v>0</v>
      </c>
      <c r="P617" t="n">
        <v>0</v>
      </c>
      <c r="Q617" t="n">
        <v>0</v>
      </c>
      <c r="R617" s="2" t="inlineStr"/>
    </row>
    <row r="618" ht="15" customHeight="1">
      <c r="A618" t="inlineStr">
        <is>
          <t>A 702-2026</t>
        </is>
      </c>
      <c r="B618" s="1" t="n">
        <v>46029.61589120371</v>
      </c>
      <c r="C618" s="1" t="n">
        <v>46181</v>
      </c>
      <c r="D618" t="inlineStr">
        <is>
          <t>VÄSTERNORRLANDS LÄN</t>
        </is>
      </c>
      <c r="E618" t="inlineStr">
        <is>
          <t>SUNDSVALL</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1055-2026</t>
        </is>
      </c>
      <c r="B619" s="1" t="n">
        <v>46030.63422453704</v>
      </c>
      <c r="C619" s="1" t="n">
        <v>46181</v>
      </c>
      <c r="D619" t="inlineStr">
        <is>
          <t>VÄSTERNORRLANDS LÄN</t>
        </is>
      </c>
      <c r="E619" t="inlineStr">
        <is>
          <t>SUNDSVALL</t>
        </is>
      </c>
      <c r="G619" t="n">
        <v>2.3</v>
      </c>
      <c r="H619" t="n">
        <v>0</v>
      </c>
      <c r="I619" t="n">
        <v>0</v>
      </c>
      <c r="J619" t="n">
        <v>0</v>
      </c>
      <c r="K619" t="n">
        <v>0</v>
      </c>
      <c r="L619" t="n">
        <v>0</v>
      </c>
      <c r="M619" t="n">
        <v>0</v>
      </c>
      <c r="N619" t="n">
        <v>0</v>
      </c>
      <c r="O619" t="n">
        <v>0</v>
      </c>
      <c r="P619" t="n">
        <v>0</v>
      </c>
      <c r="Q619" t="n">
        <v>0</v>
      </c>
      <c r="R619" s="2" t="inlineStr"/>
    </row>
    <row r="620" ht="15" customHeight="1">
      <c r="A620" t="inlineStr">
        <is>
          <t>A 64917-2021</t>
        </is>
      </c>
      <c r="B620" s="1" t="n">
        <v>44512</v>
      </c>
      <c r="C620" s="1" t="n">
        <v>46181</v>
      </c>
      <c r="D620" t="inlineStr">
        <is>
          <t>VÄSTERNORRLANDS LÄN</t>
        </is>
      </c>
      <c r="E620" t="inlineStr">
        <is>
          <t>SUNDSVALL</t>
        </is>
      </c>
      <c r="F620" t="inlineStr">
        <is>
          <t>Kommuner</t>
        </is>
      </c>
      <c r="G620" t="n">
        <v>4.1</v>
      </c>
      <c r="H620" t="n">
        <v>0</v>
      </c>
      <c r="I620" t="n">
        <v>0</v>
      </c>
      <c r="J620" t="n">
        <v>0</v>
      </c>
      <c r="K620" t="n">
        <v>0</v>
      </c>
      <c r="L620" t="n">
        <v>0</v>
      </c>
      <c r="M620" t="n">
        <v>0</v>
      </c>
      <c r="N620" t="n">
        <v>0</v>
      </c>
      <c r="O620" t="n">
        <v>0</v>
      </c>
      <c r="P620" t="n">
        <v>0</v>
      </c>
      <c r="Q620" t="n">
        <v>0</v>
      </c>
      <c r="R620" s="2" t="inlineStr"/>
    </row>
    <row r="621" ht="15" customHeight="1">
      <c r="A621" t="inlineStr">
        <is>
          <t>A 51047-2024</t>
        </is>
      </c>
      <c r="B621" s="1" t="n">
        <v>45603.44611111111</v>
      </c>
      <c r="C621" s="1" t="n">
        <v>46181</v>
      </c>
      <c r="D621" t="inlineStr">
        <is>
          <t>VÄSTERNORRLANDS LÄN</t>
        </is>
      </c>
      <c r="E621" t="inlineStr">
        <is>
          <t>SUNDSVALL</t>
        </is>
      </c>
      <c r="G621" t="n">
        <v>2.2</v>
      </c>
      <c r="H621" t="n">
        <v>0</v>
      </c>
      <c r="I621" t="n">
        <v>0</v>
      </c>
      <c r="J621" t="n">
        <v>0</v>
      </c>
      <c r="K621" t="n">
        <v>0</v>
      </c>
      <c r="L621" t="n">
        <v>0</v>
      </c>
      <c r="M621" t="n">
        <v>0</v>
      </c>
      <c r="N621" t="n">
        <v>0</v>
      </c>
      <c r="O621" t="n">
        <v>0</v>
      </c>
      <c r="P621" t="n">
        <v>0</v>
      </c>
      <c r="Q621" t="n">
        <v>0</v>
      </c>
      <c r="R621" s="2" t="inlineStr"/>
    </row>
    <row r="622" ht="15" customHeight="1">
      <c r="A622" t="inlineStr">
        <is>
          <t>A 476-2026</t>
        </is>
      </c>
      <c r="B622" s="1" t="n">
        <v>46029.39678240741</v>
      </c>
      <c r="C622" s="1" t="n">
        <v>46181</v>
      </c>
      <c r="D622" t="inlineStr">
        <is>
          <t>VÄSTERNORRLANDS LÄN</t>
        </is>
      </c>
      <c r="E622" t="inlineStr">
        <is>
          <t>SUNDSVALL</t>
        </is>
      </c>
      <c r="G622" t="n">
        <v>0.5</v>
      </c>
      <c r="H622" t="n">
        <v>0</v>
      </c>
      <c r="I622" t="n">
        <v>0</v>
      </c>
      <c r="J622" t="n">
        <v>0</v>
      </c>
      <c r="K622" t="n">
        <v>0</v>
      </c>
      <c r="L622" t="n">
        <v>0</v>
      </c>
      <c r="M622" t="n">
        <v>0</v>
      </c>
      <c r="N622" t="n">
        <v>0</v>
      </c>
      <c r="O622" t="n">
        <v>0</v>
      </c>
      <c r="P622" t="n">
        <v>0</v>
      </c>
      <c r="Q622" t="n">
        <v>0</v>
      </c>
      <c r="R622" s="2" t="inlineStr"/>
    </row>
    <row r="623" ht="15" customHeight="1">
      <c r="A623" t="inlineStr">
        <is>
          <t>A 61492-2023</t>
        </is>
      </c>
      <c r="B623" s="1" t="n">
        <v>45264</v>
      </c>
      <c r="C623" s="1" t="n">
        <v>46181</v>
      </c>
      <c r="D623" t="inlineStr">
        <is>
          <t>VÄSTERNORRLANDS LÄN</t>
        </is>
      </c>
      <c r="E623" t="inlineStr">
        <is>
          <t>SUNDSVALL</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790-2026</t>
        </is>
      </c>
      <c r="B624" s="1" t="n">
        <v>46029</v>
      </c>
      <c r="C624" s="1" t="n">
        <v>46181</v>
      </c>
      <c r="D624" t="inlineStr">
        <is>
          <t>VÄSTERNORRLANDS LÄN</t>
        </is>
      </c>
      <c r="E624" t="inlineStr">
        <is>
          <t>SUNDSVALL</t>
        </is>
      </c>
      <c r="G624" t="n">
        <v>1.9</v>
      </c>
      <c r="H624" t="n">
        <v>0</v>
      </c>
      <c r="I624" t="n">
        <v>0</v>
      </c>
      <c r="J624" t="n">
        <v>0</v>
      </c>
      <c r="K624" t="n">
        <v>0</v>
      </c>
      <c r="L624" t="n">
        <v>0</v>
      </c>
      <c r="M624" t="n">
        <v>0</v>
      </c>
      <c r="N624" t="n">
        <v>0</v>
      </c>
      <c r="O624" t="n">
        <v>0</v>
      </c>
      <c r="P624" t="n">
        <v>0</v>
      </c>
      <c r="Q624" t="n">
        <v>0</v>
      </c>
      <c r="R624" s="2" t="inlineStr"/>
    </row>
    <row r="625" ht="15" customHeight="1">
      <c r="A625" t="inlineStr">
        <is>
          <t>A 1008-2026</t>
        </is>
      </c>
      <c r="B625" s="1" t="n">
        <v>46030.59880787037</v>
      </c>
      <c r="C625" s="1" t="n">
        <v>46181</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5721-2024</t>
        </is>
      </c>
      <c r="B626" s="1" t="n">
        <v>45334</v>
      </c>
      <c r="C626" s="1" t="n">
        <v>46181</v>
      </c>
      <c r="D626" t="inlineStr">
        <is>
          <t>VÄSTERNORRLANDS LÄN</t>
        </is>
      </c>
      <c r="E626" t="inlineStr">
        <is>
          <t>SUNDSVALL</t>
        </is>
      </c>
      <c r="G626" t="n">
        <v>1.9</v>
      </c>
      <c r="H626" t="n">
        <v>0</v>
      </c>
      <c r="I626" t="n">
        <v>0</v>
      </c>
      <c r="J626" t="n">
        <v>0</v>
      </c>
      <c r="K626" t="n">
        <v>0</v>
      </c>
      <c r="L626" t="n">
        <v>0</v>
      </c>
      <c r="M626" t="n">
        <v>0</v>
      </c>
      <c r="N626" t="n">
        <v>0</v>
      </c>
      <c r="O626" t="n">
        <v>0</v>
      </c>
      <c r="P626" t="n">
        <v>0</v>
      </c>
      <c r="Q626" t="n">
        <v>0</v>
      </c>
      <c r="R626" s="2" t="inlineStr"/>
    </row>
    <row r="627" ht="15" customHeight="1">
      <c r="A627" t="inlineStr">
        <is>
          <t>A 1648-2026</t>
        </is>
      </c>
      <c r="B627" s="1" t="n">
        <v>46034.52064814815</v>
      </c>
      <c r="C627" s="1" t="n">
        <v>46181</v>
      </c>
      <c r="D627" t="inlineStr">
        <is>
          <t>VÄSTERNORRLANDS LÄN</t>
        </is>
      </c>
      <c r="E627" t="inlineStr">
        <is>
          <t>SUNDSVALL</t>
        </is>
      </c>
      <c r="G627" t="n">
        <v>3.4</v>
      </c>
      <c r="H627" t="n">
        <v>0</v>
      </c>
      <c r="I627" t="n">
        <v>0</v>
      </c>
      <c r="J627" t="n">
        <v>0</v>
      </c>
      <c r="K627" t="n">
        <v>0</v>
      </c>
      <c r="L627" t="n">
        <v>0</v>
      </c>
      <c r="M627" t="n">
        <v>0</v>
      </c>
      <c r="N627" t="n">
        <v>0</v>
      </c>
      <c r="O627" t="n">
        <v>0</v>
      </c>
      <c r="P627" t="n">
        <v>0</v>
      </c>
      <c r="Q627" t="n">
        <v>0</v>
      </c>
      <c r="R627" s="2" t="inlineStr"/>
    </row>
    <row r="628" ht="15" customHeight="1">
      <c r="A628" t="inlineStr">
        <is>
          <t>A 26661-2024</t>
        </is>
      </c>
      <c r="B628" s="1" t="n">
        <v>45469</v>
      </c>
      <c r="C628" s="1" t="n">
        <v>46181</v>
      </c>
      <c r="D628" t="inlineStr">
        <is>
          <t>VÄSTERNORRLANDS LÄN</t>
        </is>
      </c>
      <c r="E628" t="inlineStr">
        <is>
          <t>SUNDSVALL</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2277-2026</t>
        </is>
      </c>
      <c r="B629" s="1" t="n">
        <v>46034</v>
      </c>
      <c r="C629" s="1" t="n">
        <v>46181</v>
      </c>
      <c r="D629" t="inlineStr">
        <is>
          <t>VÄSTERNORRLANDS LÄN</t>
        </is>
      </c>
      <c r="E629" t="inlineStr">
        <is>
          <t>SUNDSVALL</t>
        </is>
      </c>
      <c r="G629" t="n">
        <v>1.4</v>
      </c>
      <c r="H629" t="n">
        <v>0</v>
      </c>
      <c r="I629" t="n">
        <v>0</v>
      </c>
      <c r="J629" t="n">
        <v>0</v>
      </c>
      <c r="K629" t="n">
        <v>0</v>
      </c>
      <c r="L629" t="n">
        <v>0</v>
      </c>
      <c r="M629" t="n">
        <v>0</v>
      </c>
      <c r="N629" t="n">
        <v>0</v>
      </c>
      <c r="O629" t="n">
        <v>0</v>
      </c>
      <c r="P629" t="n">
        <v>0</v>
      </c>
      <c r="Q629" t="n">
        <v>0</v>
      </c>
      <c r="R629" s="2" t="inlineStr"/>
    </row>
    <row r="630" ht="15" customHeight="1">
      <c r="A630" t="inlineStr">
        <is>
          <t>A 2283-2026</t>
        </is>
      </c>
      <c r="B630" s="1" t="n">
        <v>46034</v>
      </c>
      <c r="C630" s="1" t="n">
        <v>46181</v>
      </c>
      <c r="D630" t="inlineStr">
        <is>
          <t>VÄSTERNORRLANDS LÄN</t>
        </is>
      </c>
      <c r="E630" t="inlineStr">
        <is>
          <t>SUNDSVALL</t>
        </is>
      </c>
      <c r="G630" t="n">
        <v>1.7</v>
      </c>
      <c r="H630" t="n">
        <v>0</v>
      </c>
      <c r="I630" t="n">
        <v>0</v>
      </c>
      <c r="J630" t="n">
        <v>0</v>
      </c>
      <c r="K630" t="n">
        <v>0</v>
      </c>
      <c r="L630" t="n">
        <v>0</v>
      </c>
      <c r="M630" t="n">
        <v>0</v>
      </c>
      <c r="N630" t="n">
        <v>0</v>
      </c>
      <c r="O630" t="n">
        <v>0</v>
      </c>
      <c r="P630" t="n">
        <v>0</v>
      </c>
      <c r="Q630" t="n">
        <v>0</v>
      </c>
      <c r="R630" s="2" t="inlineStr"/>
    </row>
    <row r="631" ht="15" customHeight="1">
      <c r="A631" t="inlineStr">
        <is>
          <t>A 27895-2024</t>
        </is>
      </c>
      <c r="B631" s="1" t="n">
        <v>45475.92822916667</v>
      </c>
      <c r="C631" s="1" t="n">
        <v>46181</v>
      </c>
      <c r="D631" t="inlineStr">
        <is>
          <t>VÄSTERNORRLANDS LÄN</t>
        </is>
      </c>
      <c r="E631" t="inlineStr">
        <is>
          <t>SUNDSVALL</t>
        </is>
      </c>
      <c r="G631" t="n">
        <v>2.5</v>
      </c>
      <c r="H631" t="n">
        <v>0</v>
      </c>
      <c r="I631" t="n">
        <v>0</v>
      </c>
      <c r="J631" t="n">
        <v>0</v>
      </c>
      <c r="K631" t="n">
        <v>0</v>
      </c>
      <c r="L631" t="n">
        <v>0</v>
      </c>
      <c r="M631" t="n">
        <v>0</v>
      </c>
      <c r="N631" t="n">
        <v>0</v>
      </c>
      <c r="O631" t="n">
        <v>0</v>
      </c>
      <c r="P631" t="n">
        <v>0</v>
      </c>
      <c r="Q631" t="n">
        <v>0</v>
      </c>
      <c r="R631" s="2" t="inlineStr"/>
    </row>
    <row r="632" ht="15" customHeight="1">
      <c r="A632" t="inlineStr">
        <is>
          <t>A 1274-2026</t>
        </is>
      </c>
      <c r="B632" s="1" t="n">
        <v>46031.47092592593</v>
      </c>
      <c r="C632" s="1" t="n">
        <v>46181</v>
      </c>
      <c r="D632" t="inlineStr">
        <is>
          <t>VÄSTERNORRLANDS LÄN</t>
        </is>
      </c>
      <c r="E632" t="inlineStr">
        <is>
          <t>SUNDSVALL</t>
        </is>
      </c>
      <c r="G632" t="n">
        <v>5.5</v>
      </c>
      <c r="H632" t="n">
        <v>0</v>
      </c>
      <c r="I632" t="n">
        <v>0</v>
      </c>
      <c r="J632" t="n">
        <v>0</v>
      </c>
      <c r="K632" t="n">
        <v>0</v>
      </c>
      <c r="L632" t="n">
        <v>0</v>
      </c>
      <c r="M632" t="n">
        <v>0</v>
      </c>
      <c r="N632" t="n">
        <v>0</v>
      </c>
      <c r="O632" t="n">
        <v>0</v>
      </c>
      <c r="P632" t="n">
        <v>0</v>
      </c>
      <c r="Q632" t="n">
        <v>0</v>
      </c>
      <c r="R632" s="2" t="inlineStr"/>
    </row>
    <row r="633" ht="15" customHeight="1">
      <c r="A633" t="inlineStr">
        <is>
          <t>A 70173-2021</t>
        </is>
      </c>
      <c r="B633" s="1" t="n">
        <v>44533</v>
      </c>
      <c r="C633" s="1" t="n">
        <v>46181</v>
      </c>
      <c r="D633" t="inlineStr">
        <is>
          <t>VÄSTERNORRLANDS LÄN</t>
        </is>
      </c>
      <c r="E633" t="inlineStr">
        <is>
          <t>SUNDSVALL</t>
        </is>
      </c>
      <c r="G633" t="n">
        <v>2.3</v>
      </c>
      <c r="H633" t="n">
        <v>0</v>
      </c>
      <c r="I633" t="n">
        <v>0</v>
      </c>
      <c r="J633" t="n">
        <v>0</v>
      </c>
      <c r="K633" t="n">
        <v>0</v>
      </c>
      <c r="L633" t="n">
        <v>0</v>
      </c>
      <c r="M633" t="n">
        <v>0</v>
      </c>
      <c r="N633" t="n">
        <v>0</v>
      </c>
      <c r="O633" t="n">
        <v>0</v>
      </c>
      <c r="P633" t="n">
        <v>0</v>
      </c>
      <c r="Q633" t="n">
        <v>0</v>
      </c>
      <c r="R633" s="2" t="inlineStr"/>
    </row>
    <row r="634" ht="15" customHeight="1">
      <c r="A634" t="inlineStr">
        <is>
          <t>A 38131-2023</t>
        </is>
      </c>
      <c r="B634" s="1" t="n">
        <v>45160</v>
      </c>
      <c r="C634" s="1" t="n">
        <v>46181</v>
      </c>
      <c r="D634" t="inlineStr">
        <is>
          <t>VÄSTERNORRLANDS LÄN</t>
        </is>
      </c>
      <c r="E634" t="inlineStr">
        <is>
          <t>SUNDSVALL</t>
        </is>
      </c>
      <c r="G634" t="n">
        <v>0.3</v>
      </c>
      <c r="H634" t="n">
        <v>0</v>
      </c>
      <c r="I634" t="n">
        <v>0</v>
      </c>
      <c r="J634" t="n">
        <v>0</v>
      </c>
      <c r="K634" t="n">
        <v>0</v>
      </c>
      <c r="L634" t="n">
        <v>0</v>
      </c>
      <c r="M634" t="n">
        <v>0</v>
      </c>
      <c r="N634" t="n">
        <v>0</v>
      </c>
      <c r="O634" t="n">
        <v>0</v>
      </c>
      <c r="P634" t="n">
        <v>0</v>
      </c>
      <c r="Q634" t="n">
        <v>0</v>
      </c>
      <c r="R634" s="2" t="inlineStr"/>
    </row>
    <row r="635" ht="15" customHeight="1">
      <c r="A635" t="inlineStr">
        <is>
          <t>A 24426-2025</t>
        </is>
      </c>
      <c r="B635" s="1" t="n">
        <v>45797.69824074074</v>
      </c>
      <c r="C635" s="1" t="n">
        <v>46181</v>
      </c>
      <c r="D635" t="inlineStr">
        <is>
          <t>VÄSTERNORRLANDS LÄN</t>
        </is>
      </c>
      <c r="E635" t="inlineStr">
        <is>
          <t>SUNDSVALL</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62083-2025</t>
        </is>
      </c>
      <c r="B636" s="1" t="n">
        <v>46006.37369212963</v>
      </c>
      <c r="C636" s="1" t="n">
        <v>46181</v>
      </c>
      <c r="D636" t="inlineStr">
        <is>
          <t>VÄSTERNORRLANDS LÄN</t>
        </is>
      </c>
      <c r="E636" t="inlineStr">
        <is>
          <t>SUNDSVALL</t>
        </is>
      </c>
      <c r="G636" t="n">
        <v>4.5</v>
      </c>
      <c r="H636" t="n">
        <v>0</v>
      </c>
      <c r="I636" t="n">
        <v>0</v>
      </c>
      <c r="J636" t="n">
        <v>0</v>
      </c>
      <c r="K636" t="n">
        <v>0</v>
      </c>
      <c r="L636" t="n">
        <v>0</v>
      </c>
      <c r="M636" t="n">
        <v>0</v>
      </c>
      <c r="N636" t="n">
        <v>0</v>
      </c>
      <c r="O636" t="n">
        <v>0</v>
      </c>
      <c r="P636" t="n">
        <v>0</v>
      </c>
      <c r="Q636" t="n">
        <v>0</v>
      </c>
      <c r="R636" s="2" t="inlineStr"/>
    </row>
    <row r="637" ht="15" customHeight="1">
      <c r="A637" t="inlineStr">
        <is>
          <t>A 63275-2025</t>
        </is>
      </c>
      <c r="B637" s="1" t="n">
        <v>46010.57359953703</v>
      </c>
      <c r="C637" s="1" t="n">
        <v>46181</v>
      </c>
      <c r="D637" t="inlineStr">
        <is>
          <t>VÄSTERNORRLANDS LÄN</t>
        </is>
      </c>
      <c r="E637" t="inlineStr">
        <is>
          <t>SUNDSVALL</t>
        </is>
      </c>
      <c r="G637" t="n">
        <v>5.8</v>
      </c>
      <c r="H637" t="n">
        <v>0</v>
      </c>
      <c r="I637" t="n">
        <v>0</v>
      </c>
      <c r="J637" t="n">
        <v>0</v>
      </c>
      <c r="K637" t="n">
        <v>0</v>
      </c>
      <c r="L637" t="n">
        <v>0</v>
      </c>
      <c r="M637" t="n">
        <v>0</v>
      </c>
      <c r="N637" t="n">
        <v>0</v>
      </c>
      <c r="O637" t="n">
        <v>0</v>
      </c>
      <c r="P637" t="n">
        <v>0</v>
      </c>
      <c r="Q637" t="n">
        <v>0</v>
      </c>
      <c r="R637" s="2" t="inlineStr"/>
    </row>
    <row r="638" ht="15" customHeight="1">
      <c r="A638" t="inlineStr">
        <is>
          <t>A 1417-2023</t>
        </is>
      </c>
      <c r="B638" s="1" t="n">
        <v>44936</v>
      </c>
      <c r="C638" s="1" t="n">
        <v>46181</v>
      </c>
      <c r="D638" t="inlineStr">
        <is>
          <t>VÄSTERNORRLANDS LÄN</t>
        </is>
      </c>
      <c r="E638" t="inlineStr">
        <is>
          <t>SUNDSVALL</t>
        </is>
      </c>
      <c r="G638" t="n">
        <v>0.7</v>
      </c>
      <c r="H638" t="n">
        <v>0</v>
      </c>
      <c r="I638" t="n">
        <v>0</v>
      </c>
      <c r="J638" t="n">
        <v>0</v>
      </c>
      <c r="K638" t="n">
        <v>0</v>
      </c>
      <c r="L638" t="n">
        <v>0</v>
      </c>
      <c r="M638" t="n">
        <v>0</v>
      </c>
      <c r="N638" t="n">
        <v>0</v>
      </c>
      <c r="O638" t="n">
        <v>0</v>
      </c>
      <c r="P638" t="n">
        <v>0</v>
      </c>
      <c r="Q638" t="n">
        <v>0</v>
      </c>
      <c r="R638" s="2" t="inlineStr"/>
    </row>
    <row r="639" ht="15" customHeight="1">
      <c r="A639" t="inlineStr">
        <is>
          <t>A 61735-2022</t>
        </is>
      </c>
      <c r="B639" s="1" t="n">
        <v>44917</v>
      </c>
      <c r="C639" s="1" t="n">
        <v>46181</v>
      </c>
      <c r="D639" t="inlineStr">
        <is>
          <t>VÄSTERNORRLANDS LÄN</t>
        </is>
      </c>
      <c r="E639" t="inlineStr">
        <is>
          <t>SUNDSVALL</t>
        </is>
      </c>
      <c r="G639" t="n">
        <v>3</v>
      </c>
      <c r="H639" t="n">
        <v>0</v>
      </c>
      <c r="I639" t="n">
        <v>0</v>
      </c>
      <c r="J639" t="n">
        <v>0</v>
      </c>
      <c r="K639" t="n">
        <v>0</v>
      </c>
      <c r="L639" t="n">
        <v>0</v>
      </c>
      <c r="M639" t="n">
        <v>0</v>
      </c>
      <c r="N639" t="n">
        <v>0</v>
      </c>
      <c r="O639" t="n">
        <v>0</v>
      </c>
      <c r="P639" t="n">
        <v>0</v>
      </c>
      <c r="Q639" t="n">
        <v>0</v>
      </c>
      <c r="R639" s="2" t="inlineStr"/>
    </row>
    <row r="640" ht="15" customHeight="1">
      <c r="A640" t="inlineStr">
        <is>
          <t>A 28771-2024</t>
        </is>
      </c>
      <c r="B640" s="1" t="n">
        <v>45478</v>
      </c>
      <c r="C640" s="1" t="n">
        <v>46181</v>
      </c>
      <c r="D640" t="inlineStr">
        <is>
          <t>VÄSTERNORRLANDS LÄN</t>
        </is>
      </c>
      <c r="E640" t="inlineStr">
        <is>
          <t>SUNDSVALL</t>
        </is>
      </c>
      <c r="G640" t="n">
        <v>0.7</v>
      </c>
      <c r="H640" t="n">
        <v>0</v>
      </c>
      <c r="I640" t="n">
        <v>0</v>
      </c>
      <c r="J640" t="n">
        <v>0</v>
      </c>
      <c r="K640" t="n">
        <v>0</v>
      </c>
      <c r="L640" t="n">
        <v>0</v>
      </c>
      <c r="M640" t="n">
        <v>0</v>
      </c>
      <c r="N640" t="n">
        <v>0</v>
      </c>
      <c r="O640" t="n">
        <v>0</v>
      </c>
      <c r="P640" t="n">
        <v>0</v>
      </c>
      <c r="Q640" t="n">
        <v>0</v>
      </c>
      <c r="R640" s="2" t="inlineStr"/>
    </row>
    <row r="641" ht="15" customHeight="1">
      <c r="A641" t="inlineStr">
        <is>
          <t>A 1294-2026</t>
        </is>
      </c>
      <c r="B641" s="1" t="n">
        <v>46031.51074074074</v>
      </c>
      <c r="C641" s="1" t="n">
        <v>46181</v>
      </c>
      <c r="D641" t="inlineStr">
        <is>
          <t>VÄSTERNORRLANDS LÄN</t>
        </is>
      </c>
      <c r="E641" t="inlineStr">
        <is>
          <t>SUNDSVALL</t>
        </is>
      </c>
      <c r="G641" t="n">
        <v>1.3</v>
      </c>
      <c r="H641" t="n">
        <v>0</v>
      </c>
      <c r="I641" t="n">
        <v>0</v>
      </c>
      <c r="J641" t="n">
        <v>0</v>
      </c>
      <c r="K641" t="n">
        <v>0</v>
      </c>
      <c r="L641" t="n">
        <v>0</v>
      </c>
      <c r="M641" t="n">
        <v>0</v>
      </c>
      <c r="N641" t="n">
        <v>0</v>
      </c>
      <c r="O641" t="n">
        <v>0</v>
      </c>
      <c r="P641" t="n">
        <v>0</v>
      </c>
      <c r="Q641" t="n">
        <v>0</v>
      </c>
      <c r="R641" s="2" t="inlineStr"/>
    </row>
    <row r="642" ht="15" customHeight="1">
      <c r="A642" t="inlineStr">
        <is>
          <t>A 54550-2024</t>
        </is>
      </c>
      <c r="B642" s="1" t="n">
        <v>45617.61696759259</v>
      </c>
      <c r="C642" s="1" t="n">
        <v>46181</v>
      </c>
      <c r="D642" t="inlineStr">
        <is>
          <t>VÄSTERNORRLANDS LÄN</t>
        </is>
      </c>
      <c r="E642" t="inlineStr">
        <is>
          <t>SUNDSVALL</t>
        </is>
      </c>
      <c r="G642" t="n">
        <v>4.8</v>
      </c>
      <c r="H642" t="n">
        <v>0</v>
      </c>
      <c r="I642" t="n">
        <v>0</v>
      </c>
      <c r="J642" t="n">
        <v>0</v>
      </c>
      <c r="K642" t="n">
        <v>0</v>
      </c>
      <c r="L642" t="n">
        <v>0</v>
      </c>
      <c r="M642" t="n">
        <v>0</v>
      </c>
      <c r="N642" t="n">
        <v>0</v>
      </c>
      <c r="O642" t="n">
        <v>0</v>
      </c>
      <c r="P642" t="n">
        <v>0</v>
      </c>
      <c r="Q642" t="n">
        <v>0</v>
      </c>
      <c r="R642" s="2" t="inlineStr"/>
    </row>
    <row r="643" ht="15" customHeight="1">
      <c r="A643" t="inlineStr">
        <is>
          <t>A 26341-2023</t>
        </is>
      </c>
      <c r="B643" s="1" t="n">
        <v>45091.92548611111</v>
      </c>
      <c r="C643" s="1" t="n">
        <v>46181</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49929-2024</t>
        </is>
      </c>
      <c r="B644" s="1" t="n">
        <v>45597.57927083333</v>
      </c>
      <c r="C644" s="1" t="n">
        <v>46181</v>
      </c>
      <c r="D644" t="inlineStr">
        <is>
          <t>VÄSTERNORRLANDS LÄN</t>
        </is>
      </c>
      <c r="E644" t="inlineStr">
        <is>
          <t>SUNDSVALL</t>
        </is>
      </c>
      <c r="G644" t="n">
        <v>1.8</v>
      </c>
      <c r="H644" t="n">
        <v>0</v>
      </c>
      <c r="I644" t="n">
        <v>0</v>
      </c>
      <c r="J644" t="n">
        <v>0</v>
      </c>
      <c r="K644" t="n">
        <v>0</v>
      </c>
      <c r="L644" t="n">
        <v>0</v>
      </c>
      <c r="M644" t="n">
        <v>0</v>
      </c>
      <c r="N644" t="n">
        <v>0</v>
      </c>
      <c r="O644" t="n">
        <v>0</v>
      </c>
      <c r="P644" t="n">
        <v>0</v>
      </c>
      <c r="Q644" t="n">
        <v>0</v>
      </c>
      <c r="R644" s="2" t="inlineStr"/>
    </row>
    <row r="645" ht="15" customHeight="1">
      <c r="A645" t="inlineStr">
        <is>
          <t>A 9470-2025</t>
        </is>
      </c>
      <c r="B645" s="1" t="n">
        <v>45715.46928240741</v>
      </c>
      <c r="C645" s="1" t="n">
        <v>46181</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50324-2024</t>
        </is>
      </c>
      <c r="B646" s="1" t="n">
        <v>45600</v>
      </c>
      <c r="C646" s="1" t="n">
        <v>46181</v>
      </c>
      <c r="D646" t="inlineStr">
        <is>
          <t>VÄSTERNORRLANDS LÄN</t>
        </is>
      </c>
      <c r="E646" t="inlineStr">
        <is>
          <t>SUNDSVALL</t>
        </is>
      </c>
      <c r="G646" t="n">
        <v>10.1</v>
      </c>
      <c r="H646" t="n">
        <v>0</v>
      </c>
      <c r="I646" t="n">
        <v>0</v>
      </c>
      <c r="J646" t="n">
        <v>0</v>
      </c>
      <c r="K646" t="n">
        <v>0</v>
      </c>
      <c r="L646" t="n">
        <v>0</v>
      </c>
      <c r="M646" t="n">
        <v>0</v>
      </c>
      <c r="N646" t="n">
        <v>0</v>
      </c>
      <c r="O646" t="n">
        <v>0</v>
      </c>
      <c r="P646" t="n">
        <v>0</v>
      </c>
      <c r="Q646" t="n">
        <v>0</v>
      </c>
      <c r="R646" s="2" t="inlineStr"/>
    </row>
    <row r="647" ht="15" customHeight="1">
      <c r="A647" t="inlineStr">
        <is>
          <t>A 53716-2023</t>
        </is>
      </c>
      <c r="B647" s="1" t="n">
        <v>45230.71146990741</v>
      </c>
      <c r="C647" s="1" t="n">
        <v>46181</v>
      </c>
      <c r="D647" t="inlineStr">
        <is>
          <t>VÄSTERNORRLANDS LÄN</t>
        </is>
      </c>
      <c r="E647" t="inlineStr">
        <is>
          <t>SUNDSVALL</t>
        </is>
      </c>
      <c r="G647" t="n">
        <v>4.2</v>
      </c>
      <c r="H647" t="n">
        <v>0</v>
      </c>
      <c r="I647" t="n">
        <v>0</v>
      </c>
      <c r="J647" t="n">
        <v>0</v>
      </c>
      <c r="K647" t="n">
        <v>0</v>
      </c>
      <c r="L647" t="n">
        <v>0</v>
      </c>
      <c r="M647" t="n">
        <v>0</v>
      </c>
      <c r="N647" t="n">
        <v>0</v>
      </c>
      <c r="O647" t="n">
        <v>0</v>
      </c>
      <c r="P647" t="n">
        <v>0</v>
      </c>
      <c r="Q647" t="n">
        <v>0</v>
      </c>
      <c r="R647" s="2" t="inlineStr"/>
    </row>
    <row r="648" ht="15" customHeight="1">
      <c r="A648" t="inlineStr">
        <is>
          <t>A 14914-2024</t>
        </is>
      </c>
      <c r="B648" s="1" t="n">
        <v>45398</v>
      </c>
      <c r="C648" s="1" t="n">
        <v>46181</v>
      </c>
      <c r="D648" t="inlineStr">
        <is>
          <t>VÄSTERNORRLANDS LÄN</t>
        </is>
      </c>
      <c r="E648" t="inlineStr">
        <is>
          <t>SUNDSVALL</t>
        </is>
      </c>
      <c r="G648" t="n">
        <v>1.1</v>
      </c>
      <c r="H648" t="n">
        <v>0</v>
      </c>
      <c r="I648" t="n">
        <v>0</v>
      </c>
      <c r="J648" t="n">
        <v>0</v>
      </c>
      <c r="K648" t="n">
        <v>0</v>
      </c>
      <c r="L648" t="n">
        <v>0</v>
      </c>
      <c r="M648" t="n">
        <v>0</v>
      </c>
      <c r="N648" t="n">
        <v>0</v>
      </c>
      <c r="O648" t="n">
        <v>0</v>
      </c>
      <c r="P648" t="n">
        <v>0</v>
      </c>
      <c r="Q648" t="n">
        <v>0</v>
      </c>
      <c r="R648" s="2" t="inlineStr"/>
    </row>
    <row r="649" ht="15" customHeight="1">
      <c r="A649" t="inlineStr">
        <is>
          <t>A 5646-2025</t>
        </is>
      </c>
      <c r="B649" s="1" t="n">
        <v>45693</v>
      </c>
      <c r="C649" s="1" t="n">
        <v>46181</v>
      </c>
      <c r="D649" t="inlineStr">
        <is>
          <t>VÄSTERNORRLANDS LÄN</t>
        </is>
      </c>
      <c r="E649" t="inlineStr">
        <is>
          <t>SUNDSVALL</t>
        </is>
      </c>
      <c r="G649" t="n">
        <v>4.5</v>
      </c>
      <c r="H649" t="n">
        <v>0</v>
      </c>
      <c r="I649" t="n">
        <v>0</v>
      </c>
      <c r="J649" t="n">
        <v>0</v>
      </c>
      <c r="K649" t="n">
        <v>0</v>
      </c>
      <c r="L649" t="n">
        <v>0</v>
      </c>
      <c r="M649" t="n">
        <v>0</v>
      </c>
      <c r="N649" t="n">
        <v>0</v>
      </c>
      <c r="O649" t="n">
        <v>0</v>
      </c>
      <c r="P649" t="n">
        <v>0</v>
      </c>
      <c r="Q649" t="n">
        <v>0</v>
      </c>
      <c r="R649" s="2" t="inlineStr"/>
    </row>
    <row r="650" ht="15" customHeight="1">
      <c r="A650" t="inlineStr">
        <is>
          <t>A 7149-2024</t>
        </is>
      </c>
      <c r="B650" s="1" t="n">
        <v>45344</v>
      </c>
      <c r="C650" s="1" t="n">
        <v>46181</v>
      </c>
      <c r="D650" t="inlineStr">
        <is>
          <t>VÄSTERNORRLANDS LÄN</t>
        </is>
      </c>
      <c r="E650" t="inlineStr">
        <is>
          <t>SUNDSVALL</t>
        </is>
      </c>
      <c r="G650" t="n">
        <v>1.8</v>
      </c>
      <c r="H650" t="n">
        <v>0</v>
      </c>
      <c r="I650" t="n">
        <v>0</v>
      </c>
      <c r="J650" t="n">
        <v>0</v>
      </c>
      <c r="K650" t="n">
        <v>0</v>
      </c>
      <c r="L650" t="n">
        <v>0</v>
      </c>
      <c r="M650" t="n">
        <v>0</v>
      </c>
      <c r="N650" t="n">
        <v>0</v>
      </c>
      <c r="O650" t="n">
        <v>0</v>
      </c>
      <c r="P650" t="n">
        <v>0</v>
      </c>
      <c r="Q650" t="n">
        <v>0</v>
      </c>
      <c r="R650" s="2" t="inlineStr"/>
    </row>
    <row r="651" ht="15" customHeight="1">
      <c r="A651" t="inlineStr">
        <is>
          <t>A 24339-2025</t>
        </is>
      </c>
      <c r="B651" s="1" t="n">
        <v>45797.57395833333</v>
      </c>
      <c r="C651" s="1" t="n">
        <v>46181</v>
      </c>
      <c r="D651" t="inlineStr">
        <is>
          <t>VÄSTERNORRLANDS LÄN</t>
        </is>
      </c>
      <c r="E651" t="inlineStr">
        <is>
          <t>SUNDSVALL</t>
        </is>
      </c>
      <c r="F651" t="inlineStr">
        <is>
          <t>Naturvårdsverket</t>
        </is>
      </c>
      <c r="G651" t="n">
        <v>12.3</v>
      </c>
      <c r="H651" t="n">
        <v>0</v>
      </c>
      <c r="I651" t="n">
        <v>0</v>
      </c>
      <c r="J651" t="n">
        <v>0</v>
      </c>
      <c r="K651" t="n">
        <v>0</v>
      </c>
      <c r="L651" t="n">
        <v>0</v>
      </c>
      <c r="M651" t="n">
        <v>0</v>
      </c>
      <c r="N651" t="n">
        <v>0</v>
      </c>
      <c r="O651" t="n">
        <v>0</v>
      </c>
      <c r="P651" t="n">
        <v>0</v>
      </c>
      <c r="Q651" t="n">
        <v>0</v>
      </c>
      <c r="R651" s="2" t="inlineStr"/>
    </row>
    <row r="652" ht="15" customHeight="1">
      <c r="A652" t="inlineStr">
        <is>
          <t>A 1510-2026</t>
        </is>
      </c>
      <c r="B652" s="1" t="n">
        <v>46034.34427083333</v>
      </c>
      <c r="C652" s="1" t="n">
        <v>46181</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60149-2023</t>
        </is>
      </c>
      <c r="B653" s="1" t="n">
        <v>45258</v>
      </c>
      <c r="C653" s="1" t="n">
        <v>46181</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50627-2023</t>
        </is>
      </c>
      <c r="B654" s="1" t="n">
        <v>45210</v>
      </c>
      <c r="C654" s="1" t="n">
        <v>46181</v>
      </c>
      <c r="D654" t="inlineStr">
        <is>
          <t>VÄSTERNORRLANDS LÄN</t>
        </is>
      </c>
      <c r="E654" t="inlineStr">
        <is>
          <t>SUNDSVALL</t>
        </is>
      </c>
      <c r="G654" t="n">
        <v>2.4</v>
      </c>
      <c r="H654" t="n">
        <v>0</v>
      </c>
      <c r="I654" t="n">
        <v>0</v>
      </c>
      <c r="J654" t="n">
        <v>0</v>
      </c>
      <c r="K654" t="n">
        <v>0</v>
      </c>
      <c r="L654" t="n">
        <v>0</v>
      </c>
      <c r="M654" t="n">
        <v>0</v>
      </c>
      <c r="N654" t="n">
        <v>0</v>
      </c>
      <c r="O654" t="n">
        <v>0</v>
      </c>
      <c r="P654" t="n">
        <v>0</v>
      </c>
      <c r="Q654" t="n">
        <v>0</v>
      </c>
      <c r="R654" s="2" t="inlineStr"/>
    </row>
    <row r="655" ht="15" customHeight="1">
      <c r="A655" t="inlineStr">
        <is>
          <t>A 24028-2024</t>
        </is>
      </c>
      <c r="B655" s="1" t="n">
        <v>45456</v>
      </c>
      <c r="C655" s="1" t="n">
        <v>46181</v>
      </c>
      <c r="D655" t="inlineStr">
        <is>
          <t>VÄSTERNORRLANDS LÄN</t>
        </is>
      </c>
      <c r="E655" t="inlineStr">
        <is>
          <t>SUNDSVALL</t>
        </is>
      </c>
      <c r="G655" t="n">
        <v>1.7</v>
      </c>
      <c r="H655" t="n">
        <v>0</v>
      </c>
      <c r="I655" t="n">
        <v>0</v>
      </c>
      <c r="J655" t="n">
        <v>0</v>
      </c>
      <c r="K655" t="n">
        <v>0</v>
      </c>
      <c r="L655" t="n">
        <v>0</v>
      </c>
      <c r="M655" t="n">
        <v>0</v>
      </c>
      <c r="N655" t="n">
        <v>0</v>
      </c>
      <c r="O655" t="n">
        <v>0</v>
      </c>
      <c r="P655" t="n">
        <v>0</v>
      </c>
      <c r="Q655" t="n">
        <v>0</v>
      </c>
      <c r="R655" s="2" t="inlineStr"/>
    </row>
    <row r="656" ht="15" customHeight="1">
      <c r="A656" t="inlineStr">
        <is>
          <t>A 1188-2025</t>
        </is>
      </c>
      <c r="B656" s="1" t="n">
        <v>45667.37030092593</v>
      </c>
      <c r="C656" s="1" t="n">
        <v>46181</v>
      </c>
      <c r="D656" t="inlineStr">
        <is>
          <t>VÄSTERNORRLANDS LÄN</t>
        </is>
      </c>
      <c r="E656" t="inlineStr">
        <is>
          <t>SUNDSVALL</t>
        </is>
      </c>
      <c r="F656" t="inlineStr">
        <is>
          <t>Holmen skog AB</t>
        </is>
      </c>
      <c r="G656" t="n">
        <v>25.4</v>
      </c>
      <c r="H656" t="n">
        <v>0</v>
      </c>
      <c r="I656" t="n">
        <v>0</v>
      </c>
      <c r="J656" t="n">
        <v>0</v>
      </c>
      <c r="K656" t="n">
        <v>0</v>
      </c>
      <c r="L656" t="n">
        <v>0</v>
      </c>
      <c r="M656" t="n">
        <v>0</v>
      </c>
      <c r="N656" t="n">
        <v>0</v>
      </c>
      <c r="O656" t="n">
        <v>0</v>
      </c>
      <c r="P656" t="n">
        <v>0</v>
      </c>
      <c r="Q656" t="n">
        <v>0</v>
      </c>
      <c r="R656" s="2" t="inlineStr"/>
    </row>
    <row r="657" ht="15" customHeight="1">
      <c r="A657" t="inlineStr">
        <is>
          <t>A 41652-2024</t>
        </is>
      </c>
      <c r="B657" s="1" t="n">
        <v>45560.63778935185</v>
      </c>
      <c r="C657" s="1" t="n">
        <v>46181</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16975-2024</t>
        </is>
      </c>
      <c r="B658" s="1" t="n">
        <v>45411</v>
      </c>
      <c r="C658" s="1" t="n">
        <v>46181</v>
      </c>
      <c r="D658" t="inlineStr">
        <is>
          <t>VÄSTERNORRLANDS LÄN</t>
        </is>
      </c>
      <c r="E658" t="inlineStr">
        <is>
          <t>SUNDSVALL</t>
        </is>
      </c>
      <c r="G658" t="n">
        <v>8.1</v>
      </c>
      <c r="H658" t="n">
        <v>0</v>
      </c>
      <c r="I658" t="n">
        <v>0</v>
      </c>
      <c r="J658" t="n">
        <v>0</v>
      </c>
      <c r="K658" t="n">
        <v>0</v>
      </c>
      <c r="L658" t="n">
        <v>0</v>
      </c>
      <c r="M658" t="n">
        <v>0</v>
      </c>
      <c r="N658" t="n">
        <v>0</v>
      </c>
      <c r="O658" t="n">
        <v>0</v>
      </c>
      <c r="P658" t="n">
        <v>0</v>
      </c>
      <c r="Q658" t="n">
        <v>0</v>
      </c>
      <c r="R658" s="2" t="inlineStr"/>
    </row>
    <row r="659" ht="15" customHeight="1">
      <c r="A659" t="inlineStr">
        <is>
          <t>A 4583-2024</t>
        </is>
      </c>
      <c r="B659" s="1" t="n">
        <v>45327.92802083334</v>
      </c>
      <c r="C659" s="1" t="n">
        <v>46181</v>
      </c>
      <c r="D659" t="inlineStr">
        <is>
          <t>VÄSTERNORRLANDS LÄN</t>
        </is>
      </c>
      <c r="E659" t="inlineStr">
        <is>
          <t>SUNDSVALL</t>
        </is>
      </c>
      <c r="G659" t="n">
        <v>1</v>
      </c>
      <c r="H659" t="n">
        <v>0</v>
      </c>
      <c r="I659" t="n">
        <v>0</v>
      </c>
      <c r="J659" t="n">
        <v>0</v>
      </c>
      <c r="K659" t="n">
        <v>0</v>
      </c>
      <c r="L659" t="n">
        <v>0</v>
      </c>
      <c r="M659" t="n">
        <v>0</v>
      </c>
      <c r="N659" t="n">
        <v>0</v>
      </c>
      <c r="O659" t="n">
        <v>0</v>
      </c>
      <c r="P659" t="n">
        <v>0</v>
      </c>
      <c r="Q659" t="n">
        <v>0</v>
      </c>
      <c r="R659" s="2" t="inlineStr"/>
    </row>
    <row r="660" ht="15" customHeight="1">
      <c r="A660" t="inlineStr">
        <is>
          <t>A 5650-2022</t>
        </is>
      </c>
      <c r="B660" s="1" t="n">
        <v>44595</v>
      </c>
      <c r="C660" s="1" t="n">
        <v>46181</v>
      </c>
      <c r="D660" t="inlineStr">
        <is>
          <t>VÄSTERNORRLANDS LÄN</t>
        </is>
      </c>
      <c r="E660" t="inlineStr">
        <is>
          <t>SUNDSVALL</t>
        </is>
      </c>
      <c r="G660" t="n">
        <v>1.3</v>
      </c>
      <c r="H660" t="n">
        <v>0</v>
      </c>
      <c r="I660" t="n">
        <v>0</v>
      </c>
      <c r="J660" t="n">
        <v>0</v>
      </c>
      <c r="K660" t="n">
        <v>0</v>
      </c>
      <c r="L660" t="n">
        <v>0</v>
      </c>
      <c r="M660" t="n">
        <v>0</v>
      </c>
      <c r="N660" t="n">
        <v>0</v>
      </c>
      <c r="O660" t="n">
        <v>0</v>
      </c>
      <c r="P660" t="n">
        <v>0</v>
      </c>
      <c r="Q660" t="n">
        <v>0</v>
      </c>
      <c r="R660" s="2" t="inlineStr"/>
    </row>
    <row r="661" ht="15" customHeight="1">
      <c r="A661" t="inlineStr">
        <is>
          <t>A 28784-2024</t>
        </is>
      </c>
      <c r="B661" s="1" t="n">
        <v>45478.60880787037</v>
      </c>
      <c r="C661" s="1" t="n">
        <v>46181</v>
      </c>
      <c r="D661" t="inlineStr">
        <is>
          <t>VÄSTERNORRLANDS LÄN</t>
        </is>
      </c>
      <c r="E661" t="inlineStr">
        <is>
          <t>SUNDSVALL</t>
        </is>
      </c>
      <c r="G661" t="n">
        <v>2.7</v>
      </c>
      <c r="H661" t="n">
        <v>0</v>
      </c>
      <c r="I661" t="n">
        <v>0</v>
      </c>
      <c r="J661" t="n">
        <v>0</v>
      </c>
      <c r="K661" t="n">
        <v>0</v>
      </c>
      <c r="L661" t="n">
        <v>0</v>
      </c>
      <c r="M661" t="n">
        <v>0</v>
      </c>
      <c r="N661" t="n">
        <v>0</v>
      </c>
      <c r="O661" t="n">
        <v>0</v>
      </c>
      <c r="P661" t="n">
        <v>0</v>
      </c>
      <c r="Q661" t="n">
        <v>0</v>
      </c>
      <c r="R661" s="2" t="inlineStr"/>
    </row>
    <row r="662" ht="15" customHeight="1">
      <c r="A662" t="inlineStr">
        <is>
          <t>A 28785-2024</t>
        </is>
      </c>
      <c r="B662" s="1" t="n">
        <v>45478</v>
      </c>
      <c r="C662" s="1" t="n">
        <v>46181</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24291-2025</t>
        </is>
      </c>
      <c r="B663" s="1" t="n">
        <v>45797.46469907407</v>
      </c>
      <c r="C663" s="1" t="n">
        <v>46181</v>
      </c>
      <c r="D663" t="inlineStr">
        <is>
          <t>VÄSTERNORRLANDS LÄN</t>
        </is>
      </c>
      <c r="E663" t="inlineStr">
        <is>
          <t>SUNDSVALL</t>
        </is>
      </c>
      <c r="G663" t="n">
        <v>1.5</v>
      </c>
      <c r="H663" t="n">
        <v>0</v>
      </c>
      <c r="I663" t="n">
        <v>0</v>
      </c>
      <c r="J663" t="n">
        <v>0</v>
      </c>
      <c r="K663" t="n">
        <v>0</v>
      </c>
      <c r="L663" t="n">
        <v>0</v>
      </c>
      <c r="M663" t="n">
        <v>0</v>
      </c>
      <c r="N663" t="n">
        <v>0</v>
      </c>
      <c r="O663" t="n">
        <v>0</v>
      </c>
      <c r="P663" t="n">
        <v>0</v>
      </c>
      <c r="Q663" t="n">
        <v>0</v>
      </c>
      <c r="R663" s="2" t="inlineStr"/>
    </row>
    <row r="664" ht="15" customHeight="1">
      <c r="A664" t="inlineStr">
        <is>
          <t>A 18213-2025</t>
        </is>
      </c>
      <c r="B664" s="1" t="n">
        <v>45761.69885416667</v>
      </c>
      <c r="C664" s="1" t="n">
        <v>46181</v>
      </c>
      <c r="D664" t="inlineStr">
        <is>
          <t>VÄSTERNORRLANDS LÄN</t>
        </is>
      </c>
      <c r="E664" t="inlineStr">
        <is>
          <t>SUNDSVALL</t>
        </is>
      </c>
      <c r="G664" t="n">
        <v>4.4</v>
      </c>
      <c r="H664" t="n">
        <v>0</v>
      </c>
      <c r="I664" t="n">
        <v>0</v>
      </c>
      <c r="J664" t="n">
        <v>0</v>
      </c>
      <c r="K664" t="n">
        <v>0</v>
      </c>
      <c r="L664" t="n">
        <v>0</v>
      </c>
      <c r="M664" t="n">
        <v>0</v>
      </c>
      <c r="N664" t="n">
        <v>0</v>
      </c>
      <c r="O664" t="n">
        <v>0</v>
      </c>
      <c r="P664" t="n">
        <v>0</v>
      </c>
      <c r="Q664" t="n">
        <v>0</v>
      </c>
      <c r="R664" s="2" t="inlineStr"/>
    </row>
    <row r="665" ht="15" customHeight="1">
      <c r="A665" t="inlineStr">
        <is>
          <t>A 2245-2026</t>
        </is>
      </c>
      <c r="B665" s="1" t="n">
        <v>46036.54114583333</v>
      </c>
      <c r="C665" s="1" t="n">
        <v>46181</v>
      </c>
      <c r="D665" t="inlineStr">
        <is>
          <t>VÄSTERNORRLANDS LÄN</t>
        </is>
      </c>
      <c r="E665" t="inlineStr">
        <is>
          <t>SUNDSVALL</t>
        </is>
      </c>
      <c r="G665" t="n">
        <v>4.1</v>
      </c>
      <c r="H665" t="n">
        <v>0</v>
      </c>
      <c r="I665" t="n">
        <v>0</v>
      </c>
      <c r="J665" t="n">
        <v>0</v>
      </c>
      <c r="K665" t="n">
        <v>0</v>
      </c>
      <c r="L665" t="n">
        <v>0</v>
      </c>
      <c r="M665" t="n">
        <v>0</v>
      </c>
      <c r="N665" t="n">
        <v>0</v>
      </c>
      <c r="O665" t="n">
        <v>0</v>
      </c>
      <c r="P665" t="n">
        <v>0</v>
      </c>
      <c r="Q665" t="n">
        <v>0</v>
      </c>
      <c r="R665" s="2" t="inlineStr"/>
    </row>
    <row r="666" ht="15" customHeight="1">
      <c r="A666" t="inlineStr">
        <is>
          <t>A 2329-2026</t>
        </is>
      </c>
      <c r="B666" s="1" t="n">
        <v>46036.60694444444</v>
      </c>
      <c r="C666" s="1" t="n">
        <v>46181</v>
      </c>
      <c r="D666" t="inlineStr">
        <is>
          <t>VÄSTERNORRLANDS LÄN</t>
        </is>
      </c>
      <c r="E666" t="inlineStr">
        <is>
          <t>SUNDSVALL</t>
        </is>
      </c>
      <c r="G666" t="n">
        <v>4.3</v>
      </c>
      <c r="H666" t="n">
        <v>0</v>
      </c>
      <c r="I666" t="n">
        <v>0</v>
      </c>
      <c r="J666" t="n">
        <v>0</v>
      </c>
      <c r="K666" t="n">
        <v>0</v>
      </c>
      <c r="L666" t="n">
        <v>0</v>
      </c>
      <c r="M666" t="n">
        <v>0</v>
      </c>
      <c r="N666" t="n">
        <v>0</v>
      </c>
      <c r="O666" t="n">
        <v>0</v>
      </c>
      <c r="P666" t="n">
        <v>0</v>
      </c>
      <c r="Q666" t="n">
        <v>0</v>
      </c>
      <c r="R666" s="2" t="inlineStr"/>
    </row>
    <row r="667" ht="15" customHeight="1">
      <c r="A667" t="inlineStr">
        <is>
          <t>A 1815-2026</t>
        </is>
      </c>
      <c r="B667" s="1" t="n">
        <v>46035.34446759259</v>
      </c>
      <c r="C667" s="1" t="n">
        <v>46181</v>
      </c>
      <c r="D667" t="inlineStr">
        <is>
          <t>VÄSTERNORRLANDS LÄN</t>
        </is>
      </c>
      <c r="E667" t="inlineStr">
        <is>
          <t>SUNDSVALL</t>
        </is>
      </c>
      <c r="G667" t="n">
        <v>0.7</v>
      </c>
      <c r="H667" t="n">
        <v>0</v>
      </c>
      <c r="I667" t="n">
        <v>0</v>
      </c>
      <c r="J667" t="n">
        <v>0</v>
      </c>
      <c r="K667" t="n">
        <v>0</v>
      </c>
      <c r="L667" t="n">
        <v>0</v>
      </c>
      <c r="M667" t="n">
        <v>0</v>
      </c>
      <c r="N667" t="n">
        <v>0</v>
      </c>
      <c r="O667" t="n">
        <v>0</v>
      </c>
      <c r="P667" t="n">
        <v>0</v>
      </c>
      <c r="Q667" t="n">
        <v>0</v>
      </c>
      <c r="R667" s="2" t="inlineStr"/>
    </row>
    <row r="668" ht="15" customHeight="1">
      <c r="A668" t="inlineStr">
        <is>
          <t>A 9561-2024</t>
        </is>
      </c>
      <c r="B668" s="1" t="n">
        <v>45360</v>
      </c>
      <c r="C668" s="1" t="n">
        <v>46181</v>
      </c>
      <c r="D668" t="inlineStr">
        <is>
          <t>VÄSTERNORRLANDS LÄN</t>
        </is>
      </c>
      <c r="E668" t="inlineStr">
        <is>
          <t>SUNDSVALL</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54560-2022</t>
        </is>
      </c>
      <c r="B669" s="1" t="n">
        <v>44882</v>
      </c>
      <c r="C669" s="1" t="n">
        <v>46181</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2613-2026</t>
        </is>
      </c>
      <c r="B670" s="1" t="n">
        <v>46035</v>
      </c>
      <c r="C670" s="1" t="n">
        <v>46181</v>
      </c>
      <c r="D670" t="inlineStr">
        <is>
          <t>VÄSTERNORRLANDS LÄN</t>
        </is>
      </c>
      <c r="E670" t="inlineStr">
        <is>
          <t>SUNDSVALL</t>
        </is>
      </c>
      <c r="G670" t="n">
        <v>1.6</v>
      </c>
      <c r="H670" t="n">
        <v>0</v>
      </c>
      <c r="I670" t="n">
        <v>0</v>
      </c>
      <c r="J670" t="n">
        <v>0</v>
      </c>
      <c r="K670" t="n">
        <v>0</v>
      </c>
      <c r="L670" t="n">
        <v>0</v>
      </c>
      <c r="M670" t="n">
        <v>0</v>
      </c>
      <c r="N670" t="n">
        <v>0</v>
      </c>
      <c r="O670" t="n">
        <v>0</v>
      </c>
      <c r="P670" t="n">
        <v>0</v>
      </c>
      <c r="Q670" t="n">
        <v>0</v>
      </c>
      <c r="R670" s="2" t="inlineStr"/>
    </row>
    <row r="671" ht="15" customHeight="1">
      <c r="A671" t="inlineStr">
        <is>
          <t>A 15143-2024</t>
        </is>
      </c>
      <c r="B671" s="1" t="n">
        <v>45399.94331018518</v>
      </c>
      <c r="C671" s="1" t="n">
        <v>46181</v>
      </c>
      <c r="D671" t="inlineStr">
        <is>
          <t>VÄSTERNORRLANDS LÄN</t>
        </is>
      </c>
      <c r="E671" t="inlineStr">
        <is>
          <t>SUNDSVALL</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53949-2022</t>
        </is>
      </c>
      <c r="B672" s="1" t="n">
        <v>44880</v>
      </c>
      <c r="C672" s="1" t="n">
        <v>46181</v>
      </c>
      <c r="D672" t="inlineStr">
        <is>
          <t>VÄSTERNORRLANDS LÄN</t>
        </is>
      </c>
      <c r="E672" t="inlineStr">
        <is>
          <t>SUNDSVALL</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2183-2026</t>
        </is>
      </c>
      <c r="B673" s="1" t="n">
        <v>46036.46157407408</v>
      </c>
      <c r="C673" s="1" t="n">
        <v>46181</v>
      </c>
      <c r="D673" t="inlineStr">
        <is>
          <t>VÄSTERNORRLANDS LÄN</t>
        </is>
      </c>
      <c r="E673" t="inlineStr">
        <is>
          <t>SUNDSVALL</t>
        </is>
      </c>
      <c r="G673" t="n">
        <v>1.3</v>
      </c>
      <c r="H673" t="n">
        <v>0</v>
      </c>
      <c r="I673" t="n">
        <v>0</v>
      </c>
      <c r="J673" t="n">
        <v>0</v>
      </c>
      <c r="K673" t="n">
        <v>0</v>
      </c>
      <c r="L673" t="n">
        <v>0</v>
      </c>
      <c r="M673" t="n">
        <v>0</v>
      </c>
      <c r="N673" t="n">
        <v>0</v>
      </c>
      <c r="O673" t="n">
        <v>0</v>
      </c>
      <c r="P673" t="n">
        <v>0</v>
      </c>
      <c r="Q673" t="n">
        <v>0</v>
      </c>
      <c r="R673" s="2" t="inlineStr"/>
    </row>
    <row r="674" ht="15" customHeight="1">
      <c r="A674" t="inlineStr">
        <is>
          <t>A 24293-2025</t>
        </is>
      </c>
      <c r="B674" s="1" t="n">
        <v>45797.46899305555</v>
      </c>
      <c r="C674" s="1" t="n">
        <v>46181</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46970-2022</t>
        </is>
      </c>
      <c r="B675" s="1" t="n">
        <v>44851.95304398148</v>
      </c>
      <c r="C675" s="1" t="n">
        <v>46181</v>
      </c>
      <c r="D675" t="inlineStr">
        <is>
          <t>VÄSTERNORRLANDS LÄN</t>
        </is>
      </c>
      <c r="E675" t="inlineStr">
        <is>
          <t>SUNDSVALL</t>
        </is>
      </c>
      <c r="F675" t="inlineStr">
        <is>
          <t>SCA</t>
        </is>
      </c>
      <c r="G675" t="n">
        <v>7.4</v>
      </c>
      <c r="H675" t="n">
        <v>0</v>
      </c>
      <c r="I675" t="n">
        <v>0</v>
      </c>
      <c r="J675" t="n">
        <v>0</v>
      </c>
      <c r="K675" t="n">
        <v>0</v>
      </c>
      <c r="L675" t="n">
        <v>0</v>
      </c>
      <c r="M675" t="n">
        <v>0</v>
      </c>
      <c r="N675" t="n">
        <v>0</v>
      </c>
      <c r="O675" t="n">
        <v>0</v>
      </c>
      <c r="P675" t="n">
        <v>0</v>
      </c>
      <c r="Q675" t="n">
        <v>0</v>
      </c>
      <c r="R675" s="2" t="inlineStr"/>
    </row>
    <row r="676" ht="15" customHeight="1">
      <c r="A676" t="inlineStr">
        <is>
          <t>A 63665-2021</t>
        </is>
      </c>
      <c r="B676" s="1" t="n">
        <v>44508</v>
      </c>
      <c r="C676" s="1" t="n">
        <v>46181</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19334-2024</t>
        </is>
      </c>
      <c r="B677" s="1" t="n">
        <v>45428.97018518519</v>
      </c>
      <c r="C677" s="1" t="n">
        <v>46181</v>
      </c>
      <c r="D677" t="inlineStr">
        <is>
          <t>VÄSTERNORRLANDS LÄN</t>
        </is>
      </c>
      <c r="E677" t="inlineStr">
        <is>
          <t>SUNDSVALL</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64649-2021</t>
        </is>
      </c>
      <c r="B678" s="1" t="n">
        <v>44511.94659722222</v>
      </c>
      <c r="C678" s="1" t="n">
        <v>46181</v>
      </c>
      <c r="D678" t="inlineStr">
        <is>
          <t>VÄSTERNORRLANDS LÄN</t>
        </is>
      </c>
      <c r="E678" t="inlineStr">
        <is>
          <t>SUNDSVALL</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57163-2024</t>
        </is>
      </c>
      <c r="B679" s="1" t="n">
        <v>45629.41179398148</v>
      </c>
      <c r="C679" s="1" t="n">
        <v>46181</v>
      </c>
      <c r="D679" t="inlineStr">
        <is>
          <t>VÄSTERNORRLANDS LÄN</t>
        </is>
      </c>
      <c r="E679" t="inlineStr">
        <is>
          <t>SUNDSVALL</t>
        </is>
      </c>
      <c r="G679" t="n">
        <v>1</v>
      </c>
      <c r="H679" t="n">
        <v>0</v>
      </c>
      <c r="I679" t="n">
        <v>0</v>
      </c>
      <c r="J679" t="n">
        <v>0</v>
      </c>
      <c r="K679" t="n">
        <v>0</v>
      </c>
      <c r="L679" t="n">
        <v>0</v>
      </c>
      <c r="M679" t="n">
        <v>0</v>
      </c>
      <c r="N679" t="n">
        <v>0</v>
      </c>
      <c r="O679" t="n">
        <v>0</v>
      </c>
      <c r="P679" t="n">
        <v>0</v>
      </c>
      <c r="Q679" t="n">
        <v>0</v>
      </c>
      <c r="R679" s="2" t="inlineStr"/>
    </row>
    <row r="680" ht="15" customHeight="1">
      <c r="A680" t="inlineStr">
        <is>
          <t>A 19760-2025</t>
        </is>
      </c>
      <c r="B680" s="1" t="n">
        <v>45771.40658564815</v>
      </c>
      <c r="C680" s="1" t="n">
        <v>46181</v>
      </c>
      <c r="D680" t="inlineStr">
        <is>
          <t>VÄSTERNORRLANDS LÄN</t>
        </is>
      </c>
      <c r="E680" t="inlineStr">
        <is>
          <t>SUNDSVALL</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12986-2025</t>
        </is>
      </c>
      <c r="B681" s="1" t="n">
        <v>45734.46916666667</v>
      </c>
      <c r="C681" s="1" t="n">
        <v>46181</v>
      </c>
      <c r="D681" t="inlineStr">
        <is>
          <t>VÄSTERNORRLANDS LÄN</t>
        </is>
      </c>
      <c r="E681" t="inlineStr">
        <is>
          <t>SUNDSVALL</t>
        </is>
      </c>
      <c r="F681" t="inlineStr">
        <is>
          <t>SCA</t>
        </is>
      </c>
      <c r="G681" t="n">
        <v>29.3</v>
      </c>
      <c r="H681" t="n">
        <v>0</v>
      </c>
      <c r="I681" t="n">
        <v>0</v>
      </c>
      <c r="J681" t="n">
        <v>0</v>
      </c>
      <c r="K681" t="n">
        <v>0</v>
      </c>
      <c r="L681" t="n">
        <v>0</v>
      </c>
      <c r="M681" t="n">
        <v>0</v>
      </c>
      <c r="N681" t="n">
        <v>0</v>
      </c>
      <c r="O681" t="n">
        <v>0</v>
      </c>
      <c r="P681" t="n">
        <v>0</v>
      </c>
      <c r="Q681" t="n">
        <v>0</v>
      </c>
      <c r="R681" s="2" t="inlineStr"/>
    </row>
    <row r="682" ht="15" customHeight="1">
      <c r="A682" t="inlineStr">
        <is>
          <t>A 58720-2024</t>
        </is>
      </c>
      <c r="B682" s="1" t="n">
        <v>45635.66298611111</v>
      </c>
      <c r="C682" s="1" t="n">
        <v>46181</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25196-2025</t>
        </is>
      </c>
      <c r="B683" s="1" t="n">
        <v>45800.46025462963</v>
      </c>
      <c r="C683" s="1" t="n">
        <v>46181</v>
      </c>
      <c r="D683" t="inlineStr">
        <is>
          <t>VÄSTERNORRLANDS LÄN</t>
        </is>
      </c>
      <c r="E683" t="inlineStr">
        <is>
          <t>SUNDSVALL</t>
        </is>
      </c>
      <c r="G683" t="n">
        <v>3.8</v>
      </c>
      <c r="H683" t="n">
        <v>0</v>
      </c>
      <c r="I683" t="n">
        <v>0</v>
      </c>
      <c r="J683" t="n">
        <v>0</v>
      </c>
      <c r="K683" t="n">
        <v>0</v>
      </c>
      <c r="L683" t="n">
        <v>0</v>
      </c>
      <c r="M683" t="n">
        <v>0</v>
      </c>
      <c r="N683" t="n">
        <v>0</v>
      </c>
      <c r="O683" t="n">
        <v>0</v>
      </c>
      <c r="P683" t="n">
        <v>0</v>
      </c>
      <c r="Q683" t="n">
        <v>0</v>
      </c>
      <c r="R683" s="2" t="inlineStr"/>
    </row>
    <row r="684" ht="15" customHeight="1">
      <c r="A684" t="inlineStr">
        <is>
          <t>A 25258-2025</t>
        </is>
      </c>
      <c r="B684" s="1" t="n">
        <v>45800.51092592593</v>
      </c>
      <c r="C684" s="1" t="n">
        <v>46181</v>
      </c>
      <c r="D684" t="inlineStr">
        <is>
          <t>VÄSTERNORRLANDS LÄN</t>
        </is>
      </c>
      <c r="E684" t="inlineStr">
        <is>
          <t>SUNDSVALL</t>
        </is>
      </c>
      <c r="F684" t="inlineStr">
        <is>
          <t>Naturvårdsverket</t>
        </is>
      </c>
      <c r="G684" t="n">
        <v>3.8</v>
      </c>
      <c r="H684" t="n">
        <v>0</v>
      </c>
      <c r="I684" t="n">
        <v>0</v>
      </c>
      <c r="J684" t="n">
        <v>0</v>
      </c>
      <c r="K684" t="n">
        <v>0</v>
      </c>
      <c r="L684" t="n">
        <v>0</v>
      </c>
      <c r="M684" t="n">
        <v>0</v>
      </c>
      <c r="N684" t="n">
        <v>0</v>
      </c>
      <c r="O684" t="n">
        <v>0</v>
      </c>
      <c r="P684" t="n">
        <v>0</v>
      </c>
      <c r="Q684" t="n">
        <v>0</v>
      </c>
      <c r="R684" s="2" t="inlineStr"/>
    </row>
    <row r="685" ht="15" customHeight="1">
      <c r="A685" t="inlineStr">
        <is>
          <t>A 25351-2025</t>
        </is>
      </c>
      <c r="B685" s="1" t="n">
        <v>45800.61526620371</v>
      </c>
      <c r="C685" s="1" t="n">
        <v>46181</v>
      </c>
      <c r="D685" t="inlineStr">
        <is>
          <t>VÄSTERNORRLANDS LÄN</t>
        </is>
      </c>
      <c r="E685" t="inlineStr">
        <is>
          <t>SUNDSVALL</t>
        </is>
      </c>
      <c r="F685" t="inlineStr">
        <is>
          <t>Kyrkan</t>
        </is>
      </c>
      <c r="G685" t="n">
        <v>4.9</v>
      </c>
      <c r="H685" t="n">
        <v>0</v>
      </c>
      <c r="I685" t="n">
        <v>0</v>
      </c>
      <c r="J685" t="n">
        <v>0</v>
      </c>
      <c r="K685" t="n">
        <v>0</v>
      </c>
      <c r="L685" t="n">
        <v>0</v>
      </c>
      <c r="M685" t="n">
        <v>0</v>
      </c>
      <c r="N685" t="n">
        <v>0</v>
      </c>
      <c r="O685" t="n">
        <v>0</v>
      </c>
      <c r="P685" t="n">
        <v>0</v>
      </c>
      <c r="Q685" t="n">
        <v>0</v>
      </c>
      <c r="R685" s="2" t="inlineStr"/>
    </row>
    <row r="686" ht="15" customHeight="1">
      <c r="A686" t="inlineStr">
        <is>
          <t>A 2330-2022</t>
        </is>
      </c>
      <c r="B686" s="1" t="n">
        <v>44578</v>
      </c>
      <c r="C686" s="1" t="n">
        <v>46181</v>
      </c>
      <c r="D686" t="inlineStr">
        <is>
          <t>VÄSTERNORRLANDS LÄN</t>
        </is>
      </c>
      <c r="E686" t="inlineStr">
        <is>
          <t>SUNDSVALL</t>
        </is>
      </c>
      <c r="G686" t="n">
        <v>6</v>
      </c>
      <c r="H686" t="n">
        <v>0</v>
      </c>
      <c r="I686" t="n">
        <v>0</v>
      </c>
      <c r="J686" t="n">
        <v>0</v>
      </c>
      <c r="K686" t="n">
        <v>0</v>
      </c>
      <c r="L686" t="n">
        <v>0</v>
      </c>
      <c r="M686" t="n">
        <v>0</v>
      </c>
      <c r="N686" t="n">
        <v>0</v>
      </c>
      <c r="O686" t="n">
        <v>0</v>
      </c>
      <c r="P686" t="n">
        <v>0</v>
      </c>
      <c r="Q686" t="n">
        <v>0</v>
      </c>
      <c r="R686" s="2" t="inlineStr"/>
    </row>
    <row r="687" ht="15" customHeight="1">
      <c r="A687" t="inlineStr">
        <is>
          <t>A 2548-2026</t>
        </is>
      </c>
      <c r="B687" s="1" t="n">
        <v>46037.46987268519</v>
      </c>
      <c r="C687" s="1" t="n">
        <v>46181</v>
      </c>
      <c r="D687" t="inlineStr">
        <is>
          <t>VÄSTERNORRLANDS LÄN</t>
        </is>
      </c>
      <c r="E687" t="inlineStr">
        <is>
          <t>SUNDSVALL</t>
        </is>
      </c>
      <c r="G687" t="n">
        <v>3.4</v>
      </c>
      <c r="H687" t="n">
        <v>0</v>
      </c>
      <c r="I687" t="n">
        <v>0</v>
      </c>
      <c r="J687" t="n">
        <v>0</v>
      </c>
      <c r="K687" t="n">
        <v>0</v>
      </c>
      <c r="L687" t="n">
        <v>0</v>
      </c>
      <c r="M687" t="n">
        <v>0</v>
      </c>
      <c r="N687" t="n">
        <v>0</v>
      </c>
      <c r="O687" t="n">
        <v>0</v>
      </c>
      <c r="P687" t="n">
        <v>0</v>
      </c>
      <c r="Q687" t="n">
        <v>0</v>
      </c>
      <c r="R687" s="2" t="inlineStr"/>
    </row>
    <row r="688" ht="15" customHeight="1">
      <c r="A688" t="inlineStr">
        <is>
          <t>A 2990-2026</t>
        </is>
      </c>
      <c r="B688" s="1" t="n">
        <v>46038.63623842593</v>
      </c>
      <c r="C688" s="1" t="n">
        <v>46181</v>
      </c>
      <c r="D688" t="inlineStr">
        <is>
          <t>VÄSTERNORRLANDS LÄN</t>
        </is>
      </c>
      <c r="E688" t="inlineStr">
        <is>
          <t>SUNDSVALL</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6228-2023</t>
        </is>
      </c>
      <c r="B689" s="1" t="n">
        <v>44964</v>
      </c>
      <c r="C689" s="1" t="n">
        <v>46181</v>
      </c>
      <c r="D689" t="inlineStr">
        <is>
          <t>VÄSTERNORRLANDS LÄN</t>
        </is>
      </c>
      <c r="E689" t="inlineStr">
        <is>
          <t>SUNDSVALL</t>
        </is>
      </c>
      <c r="G689" t="n">
        <v>6.5</v>
      </c>
      <c r="H689" t="n">
        <v>0</v>
      </c>
      <c r="I689" t="n">
        <v>0</v>
      </c>
      <c r="J689" t="n">
        <v>0</v>
      </c>
      <c r="K689" t="n">
        <v>0</v>
      </c>
      <c r="L689" t="n">
        <v>0</v>
      </c>
      <c r="M689" t="n">
        <v>0</v>
      </c>
      <c r="N689" t="n">
        <v>0</v>
      </c>
      <c r="O689" t="n">
        <v>0</v>
      </c>
      <c r="P689" t="n">
        <v>0</v>
      </c>
      <c r="Q689" t="n">
        <v>0</v>
      </c>
      <c r="R689" s="2" t="inlineStr"/>
    </row>
    <row r="690" ht="15" customHeight="1">
      <c r="A690" t="inlineStr">
        <is>
          <t>A 2475-2026</t>
        </is>
      </c>
      <c r="B690" s="1" t="n">
        <v>46037.37815972222</v>
      </c>
      <c r="C690" s="1" t="n">
        <v>46181</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25154-2025</t>
        </is>
      </c>
      <c r="B691" s="1" t="n">
        <v>45800.42770833334</v>
      </c>
      <c r="C691" s="1" t="n">
        <v>46181</v>
      </c>
      <c r="D691" t="inlineStr">
        <is>
          <t>VÄSTERNORRLANDS LÄN</t>
        </is>
      </c>
      <c r="E691" t="inlineStr">
        <is>
          <t>SUNDSVALL</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8794-2025</t>
        </is>
      </c>
      <c r="B692" s="1" t="n">
        <v>45712.64390046296</v>
      </c>
      <c r="C692" s="1" t="n">
        <v>46181</v>
      </c>
      <c r="D692" t="inlineStr">
        <is>
          <t>VÄSTERNORRLANDS LÄN</t>
        </is>
      </c>
      <c r="E692" t="inlineStr">
        <is>
          <t>SUNDSVALL</t>
        </is>
      </c>
      <c r="G692" t="n">
        <v>16.6</v>
      </c>
      <c r="H692" t="n">
        <v>0</v>
      </c>
      <c r="I692" t="n">
        <v>0</v>
      </c>
      <c r="J692" t="n">
        <v>0</v>
      </c>
      <c r="K692" t="n">
        <v>0</v>
      </c>
      <c r="L692" t="n">
        <v>0</v>
      </c>
      <c r="M692" t="n">
        <v>0</v>
      </c>
      <c r="N692" t="n">
        <v>0</v>
      </c>
      <c r="O692" t="n">
        <v>0</v>
      </c>
      <c r="P692" t="n">
        <v>0</v>
      </c>
      <c r="Q692" t="n">
        <v>0</v>
      </c>
      <c r="R692" s="2" t="inlineStr"/>
    </row>
    <row r="693" ht="15" customHeight="1">
      <c r="A693" t="inlineStr">
        <is>
          <t>A 27009-2022</t>
        </is>
      </c>
      <c r="B693" s="1" t="n">
        <v>44740</v>
      </c>
      <c r="C693" s="1" t="n">
        <v>46181</v>
      </c>
      <c r="D693" t="inlineStr">
        <is>
          <t>VÄSTERNORRLANDS LÄN</t>
        </is>
      </c>
      <c r="E693" t="inlineStr">
        <is>
          <t>SUNDSVALL</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2576-2026</t>
        </is>
      </c>
      <c r="B694" s="1" t="n">
        <v>46037.51560185185</v>
      </c>
      <c r="C694" s="1" t="n">
        <v>46181</v>
      </c>
      <c r="D694" t="inlineStr">
        <is>
          <t>VÄSTERNORRLANDS LÄN</t>
        </is>
      </c>
      <c r="E694" t="inlineStr">
        <is>
          <t>SUNDSVALL</t>
        </is>
      </c>
      <c r="G694" t="n">
        <v>2.8</v>
      </c>
      <c r="H694" t="n">
        <v>0</v>
      </c>
      <c r="I694" t="n">
        <v>0</v>
      </c>
      <c r="J694" t="n">
        <v>0</v>
      </c>
      <c r="K694" t="n">
        <v>0</v>
      </c>
      <c r="L694" t="n">
        <v>0</v>
      </c>
      <c r="M694" t="n">
        <v>0</v>
      </c>
      <c r="N694" t="n">
        <v>0</v>
      </c>
      <c r="O694" t="n">
        <v>0</v>
      </c>
      <c r="P694" t="n">
        <v>0</v>
      </c>
      <c r="Q694" t="n">
        <v>0</v>
      </c>
      <c r="R694" s="2" t="inlineStr"/>
    </row>
    <row r="695" ht="15" customHeight="1">
      <c r="A695" t="inlineStr">
        <is>
          <t>A 2586-2026</t>
        </is>
      </c>
      <c r="B695" s="1" t="n">
        <v>46037.54326388889</v>
      </c>
      <c r="C695" s="1" t="n">
        <v>46181</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25329-2025</t>
        </is>
      </c>
      <c r="B696" s="1" t="n">
        <v>45800.58971064815</v>
      </c>
      <c r="C696" s="1" t="n">
        <v>46181</v>
      </c>
      <c r="D696" t="inlineStr">
        <is>
          <t>VÄSTERNORRLANDS LÄN</t>
        </is>
      </c>
      <c r="E696" t="inlineStr">
        <is>
          <t>SUNDSVALL</t>
        </is>
      </c>
      <c r="G696" t="n">
        <v>0.6</v>
      </c>
      <c r="H696" t="n">
        <v>0</v>
      </c>
      <c r="I696" t="n">
        <v>0</v>
      </c>
      <c r="J696" t="n">
        <v>0</v>
      </c>
      <c r="K696" t="n">
        <v>0</v>
      </c>
      <c r="L696" t="n">
        <v>0</v>
      </c>
      <c r="M696" t="n">
        <v>0</v>
      </c>
      <c r="N696" t="n">
        <v>0</v>
      </c>
      <c r="O696" t="n">
        <v>0</v>
      </c>
      <c r="P696" t="n">
        <v>0</v>
      </c>
      <c r="Q696" t="n">
        <v>0</v>
      </c>
      <c r="R696" s="2" t="inlineStr"/>
    </row>
    <row r="697" ht="15" customHeight="1">
      <c r="A697" t="inlineStr">
        <is>
          <t>A 25722-2025</t>
        </is>
      </c>
      <c r="B697" s="1" t="n">
        <v>45800</v>
      </c>
      <c r="C697" s="1" t="n">
        <v>46181</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41753-2024</t>
        </is>
      </c>
      <c r="B698" s="1" t="n">
        <v>45561.34413194445</v>
      </c>
      <c r="C698" s="1" t="n">
        <v>46181</v>
      </c>
      <c r="D698" t="inlineStr">
        <is>
          <t>VÄSTERNORRLANDS LÄN</t>
        </is>
      </c>
      <c r="E698" t="inlineStr">
        <is>
          <t>SUNDSVALL</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54799-2024</t>
        </is>
      </c>
      <c r="B699" s="1" t="n">
        <v>45618.50144675926</v>
      </c>
      <c r="C699" s="1" t="n">
        <v>46181</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54801-2024</t>
        </is>
      </c>
      <c r="B700" s="1" t="n">
        <v>45618.50481481481</v>
      </c>
      <c r="C700" s="1" t="n">
        <v>46181</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20975-2022</t>
        </is>
      </c>
      <c r="B701" s="1" t="n">
        <v>44701</v>
      </c>
      <c r="C701" s="1" t="n">
        <v>46181</v>
      </c>
      <c r="D701" t="inlineStr">
        <is>
          <t>VÄSTERNORRLANDS LÄN</t>
        </is>
      </c>
      <c r="E701" t="inlineStr">
        <is>
          <t>SUNDSVALL</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39488-2025</t>
        </is>
      </c>
      <c r="B702" s="1" t="n">
        <v>45890.36520833334</v>
      </c>
      <c r="C702" s="1" t="n">
        <v>46181</v>
      </c>
      <c r="D702" t="inlineStr">
        <is>
          <t>VÄSTERNORRLANDS LÄN</t>
        </is>
      </c>
      <c r="E702" t="inlineStr">
        <is>
          <t>SUNDSVALL</t>
        </is>
      </c>
      <c r="F702" t="inlineStr">
        <is>
          <t>SCA</t>
        </is>
      </c>
      <c r="G702" t="n">
        <v>9</v>
      </c>
      <c r="H702" t="n">
        <v>0</v>
      </c>
      <c r="I702" t="n">
        <v>0</v>
      </c>
      <c r="J702" t="n">
        <v>0</v>
      </c>
      <c r="K702" t="n">
        <v>0</v>
      </c>
      <c r="L702" t="n">
        <v>0</v>
      </c>
      <c r="M702" t="n">
        <v>0</v>
      </c>
      <c r="N702" t="n">
        <v>0</v>
      </c>
      <c r="O702" t="n">
        <v>0</v>
      </c>
      <c r="P702" t="n">
        <v>0</v>
      </c>
      <c r="Q702" t="n">
        <v>0</v>
      </c>
      <c r="R702" s="2" t="inlineStr"/>
    </row>
    <row r="703" ht="15" customHeight="1">
      <c r="A703" t="inlineStr">
        <is>
          <t>A 39415-2025</t>
        </is>
      </c>
      <c r="B703" s="1" t="n">
        <v>45889.65715277778</v>
      </c>
      <c r="C703" s="1" t="n">
        <v>46181</v>
      </c>
      <c r="D703" t="inlineStr">
        <is>
          <t>VÄSTERNORRLANDS LÄN</t>
        </is>
      </c>
      <c r="E703" t="inlineStr">
        <is>
          <t>SUNDSVALL</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52651-2021</t>
        </is>
      </c>
      <c r="B704" s="1" t="n">
        <v>44466.65153935185</v>
      </c>
      <c r="C704" s="1" t="n">
        <v>46181</v>
      </c>
      <c r="D704" t="inlineStr">
        <is>
          <t>VÄSTERNORRLANDS LÄN</t>
        </is>
      </c>
      <c r="E704" t="inlineStr">
        <is>
          <t>SUNDSVALL</t>
        </is>
      </c>
      <c r="G704" t="n">
        <v>3</v>
      </c>
      <c r="H704" t="n">
        <v>0</v>
      </c>
      <c r="I704" t="n">
        <v>0</v>
      </c>
      <c r="J704" t="n">
        <v>0</v>
      </c>
      <c r="K704" t="n">
        <v>0</v>
      </c>
      <c r="L704" t="n">
        <v>0</v>
      </c>
      <c r="M704" t="n">
        <v>0</v>
      </c>
      <c r="N704" t="n">
        <v>0</v>
      </c>
      <c r="O704" t="n">
        <v>0</v>
      </c>
      <c r="P704" t="n">
        <v>0</v>
      </c>
      <c r="Q704" t="n">
        <v>0</v>
      </c>
      <c r="R704" s="2" t="inlineStr"/>
    </row>
    <row r="705" ht="15" customHeight="1">
      <c r="A705" t="inlineStr">
        <is>
          <t>A 25586-2025</t>
        </is>
      </c>
      <c r="B705" s="1" t="n">
        <v>45803</v>
      </c>
      <c r="C705" s="1" t="n">
        <v>46181</v>
      </c>
      <c r="D705" t="inlineStr">
        <is>
          <t>VÄSTERNORRLANDS LÄN</t>
        </is>
      </c>
      <c r="E705" t="inlineStr">
        <is>
          <t>SUNDSVALL</t>
        </is>
      </c>
      <c r="G705" t="n">
        <v>3.5</v>
      </c>
      <c r="H705" t="n">
        <v>0</v>
      </c>
      <c r="I705" t="n">
        <v>0</v>
      </c>
      <c r="J705" t="n">
        <v>0</v>
      </c>
      <c r="K705" t="n">
        <v>0</v>
      </c>
      <c r="L705" t="n">
        <v>0</v>
      </c>
      <c r="M705" t="n">
        <v>0</v>
      </c>
      <c r="N705" t="n">
        <v>0</v>
      </c>
      <c r="O705" t="n">
        <v>0</v>
      </c>
      <c r="P705" t="n">
        <v>0</v>
      </c>
      <c r="Q705" t="n">
        <v>0</v>
      </c>
      <c r="R705" s="2" t="inlineStr"/>
    </row>
    <row r="706" ht="15" customHeight="1">
      <c r="A706" t="inlineStr">
        <is>
          <t>A 23284-2023</t>
        </is>
      </c>
      <c r="B706" s="1" t="n">
        <v>45075</v>
      </c>
      <c r="C706" s="1" t="n">
        <v>46181</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2467-2026</t>
        </is>
      </c>
      <c r="B707" s="1" t="n">
        <v>46037.36523148148</v>
      </c>
      <c r="C707" s="1" t="n">
        <v>46181</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39417-2025</t>
        </is>
      </c>
      <c r="B708" s="1" t="n">
        <v>45889.65730324074</v>
      </c>
      <c r="C708" s="1" t="n">
        <v>46181</v>
      </c>
      <c r="D708" t="inlineStr">
        <is>
          <t>VÄSTERNORRLANDS LÄN</t>
        </is>
      </c>
      <c r="E708" t="inlineStr">
        <is>
          <t>SUNDSVALL</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35818-2023</t>
        </is>
      </c>
      <c r="B709" s="1" t="n">
        <v>45147</v>
      </c>
      <c r="C709" s="1" t="n">
        <v>46181</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39620-2025</t>
        </is>
      </c>
      <c r="B710" s="1" t="n">
        <v>45890.57363425926</v>
      </c>
      <c r="C710" s="1" t="n">
        <v>46181</v>
      </c>
      <c r="D710" t="inlineStr">
        <is>
          <t>VÄSTERNORRLANDS LÄN</t>
        </is>
      </c>
      <c r="E710" t="inlineStr">
        <is>
          <t>SUNDSVALL</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39489-2025</t>
        </is>
      </c>
      <c r="B711" s="1" t="n">
        <v>45890.36534722222</v>
      </c>
      <c r="C711" s="1" t="n">
        <v>46181</v>
      </c>
      <c r="D711" t="inlineStr">
        <is>
          <t>VÄSTERNORRLANDS LÄN</t>
        </is>
      </c>
      <c r="E711" t="inlineStr">
        <is>
          <t>SUNDSVALL</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34118-2022</t>
        </is>
      </c>
      <c r="B712" s="1" t="n">
        <v>44791</v>
      </c>
      <c r="C712" s="1" t="n">
        <v>46181</v>
      </c>
      <c r="D712" t="inlineStr">
        <is>
          <t>VÄSTERNORRLANDS LÄN</t>
        </is>
      </c>
      <c r="E712" t="inlineStr">
        <is>
          <t>SUNDSVALL</t>
        </is>
      </c>
      <c r="G712" t="n">
        <v>5</v>
      </c>
      <c r="H712" t="n">
        <v>0</v>
      </c>
      <c r="I712" t="n">
        <v>0</v>
      </c>
      <c r="J712" t="n">
        <v>0</v>
      </c>
      <c r="K712" t="n">
        <v>0</v>
      </c>
      <c r="L712" t="n">
        <v>0</v>
      </c>
      <c r="M712" t="n">
        <v>0</v>
      </c>
      <c r="N712" t="n">
        <v>0</v>
      </c>
      <c r="O712" t="n">
        <v>0</v>
      </c>
      <c r="P712" t="n">
        <v>0</v>
      </c>
      <c r="Q712" t="n">
        <v>0</v>
      </c>
      <c r="R712" s="2" t="inlineStr"/>
    </row>
    <row r="713" ht="15" customHeight="1">
      <c r="A713" t="inlineStr">
        <is>
          <t>A 48931-2022</t>
        </is>
      </c>
      <c r="B713" s="1" t="n">
        <v>44859</v>
      </c>
      <c r="C713" s="1" t="n">
        <v>46181</v>
      </c>
      <c r="D713" t="inlineStr">
        <is>
          <t>VÄSTERNORRLANDS LÄN</t>
        </is>
      </c>
      <c r="E713" t="inlineStr">
        <is>
          <t>SUNDSVALL</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30307-2023</t>
        </is>
      </c>
      <c r="B714" s="1" t="n">
        <v>45110.94157407407</v>
      </c>
      <c r="C714" s="1" t="n">
        <v>46181</v>
      </c>
      <c r="D714" t="inlineStr">
        <is>
          <t>VÄSTERNORRLANDS LÄN</t>
        </is>
      </c>
      <c r="E714" t="inlineStr">
        <is>
          <t>SUNDSVALL</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56647-2024</t>
        </is>
      </c>
      <c r="B715" s="1" t="n">
        <v>45625.76469907408</v>
      </c>
      <c r="C715" s="1" t="n">
        <v>46181</v>
      </c>
      <c r="D715" t="inlineStr">
        <is>
          <t>VÄSTERNORRLANDS LÄN</t>
        </is>
      </c>
      <c r="E715" t="inlineStr">
        <is>
          <t>SUNDSVALL</t>
        </is>
      </c>
      <c r="G715" t="n">
        <v>5.3</v>
      </c>
      <c r="H715" t="n">
        <v>0</v>
      </c>
      <c r="I715" t="n">
        <v>0</v>
      </c>
      <c r="J715" t="n">
        <v>0</v>
      </c>
      <c r="K715" t="n">
        <v>0</v>
      </c>
      <c r="L715" t="n">
        <v>0</v>
      </c>
      <c r="M715" t="n">
        <v>0</v>
      </c>
      <c r="N715" t="n">
        <v>0</v>
      </c>
      <c r="O715" t="n">
        <v>0</v>
      </c>
      <c r="P715" t="n">
        <v>0</v>
      </c>
      <c r="Q715" t="n">
        <v>0</v>
      </c>
      <c r="R715" s="2" t="inlineStr"/>
    </row>
    <row r="716" ht="15" customHeight="1">
      <c r="A716" t="inlineStr">
        <is>
          <t>A 26012-2025</t>
        </is>
      </c>
      <c r="B716" s="1" t="n">
        <v>45804.67744212963</v>
      </c>
      <c r="C716" s="1" t="n">
        <v>46181</v>
      </c>
      <c r="D716" t="inlineStr">
        <is>
          <t>VÄSTERNORRLANDS LÄN</t>
        </is>
      </c>
      <c r="E716" t="inlineStr">
        <is>
          <t>SUNDSVALL</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55568-2024</t>
        </is>
      </c>
      <c r="B717" s="1" t="n">
        <v>45622.54879629629</v>
      </c>
      <c r="C717" s="1" t="n">
        <v>46181</v>
      </c>
      <c r="D717" t="inlineStr">
        <is>
          <t>VÄSTERNORRLANDS LÄN</t>
        </is>
      </c>
      <c r="E717" t="inlineStr">
        <is>
          <t>SUNDSVALL</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39758-2025</t>
        </is>
      </c>
      <c r="B718" s="1" t="n">
        <v>45891.43140046296</v>
      </c>
      <c r="C718" s="1" t="n">
        <v>46181</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39771-2025</t>
        </is>
      </c>
      <c r="B719" s="1" t="n">
        <v>45891.45181712963</v>
      </c>
      <c r="C719" s="1" t="n">
        <v>46181</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40178-2025</t>
        </is>
      </c>
      <c r="B720" s="1" t="n">
        <v>45894.6366087963</v>
      </c>
      <c r="C720" s="1" t="n">
        <v>46181</v>
      </c>
      <c r="D720" t="inlineStr">
        <is>
          <t>VÄSTERNORRLANDS LÄN</t>
        </is>
      </c>
      <c r="E720" t="inlineStr">
        <is>
          <t>SUNDSVALL</t>
        </is>
      </c>
      <c r="F720" t="inlineStr">
        <is>
          <t>Naturvårdsverket</t>
        </is>
      </c>
      <c r="G720" t="n">
        <v>4.6</v>
      </c>
      <c r="H720" t="n">
        <v>0</v>
      </c>
      <c r="I720" t="n">
        <v>0</v>
      </c>
      <c r="J720" t="n">
        <v>0</v>
      </c>
      <c r="K720" t="n">
        <v>0</v>
      </c>
      <c r="L720" t="n">
        <v>0</v>
      </c>
      <c r="M720" t="n">
        <v>0</v>
      </c>
      <c r="N720" t="n">
        <v>0</v>
      </c>
      <c r="O720" t="n">
        <v>0</v>
      </c>
      <c r="P720" t="n">
        <v>0</v>
      </c>
      <c r="Q720" t="n">
        <v>0</v>
      </c>
      <c r="R720" s="2" t="inlineStr"/>
    </row>
    <row r="721" ht="15" customHeight="1">
      <c r="A721" t="inlineStr">
        <is>
          <t>A 6239-2022</t>
        </is>
      </c>
      <c r="B721" s="1" t="n">
        <v>44599</v>
      </c>
      <c r="C721" s="1" t="n">
        <v>46181</v>
      </c>
      <c r="D721" t="inlineStr">
        <is>
          <t>VÄSTERNORRLANDS LÄN</t>
        </is>
      </c>
      <c r="E721" t="inlineStr">
        <is>
          <t>SUNDSVALL</t>
        </is>
      </c>
      <c r="G721" t="n">
        <v>1.9</v>
      </c>
      <c r="H721" t="n">
        <v>0</v>
      </c>
      <c r="I721" t="n">
        <v>0</v>
      </c>
      <c r="J721" t="n">
        <v>0</v>
      </c>
      <c r="K721" t="n">
        <v>0</v>
      </c>
      <c r="L721" t="n">
        <v>0</v>
      </c>
      <c r="M721" t="n">
        <v>0</v>
      </c>
      <c r="N721" t="n">
        <v>0</v>
      </c>
      <c r="O721" t="n">
        <v>0</v>
      </c>
      <c r="P721" t="n">
        <v>0</v>
      </c>
      <c r="Q721" t="n">
        <v>0</v>
      </c>
      <c r="R721" s="2" t="inlineStr"/>
    </row>
    <row r="722" ht="15" customHeight="1">
      <c r="A722" t="inlineStr">
        <is>
          <t>A 39915-2025</t>
        </is>
      </c>
      <c r="B722" s="1" t="n">
        <v>45891.65678240741</v>
      </c>
      <c r="C722" s="1" t="n">
        <v>46181</v>
      </c>
      <c r="D722" t="inlineStr">
        <is>
          <t>VÄSTERNORRLANDS LÄN</t>
        </is>
      </c>
      <c r="E722" t="inlineStr">
        <is>
          <t>SUNDSVALL</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21997-2023</t>
        </is>
      </c>
      <c r="B723" s="1" t="n">
        <v>45068</v>
      </c>
      <c r="C723" s="1" t="n">
        <v>46181</v>
      </c>
      <c r="D723" t="inlineStr">
        <is>
          <t>VÄSTERNORRLANDS LÄN</t>
        </is>
      </c>
      <c r="E723" t="inlineStr">
        <is>
          <t>SUNDSVALL</t>
        </is>
      </c>
      <c r="G723" t="n">
        <v>4.1</v>
      </c>
      <c r="H723" t="n">
        <v>0</v>
      </c>
      <c r="I723" t="n">
        <v>0</v>
      </c>
      <c r="J723" t="n">
        <v>0</v>
      </c>
      <c r="K723" t="n">
        <v>0</v>
      </c>
      <c r="L723" t="n">
        <v>0</v>
      </c>
      <c r="M723" t="n">
        <v>0</v>
      </c>
      <c r="N723" t="n">
        <v>0</v>
      </c>
      <c r="O723" t="n">
        <v>0</v>
      </c>
      <c r="P723" t="n">
        <v>0</v>
      </c>
      <c r="Q723" t="n">
        <v>0</v>
      </c>
      <c r="R723" s="2" t="inlineStr"/>
    </row>
    <row r="724" ht="15" customHeight="1">
      <c r="A724" t="inlineStr">
        <is>
          <t>A 3236-2024</t>
        </is>
      </c>
      <c r="B724" s="1" t="n">
        <v>45316.94725694445</v>
      </c>
      <c r="C724" s="1" t="n">
        <v>46181</v>
      </c>
      <c r="D724" t="inlineStr">
        <is>
          <t>VÄSTERNORRLANDS LÄN</t>
        </is>
      </c>
      <c r="E724" t="inlineStr">
        <is>
          <t>SUNDSVALL</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39914-2025</t>
        </is>
      </c>
      <c r="B725" s="1" t="n">
        <v>45891.65660879629</v>
      </c>
      <c r="C725" s="1" t="n">
        <v>46181</v>
      </c>
      <c r="D725" t="inlineStr">
        <is>
          <t>VÄSTERNORRLANDS LÄN</t>
        </is>
      </c>
      <c r="E725" t="inlineStr">
        <is>
          <t>SUNDSVALL</t>
        </is>
      </c>
      <c r="F725" t="inlineStr">
        <is>
          <t>SCA</t>
        </is>
      </c>
      <c r="G725" t="n">
        <v>5.1</v>
      </c>
      <c r="H725" t="n">
        <v>0</v>
      </c>
      <c r="I725" t="n">
        <v>0</v>
      </c>
      <c r="J725" t="n">
        <v>0</v>
      </c>
      <c r="K725" t="n">
        <v>0</v>
      </c>
      <c r="L725" t="n">
        <v>0</v>
      </c>
      <c r="M725" t="n">
        <v>0</v>
      </c>
      <c r="N725" t="n">
        <v>0</v>
      </c>
      <c r="O725" t="n">
        <v>0</v>
      </c>
      <c r="P725" t="n">
        <v>0</v>
      </c>
      <c r="Q725" t="n">
        <v>0</v>
      </c>
      <c r="R725" s="2" t="inlineStr"/>
    </row>
    <row r="726" ht="15" customHeight="1">
      <c r="A726" t="inlineStr">
        <is>
          <t>A 40061-2025</t>
        </is>
      </c>
      <c r="B726" s="1" t="n">
        <v>45894.42767361111</v>
      </c>
      <c r="C726" s="1" t="n">
        <v>46181</v>
      </c>
      <c r="D726" t="inlineStr">
        <is>
          <t>VÄSTERNORRLANDS LÄN</t>
        </is>
      </c>
      <c r="E726" t="inlineStr">
        <is>
          <t>SUNDSVALL</t>
        </is>
      </c>
      <c r="F726" t="inlineStr">
        <is>
          <t>Naturvårdsverket</t>
        </is>
      </c>
      <c r="G726" t="n">
        <v>7.5</v>
      </c>
      <c r="H726" t="n">
        <v>0</v>
      </c>
      <c r="I726" t="n">
        <v>0</v>
      </c>
      <c r="J726" t="n">
        <v>0</v>
      </c>
      <c r="K726" t="n">
        <v>0</v>
      </c>
      <c r="L726" t="n">
        <v>0</v>
      </c>
      <c r="M726" t="n">
        <v>0</v>
      </c>
      <c r="N726" t="n">
        <v>0</v>
      </c>
      <c r="O726" t="n">
        <v>0</v>
      </c>
      <c r="P726" t="n">
        <v>0</v>
      </c>
      <c r="Q726" t="n">
        <v>0</v>
      </c>
      <c r="R726" s="2" t="inlineStr"/>
    </row>
    <row r="727" ht="15" customHeight="1">
      <c r="A727" t="inlineStr">
        <is>
          <t>A 25869-2025</t>
        </is>
      </c>
      <c r="B727" s="1" t="n">
        <v>45804.48995370371</v>
      </c>
      <c r="C727" s="1" t="n">
        <v>46181</v>
      </c>
      <c r="D727" t="inlineStr">
        <is>
          <t>VÄSTERNORRLANDS LÄN</t>
        </is>
      </c>
      <c r="E727" t="inlineStr">
        <is>
          <t>SUNDSVALL</t>
        </is>
      </c>
      <c r="F727" t="inlineStr">
        <is>
          <t>SCA</t>
        </is>
      </c>
      <c r="G727" t="n">
        <v>5.4</v>
      </c>
      <c r="H727" t="n">
        <v>0</v>
      </c>
      <c r="I727" t="n">
        <v>0</v>
      </c>
      <c r="J727" t="n">
        <v>0</v>
      </c>
      <c r="K727" t="n">
        <v>0</v>
      </c>
      <c r="L727" t="n">
        <v>0</v>
      </c>
      <c r="M727" t="n">
        <v>0</v>
      </c>
      <c r="N727" t="n">
        <v>0</v>
      </c>
      <c r="O727" t="n">
        <v>0</v>
      </c>
      <c r="P727" t="n">
        <v>0</v>
      </c>
      <c r="Q727" t="n">
        <v>0</v>
      </c>
      <c r="R727" s="2" t="inlineStr"/>
    </row>
    <row r="728" ht="15" customHeight="1">
      <c r="A728" t="inlineStr">
        <is>
          <t>A 39775-2025</t>
        </is>
      </c>
      <c r="B728" s="1" t="n">
        <v>45891.46113425926</v>
      </c>
      <c r="C728" s="1" t="n">
        <v>46181</v>
      </c>
      <c r="D728" t="inlineStr">
        <is>
          <t>VÄSTERNORRLANDS LÄN</t>
        </is>
      </c>
      <c r="E728" t="inlineStr">
        <is>
          <t>SUNDSVALL</t>
        </is>
      </c>
      <c r="G728" t="n">
        <v>1</v>
      </c>
      <c r="H728" t="n">
        <v>0</v>
      </c>
      <c r="I728" t="n">
        <v>0</v>
      </c>
      <c r="J728" t="n">
        <v>0</v>
      </c>
      <c r="K728" t="n">
        <v>0</v>
      </c>
      <c r="L728" t="n">
        <v>0</v>
      </c>
      <c r="M728" t="n">
        <v>0</v>
      </c>
      <c r="N728" t="n">
        <v>0</v>
      </c>
      <c r="O728" t="n">
        <v>0</v>
      </c>
      <c r="P728" t="n">
        <v>0</v>
      </c>
      <c r="Q728" t="n">
        <v>0</v>
      </c>
      <c r="R728" s="2" t="inlineStr"/>
    </row>
    <row r="729" ht="15" customHeight="1">
      <c r="A729" t="inlineStr">
        <is>
          <t>A 39765-2025</t>
        </is>
      </c>
      <c r="B729" s="1" t="n">
        <v>45891.44422453704</v>
      </c>
      <c r="C729" s="1" t="n">
        <v>46181</v>
      </c>
      <c r="D729" t="inlineStr">
        <is>
          <t>VÄSTERNORRLANDS LÄN</t>
        </is>
      </c>
      <c r="E729" t="inlineStr">
        <is>
          <t>SUNDSVALL</t>
        </is>
      </c>
      <c r="G729" t="n">
        <v>2.7</v>
      </c>
      <c r="H729" t="n">
        <v>0</v>
      </c>
      <c r="I729" t="n">
        <v>0</v>
      </c>
      <c r="J729" t="n">
        <v>0</v>
      </c>
      <c r="K729" t="n">
        <v>0</v>
      </c>
      <c r="L729" t="n">
        <v>0</v>
      </c>
      <c r="M729" t="n">
        <v>0</v>
      </c>
      <c r="N729" t="n">
        <v>0</v>
      </c>
      <c r="O729" t="n">
        <v>0</v>
      </c>
      <c r="P729" t="n">
        <v>0</v>
      </c>
      <c r="Q729" t="n">
        <v>0</v>
      </c>
      <c r="R729" s="2" t="inlineStr"/>
    </row>
    <row r="730" ht="15" customHeight="1">
      <c r="A730" t="inlineStr">
        <is>
          <t>A 39756-2025</t>
        </is>
      </c>
      <c r="B730" s="1" t="n">
        <v>45891.42266203704</v>
      </c>
      <c r="C730" s="1" t="n">
        <v>46181</v>
      </c>
      <c r="D730" t="inlineStr">
        <is>
          <t>VÄSTERNORRLANDS LÄN</t>
        </is>
      </c>
      <c r="E730" t="inlineStr">
        <is>
          <t>SUNDSVALL</t>
        </is>
      </c>
      <c r="G730" t="n">
        <v>6.1</v>
      </c>
      <c r="H730" t="n">
        <v>0</v>
      </c>
      <c r="I730" t="n">
        <v>0</v>
      </c>
      <c r="J730" t="n">
        <v>0</v>
      </c>
      <c r="K730" t="n">
        <v>0</v>
      </c>
      <c r="L730" t="n">
        <v>0</v>
      </c>
      <c r="M730" t="n">
        <v>0</v>
      </c>
      <c r="N730" t="n">
        <v>0</v>
      </c>
      <c r="O730" t="n">
        <v>0</v>
      </c>
      <c r="P730" t="n">
        <v>0</v>
      </c>
      <c r="Q730" t="n">
        <v>0</v>
      </c>
      <c r="R730" s="2" t="inlineStr"/>
    </row>
    <row r="731" ht="15" customHeight="1">
      <c r="A731" t="inlineStr">
        <is>
          <t>A 39757-2025</t>
        </is>
      </c>
      <c r="B731" s="1" t="n">
        <v>45891.42677083334</v>
      </c>
      <c r="C731" s="1" t="n">
        <v>46181</v>
      </c>
      <c r="D731" t="inlineStr">
        <is>
          <t>VÄSTERNORRLANDS LÄN</t>
        </is>
      </c>
      <c r="E731" t="inlineStr">
        <is>
          <t>SUNDSVALL</t>
        </is>
      </c>
      <c r="G731" t="n">
        <v>4.3</v>
      </c>
      <c r="H731" t="n">
        <v>0</v>
      </c>
      <c r="I731" t="n">
        <v>0</v>
      </c>
      <c r="J731" t="n">
        <v>0</v>
      </c>
      <c r="K731" t="n">
        <v>0</v>
      </c>
      <c r="L731" t="n">
        <v>0</v>
      </c>
      <c r="M731" t="n">
        <v>0</v>
      </c>
      <c r="N731" t="n">
        <v>0</v>
      </c>
      <c r="O731" t="n">
        <v>0</v>
      </c>
      <c r="P731" t="n">
        <v>0</v>
      </c>
      <c r="Q731" t="n">
        <v>0</v>
      </c>
      <c r="R731" s="2" t="inlineStr"/>
    </row>
    <row r="732" ht="15" customHeight="1">
      <c r="A732" t="inlineStr">
        <is>
          <t>A 39761-2025</t>
        </is>
      </c>
      <c r="B732" s="1" t="n">
        <v>45891.43866898148</v>
      </c>
      <c r="C732" s="1" t="n">
        <v>46181</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47157-2023</t>
        </is>
      </c>
      <c r="B733" s="1" t="n">
        <v>45201</v>
      </c>
      <c r="C733" s="1" t="n">
        <v>46181</v>
      </c>
      <c r="D733" t="inlineStr">
        <is>
          <t>VÄSTERNORRLANDS LÄN</t>
        </is>
      </c>
      <c r="E733" t="inlineStr">
        <is>
          <t>SUNDSVALL</t>
        </is>
      </c>
      <c r="G733" t="n">
        <v>3.9</v>
      </c>
      <c r="H733" t="n">
        <v>0</v>
      </c>
      <c r="I733" t="n">
        <v>0</v>
      </c>
      <c r="J733" t="n">
        <v>0</v>
      </c>
      <c r="K733" t="n">
        <v>0</v>
      </c>
      <c r="L733" t="n">
        <v>0</v>
      </c>
      <c r="M733" t="n">
        <v>0</v>
      </c>
      <c r="N733" t="n">
        <v>0</v>
      </c>
      <c r="O733" t="n">
        <v>0</v>
      </c>
      <c r="P733" t="n">
        <v>0</v>
      </c>
      <c r="Q733" t="n">
        <v>0</v>
      </c>
      <c r="R733" s="2" t="inlineStr"/>
    </row>
    <row r="734" ht="15" customHeight="1">
      <c r="A734" t="inlineStr">
        <is>
          <t>A 39760-2025</t>
        </is>
      </c>
      <c r="B734" s="1" t="n">
        <v>45891.43445601852</v>
      </c>
      <c r="C734" s="1" t="n">
        <v>46181</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39763-2025</t>
        </is>
      </c>
      <c r="B735" s="1" t="n">
        <v>45891.44114583333</v>
      </c>
      <c r="C735" s="1" t="n">
        <v>46181</v>
      </c>
      <c r="D735" t="inlineStr">
        <is>
          <t>VÄSTERNORRLANDS LÄN</t>
        </is>
      </c>
      <c r="E735" t="inlineStr">
        <is>
          <t>SUNDSVALL</t>
        </is>
      </c>
      <c r="G735" t="n">
        <v>0.4</v>
      </c>
      <c r="H735" t="n">
        <v>0</v>
      </c>
      <c r="I735" t="n">
        <v>0</v>
      </c>
      <c r="J735" t="n">
        <v>0</v>
      </c>
      <c r="K735" t="n">
        <v>0</v>
      </c>
      <c r="L735" t="n">
        <v>0</v>
      </c>
      <c r="M735" t="n">
        <v>0</v>
      </c>
      <c r="N735" t="n">
        <v>0</v>
      </c>
      <c r="O735" t="n">
        <v>0</v>
      </c>
      <c r="P735" t="n">
        <v>0</v>
      </c>
      <c r="Q735" t="n">
        <v>0</v>
      </c>
      <c r="R735" s="2" t="inlineStr"/>
    </row>
    <row r="736" ht="15" customHeight="1">
      <c r="A736" t="inlineStr">
        <is>
          <t>A 47897-2022</t>
        </is>
      </c>
      <c r="B736" s="1" t="n">
        <v>44855</v>
      </c>
      <c r="C736" s="1" t="n">
        <v>46181</v>
      </c>
      <c r="D736" t="inlineStr">
        <is>
          <t>VÄSTERNORRLANDS LÄN</t>
        </is>
      </c>
      <c r="E736" t="inlineStr">
        <is>
          <t>SUNDSVALL</t>
        </is>
      </c>
      <c r="G736" t="n">
        <v>4.6</v>
      </c>
      <c r="H736" t="n">
        <v>0</v>
      </c>
      <c r="I736" t="n">
        <v>0</v>
      </c>
      <c r="J736" t="n">
        <v>0</v>
      </c>
      <c r="K736" t="n">
        <v>0</v>
      </c>
      <c r="L736" t="n">
        <v>0</v>
      </c>
      <c r="M736" t="n">
        <v>0</v>
      </c>
      <c r="N736" t="n">
        <v>0</v>
      </c>
      <c r="O736" t="n">
        <v>0</v>
      </c>
      <c r="P736" t="n">
        <v>0</v>
      </c>
      <c r="Q736" t="n">
        <v>0</v>
      </c>
      <c r="R736" s="2" t="inlineStr"/>
    </row>
    <row r="737" ht="15" customHeight="1">
      <c r="A737" t="inlineStr">
        <is>
          <t>A 8945-2024</t>
        </is>
      </c>
      <c r="B737" s="1" t="n">
        <v>45357</v>
      </c>
      <c r="C737" s="1" t="n">
        <v>46181</v>
      </c>
      <c r="D737" t="inlineStr">
        <is>
          <t>VÄSTERNORRLANDS LÄN</t>
        </is>
      </c>
      <c r="E737" t="inlineStr">
        <is>
          <t>SUNDSVALL</t>
        </is>
      </c>
      <c r="G737" t="n">
        <v>2.9</v>
      </c>
      <c r="H737" t="n">
        <v>0</v>
      </c>
      <c r="I737" t="n">
        <v>0</v>
      </c>
      <c r="J737" t="n">
        <v>0</v>
      </c>
      <c r="K737" t="n">
        <v>0</v>
      </c>
      <c r="L737" t="n">
        <v>0</v>
      </c>
      <c r="M737" t="n">
        <v>0</v>
      </c>
      <c r="N737" t="n">
        <v>0</v>
      </c>
      <c r="O737" t="n">
        <v>0</v>
      </c>
      <c r="P737" t="n">
        <v>0</v>
      </c>
      <c r="Q737" t="n">
        <v>0</v>
      </c>
      <c r="R737" s="2" t="inlineStr"/>
    </row>
    <row r="738" ht="15" customHeight="1">
      <c r="A738" t="inlineStr">
        <is>
          <t>A 25873-2025</t>
        </is>
      </c>
      <c r="B738" s="1" t="n">
        <v>45804.49041666667</v>
      </c>
      <c r="C738" s="1" t="n">
        <v>46181</v>
      </c>
      <c r="D738" t="inlineStr">
        <is>
          <t>VÄSTERNORRLANDS LÄN</t>
        </is>
      </c>
      <c r="E738" t="inlineStr">
        <is>
          <t>SUNDSVALL</t>
        </is>
      </c>
      <c r="F738" t="inlineStr">
        <is>
          <t>Naturvårdsverket</t>
        </is>
      </c>
      <c r="G738" t="n">
        <v>1.3</v>
      </c>
      <c r="H738" t="n">
        <v>0</v>
      </c>
      <c r="I738" t="n">
        <v>0</v>
      </c>
      <c r="J738" t="n">
        <v>0</v>
      </c>
      <c r="K738" t="n">
        <v>0</v>
      </c>
      <c r="L738" t="n">
        <v>0</v>
      </c>
      <c r="M738" t="n">
        <v>0</v>
      </c>
      <c r="N738" t="n">
        <v>0</v>
      </c>
      <c r="O738" t="n">
        <v>0</v>
      </c>
      <c r="P738" t="n">
        <v>0</v>
      </c>
      <c r="Q738" t="n">
        <v>0</v>
      </c>
      <c r="R738" s="2" t="inlineStr"/>
    </row>
    <row r="739" ht="15" customHeight="1">
      <c r="A739" t="inlineStr">
        <is>
          <t>A 40566-2025</t>
        </is>
      </c>
      <c r="B739" s="1" t="n">
        <v>45896.46934027778</v>
      </c>
      <c r="C739" s="1" t="n">
        <v>46181</v>
      </c>
      <c r="D739" t="inlineStr">
        <is>
          <t>VÄSTERNORRLANDS LÄN</t>
        </is>
      </c>
      <c r="E739" t="inlineStr">
        <is>
          <t>SUNDSVALL</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40465-2025</t>
        </is>
      </c>
      <c r="B740" s="1" t="n">
        <v>45895.65664351852</v>
      </c>
      <c r="C740" s="1" t="n">
        <v>46181</v>
      </c>
      <c r="D740" t="inlineStr">
        <is>
          <t>VÄSTERNORRLANDS LÄN</t>
        </is>
      </c>
      <c r="E740" t="inlineStr">
        <is>
          <t>SUNDSVALL</t>
        </is>
      </c>
      <c r="F740" t="inlineStr">
        <is>
          <t>Naturvårdsverket</t>
        </is>
      </c>
      <c r="G740" t="n">
        <v>3.3</v>
      </c>
      <c r="H740" t="n">
        <v>0</v>
      </c>
      <c r="I740" t="n">
        <v>0</v>
      </c>
      <c r="J740" t="n">
        <v>0</v>
      </c>
      <c r="K740" t="n">
        <v>0</v>
      </c>
      <c r="L740" t="n">
        <v>0</v>
      </c>
      <c r="M740" t="n">
        <v>0</v>
      </c>
      <c r="N740" t="n">
        <v>0</v>
      </c>
      <c r="O740" t="n">
        <v>0</v>
      </c>
      <c r="P740" t="n">
        <v>0</v>
      </c>
      <c r="Q740" t="n">
        <v>0</v>
      </c>
      <c r="R740" s="2" t="inlineStr"/>
    </row>
    <row r="741" ht="15" customHeight="1">
      <c r="A741" t="inlineStr">
        <is>
          <t>A 40565-2025</t>
        </is>
      </c>
      <c r="B741" s="1" t="n">
        <v>45896.46916666667</v>
      </c>
      <c r="C741" s="1" t="n">
        <v>46181</v>
      </c>
      <c r="D741" t="inlineStr">
        <is>
          <t>VÄSTERNORRLANDS LÄN</t>
        </is>
      </c>
      <c r="E741" t="inlineStr">
        <is>
          <t>SUNDSVALL</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57077-2024</t>
        </is>
      </c>
      <c r="B742" s="1" t="n">
        <v>45629.35503472222</v>
      </c>
      <c r="C742" s="1" t="n">
        <v>46181</v>
      </c>
      <c r="D742" t="inlineStr">
        <is>
          <t>VÄSTERNORRLANDS LÄN</t>
        </is>
      </c>
      <c r="E742" t="inlineStr">
        <is>
          <t>SUNDSVALL</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25834-2025</t>
        </is>
      </c>
      <c r="B743" s="1" t="n">
        <v>45804.44841435185</v>
      </c>
      <c r="C743" s="1" t="n">
        <v>46181</v>
      </c>
      <c r="D743" t="inlineStr">
        <is>
          <t>VÄSTERNORRLANDS LÄN</t>
        </is>
      </c>
      <c r="E743" t="inlineStr">
        <is>
          <t>SUNDSVALL</t>
        </is>
      </c>
      <c r="F743" t="inlineStr">
        <is>
          <t>Naturvårdsverket</t>
        </is>
      </c>
      <c r="G743" t="n">
        <v>1.8</v>
      </c>
      <c r="H743" t="n">
        <v>0</v>
      </c>
      <c r="I743" t="n">
        <v>0</v>
      </c>
      <c r="J743" t="n">
        <v>0</v>
      </c>
      <c r="K743" t="n">
        <v>0</v>
      </c>
      <c r="L743" t="n">
        <v>0</v>
      </c>
      <c r="M743" t="n">
        <v>0</v>
      </c>
      <c r="N743" t="n">
        <v>0</v>
      </c>
      <c r="O743" t="n">
        <v>0</v>
      </c>
      <c r="P743" t="n">
        <v>0</v>
      </c>
      <c r="Q743" t="n">
        <v>0</v>
      </c>
      <c r="R743" s="2" t="inlineStr"/>
    </row>
    <row r="744" ht="15" customHeight="1">
      <c r="A744" t="inlineStr">
        <is>
          <t>A 40451-2025</t>
        </is>
      </c>
      <c r="B744" s="1" t="n">
        <v>45895.6360300926</v>
      </c>
      <c r="C744" s="1" t="n">
        <v>46181</v>
      </c>
      <c r="D744" t="inlineStr">
        <is>
          <t>VÄSTERNORRLANDS LÄN</t>
        </is>
      </c>
      <c r="E744" t="inlineStr">
        <is>
          <t>SUNDSVALL</t>
        </is>
      </c>
      <c r="F744" t="inlineStr">
        <is>
          <t>Naturvårdsverket</t>
        </is>
      </c>
      <c r="G744" t="n">
        <v>2</v>
      </c>
      <c r="H744" t="n">
        <v>0</v>
      </c>
      <c r="I744" t="n">
        <v>0</v>
      </c>
      <c r="J744" t="n">
        <v>0</v>
      </c>
      <c r="K744" t="n">
        <v>0</v>
      </c>
      <c r="L744" t="n">
        <v>0</v>
      </c>
      <c r="M744" t="n">
        <v>0</v>
      </c>
      <c r="N744" t="n">
        <v>0</v>
      </c>
      <c r="O744" t="n">
        <v>0</v>
      </c>
      <c r="P744" t="n">
        <v>0</v>
      </c>
      <c r="Q744" t="n">
        <v>0</v>
      </c>
      <c r="R744" s="2" t="inlineStr"/>
    </row>
    <row r="745" ht="15" customHeight="1">
      <c r="A745" t="inlineStr">
        <is>
          <t>A 26317-2025</t>
        </is>
      </c>
      <c r="B745" s="1" t="n">
        <v>45805.65710648148</v>
      </c>
      <c r="C745" s="1" t="n">
        <v>46181</v>
      </c>
      <c r="D745" t="inlineStr">
        <is>
          <t>VÄSTERNORRLANDS LÄN</t>
        </is>
      </c>
      <c r="E745" t="inlineStr">
        <is>
          <t>SUNDSVALL</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40655-2025</t>
        </is>
      </c>
      <c r="B746" s="1" t="n">
        <v>45896.63645833333</v>
      </c>
      <c r="C746" s="1" t="n">
        <v>46181</v>
      </c>
      <c r="D746" t="inlineStr">
        <is>
          <t>VÄSTERNORRLANDS LÄN</t>
        </is>
      </c>
      <c r="E746" t="inlineStr">
        <is>
          <t>SUNDSVALL</t>
        </is>
      </c>
      <c r="F746" t="inlineStr">
        <is>
          <t>Naturvårdsverket</t>
        </is>
      </c>
      <c r="G746" t="n">
        <v>2.5</v>
      </c>
      <c r="H746" t="n">
        <v>0</v>
      </c>
      <c r="I746" t="n">
        <v>0</v>
      </c>
      <c r="J746" t="n">
        <v>0</v>
      </c>
      <c r="K746" t="n">
        <v>0</v>
      </c>
      <c r="L746" t="n">
        <v>0</v>
      </c>
      <c r="M746" t="n">
        <v>0</v>
      </c>
      <c r="N746" t="n">
        <v>0</v>
      </c>
      <c r="O746" t="n">
        <v>0</v>
      </c>
      <c r="P746" t="n">
        <v>0</v>
      </c>
      <c r="Q746" t="n">
        <v>0</v>
      </c>
      <c r="R746" s="2" t="inlineStr"/>
    </row>
    <row r="747" ht="15" customHeight="1">
      <c r="A747" t="inlineStr">
        <is>
          <t>A 40957-2025</t>
        </is>
      </c>
      <c r="B747" s="1" t="n">
        <v>45897.67841435185</v>
      </c>
      <c r="C747" s="1" t="n">
        <v>46181</v>
      </c>
      <c r="D747" t="inlineStr">
        <is>
          <t>VÄSTERNORRLANDS LÄN</t>
        </is>
      </c>
      <c r="E747" t="inlineStr">
        <is>
          <t>SUNDSVALL</t>
        </is>
      </c>
      <c r="F747" t="inlineStr">
        <is>
          <t>Naturvårdsverket</t>
        </is>
      </c>
      <c r="G747" t="n">
        <v>8.5</v>
      </c>
      <c r="H747" t="n">
        <v>0</v>
      </c>
      <c r="I747" t="n">
        <v>0</v>
      </c>
      <c r="J747" t="n">
        <v>0</v>
      </c>
      <c r="K747" t="n">
        <v>0</v>
      </c>
      <c r="L747" t="n">
        <v>0</v>
      </c>
      <c r="M747" t="n">
        <v>0</v>
      </c>
      <c r="N747" t="n">
        <v>0</v>
      </c>
      <c r="O747" t="n">
        <v>0</v>
      </c>
      <c r="P747" t="n">
        <v>0</v>
      </c>
      <c r="Q747" t="n">
        <v>0</v>
      </c>
      <c r="R747" s="2" t="inlineStr"/>
    </row>
    <row r="748" ht="15" customHeight="1">
      <c r="A748" t="inlineStr">
        <is>
          <t>A 40999-2025</t>
        </is>
      </c>
      <c r="B748" s="1" t="n">
        <v>45898.34481481482</v>
      </c>
      <c r="C748" s="1" t="n">
        <v>46181</v>
      </c>
      <c r="D748" t="inlineStr">
        <is>
          <t>VÄSTERNORRLANDS LÄN</t>
        </is>
      </c>
      <c r="E748" t="inlineStr">
        <is>
          <t>SUNDSVALL</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41014-2025</t>
        </is>
      </c>
      <c r="B749" s="1" t="n">
        <v>45898.35866898148</v>
      </c>
      <c r="C749" s="1" t="n">
        <v>46181</v>
      </c>
      <c r="D749" t="inlineStr">
        <is>
          <t>VÄSTERNORRLANDS LÄN</t>
        </is>
      </c>
      <c r="E749" t="inlineStr">
        <is>
          <t>SUNDSVALL</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40811-2025</t>
        </is>
      </c>
      <c r="B750" s="1" t="n">
        <v>45897</v>
      </c>
      <c r="C750" s="1" t="n">
        <v>46181</v>
      </c>
      <c r="D750" t="inlineStr">
        <is>
          <t>VÄSTERNORRLANDS LÄN</t>
        </is>
      </c>
      <c r="E750" t="inlineStr">
        <is>
          <t>SUNDSVALL</t>
        </is>
      </c>
      <c r="F750" t="inlineStr">
        <is>
          <t>SCA</t>
        </is>
      </c>
      <c r="G750" t="n">
        <v>9.1</v>
      </c>
      <c r="H750" t="n">
        <v>0</v>
      </c>
      <c r="I750" t="n">
        <v>0</v>
      </c>
      <c r="J750" t="n">
        <v>0</v>
      </c>
      <c r="K750" t="n">
        <v>0</v>
      </c>
      <c r="L750" t="n">
        <v>0</v>
      </c>
      <c r="M750" t="n">
        <v>0</v>
      </c>
      <c r="N750" t="n">
        <v>0</v>
      </c>
      <c r="O750" t="n">
        <v>0</v>
      </c>
      <c r="P750" t="n">
        <v>0</v>
      </c>
      <c r="Q750" t="n">
        <v>0</v>
      </c>
      <c r="R750" s="2" t="inlineStr"/>
    </row>
    <row r="751" ht="15" customHeight="1">
      <c r="A751" t="inlineStr">
        <is>
          <t>A 26313-2025</t>
        </is>
      </c>
      <c r="B751" s="1" t="n">
        <v>45805.65674768519</v>
      </c>
      <c r="C751" s="1" t="n">
        <v>46181</v>
      </c>
      <c r="D751" t="inlineStr">
        <is>
          <t>VÄSTERNORRLANDS LÄN</t>
        </is>
      </c>
      <c r="E751" t="inlineStr">
        <is>
          <t>SUNDSVALL</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2880-2025</t>
        </is>
      </c>
      <c r="B752" s="1" t="n">
        <v>45677</v>
      </c>
      <c r="C752" s="1" t="n">
        <v>46181</v>
      </c>
      <c r="D752" t="inlineStr">
        <is>
          <t>VÄSTERNORRLANDS LÄN</t>
        </is>
      </c>
      <c r="E752" t="inlineStr">
        <is>
          <t>SUNDSVALL</t>
        </is>
      </c>
      <c r="F752" t="inlineStr">
        <is>
          <t>SCA</t>
        </is>
      </c>
      <c r="G752" t="n">
        <v>4.4</v>
      </c>
      <c r="H752" t="n">
        <v>0</v>
      </c>
      <c r="I752" t="n">
        <v>0</v>
      </c>
      <c r="J752" t="n">
        <v>0</v>
      </c>
      <c r="K752" t="n">
        <v>0</v>
      </c>
      <c r="L752" t="n">
        <v>0</v>
      </c>
      <c r="M752" t="n">
        <v>0</v>
      </c>
      <c r="N752" t="n">
        <v>0</v>
      </c>
      <c r="O752" t="n">
        <v>0</v>
      </c>
      <c r="P752" t="n">
        <v>0</v>
      </c>
      <c r="Q752" t="n">
        <v>0</v>
      </c>
      <c r="R752" s="2" t="inlineStr"/>
    </row>
    <row r="753" ht="15" customHeight="1">
      <c r="A753" t="inlineStr">
        <is>
          <t>A 40719-2025</t>
        </is>
      </c>
      <c r="B753" s="1" t="n">
        <v>45897.34493055556</v>
      </c>
      <c r="C753" s="1" t="n">
        <v>46181</v>
      </c>
      <c r="D753" t="inlineStr">
        <is>
          <t>VÄSTERNORRLANDS LÄN</t>
        </is>
      </c>
      <c r="E753" t="inlineStr">
        <is>
          <t>SUNDSVALL</t>
        </is>
      </c>
      <c r="G753" t="n">
        <v>0.2</v>
      </c>
      <c r="H753" t="n">
        <v>0</v>
      </c>
      <c r="I753" t="n">
        <v>0</v>
      </c>
      <c r="J753" t="n">
        <v>0</v>
      </c>
      <c r="K753" t="n">
        <v>0</v>
      </c>
      <c r="L753" t="n">
        <v>0</v>
      </c>
      <c r="M753" t="n">
        <v>0</v>
      </c>
      <c r="N753" t="n">
        <v>0</v>
      </c>
      <c r="O753" t="n">
        <v>0</v>
      </c>
      <c r="P753" t="n">
        <v>0</v>
      </c>
      <c r="Q753" t="n">
        <v>0</v>
      </c>
      <c r="R753" s="2" t="inlineStr"/>
    </row>
    <row r="754" ht="15" customHeight="1">
      <c r="A754" t="inlineStr">
        <is>
          <t>A 40722-2025</t>
        </is>
      </c>
      <c r="B754" s="1" t="n">
        <v>45897.345</v>
      </c>
      <c r="C754" s="1" t="n">
        <v>46181</v>
      </c>
      <c r="D754" t="inlineStr">
        <is>
          <t>VÄSTERNORRLANDS LÄN</t>
        </is>
      </c>
      <c r="E754" t="inlineStr">
        <is>
          <t>SUNDSVALL</t>
        </is>
      </c>
      <c r="G754" t="n">
        <v>0.7</v>
      </c>
      <c r="H754" t="n">
        <v>0</v>
      </c>
      <c r="I754" t="n">
        <v>0</v>
      </c>
      <c r="J754" t="n">
        <v>0</v>
      </c>
      <c r="K754" t="n">
        <v>0</v>
      </c>
      <c r="L754" t="n">
        <v>0</v>
      </c>
      <c r="M754" t="n">
        <v>0</v>
      </c>
      <c r="N754" t="n">
        <v>0</v>
      </c>
      <c r="O754" t="n">
        <v>0</v>
      </c>
      <c r="P754" t="n">
        <v>0</v>
      </c>
      <c r="Q754" t="n">
        <v>0</v>
      </c>
      <c r="R754" s="2" t="inlineStr"/>
    </row>
    <row r="755" ht="15" customHeight="1">
      <c r="A755" t="inlineStr">
        <is>
          <t>A 2959-2025</t>
        </is>
      </c>
      <c r="B755" s="1" t="n">
        <v>45678.44880787037</v>
      </c>
      <c r="C755" s="1" t="n">
        <v>46181</v>
      </c>
      <c r="D755" t="inlineStr">
        <is>
          <t>VÄSTERNORRLANDS LÄN</t>
        </is>
      </c>
      <c r="E755" t="inlineStr">
        <is>
          <t>SUNDSVALL</t>
        </is>
      </c>
      <c r="F755" t="inlineStr">
        <is>
          <t>SCA</t>
        </is>
      </c>
      <c r="G755" t="n">
        <v>21.5</v>
      </c>
      <c r="H755" t="n">
        <v>0</v>
      </c>
      <c r="I755" t="n">
        <v>0</v>
      </c>
      <c r="J755" t="n">
        <v>0</v>
      </c>
      <c r="K755" t="n">
        <v>0</v>
      </c>
      <c r="L755" t="n">
        <v>0</v>
      </c>
      <c r="M755" t="n">
        <v>0</v>
      </c>
      <c r="N755" t="n">
        <v>0</v>
      </c>
      <c r="O755" t="n">
        <v>0</v>
      </c>
      <c r="P755" t="n">
        <v>0</v>
      </c>
      <c r="Q755" t="n">
        <v>0</v>
      </c>
      <c r="R755" s="2" t="inlineStr"/>
    </row>
    <row r="756" ht="15" customHeight="1">
      <c r="A756" t="inlineStr">
        <is>
          <t>A 26337-2025</t>
        </is>
      </c>
      <c r="B756" s="1" t="n">
        <v>45805.69826388889</v>
      </c>
      <c r="C756" s="1" t="n">
        <v>46181</v>
      </c>
      <c r="D756" t="inlineStr">
        <is>
          <t>VÄSTERNORRLANDS LÄN</t>
        </is>
      </c>
      <c r="E756" t="inlineStr">
        <is>
          <t>SUNDSVALL</t>
        </is>
      </c>
      <c r="F756" t="inlineStr">
        <is>
          <t>Naturvårdsverket</t>
        </is>
      </c>
      <c r="G756" t="n">
        <v>1.8</v>
      </c>
      <c r="H756" t="n">
        <v>0</v>
      </c>
      <c r="I756" t="n">
        <v>0</v>
      </c>
      <c r="J756" t="n">
        <v>0</v>
      </c>
      <c r="K756" t="n">
        <v>0</v>
      </c>
      <c r="L756" t="n">
        <v>0</v>
      </c>
      <c r="M756" t="n">
        <v>0</v>
      </c>
      <c r="N756" t="n">
        <v>0</v>
      </c>
      <c r="O756" t="n">
        <v>0</v>
      </c>
      <c r="P756" t="n">
        <v>0</v>
      </c>
      <c r="Q756" t="n">
        <v>0</v>
      </c>
      <c r="R756" s="2" t="inlineStr"/>
    </row>
    <row r="757" ht="15" customHeight="1">
      <c r="A757" t="inlineStr">
        <is>
          <t>A 24360-2023</t>
        </is>
      </c>
      <c r="B757" s="1" t="n">
        <v>45082</v>
      </c>
      <c r="C757" s="1" t="n">
        <v>46181</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13234-2024</t>
        </is>
      </c>
      <c r="B758" s="1" t="n">
        <v>45386</v>
      </c>
      <c r="C758" s="1" t="n">
        <v>46181</v>
      </c>
      <c r="D758" t="inlineStr">
        <is>
          <t>VÄSTERNORRLANDS LÄN</t>
        </is>
      </c>
      <c r="E758" t="inlineStr">
        <is>
          <t>SUNDSVALL</t>
        </is>
      </c>
      <c r="F758" t="inlineStr">
        <is>
          <t>Kommuner</t>
        </is>
      </c>
      <c r="G758" t="n">
        <v>5.8</v>
      </c>
      <c r="H758" t="n">
        <v>0</v>
      </c>
      <c r="I758" t="n">
        <v>0</v>
      </c>
      <c r="J758" t="n">
        <v>0</v>
      </c>
      <c r="K758" t="n">
        <v>0</v>
      </c>
      <c r="L758" t="n">
        <v>0</v>
      </c>
      <c r="M758" t="n">
        <v>0</v>
      </c>
      <c r="N758" t="n">
        <v>0</v>
      </c>
      <c r="O758" t="n">
        <v>0</v>
      </c>
      <c r="P758" t="n">
        <v>0</v>
      </c>
      <c r="Q758" t="n">
        <v>0</v>
      </c>
      <c r="R758" s="2" t="inlineStr"/>
    </row>
    <row r="759" ht="15" customHeight="1">
      <c r="A759" t="inlineStr">
        <is>
          <t>A 5949-2023</t>
        </is>
      </c>
      <c r="B759" s="1" t="n">
        <v>44963</v>
      </c>
      <c r="C759" s="1" t="n">
        <v>46181</v>
      </c>
      <c r="D759" t="inlineStr">
        <is>
          <t>VÄSTERNORRLANDS LÄN</t>
        </is>
      </c>
      <c r="E759" t="inlineStr">
        <is>
          <t>SUNDSVALL</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33004-2024</t>
        </is>
      </c>
      <c r="B760" s="1" t="n">
        <v>45517</v>
      </c>
      <c r="C760" s="1" t="n">
        <v>46181</v>
      </c>
      <c r="D760" t="inlineStr">
        <is>
          <t>VÄSTERNORRLANDS LÄN</t>
        </is>
      </c>
      <c r="E760" t="inlineStr">
        <is>
          <t>SUNDSVALL</t>
        </is>
      </c>
      <c r="G760" t="n">
        <v>1.4</v>
      </c>
      <c r="H760" t="n">
        <v>0</v>
      </c>
      <c r="I760" t="n">
        <v>0</v>
      </c>
      <c r="J760" t="n">
        <v>0</v>
      </c>
      <c r="K760" t="n">
        <v>0</v>
      </c>
      <c r="L760" t="n">
        <v>0</v>
      </c>
      <c r="M760" t="n">
        <v>0</v>
      </c>
      <c r="N760" t="n">
        <v>0</v>
      </c>
      <c r="O760" t="n">
        <v>0</v>
      </c>
      <c r="P760" t="n">
        <v>0</v>
      </c>
      <c r="Q760" t="n">
        <v>0</v>
      </c>
      <c r="R760" s="2" t="inlineStr"/>
    </row>
    <row r="761" ht="15" customHeight="1">
      <c r="A761" t="inlineStr">
        <is>
          <t>A 33042-2024</t>
        </is>
      </c>
      <c r="B761" s="1" t="n">
        <v>45517.61229166666</v>
      </c>
      <c r="C761" s="1" t="n">
        <v>46181</v>
      </c>
      <c r="D761" t="inlineStr">
        <is>
          <t>VÄSTERNORRLANDS LÄN</t>
        </is>
      </c>
      <c r="E761" t="inlineStr">
        <is>
          <t>SUNDSVALL</t>
        </is>
      </c>
      <c r="G761" t="n">
        <v>1.8</v>
      </c>
      <c r="H761" t="n">
        <v>0</v>
      </c>
      <c r="I761" t="n">
        <v>0</v>
      </c>
      <c r="J761" t="n">
        <v>0</v>
      </c>
      <c r="K761" t="n">
        <v>0</v>
      </c>
      <c r="L761" t="n">
        <v>0</v>
      </c>
      <c r="M761" t="n">
        <v>0</v>
      </c>
      <c r="N761" t="n">
        <v>0</v>
      </c>
      <c r="O761" t="n">
        <v>0</v>
      </c>
      <c r="P761" t="n">
        <v>0</v>
      </c>
      <c r="Q761" t="n">
        <v>0</v>
      </c>
      <c r="R761" s="2" t="inlineStr"/>
    </row>
    <row r="762" ht="15" customHeight="1">
      <c r="A762" t="inlineStr">
        <is>
          <t>A 34296-2024</t>
        </is>
      </c>
      <c r="B762" s="1" t="n">
        <v>45524</v>
      </c>
      <c r="C762" s="1" t="n">
        <v>46181</v>
      </c>
      <c r="D762" t="inlineStr">
        <is>
          <t>VÄSTERNORRLANDS LÄN</t>
        </is>
      </c>
      <c r="E762" t="inlineStr">
        <is>
          <t>SUNDSVALL</t>
        </is>
      </c>
      <c r="G762" t="n">
        <v>2.1</v>
      </c>
      <c r="H762" t="n">
        <v>0</v>
      </c>
      <c r="I762" t="n">
        <v>0</v>
      </c>
      <c r="J762" t="n">
        <v>0</v>
      </c>
      <c r="K762" t="n">
        <v>0</v>
      </c>
      <c r="L762" t="n">
        <v>0</v>
      </c>
      <c r="M762" t="n">
        <v>0</v>
      </c>
      <c r="N762" t="n">
        <v>0</v>
      </c>
      <c r="O762" t="n">
        <v>0</v>
      </c>
      <c r="P762" t="n">
        <v>0</v>
      </c>
      <c r="Q762" t="n">
        <v>0</v>
      </c>
      <c r="R762" s="2" t="inlineStr"/>
    </row>
    <row r="763" ht="15" customHeight="1">
      <c r="A763" t="inlineStr">
        <is>
          <t>A 26390-2025</t>
        </is>
      </c>
      <c r="B763" s="1" t="n">
        <v>45806.5733912037</v>
      </c>
      <c r="C763" s="1" t="n">
        <v>46181</v>
      </c>
      <c r="D763" t="inlineStr">
        <is>
          <t>VÄSTERNORRLANDS LÄN</t>
        </is>
      </c>
      <c r="E763" t="inlineStr">
        <is>
          <t>SUNDSVALL</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8230-2024</t>
        </is>
      </c>
      <c r="B764" s="1" t="n">
        <v>45351.92850694444</v>
      </c>
      <c r="C764" s="1" t="n">
        <v>46181</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40833-2025</t>
        </is>
      </c>
      <c r="B765" s="1" t="n">
        <v>45897.51123842593</v>
      </c>
      <c r="C765" s="1" t="n">
        <v>46181</v>
      </c>
      <c r="D765" t="inlineStr">
        <is>
          <t>VÄSTERNORRLANDS LÄN</t>
        </is>
      </c>
      <c r="E765" t="inlineStr">
        <is>
          <t>SUNDSVALL</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9385-2022</t>
        </is>
      </c>
      <c r="B766" s="1" t="n">
        <v>44616.63796296297</v>
      </c>
      <c r="C766" s="1" t="n">
        <v>46181</v>
      </c>
      <c r="D766" t="inlineStr">
        <is>
          <t>VÄSTERNORRLANDS LÄN</t>
        </is>
      </c>
      <c r="E766" t="inlineStr">
        <is>
          <t>SUNDSVALL</t>
        </is>
      </c>
      <c r="G766" t="n">
        <v>0.9</v>
      </c>
      <c r="H766" t="n">
        <v>0</v>
      </c>
      <c r="I766" t="n">
        <v>0</v>
      </c>
      <c r="J766" t="n">
        <v>0</v>
      </c>
      <c r="K766" t="n">
        <v>0</v>
      </c>
      <c r="L766" t="n">
        <v>0</v>
      </c>
      <c r="M766" t="n">
        <v>0</v>
      </c>
      <c r="N766" t="n">
        <v>0</v>
      </c>
      <c r="O766" t="n">
        <v>0</v>
      </c>
      <c r="P766" t="n">
        <v>0</v>
      </c>
      <c r="Q766" t="n">
        <v>0</v>
      </c>
      <c r="R766" s="2" t="inlineStr"/>
    </row>
    <row r="767" ht="15" customHeight="1">
      <c r="A767" t="inlineStr">
        <is>
          <t>A 26343-2025</t>
        </is>
      </c>
      <c r="B767" s="1" t="n">
        <v>45805.71907407408</v>
      </c>
      <c r="C767" s="1" t="n">
        <v>46181</v>
      </c>
      <c r="D767" t="inlineStr">
        <is>
          <t>VÄSTERNORRLANDS LÄN</t>
        </is>
      </c>
      <c r="E767" t="inlineStr">
        <is>
          <t>SUNDSVALL</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2417-2026</t>
        </is>
      </c>
      <c r="B768" s="1" t="n">
        <v>46036.76967592593</v>
      </c>
      <c r="C768" s="1" t="n">
        <v>46181</v>
      </c>
      <c r="D768" t="inlineStr">
        <is>
          <t>VÄSTERNORRLANDS LÄN</t>
        </is>
      </c>
      <c r="E768" t="inlineStr">
        <is>
          <t>SUNDSVALL</t>
        </is>
      </c>
      <c r="G768" t="n">
        <v>14.1</v>
      </c>
      <c r="H768" t="n">
        <v>0</v>
      </c>
      <c r="I768" t="n">
        <v>0</v>
      </c>
      <c r="J768" t="n">
        <v>0</v>
      </c>
      <c r="K768" t="n">
        <v>0</v>
      </c>
      <c r="L768" t="n">
        <v>0</v>
      </c>
      <c r="M768" t="n">
        <v>0</v>
      </c>
      <c r="N768" t="n">
        <v>0</v>
      </c>
      <c r="O768" t="n">
        <v>0</v>
      </c>
      <c r="P768" t="n">
        <v>0</v>
      </c>
      <c r="Q768" t="n">
        <v>0</v>
      </c>
      <c r="R768" s="2" t="inlineStr"/>
    </row>
    <row r="769" ht="15" customHeight="1">
      <c r="A769" t="inlineStr">
        <is>
          <t>A 40723-2025</t>
        </is>
      </c>
      <c r="B769" s="1" t="n">
        <v>45897.34502314815</v>
      </c>
      <c r="C769" s="1" t="n">
        <v>46181</v>
      </c>
      <c r="D769" t="inlineStr">
        <is>
          <t>VÄSTERNORRLANDS LÄN</t>
        </is>
      </c>
      <c r="E769" t="inlineStr">
        <is>
          <t>SUNDSVALL</t>
        </is>
      </c>
      <c r="G769" t="n">
        <v>0.4</v>
      </c>
      <c r="H769" t="n">
        <v>0</v>
      </c>
      <c r="I769" t="n">
        <v>0</v>
      </c>
      <c r="J769" t="n">
        <v>0</v>
      </c>
      <c r="K769" t="n">
        <v>0</v>
      </c>
      <c r="L769" t="n">
        <v>0</v>
      </c>
      <c r="M769" t="n">
        <v>0</v>
      </c>
      <c r="N769" t="n">
        <v>0</v>
      </c>
      <c r="O769" t="n">
        <v>0</v>
      </c>
      <c r="P769" t="n">
        <v>0</v>
      </c>
      <c r="Q769" t="n">
        <v>0</v>
      </c>
      <c r="R769" s="2" t="inlineStr"/>
    </row>
    <row r="770" ht="15" customHeight="1">
      <c r="A770" t="inlineStr">
        <is>
          <t>A 26296-2025</t>
        </is>
      </c>
      <c r="B770" s="1" t="n">
        <v>45805.6360300926</v>
      </c>
      <c r="C770" s="1" t="n">
        <v>46181</v>
      </c>
      <c r="D770" t="inlineStr">
        <is>
          <t>VÄSTERNORRLANDS LÄN</t>
        </is>
      </c>
      <c r="E770" t="inlineStr">
        <is>
          <t>SUNDSVALL</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40810-2025</t>
        </is>
      </c>
      <c r="B771" s="1" t="n">
        <v>45897.46952546296</v>
      </c>
      <c r="C771" s="1" t="n">
        <v>46181</v>
      </c>
      <c r="D771" t="inlineStr">
        <is>
          <t>VÄSTERNORRLANDS LÄN</t>
        </is>
      </c>
      <c r="E771" t="inlineStr">
        <is>
          <t>SUNDSVALL</t>
        </is>
      </c>
      <c r="F771" t="inlineStr">
        <is>
          <t>SCA</t>
        </is>
      </c>
      <c r="G771" t="n">
        <v>13.9</v>
      </c>
      <c r="H771" t="n">
        <v>0</v>
      </c>
      <c r="I771" t="n">
        <v>0</v>
      </c>
      <c r="J771" t="n">
        <v>0</v>
      </c>
      <c r="K771" t="n">
        <v>0</v>
      </c>
      <c r="L771" t="n">
        <v>0</v>
      </c>
      <c r="M771" t="n">
        <v>0</v>
      </c>
      <c r="N771" t="n">
        <v>0</v>
      </c>
      <c r="O771" t="n">
        <v>0</v>
      </c>
      <c r="P771" t="n">
        <v>0</v>
      </c>
      <c r="Q771" t="n">
        <v>0</v>
      </c>
      <c r="R771" s="2" t="inlineStr"/>
    </row>
    <row r="772" ht="15" customHeight="1">
      <c r="A772" t="inlineStr">
        <is>
          <t>A 21010-2023</t>
        </is>
      </c>
      <c r="B772" s="1" t="n">
        <v>45061</v>
      </c>
      <c r="C772" s="1" t="n">
        <v>46181</v>
      </c>
      <c r="D772" t="inlineStr">
        <is>
          <t>VÄSTERNORRLANDS LÄN</t>
        </is>
      </c>
      <c r="E772" t="inlineStr">
        <is>
          <t>SUNDSVALL</t>
        </is>
      </c>
      <c r="G772" t="n">
        <v>4.9</v>
      </c>
      <c r="H772" t="n">
        <v>0</v>
      </c>
      <c r="I772" t="n">
        <v>0</v>
      </c>
      <c r="J772" t="n">
        <v>0</v>
      </c>
      <c r="K772" t="n">
        <v>0</v>
      </c>
      <c r="L772" t="n">
        <v>0</v>
      </c>
      <c r="M772" t="n">
        <v>0</v>
      </c>
      <c r="N772" t="n">
        <v>0</v>
      </c>
      <c r="O772" t="n">
        <v>0</v>
      </c>
      <c r="P772" t="n">
        <v>0</v>
      </c>
      <c r="Q772" t="n">
        <v>0</v>
      </c>
      <c r="R772" s="2" t="inlineStr"/>
    </row>
    <row r="773" ht="15" customHeight="1">
      <c r="A773" t="inlineStr">
        <is>
          <t>A 40958-2025</t>
        </is>
      </c>
      <c r="B773" s="1" t="n">
        <v>45897.67865740741</v>
      </c>
      <c r="C773" s="1" t="n">
        <v>46181</v>
      </c>
      <c r="D773" t="inlineStr">
        <is>
          <t>VÄSTERNORRLANDS LÄN</t>
        </is>
      </c>
      <c r="E773" t="inlineStr">
        <is>
          <t>SUNDSVALL</t>
        </is>
      </c>
      <c r="F773" t="inlineStr">
        <is>
          <t>Naturvårdsverket</t>
        </is>
      </c>
      <c r="G773" t="n">
        <v>5.5</v>
      </c>
      <c r="H773" t="n">
        <v>0</v>
      </c>
      <c r="I773" t="n">
        <v>0</v>
      </c>
      <c r="J773" t="n">
        <v>0</v>
      </c>
      <c r="K773" t="n">
        <v>0</v>
      </c>
      <c r="L773" t="n">
        <v>0</v>
      </c>
      <c r="M773" t="n">
        <v>0</v>
      </c>
      <c r="N773" t="n">
        <v>0</v>
      </c>
      <c r="O773" t="n">
        <v>0</v>
      </c>
      <c r="P773" t="n">
        <v>0</v>
      </c>
      <c r="Q773" t="n">
        <v>0</v>
      </c>
      <c r="R773" s="2" t="inlineStr"/>
    </row>
    <row r="774" ht="15" customHeight="1">
      <c r="A774" t="inlineStr">
        <is>
          <t>A 54584-2024</t>
        </is>
      </c>
      <c r="B774" s="1" t="n">
        <v>45617.65747685185</v>
      </c>
      <c r="C774" s="1" t="n">
        <v>46181</v>
      </c>
      <c r="D774" t="inlineStr">
        <is>
          <t>VÄSTERNORRLANDS LÄN</t>
        </is>
      </c>
      <c r="E774" t="inlineStr">
        <is>
          <t>SUNDSVALL</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40720-2025</t>
        </is>
      </c>
      <c r="B775" s="1" t="n">
        <v>45897.3449537037</v>
      </c>
      <c r="C775" s="1" t="n">
        <v>46181</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51431-2024</t>
        </is>
      </c>
      <c r="B776" s="1" t="n">
        <v>45604</v>
      </c>
      <c r="C776" s="1" t="n">
        <v>46181</v>
      </c>
      <c r="D776" t="inlineStr">
        <is>
          <t>VÄSTERNORRLANDS LÄN</t>
        </is>
      </c>
      <c r="E776" t="inlineStr">
        <is>
          <t>SUNDSVALL</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51433-2024</t>
        </is>
      </c>
      <c r="B777" s="1" t="n">
        <v>45604</v>
      </c>
      <c r="C777" s="1" t="n">
        <v>46181</v>
      </c>
      <c r="D777" t="inlineStr">
        <is>
          <t>VÄSTERNORRLANDS LÄN</t>
        </is>
      </c>
      <c r="E777" t="inlineStr">
        <is>
          <t>SUNDSVALL</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18217-2025</t>
        </is>
      </c>
      <c r="B778" s="1" t="n">
        <v>45761.71212962963</v>
      </c>
      <c r="C778" s="1" t="n">
        <v>46181</v>
      </c>
      <c r="D778" t="inlineStr">
        <is>
          <t>VÄSTERNORRLANDS LÄN</t>
        </is>
      </c>
      <c r="E778" t="inlineStr">
        <is>
          <t>SUNDSVALL</t>
        </is>
      </c>
      <c r="G778" t="n">
        <v>1</v>
      </c>
      <c r="H778" t="n">
        <v>0</v>
      </c>
      <c r="I778" t="n">
        <v>0</v>
      </c>
      <c r="J778" t="n">
        <v>0</v>
      </c>
      <c r="K778" t="n">
        <v>0</v>
      </c>
      <c r="L778" t="n">
        <v>0</v>
      </c>
      <c r="M778" t="n">
        <v>0</v>
      </c>
      <c r="N778" t="n">
        <v>0</v>
      </c>
      <c r="O778" t="n">
        <v>0</v>
      </c>
      <c r="P778" t="n">
        <v>0</v>
      </c>
      <c r="Q778" t="n">
        <v>0</v>
      </c>
      <c r="R778" s="2" t="inlineStr"/>
    </row>
    <row r="779" ht="15" customHeight="1">
      <c r="A779" t="inlineStr">
        <is>
          <t>A 26746-2025</t>
        </is>
      </c>
      <c r="B779" s="1" t="n">
        <v>45810</v>
      </c>
      <c r="C779" s="1" t="n">
        <v>46181</v>
      </c>
      <c r="D779" t="inlineStr">
        <is>
          <t>VÄSTERNORRLANDS LÄN</t>
        </is>
      </c>
      <c r="E779" t="inlineStr">
        <is>
          <t>SUNDSVALL</t>
        </is>
      </c>
      <c r="G779" t="n">
        <v>23.1</v>
      </c>
      <c r="H779" t="n">
        <v>0</v>
      </c>
      <c r="I779" t="n">
        <v>0</v>
      </c>
      <c r="J779" t="n">
        <v>0</v>
      </c>
      <c r="K779" t="n">
        <v>0</v>
      </c>
      <c r="L779" t="n">
        <v>0</v>
      </c>
      <c r="M779" t="n">
        <v>0</v>
      </c>
      <c r="N779" t="n">
        <v>0</v>
      </c>
      <c r="O779" t="n">
        <v>0</v>
      </c>
      <c r="P779" t="n">
        <v>0</v>
      </c>
      <c r="Q779" t="n">
        <v>0</v>
      </c>
      <c r="R779" s="2" t="inlineStr"/>
    </row>
    <row r="780" ht="15" customHeight="1">
      <c r="A780" t="inlineStr">
        <is>
          <t>A 41144-2025</t>
        </is>
      </c>
      <c r="B780" s="1" t="n">
        <v>45898</v>
      </c>
      <c r="C780" s="1" t="n">
        <v>46181</v>
      </c>
      <c r="D780" t="inlineStr">
        <is>
          <t>VÄSTERNORRLANDS LÄN</t>
        </is>
      </c>
      <c r="E780" t="inlineStr">
        <is>
          <t>SUNDSVALL</t>
        </is>
      </c>
      <c r="G780" t="n">
        <v>12.3</v>
      </c>
      <c r="H780" t="n">
        <v>0</v>
      </c>
      <c r="I780" t="n">
        <v>0</v>
      </c>
      <c r="J780" t="n">
        <v>0</v>
      </c>
      <c r="K780" t="n">
        <v>0</v>
      </c>
      <c r="L780" t="n">
        <v>0</v>
      </c>
      <c r="M780" t="n">
        <v>0</v>
      </c>
      <c r="N780" t="n">
        <v>0</v>
      </c>
      <c r="O780" t="n">
        <v>0</v>
      </c>
      <c r="P780" t="n">
        <v>0</v>
      </c>
      <c r="Q780" t="n">
        <v>0</v>
      </c>
      <c r="R780" s="2" t="inlineStr"/>
    </row>
    <row r="781" ht="15" customHeight="1">
      <c r="A781" t="inlineStr">
        <is>
          <t>A 40988-2025</t>
        </is>
      </c>
      <c r="B781" s="1" t="n">
        <v>45898.31621527778</v>
      </c>
      <c r="C781" s="1" t="n">
        <v>46181</v>
      </c>
      <c r="D781" t="inlineStr">
        <is>
          <t>VÄSTERNORRLANDS LÄN</t>
        </is>
      </c>
      <c r="E781" t="inlineStr">
        <is>
          <t>SUNDSVALL</t>
        </is>
      </c>
      <c r="F781" t="inlineStr">
        <is>
          <t>Holmen skog AB</t>
        </is>
      </c>
      <c r="G781" t="n">
        <v>1.1</v>
      </c>
      <c r="H781" t="n">
        <v>0</v>
      </c>
      <c r="I781" t="n">
        <v>0</v>
      </c>
      <c r="J781" t="n">
        <v>0</v>
      </c>
      <c r="K781" t="n">
        <v>0</v>
      </c>
      <c r="L781" t="n">
        <v>0</v>
      </c>
      <c r="M781" t="n">
        <v>0</v>
      </c>
      <c r="N781" t="n">
        <v>0</v>
      </c>
      <c r="O781" t="n">
        <v>0</v>
      </c>
      <c r="P781" t="n">
        <v>0</v>
      </c>
      <c r="Q781" t="n">
        <v>0</v>
      </c>
      <c r="R781" s="2" t="inlineStr"/>
    </row>
    <row r="782" ht="15" customHeight="1">
      <c r="A782" t="inlineStr">
        <is>
          <t>A 40721-2025</t>
        </is>
      </c>
      <c r="B782" s="1" t="n">
        <v>45897.34497685185</v>
      </c>
      <c r="C782" s="1" t="n">
        <v>46181</v>
      </c>
      <c r="D782" t="inlineStr">
        <is>
          <t>VÄSTERNORRLANDS LÄN</t>
        </is>
      </c>
      <c r="E782" t="inlineStr">
        <is>
          <t>SUNDSVALL</t>
        </is>
      </c>
      <c r="G782" t="n">
        <v>1.7</v>
      </c>
      <c r="H782" t="n">
        <v>0</v>
      </c>
      <c r="I782" t="n">
        <v>0</v>
      </c>
      <c r="J782" t="n">
        <v>0</v>
      </c>
      <c r="K782" t="n">
        <v>0</v>
      </c>
      <c r="L782" t="n">
        <v>0</v>
      </c>
      <c r="M782" t="n">
        <v>0</v>
      </c>
      <c r="N782" t="n">
        <v>0</v>
      </c>
      <c r="O782" t="n">
        <v>0</v>
      </c>
      <c r="P782" t="n">
        <v>0</v>
      </c>
      <c r="Q782" t="n">
        <v>0</v>
      </c>
      <c r="R782" s="2" t="inlineStr"/>
    </row>
    <row r="783" ht="15" customHeight="1">
      <c r="A783" t="inlineStr">
        <is>
          <t>A 40044-2024</t>
        </is>
      </c>
      <c r="B783" s="1" t="n">
        <v>45553.75064814815</v>
      </c>
      <c r="C783" s="1" t="n">
        <v>46181</v>
      </c>
      <c r="D783" t="inlineStr">
        <is>
          <t>VÄSTERNORRLANDS LÄN</t>
        </is>
      </c>
      <c r="E783" t="inlineStr">
        <is>
          <t>SUNDSVALL</t>
        </is>
      </c>
      <c r="G783" t="n">
        <v>3.8</v>
      </c>
      <c r="H783" t="n">
        <v>0</v>
      </c>
      <c r="I783" t="n">
        <v>0</v>
      </c>
      <c r="J783" t="n">
        <v>0</v>
      </c>
      <c r="K783" t="n">
        <v>0</v>
      </c>
      <c r="L783" t="n">
        <v>0</v>
      </c>
      <c r="M783" t="n">
        <v>0</v>
      </c>
      <c r="N783" t="n">
        <v>0</v>
      </c>
      <c r="O783" t="n">
        <v>0</v>
      </c>
      <c r="P783" t="n">
        <v>0</v>
      </c>
      <c r="Q783" t="n">
        <v>0</v>
      </c>
      <c r="R783" s="2" t="inlineStr"/>
    </row>
    <row r="784" ht="15" customHeight="1">
      <c r="A784" t="inlineStr">
        <is>
          <t>A 19896-2023</t>
        </is>
      </c>
      <c r="B784" s="1" t="n">
        <v>45054</v>
      </c>
      <c r="C784" s="1" t="n">
        <v>46181</v>
      </c>
      <c r="D784" t="inlineStr">
        <is>
          <t>VÄSTERNORRLANDS LÄN</t>
        </is>
      </c>
      <c r="E784" t="inlineStr">
        <is>
          <t>SUNDSVALL</t>
        </is>
      </c>
      <c r="G784" t="n">
        <v>4.6</v>
      </c>
      <c r="H784" t="n">
        <v>0</v>
      </c>
      <c r="I784" t="n">
        <v>0</v>
      </c>
      <c r="J784" t="n">
        <v>0</v>
      </c>
      <c r="K784" t="n">
        <v>0</v>
      </c>
      <c r="L784" t="n">
        <v>0</v>
      </c>
      <c r="M784" t="n">
        <v>0</v>
      </c>
      <c r="N784" t="n">
        <v>0</v>
      </c>
      <c r="O784" t="n">
        <v>0</v>
      </c>
      <c r="P784" t="n">
        <v>0</v>
      </c>
      <c r="Q784" t="n">
        <v>0</v>
      </c>
      <c r="R784" s="2" t="inlineStr"/>
    </row>
    <row r="785" ht="15" customHeight="1">
      <c r="A785" t="inlineStr">
        <is>
          <t>A 26575-2025</t>
        </is>
      </c>
      <c r="B785" s="1" t="n">
        <v>45807.68700231481</v>
      </c>
      <c r="C785" s="1" t="n">
        <v>46181</v>
      </c>
      <c r="D785" t="inlineStr">
        <is>
          <t>VÄSTERNORRLANDS LÄN</t>
        </is>
      </c>
      <c r="E785" t="inlineStr">
        <is>
          <t>SUNDSVALL</t>
        </is>
      </c>
      <c r="G785" t="n">
        <v>3.1</v>
      </c>
      <c r="H785" t="n">
        <v>0</v>
      </c>
      <c r="I785" t="n">
        <v>0</v>
      </c>
      <c r="J785" t="n">
        <v>0</v>
      </c>
      <c r="K785" t="n">
        <v>0</v>
      </c>
      <c r="L785" t="n">
        <v>0</v>
      </c>
      <c r="M785" t="n">
        <v>0</v>
      </c>
      <c r="N785" t="n">
        <v>0</v>
      </c>
      <c r="O785" t="n">
        <v>0</v>
      </c>
      <c r="P785" t="n">
        <v>0</v>
      </c>
      <c r="Q785" t="n">
        <v>0</v>
      </c>
      <c r="R785" s="2" t="inlineStr"/>
    </row>
    <row r="786" ht="15" customHeight="1">
      <c r="A786" t="inlineStr">
        <is>
          <t>A 26459-2025</t>
        </is>
      </c>
      <c r="B786" s="1" t="n">
        <v>45807.43045138889</v>
      </c>
      <c r="C786" s="1" t="n">
        <v>46181</v>
      </c>
      <c r="D786" t="inlineStr">
        <is>
          <t>VÄSTERNORRLANDS LÄN</t>
        </is>
      </c>
      <c r="E786" t="inlineStr">
        <is>
          <t>SUNDSVALL</t>
        </is>
      </c>
      <c r="G786" t="n">
        <v>5.2</v>
      </c>
      <c r="H786" t="n">
        <v>0</v>
      </c>
      <c r="I786" t="n">
        <v>0</v>
      </c>
      <c r="J786" t="n">
        <v>0</v>
      </c>
      <c r="K786" t="n">
        <v>0</v>
      </c>
      <c r="L786" t="n">
        <v>0</v>
      </c>
      <c r="M786" t="n">
        <v>0</v>
      </c>
      <c r="N786" t="n">
        <v>0</v>
      </c>
      <c r="O786" t="n">
        <v>0</v>
      </c>
      <c r="P786" t="n">
        <v>0</v>
      </c>
      <c r="Q786" t="n">
        <v>0</v>
      </c>
      <c r="R786" s="2" t="inlineStr"/>
    </row>
    <row r="787" ht="15" customHeight="1">
      <c r="A787" t="inlineStr">
        <is>
          <t>A 43190-2023</t>
        </is>
      </c>
      <c r="B787" s="1" t="n">
        <v>45180</v>
      </c>
      <c r="C787" s="1" t="n">
        <v>46181</v>
      </c>
      <c r="D787" t="inlineStr">
        <is>
          <t>VÄSTERNORRLANDS LÄN</t>
        </is>
      </c>
      <c r="E787" t="inlineStr">
        <is>
          <t>SUNDSVALL</t>
        </is>
      </c>
      <c r="G787" t="n">
        <v>4.2</v>
      </c>
      <c r="H787" t="n">
        <v>0</v>
      </c>
      <c r="I787" t="n">
        <v>0</v>
      </c>
      <c r="J787" t="n">
        <v>0</v>
      </c>
      <c r="K787" t="n">
        <v>0</v>
      </c>
      <c r="L787" t="n">
        <v>0</v>
      </c>
      <c r="M787" t="n">
        <v>0</v>
      </c>
      <c r="N787" t="n">
        <v>0</v>
      </c>
      <c r="O787" t="n">
        <v>0</v>
      </c>
      <c r="P787" t="n">
        <v>0</v>
      </c>
      <c r="Q787" t="n">
        <v>0</v>
      </c>
      <c r="R787" s="2" t="inlineStr"/>
    </row>
    <row r="788" ht="15" customHeight="1">
      <c r="A788" t="inlineStr">
        <is>
          <t>A 30560-2024</t>
        </is>
      </c>
      <c r="B788" s="1" t="n">
        <v>45492.92827546296</v>
      </c>
      <c r="C788" s="1" t="n">
        <v>46181</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41509-2025</t>
        </is>
      </c>
      <c r="B789" s="1" t="n">
        <v>45901.53246527778</v>
      </c>
      <c r="C789" s="1" t="n">
        <v>46181</v>
      </c>
      <c r="D789" t="inlineStr">
        <is>
          <t>VÄSTERNORRLANDS LÄN</t>
        </is>
      </c>
      <c r="E789" t="inlineStr">
        <is>
          <t>SUNDSVALL</t>
        </is>
      </c>
      <c r="G789" t="n">
        <v>1.8</v>
      </c>
      <c r="H789" t="n">
        <v>0</v>
      </c>
      <c r="I789" t="n">
        <v>0</v>
      </c>
      <c r="J789" t="n">
        <v>0</v>
      </c>
      <c r="K789" t="n">
        <v>0</v>
      </c>
      <c r="L789" t="n">
        <v>0</v>
      </c>
      <c r="M789" t="n">
        <v>0</v>
      </c>
      <c r="N789" t="n">
        <v>0</v>
      </c>
      <c r="O789" t="n">
        <v>0</v>
      </c>
      <c r="P789" t="n">
        <v>0</v>
      </c>
      <c r="Q789" t="n">
        <v>0</v>
      </c>
      <c r="R789" s="2" t="inlineStr"/>
    </row>
    <row r="790" ht="15" customHeight="1">
      <c r="A790" t="inlineStr">
        <is>
          <t>A 26835-2025</t>
        </is>
      </c>
      <c r="B790" s="1" t="n">
        <v>45810.65728009259</v>
      </c>
      <c r="C790" s="1" t="n">
        <v>46181</v>
      </c>
      <c r="D790" t="inlineStr">
        <is>
          <t>VÄSTERNORRLANDS LÄN</t>
        </is>
      </c>
      <c r="E790" t="inlineStr">
        <is>
          <t>SUNDSVALL</t>
        </is>
      </c>
      <c r="F790" t="inlineStr">
        <is>
          <t>SCA</t>
        </is>
      </c>
      <c r="G790" t="n">
        <v>0.1</v>
      </c>
      <c r="H790" t="n">
        <v>0</v>
      </c>
      <c r="I790" t="n">
        <v>0</v>
      </c>
      <c r="J790" t="n">
        <v>0</v>
      </c>
      <c r="K790" t="n">
        <v>0</v>
      </c>
      <c r="L790" t="n">
        <v>0</v>
      </c>
      <c r="M790" t="n">
        <v>0</v>
      </c>
      <c r="N790" t="n">
        <v>0</v>
      </c>
      <c r="O790" t="n">
        <v>0</v>
      </c>
      <c r="P790" t="n">
        <v>0</v>
      </c>
      <c r="Q790" t="n">
        <v>0</v>
      </c>
      <c r="R790" s="2" t="inlineStr"/>
    </row>
    <row r="791" ht="15" customHeight="1">
      <c r="A791" t="inlineStr">
        <is>
          <t>A 26836-2025</t>
        </is>
      </c>
      <c r="B791" s="1" t="n">
        <v>45810.65738425926</v>
      </c>
      <c r="C791" s="1" t="n">
        <v>46181</v>
      </c>
      <c r="D791" t="inlineStr">
        <is>
          <t>VÄSTERNORRLANDS LÄN</t>
        </is>
      </c>
      <c r="E791" t="inlineStr">
        <is>
          <t>SUNDSVALL</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32652-2024</t>
        </is>
      </c>
      <c r="B792" s="1" t="n">
        <v>45513</v>
      </c>
      <c r="C792" s="1" t="n">
        <v>46181</v>
      </c>
      <c r="D792" t="inlineStr">
        <is>
          <t>VÄSTERNORRLANDS LÄN</t>
        </is>
      </c>
      <c r="E792" t="inlineStr">
        <is>
          <t>SUNDSVALL</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41774-2025</t>
        </is>
      </c>
      <c r="B793" s="1" t="n">
        <v>45902.56362268519</v>
      </c>
      <c r="C793" s="1" t="n">
        <v>46181</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50325-2024</t>
        </is>
      </c>
      <c r="B794" s="1" t="n">
        <v>45600</v>
      </c>
      <c r="C794" s="1" t="n">
        <v>46181</v>
      </c>
      <c r="D794" t="inlineStr">
        <is>
          <t>VÄSTERNORRLANDS LÄN</t>
        </is>
      </c>
      <c r="E794" t="inlineStr">
        <is>
          <t>SUNDSVALL</t>
        </is>
      </c>
      <c r="G794" t="n">
        <v>4.2</v>
      </c>
      <c r="H794" t="n">
        <v>0</v>
      </c>
      <c r="I794" t="n">
        <v>0</v>
      </c>
      <c r="J794" t="n">
        <v>0</v>
      </c>
      <c r="K794" t="n">
        <v>0</v>
      </c>
      <c r="L794" t="n">
        <v>0</v>
      </c>
      <c r="M794" t="n">
        <v>0</v>
      </c>
      <c r="N794" t="n">
        <v>0</v>
      </c>
      <c r="O794" t="n">
        <v>0</v>
      </c>
      <c r="P794" t="n">
        <v>0</v>
      </c>
      <c r="Q794" t="n">
        <v>0</v>
      </c>
      <c r="R794" s="2" t="inlineStr"/>
    </row>
    <row r="795" ht="15" customHeight="1">
      <c r="A795" t="inlineStr">
        <is>
          <t>A 7946-2022</t>
        </is>
      </c>
      <c r="B795" s="1" t="n">
        <v>44608</v>
      </c>
      <c r="C795" s="1" t="n">
        <v>46181</v>
      </c>
      <c r="D795" t="inlineStr">
        <is>
          <t>VÄSTERNORRLANDS LÄN</t>
        </is>
      </c>
      <c r="E795" t="inlineStr">
        <is>
          <t>SUNDSVALL</t>
        </is>
      </c>
      <c r="G795" t="n">
        <v>5.8</v>
      </c>
      <c r="H795" t="n">
        <v>0</v>
      </c>
      <c r="I795" t="n">
        <v>0</v>
      </c>
      <c r="J795" t="n">
        <v>0</v>
      </c>
      <c r="K795" t="n">
        <v>0</v>
      </c>
      <c r="L795" t="n">
        <v>0</v>
      </c>
      <c r="M795" t="n">
        <v>0</v>
      </c>
      <c r="N795" t="n">
        <v>0</v>
      </c>
      <c r="O795" t="n">
        <v>0</v>
      </c>
      <c r="P795" t="n">
        <v>0</v>
      </c>
      <c r="Q795" t="n">
        <v>0</v>
      </c>
      <c r="R795" s="2" t="inlineStr"/>
    </row>
    <row r="796" ht="15" customHeight="1">
      <c r="A796" t="inlineStr">
        <is>
          <t>A 41505-2025</t>
        </is>
      </c>
      <c r="B796" s="1" t="n">
        <v>45901.52425925926</v>
      </c>
      <c r="C796" s="1" t="n">
        <v>46181</v>
      </c>
      <c r="D796" t="inlineStr">
        <is>
          <t>VÄSTERNORRLANDS LÄN</t>
        </is>
      </c>
      <c r="E796" t="inlineStr">
        <is>
          <t>SUNDSVALL</t>
        </is>
      </c>
      <c r="G796" t="n">
        <v>3</v>
      </c>
      <c r="H796" t="n">
        <v>0</v>
      </c>
      <c r="I796" t="n">
        <v>0</v>
      </c>
      <c r="J796" t="n">
        <v>0</v>
      </c>
      <c r="K796" t="n">
        <v>0</v>
      </c>
      <c r="L796" t="n">
        <v>0</v>
      </c>
      <c r="M796" t="n">
        <v>0</v>
      </c>
      <c r="N796" t="n">
        <v>0</v>
      </c>
      <c r="O796" t="n">
        <v>0</v>
      </c>
      <c r="P796" t="n">
        <v>0</v>
      </c>
      <c r="Q796" t="n">
        <v>0</v>
      </c>
      <c r="R796" s="2" t="inlineStr"/>
    </row>
    <row r="797" ht="15" customHeight="1">
      <c r="A797" t="inlineStr">
        <is>
          <t>A 23513-2023</t>
        </is>
      </c>
      <c r="B797" s="1" t="n">
        <v>45076</v>
      </c>
      <c r="C797" s="1" t="n">
        <v>46181</v>
      </c>
      <c r="D797" t="inlineStr">
        <is>
          <t>VÄSTERNORRLANDS LÄN</t>
        </is>
      </c>
      <c r="E797" t="inlineStr">
        <is>
          <t>SUNDSVALL</t>
        </is>
      </c>
      <c r="G797" t="n">
        <v>3.7</v>
      </c>
      <c r="H797" t="n">
        <v>0</v>
      </c>
      <c r="I797" t="n">
        <v>0</v>
      </c>
      <c r="J797" t="n">
        <v>0</v>
      </c>
      <c r="K797" t="n">
        <v>0</v>
      </c>
      <c r="L797" t="n">
        <v>0</v>
      </c>
      <c r="M797" t="n">
        <v>0</v>
      </c>
      <c r="N797" t="n">
        <v>0</v>
      </c>
      <c r="O797" t="n">
        <v>0</v>
      </c>
      <c r="P797" t="n">
        <v>0</v>
      </c>
      <c r="Q797" t="n">
        <v>0</v>
      </c>
      <c r="R797" s="2" t="inlineStr"/>
    </row>
    <row r="798" ht="15" customHeight="1">
      <c r="A798" t="inlineStr">
        <is>
          <t>A 41944-2025</t>
        </is>
      </c>
      <c r="B798" s="1" t="n">
        <v>45903</v>
      </c>
      <c r="C798" s="1" t="n">
        <v>46181</v>
      </c>
      <c r="D798" t="inlineStr">
        <is>
          <t>VÄSTERNORRLANDS LÄN</t>
        </is>
      </c>
      <c r="E798" t="inlineStr">
        <is>
          <t>SUNDSVALL</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26428-2025</t>
        </is>
      </c>
      <c r="B799" s="1" t="n">
        <v>45807.38597222222</v>
      </c>
      <c r="C799" s="1" t="n">
        <v>46181</v>
      </c>
      <c r="D799" t="inlineStr">
        <is>
          <t>VÄSTERNORRLANDS LÄN</t>
        </is>
      </c>
      <c r="E799" t="inlineStr">
        <is>
          <t>SUNDSVALL</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41405-2025</t>
        </is>
      </c>
      <c r="B800" s="1" t="n">
        <v>45901.34476851852</v>
      </c>
      <c r="C800" s="1" t="n">
        <v>46181</v>
      </c>
      <c r="D800" t="inlineStr">
        <is>
          <t>VÄSTERNORRLANDS LÄN</t>
        </is>
      </c>
      <c r="E800" t="inlineStr">
        <is>
          <t>SUNDSVALL</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10487-2025</t>
        </is>
      </c>
      <c r="B801" s="1" t="n">
        <v>45721.34428240741</v>
      </c>
      <c r="C801" s="1" t="n">
        <v>46181</v>
      </c>
      <c r="D801" t="inlineStr">
        <is>
          <t>VÄSTERNORRLANDS LÄN</t>
        </is>
      </c>
      <c r="E801" t="inlineStr">
        <is>
          <t>SUNDSVALL</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21776-2023</t>
        </is>
      </c>
      <c r="B802" s="1" t="n">
        <v>45065.9264699074</v>
      </c>
      <c r="C802" s="1" t="n">
        <v>46181</v>
      </c>
      <c r="D802" t="inlineStr">
        <is>
          <t>VÄSTERNORRLANDS LÄN</t>
        </is>
      </c>
      <c r="E802" t="inlineStr">
        <is>
          <t>SUNDSVALL</t>
        </is>
      </c>
      <c r="G802" t="n">
        <v>1.1</v>
      </c>
      <c r="H802" t="n">
        <v>0</v>
      </c>
      <c r="I802" t="n">
        <v>0</v>
      </c>
      <c r="J802" t="n">
        <v>0</v>
      </c>
      <c r="K802" t="n">
        <v>0</v>
      </c>
      <c r="L802" t="n">
        <v>0</v>
      </c>
      <c r="M802" t="n">
        <v>0</v>
      </c>
      <c r="N802" t="n">
        <v>0</v>
      </c>
      <c r="O802" t="n">
        <v>0</v>
      </c>
      <c r="P802" t="n">
        <v>0</v>
      </c>
      <c r="Q802" t="n">
        <v>0</v>
      </c>
      <c r="R802" s="2" t="inlineStr"/>
    </row>
    <row r="803" ht="15" customHeight="1">
      <c r="A803" t="inlineStr">
        <is>
          <t>A 56192-2023</t>
        </is>
      </c>
      <c r="B803" s="1" t="n">
        <v>45240</v>
      </c>
      <c r="C803" s="1" t="n">
        <v>46181</v>
      </c>
      <c r="D803" t="inlineStr">
        <is>
          <t>VÄSTERNORRLANDS LÄN</t>
        </is>
      </c>
      <c r="E803" t="inlineStr">
        <is>
          <t>SUNDSVALL</t>
        </is>
      </c>
      <c r="G803" t="n">
        <v>6.2</v>
      </c>
      <c r="H803" t="n">
        <v>0</v>
      </c>
      <c r="I803" t="n">
        <v>0</v>
      </c>
      <c r="J803" t="n">
        <v>0</v>
      </c>
      <c r="K803" t="n">
        <v>0</v>
      </c>
      <c r="L803" t="n">
        <v>0</v>
      </c>
      <c r="M803" t="n">
        <v>0</v>
      </c>
      <c r="N803" t="n">
        <v>0</v>
      </c>
      <c r="O803" t="n">
        <v>0</v>
      </c>
      <c r="P803" t="n">
        <v>0</v>
      </c>
      <c r="Q803" t="n">
        <v>0</v>
      </c>
      <c r="R803" s="2" t="inlineStr"/>
    </row>
    <row r="804" ht="15" customHeight="1">
      <c r="A804" t="inlineStr">
        <is>
          <t>A 56195-2023</t>
        </is>
      </c>
      <c r="B804" s="1" t="n">
        <v>45240.66042824074</v>
      </c>
      <c r="C804" s="1" t="n">
        <v>46181</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30179-2024</t>
        </is>
      </c>
      <c r="B805" s="1" t="n">
        <v>45489.92717592593</v>
      </c>
      <c r="C805" s="1" t="n">
        <v>46181</v>
      </c>
      <c r="D805" t="inlineStr">
        <is>
          <t>VÄSTERNORRLANDS LÄN</t>
        </is>
      </c>
      <c r="E805" t="inlineStr">
        <is>
          <t>SUNDSVALL</t>
        </is>
      </c>
      <c r="F805" t="inlineStr">
        <is>
          <t>Kyrkan</t>
        </is>
      </c>
      <c r="G805" t="n">
        <v>8.6</v>
      </c>
      <c r="H805" t="n">
        <v>0</v>
      </c>
      <c r="I805" t="n">
        <v>0</v>
      </c>
      <c r="J805" t="n">
        <v>0</v>
      </c>
      <c r="K805" t="n">
        <v>0</v>
      </c>
      <c r="L805" t="n">
        <v>0</v>
      </c>
      <c r="M805" t="n">
        <v>0</v>
      </c>
      <c r="N805" t="n">
        <v>0</v>
      </c>
      <c r="O805" t="n">
        <v>0</v>
      </c>
      <c r="P805" t="n">
        <v>0</v>
      </c>
      <c r="Q805" t="n">
        <v>0</v>
      </c>
      <c r="R805" s="2" t="inlineStr"/>
    </row>
    <row r="806" ht="15" customHeight="1">
      <c r="A806" t="inlineStr">
        <is>
          <t>A 27641-2023</t>
        </is>
      </c>
      <c r="B806" s="1" t="n">
        <v>45097</v>
      </c>
      <c r="C806" s="1" t="n">
        <v>46181</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26407-2025</t>
        </is>
      </c>
      <c r="B807" s="1" t="n">
        <v>45807.34410879629</v>
      </c>
      <c r="C807" s="1" t="n">
        <v>46181</v>
      </c>
      <c r="D807" t="inlineStr">
        <is>
          <t>VÄSTERNORRLANDS LÄN</t>
        </is>
      </c>
      <c r="E807" t="inlineStr">
        <is>
          <t>SUNDSVALL</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27046-2025</t>
        </is>
      </c>
      <c r="B808" s="1" t="n">
        <v>45811.61524305555</v>
      </c>
      <c r="C808" s="1" t="n">
        <v>46181</v>
      </c>
      <c r="D808" t="inlineStr">
        <is>
          <t>VÄSTERNORRLANDS LÄN</t>
        </is>
      </c>
      <c r="E808" t="inlineStr">
        <is>
          <t>SUNDSVALL</t>
        </is>
      </c>
      <c r="F808" t="inlineStr">
        <is>
          <t>Naturvårdsverket</t>
        </is>
      </c>
      <c r="G808" t="n">
        <v>4</v>
      </c>
      <c r="H808" t="n">
        <v>0</v>
      </c>
      <c r="I808" t="n">
        <v>0</v>
      </c>
      <c r="J808" t="n">
        <v>0</v>
      </c>
      <c r="K808" t="n">
        <v>0</v>
      </c>
      <c r="L808" t="n">
        <v>0</v>
      </c>
      <c r="M808" t="n">
        <v>0</v>
      </c>
      <c r="N808" t="n">
        <v>0</v>
      </c>
      <c r="O808" t="n">
        <v>0</v>
      </c>
      <c r="P808" t="n">
        <v>0</v>
      </c>
      <c r="Q808" t="n">
        <v>0</v>
      </c>
      <c r="R808" s="2" t="inlineStr"/>
    </row>
    <row r="809" ht="15" customHeight="1">
      <c r="A809" t="inlineStr">
        <is>
          <t>A 42000-2025</t>
        </is>
      </c>
      <c r="B809" s="1" t="n">
        <v>45903.55262731481</v>
      </c>
      <c r="C809" s="1" t="n">
        <v>46181</v>
      </c>
      <c r="D809" t="inlineStr">
        <is>
          <t>VÄSTERNORRLANDS LÄN</t>
        </is>
      </c>
      <c r="E809" t="inlineStr">
        <is>
          <t>SUNDSVALL</t>
        </is>
      </c>
      <c r="G809" t="n">
        <v>4.4</v>
      </c>
      <c r="H809" t="n">
        <v>0</v>
      </c>
      <c r="I809" t="n">
        <v>0</v>
      </c>
      <c r="J809" t="n">
        <v>0</v>
      </c>
      <c r="K809" t="n">
        <v>0</v>
      </c>
      <c r="L809" t="n">
        <v>0</v>
      </c>
      <c r="M809" t="n">
        <v>0</v>
      </c>
      <c r="N809" t="n">
        <v>0</v>
      </c>
      <c r="O809" t="n">
        <v>0</v>
      </c>
      <c r="P809" t="n">
        <v>0</v>
      </c>
      <c r="Q809" t="n">
        <v>0</v>
      </c>
      <c r="R809" s="2" t="inlineStr"/>
    </row>
    <row r="810" ht="15" customHeight="1">
      <c r="A810" t="inlineStr">
        <is>
          <t>A 27340-2025</t>
        </is>
      </c>
      <c r="B810" s="1" t="n">
        <v>45812.61524305555</v>
      </c>
      <c r="C810" s="1" t="n">
        <v>46181</v>
      </c>
      <c r="D810" t="inlineStr">
        <is>
          <t>VÄSTERNORRLANDS LÄN</t>
        </is>
      </c>
      <c r="E810" t="inlineStr">
        <is>
          <t>SUNDSVALL</t>
        </is>
      </c>
      <c r="G810" t="n">
        <v>3.4</v>
      </c>
      <c r="H810" t="n">
        <v>0</v>
      </c>
      <c r="I810" t="n">
        <v>0</v>
      </c>
      <c r="J810" t="n">
        <v>0</v>
      </c>
      <c r="K810" t="n">
        <v>0</v>
      </c>
      <c r="L810" t="n">
        <v>0</v>
      </c>
      <c r="M810" t="n">
        <v>0</v>
      </c>
      <c r="N810" t="n">
        <v>0</v>
      </c>
      <c r="O810" t="n">
        <v>0</v>
      </c>
      <c r="P810" t="n">
        <v>0</v>
      </c>
      <c r="Q810" t="n">
        <v>0</v>
      </c>
      <c r="R810" s="2" t="inlineStr"/>
    </row>
    <row r="811" ht="15" customHeight="1">
      <c r="A811" t="inlineStr">
        <is>
          <t>A 2534-2026</t>
        </is>
      </c>
      <c r="B811" s="1" t="n">
        <v>46037.44837962963</v>
      </c>
      <c r="C811" s="1" t="n">
        <v>46181</v>
      </c>
      <c r="D811" t="inlineStr">
        <is>
          <t>VÄSTERNORRLANDS LÄN</t>
        </is>
      </c>
      <c r="E811" t="inlineStr">
        <is>
          <t>SUNDSVALL</t>
        </is>
      </c>
      <c r="G811" t="n">
        <v>3.8</v>
      </c>
      <c r="H811" t="n">
        <v>0</v>
      </c>
      <c r="I811" t="n">
        <v>0</v>
      </c>
      <c r="J811" t="n">
        <v>0</v>
      </c>
      <c r="K811" t="n">
        <v>0</v>
      </c>
      <c r="L811" t="n">
        <v>0</v>
      </c>
      <c r="M811" t="n">
        <v>0</v>
      </c>
      <c r="N811" t="n">
        <v>0</v>
      </c>
      <c r="O811" t="n">
        <v>0</v>
      </c>
      <c r="P811" t="n">
        <v>0</v>
      </c>
      <c r="Q811" t="n">
        <v>0</v>
      </c>
      <c r="R811" s="2" t="inlineStr"/>
    </row>
    <row r="812" ht="15" customHeight="1">
      <c r="A812" t="inlineStr">
        <is>
          <t>A 42771-2024</t>
        </is>
      </c>
      <c r="B812" s="1" t="n">
        <v>45566.51241898148</v>
      </c>
      <c r="C812" s="1" t="n">
        <v>46181</v>
      </c>
      <c r="D812" t="inlineStr">
        <is>
          <t>VÄSTERNORRLANDS LÄN</t>
        </is>
      </c>
      <c r="E812" t="inlineStr">
        <is>
          <t>SUNDSVALL</t>
        </is>
      </c>
      <c r="G812" t="n">
        <v>2.8</v>
      </c>
      <c r="H812" t="n">
        <v>0</v>
      </c>
      <c r="I812" t="n">
        <v>0</v>
      </c>
      <c r="J812" t="n">
        <v>0</v>
      </c>
      <c r="K812" t="n">
        <v>0</v>
      </c>
      <c r="L812" t="n">
        <v>0</v>
      </c>
      <c r="M812" t="n">
        <v>0</v>
      </c>
      <c r="N812" t="n">
        <v>0</v>
      </c>
      <c r="O812" t="n">
        <v>0</v>
      </c>
      <c r="P812" t="n">
        <v>0</v>
      </c>
      <c r="Q812" t="n">
        <v>0</v>
      </c>
      <c r="R812" s="2" t="inlineStr"/>
    </row>
    <row r="813" ht="15" customHeight="1">
      <c r="A813" t="inlineStr">
        <is>
          <t>A 4815-2025</t>
        </is>
      </c>
      <c r="B813" s="1" t="n">
        <v>45688</v>
      </c>
      <c r="C813" s="1" t="n">
        <v>46181</v>
      </c>
      <c r="D813" t="inlineStr">
        <is>
          <t>VÄSTERNORRLANDS LÄN</t>
        </is>
      </c>
      <c r="E813" t="inlineStr">
        <is>
          <t>SUNDSVALL</t>
        </is>
      </c>
      <c r="G813" t="n">
        <v>6.5</v>
      </c>
      <c r="H813" t="n">
        <v>0</v>
      </c>
      <c r="I813" t="n">
        <v>0</v>
      </c>
      <c r="J813" t="n">
        <v>0</v>
      </c>
      <c r="K813" t="n">
        <v>0</v>
      </c>
      <c r="L813" t="n">
        <v>0</v>
      </c>
      <c r="M813" t="n">
        <v>0</v>
      </c>
      <c r="N813" t="n">
        <v>0</v>
      </c>
      <c r="O813" t="n">
        <v>0</v>
      </c>
      <c r="P813" t="n">
        <v>0</v>
      </c>
      <c r="Q813" t="n">
        <v>0</v>
      </c>
      <c r="R813" s="2" t="inlineStr"/>
    </row>
    <row r="814" ht="15" customHeight="1">
      <c r="A814" t="inlineStr">
        <is>
          <t>A 41883-2025</t>
        </is>
      </c>
      <c r="B814" s="1" t="n">
        <v>45903.36512731481</v>
      </c>
      <c r="C814" s="1" t="n">
        <v>46181</v>
      </c>
      <c r="D814" t="inlineStr">
        <is>
          <t>VÄSTERNORRLANDS LÄN</t>
        </is>
      </c>
      <c r="E814" t="inlineStr">
        <is>
          <t>SUNDSVALL</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42024-2025</t>
        </is>
      </c>
      <c r="B815" s="1" t="n">
        <v>45903.59418981482</v>
      </c>
      <c r="C815" s="1" t="n">
        <v>46181</v>
      </c>
      <c r="D815" t="inlineStr">
        <is>
          <t>VÄSTERNORRLANDS LÄN</t>
        </is>
      </c>
      <c r="E815" t="inlineStr">
        <is>
          <t>SUNDSVALL</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4933-2025</t>
        </is>
      </c>
      <c r="B816" s="1" t="n">
        <v>45688.68486111111</v>
      </c>
      <c r="C816" s="1" t="n">
        <v>46181</v>
      </c>
      <c r="D816" t="inlineStr">
        <is>
          <t>VÄSTERNORRLANDS LÄN</t>
        </is>
      </c>
      <c r="E816" t="inlineStr">
        <is>
          <t>SUNDSVALL</t>
        </is>
      </c>
      <c r="G816" t="n">
        <v>3.5</v>
      </c>
      <c r="H816" t="n">
        <v>0</v>
      </c>
      <c r="I816" t="n">
        <v>0</v>
      </c>
      <c r="J816" t="n">
        <v>0</v>
      </c>
      <c r="K816" t="n">
        <v>0</v>
      </c>
      <c r="L816" t="n">
        <v>0</v>
      </c>
      <c r="M816" t="n">
        <v>0</v>
      </c>
      <c r="N816" t="n">
        <v>0</v>
      </c>
      <c r="O816" t="n">
        <v>0</v>
      </c>
      <c r="P816" t="n">
        <v>0</v>
      </c>
      <c r="Q816" t="n">
        <v>0</v>
      </c>
      <c r="R816" s="2" t="inlineStr"/>
    </row>
    <row r="817" ht="15" customHeight="1">
      <c r="A817" t="inlineStr">
        <is>
          <t>A 3634-2023</t>
        </is>
      </c>
      <c r="B817" s="1" t="n">
        <v>44950</v>
      </c>
      <c r="C817" s="1" t="n">
        <v>46181</v>
      </c>
      <c r="D817" t="inlineStr">
        <is>
          <t>VÄSTERNORRLANDS LÄN</t>
        </is>
      </c>
      <c r="E817" t="inlineStr">
        <is>
          <t>SUNDSVALL</t>
        </is>
      </c>
      <c r="G817" t="n">
        <v>49.4</v>
      </c>
      <c r="H817" t="n">
        <v>0</v>
      </c>
      <c r="I817" t="n">
        <v>0</v>
      </c>
      <c r="J817" t="n">
        <v>0</v>
      </c>
      <c r="K817" t="n">
        <v>0</v>
      </c>
      <c r="L817" t="n">
        <v>0</v>
      </c>
      <c r="M817" t="n">
        <v>0</v>
      </c>
      <c r="N817" t="n">
        <v>0</v>
      </c>
      <c r="O817" t="n">
        <v>0</v>
      </c>
      <c r="P817" t="n">
        <v>0</v>
      </c>
      <c r="Q817" t="n">
        <v>0</v>
      </c>
      <c r="R817" s="2" t="inlineStr"/>
    </row>
    <row r="818" ht="15" customHeight="1">
      <c r="A818" t="inlineStr">
        <is>
          <t>A 2610-2026</t>
        </is>
      </c>
      <c r="B818" s="1" t="n">
        <v>46037.58217592593</v>
      </c>
      <c r="C818" s="1" t="n">
        <v>46181</v>
      </c>
      <c r="D818" t="inlineStr">
        <is>
          <t>VÄSTERNORRLANDS LÄN</t>
        </is>
      </c>
      <c r="E818" t="inlineStr">
        <is>
          <t>SUNDSVALL</t>
        </is>
      </c>
      <c r="G818" t="n">
        <v>2.3</v>
      </c>
      <c r="H818" t="n">
        <v>0</v>
      </c>
      <c r="I818" t="n">
        <v>0</v>
      </c>
      <c r="J818" t="n">
        <v>0</v>
      </c>
      <c r="K818" t="n">
        <v>0</v>
      </c>
      <c r="L818" t="n">
        <v>0</v>
      </c>
      <c r="M818" t="n">
        <v>0</v>
      </c>
      <c r="N818" t="n">
        <v>0</v>
      </c>
      <c r="O818" t="n">
        <v>0</v>
      </c>
      <c r="P818" t="n">
        <v>0</v>
      </c>
      <c r="Q818" t="n">
        <v>0</v>
      </c>
      <c r="R818" s="2" t="inlineStr"/>
    </row>
    <row r="819" ht="15" customHeight="1">
      <c r="A819" t="inlineStr">
        <is>
          <t>A 3619-2024</t>
        </is>
      </c>
      <c r="B819" s="1" t="n">
        <v>45320.95262731481</v>
      </c>
      <c r="C819" s="1" t="n">
        <v>46181</v>
      </c>
      <c r="D819" t="inlineStr">
        <is>
          <t>VÄSTERNORRLANDS LÄN</t>
        </is>
      </c>
      <c r="E819" t="inlineStr">
        <is>
          <t>SUNDSVALL</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44758-2024</t>
        </is>
      </c>
      <c r="B820" s="1" t="n">
        <v>45574.61493055556</v>
      </c>
      <c r="C820" s="1" t="n">
        <v>46181</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42467-2025</t>
        </is>
      </c>
      <c r="B821" s="1" t="n">
        <v>45904</v>
      </c>
      <c r="C821" s="1" t="n">
        <v>46181</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8232-2022</t>
        </is>
      </c>
      <c r="B822" s="1" t="n">
        <v>44609.94840277778</v>
      </c>
      <c r="C822" s="1" t="n">
        <v>46181</v>
      </c>
      <c r="D822" t="inlineStr">
        <is>
          <t>VÄSTERNORRLANDS LÄN</t>
        </is>
      </c>
      <c r="E822" t="inlineStr">
        <is>
          <t>SUNDSVALL</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3341-2026</t>
        </is>
      </c>
      <c r="B823" s="1" t="n">
        <v>46041.85348379629</v>
      </c>
      <c r="C823" s="1" t="n">
        <v>46181</v>
      </c>
      <c r="D823" t="inlineStr">
        <is>
          <t>VÄSTERNORRLANDS LÄN</t>
        </is>
      </c>
      <c r="E823" t="inlineStr">
        <is>
          <t>SUNDSVALL</t>
        </is>
      </c>
      <c r="G823" t="n">
        <v>9</v>
      </c>
      <c r="H823" t="n">
        <v>0</v>
      </c>
      <c r="I823" t="n">
        <v>0</v>
      </c>
      <c r="J823" t="n">
        <v>0</v>
      </c>
      <c r="K823" t="n">
        <v>0</v>
      </c>
      <c r="L823" t="n">
        <v>0</v>
      </c>
      <c r="M823" t="n">
        <v>0</v>
      </c>
      <c r="N823" t="n">
        <v>0</v>
      </c>
      <c r="O823" t="n">
        <v>0</v>
      </c>
      <c r="P823" t="n">
        <v>0</v>
      </c>
      <c r="Q823" t="n">
        <v>0</v>
      </c>
      <c r="R823" s="2" t="inlineStr"/>
    </row>
    <row r="824" ht="15" customHeight="1">
      <c r="A824" t="inlineStr">
        <is>
          <t>A 56015-2024</t>
        </is>
      </c>
      <c r="B824" s="1" t="n">
        <v>45623.87550925926</v>
      </c>
      <c r="C824" s="1" t="n">
        <v>46181</v>
      </c>
      <c r="D824" t="inlineStr">
        <is>
          <t>VÄSTERNORRLANDS LÄN</t>
        </is>
      </c>
      <c r="E824" t="inlineStr">
        <is>
          <t>SUNDSVALL</t>
        </is>
      </c>
      <c r="G824" t="n">
        <v>1.3</v>
      </c>
      <c r="H824" t="n">
        <v>0</v>
      </c>
      <c r="I824" t="n">
        <v>0</v>
      </c>
      <c r="J824" t="n">
        <v>0</v>
      </c>
      <c r="K824" t="n">
        <v>0</v>
      </c>
      <c r="L824" t="n">
        <v>0</v>
      </c>
      <c r="M824" t="n">
        <v>0</v>
      </c>
      <c r="N824" t="n">
        <v>0</v>
      </c>
      <c r="O824" t="n">
        <v>0</v>
      </c>
      <c r="P824" t="n">
        <v>0</v>
      </c>
      <c r="Q824" t="n">
        <v>0</v>
      </c>
      <c r="R824" s="2" t="inlineStr"/>
    </row>
    <row r="825" ht="15" customHeight="1">
      <c r="A825" t="inlineStr">
        <is>
          <t>A 27169-2025</t>
        </is>
      </c>
      <c r="B825" s="1" t="n">
        <v>45812.34481481482</v>
      </c>
      <c r="C825" s="1" t="n">
        <v>46181</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27096-2025</t>
        </is>
      </c>
      <c r="B826" s="1" t="n">
        <v>45811.67756944444</v>
      </c>
      <c r="C826" s="1" t="n">
        <v>46181</v>
      </c>
      <c r="D826" t="inlineStr">
        <is>
          <t>VÄSTERNORRLANDS LÄN</t>
        </is>
      </c>
      <c r="E826" t="inlineStr">
        <is>
          <t>SUNDSVALL</t>
        </is>
      </c>
      <c r="F826" t="inlineStr">
        <is>
          <t>Naturvårdsverket</t>
        </is>
      </c>
      <c r="G826" t="n">
        <v>7.7</v>
      </c>
      <c r="H826" t="n">
        <v>0</v>
      </c>
      <c r="I826" t="n">
        <v>0</v>
      </c>
      <c r="J826" t="n">
        <v>0</v>
      </c>
      <c r="K826" t="n">
        <v>0</v>
      </c>
      <c r="L826" t="n">
        <v>0</v>
      </c>
      <c r="M826" t="n">
        <v>0</v>
      </c>
      <c r="N826" t="n">
        <v>0</v>
      </c>
      <c r="O826" t="n">
        <v>0</v>
      </c>
      <c r="P826" t="n">
        <v>0</v>
      </c>
      <c r="Q826" t="n">
        <v>0</v>
      </c>
      <c r="R826" s="2" t="inlineStr"/>
    </row>
    <row r="827" ht="15" customHeight="1">
      <c r="A827" t="inlineStr">
        <is>
          <t>A 27210-2025</t>
        </is>
      </c>
      <c r="B827" s="1" t="n">
        <v>45812.40680555555</v>
      </c>
      <c r="C827" s="1" t="n">
        <v>46181</v>
      </c>
      <c r="D827" t="inlineStr">
        <is>
          <t>VÄSTERNORRLANDS LÄN</t>
        </is>
      </c>
      <c r="E827" t="inlineStr">
        <is>
          <t>SUNDSVALL</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41999-2025</t>
        </is>
      </c>
      <c r="B828" s="1" t="n">
        <v>45903.55244212963</v>
      </c>
      <c r="C828" s="1" t="n">
        <v>46181</v>
      </c>
      <c r="D828" t="inlineStr">
        <is>
          <t>VÄSTERNORRLANDS LÄN</t>
        </is>
      </c>
      <c r="E828" t="inlineStr">
        <is>
          <t>SUNDSVALL</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30546-2025</t>
        </is>
      </c>
      <c r="B829" s="1" t="n">
        <v>45831</v>
      </c>
      <c r="C829" s="1" t="n">
        <v>46181</v>
      </c>
      <c r="D829" t="inlineStr">
        <is>
          <t>VÄSTERNORRLANDS LÄN</t>
        </is>
      </c>
      <c r="E829" t="inlineStr">
        <is>
          <t>SUNDSVALL</t>
        </is>
      </c>
      <c r="F829" t="inlineStr">
        <is>
          <t>Kyrkan</t>
        </is>
      </c>
      <c r="G829" t="n">
        <v>7.3</v>
      </c>
      <c r="H829" t="n">
        <v>0</v>
      </c>
      <c r="I829" t="n">
        <v>0</v>
      </c>
      <c r="J829" t="n">
        <v>0</v>
      </c>
      <c r="K829" t="n">
        <v>0</v>
      </c>
      <c r="L829" t="n">
        <v>0</v>
      </c>
      <c r="M829" t="n">
        <v>0</v>
      </c>
      <c r="N829" t="n">
        <v>0</v>
      </c>
      <c r="O829" t="n">
        <v>0</v>
      </c>
      <c r="P829" t="n">
        <v>0</v>
      </c>
      <c r="Q829" t="n">
        <v>0</v>
      </c>
      <c r="R829" s="2" t="inlineStr"/>
    </row>
    <row r="830" ht="15" customHeight="1">
      <c r="A830" t="inlineStr">
        <is>
          <t>A 16404-2025</t>
        </is>
      </c>
      <c r="B830" s="1" t="n">
        <v>45751</v>
      </c>
      <c r="C830" s="1" t="n">
        <v>46181</v>
      </c>
      <c r="D830" t="inlineStr">
        <is>
          <t>VÄSTERNORRLANDS LÄN</t>
        </is>
      </c>
      <c r="E830" t="inlineStr">
        <is>
          <t>SUNDSVALL</t>
        </is>
      </c>
      <c r="G830" t="n">
        <v>3.2</v>
      </c>
      <c r="H830" t="n">
        <v>0</v>
      </c>
      <c r="I830" t="n">
        <v>0</v>
      </c>
      <c r="J830" t="n">
        <v>0</v>
      </c>
      <c r="K830" t="n">
        <v>0</v>
      </c>
      <c r="L830" t="n">
        <v>0</v>
      </c>
      <c r="M830" t="n">
        <v>0</v>
      </c>
      <c r="N830" t="n">
        <v>0</v>
      </c>
      <c r="O830" t="n">
        <v>0</v>
      </c>
      <c r="P830" t="n">
        <v>0</v>
      </c>
      <c r="Q830" t="n">
        <v>0</v>
      </c>
      <c r="R830" s="2" t="inlineStr"/>
    </row>
    <row r="831" ht="15" customHeight="1">
      <c r="A831" t="inlineStr">
        <is>
          <t>A 15802-2022</t>
        </is>
      </c>
      <c r="B831" s="1" t="n">
        <v>44663.92585648148</v>
      </c>
      <c r="C831" s="1" t="n">
        <v>46181</v>
      </c>
      <c r="D831" t="inlineStr">
        <is>
          <t>VÄSTERNORRLANDS LÄN</t>
        </is>
      </c>
      <c r="E831" t="inlineStr">
        <is>
          <t>SUNDSVALL</t>
        </is>
      </c>
      <c r="G831" t="n">
        <v>4.6</v>
      </c>
      <c r="H831" t="n">
        <v>0</v>
      </c>
      <c r="I831" t="n">
        <v>0</v>
      </c>
      <c r="J831" t="n">
        <v>0</v>
      </c>
      <c r="K831" t="n">
        <v>0</v>
      </c>
      <c r="L831" t="n">
        <v>0</v>
      </c>
      <c r="M831" t="n">
        <v>0</v>
      </c>
      <c r="N831" t="n">
        <v>0</v>
      </c>
      <c r="O831" t="n">
        <v>0</v>
      </c>
      <c r="P831" t="n">
        <v>0</v>
      </c>
      <c r="Q831" t="n">
        <v>0</v>
      </c>
      <c r="R831" s="2" t="inlineStr"/>
    </row>
    <row r="832" ht="15" customHeight="1">
      <c r="A832" t="inlineStr">
        <is>
          <t>A 27095-2025</t>
        </is>
      </c>
      <c r="B832" s="1" t="n">
        <v>45811.67743055556</v>
      </c>
      <c r="C832" s="1" t="n">
        <v>46181</v>
      </c>
      <c r="D832" t="inlineStr">
        <is>
          <t>VÄSTERNORRLANDS LÄN</t>
        </is>
      </c>
      <c r="E832" t="inlineStr">
        <is>
          <t>SUNDSVALL</t>
        </is>
      </c>
      <c r="F832" t="inlineStr">
        <is>
          <t>Naturvårdsverket</t>
        </is>
      </c>
      <c r="G832" t="n">
        <v>1</v>
      </c>
      <c r="H832" t="n">
        <v>0</v>
      </c>
      <c r="I832" t="n">
        <v>0</v>
      </c>
      <c r="J832" t="n">
        <v>0</v>
      </c>
      <c r="K832" t="n">
        <v>0</v>
      </c>
      <c r="L832" t="n">
        <v>0</v>
      </c>
      <c r="M832" t="n">
        <v>0</v>
      </c>
      <c r="N832" t="n">
        <v>0</v>
      </c>
      <c r="O832" t="n">
        <v>0</v>
      </c>
      <c r="P832" t="n">
        <v>0</v>
      </c>
      <c r="Q832" t="n">
        <v>0</v>
      </c>
      <c r="R832" s="2" t="inlineStr"/>
    </row>
    <row r="833" ht="15" customHeight="1">
      <c r="A833" t="inlineStr">
        <is>
          <t>A 40317-2024</t>
        </is>
      </c>
      <c r="B833" s="1" t="n">
        <v>45554.793125</v>
      </c>
      <c r="C833" s="1" t="n">
        <v>46181</v>
      </c>
      <c r="D833" t="inlineStr">
        <is>
          <t>VÄSTERNORRLANDS LÄN</t>
        </is>
      </c>
      <c r="E833" t="inlineStr">
        <is>
          <t>SUNDSVALL</t>
        </is>
      </c>
      <c r="G833" t="n">
        <v>12.5</v>
      </c>
      <c r="H833" t="n">
        <v>0</v>
      </c>
      <c r="I833" t="n">
        <v>0</v>
      </c>
      <c r="J833" t="n">
        <v>0</v>
      </c>
      <c r="K833" t="n">
        <v>0</v>
      </c>
      <c r="L833" t="n">
        <v>0</v>
      </c>
      <c r="M833" t="n">
        <v>0</v>
      </c>
      <c r="N833" t="n">
        <v>0</v>
      </c>
      <c r="O833" t="n">
        <v>0</v>
      </c>
      <c r="P833" t="n">
        <v>0</v>
      </c>
      <c r="Q833" t="n">
        <v>0</v>
      </c>
      <c r="R833" s="2" t="inlineStr"/>
    </row>
    <row r="834" ht="15" customHeight="1">
      <c r="A834" t="inlineStr">
        <is>
          <t>A 27065-2025</t>
        </is>
      </c>
      <c r="B834" s="1" t="n">
        <v>45811.63635416667</v>
      </c>
      <c r="C834" s="1" t="n">
        <v>46181</v>
      </c>
      <c r="D834" t="inlineStr">
        <is>
          <t>VÄSTERNORRLANDS LÄN</t>
        </is>
      </c>
      <c r="E834" t="inlineStr">
        <is>
          <t>SUNDSVALL</t>
        </is>
      </c>
      <c r="F834" t="inlineStr">
        <is>
          <t>Naturvårdsverket</t>
        </is>
      </c>
      <c r="G834" t="n">
        <v>1.4</v>
      </c>
      <c r="H834" t="n">
        <v>0</v>
      </c>
      <c r="I834" t="n">
        <v>0</v>
      </c>
      <c r="J834" t="n">
        <v>0</v>
      </c>
      <c r="K834" t="n">
        <v>0</v>
      </c>
      <c r="L834" t="n">
        <v>0</v>
      </c>
      <c r="M834" t="n">
        <v>0</v>
      </c>
      <c r="N834" t="n">
        <v>0</v>
      </c>
      <c r="O834" t="n">
        <v>0</v>
      </c>
      <c r="P834" t="n">
        <v>0</v>
      </c>
      <c r="Q834" t="n">
        <v>0</v>
      </c>
      <c r="R834" s="2" t="inlineStr"/>
    </row>
    <row r="835" ht="15" customHeight="1">
      <c r="A835" t="inlineStr">
        <is>
          <t>A 42909-2025</t>
        </is>
      </c>
      <c r="B835" s="1" t="n">
        <v>45908.69828703703</v>
      </c>
      <c r="C835" s="1" t="n">
        <v>46181</v>
      </c>
      <c r="D835" t="inlineStr">
        <is>
          <t>VÄSTERNORRLANDS LÄN</t>
        </is>
      </c>
      <c r="E835" t="inlineStr">
        <is>
          <t>SUNDSVALL</t>
        </is>
      </c>
      <c r="F835" t="inlineStr">
        <is>
          <t>Naturvårdsverket</t>
        </is>
      </c>
      <c r="G835" t="n">
        <v>3.1</v>
      </c>
      <c r="H835" t="n">
        <v>0</v>
      </c>
      <c r="I835" t="n">
        <v>0</v>
      </c>
      <c r="J835" t="n">
        <v>0</v>
      </c>
      <c r="K835" t="n">
        <v>0</v>
      </c>
      <c r="L835" t="n">
        <v>0</v>
      </c>
      <c r="M835" t="n">
        <v>0</v>
      </c>
      <c r="N835" t="n">
        <v>0</v>
      </c>
      <c r="O835" t="n">
        <v>0</v>
      </c>
      <c r="P835" t="n">
        <v>0</v>
      </c>
      <c r="Q835" t="n">
        <v>0</v>
      </c>
      <c r="R835" s="2" t="inlineStr"/>
    </row>
    <row r="836" ht="15" customHeight="1">
      <c r="A836" t="inlineStr">
        <is>
          <t>A 45333-2023</t>
        </is>
      </c>
      <c r="B836" s="1" t="n">
        <v>45191</v>
      </c>
      <c r="C836" s="1" t="n">
        <v>46181</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4813-2025</t>
        </is>
      </c>
      <c r="B837" s="1" t="n">
        <v>45688</v>
      </c>
      <c r="C837" s="1" t="n">
        <v>46181</v>
      </c>
      <c r="D837" t="inlineStr">
        <is>
          <t>VÄSTERNORRLANDS LÄN</t>
        </is>
      </c>
      <c r="E837" t="inlineStr">
        <is>
          <t>SUNDSVALL</t>
        </is>
      </c>
      <c r="G837" t="n">
        <v>4.4</v>
      </c>
      <c r="H837" t="n">
        <v>0</v>
      </c>
      <c r="I837" t="n">
        <v>0</v>
      </c>
      <c r="J837" t="n">
        <v>0</v>
      </c>
      <c r="K837" t="n">
        <v>0</v>
      </c>
      <c r="L837" t="n">
        <v>0</v>
      </c>
      <c r="M837" t="n">
        <v>0</v>
      </c>
      <c r="N837" t="n">
        <v>0</v>
      </c>
      <c r="O837" t="n">
        <v>0</v>
      </c>
      <c r="P837" t="n">
        <v>0</v>
      </c>
      <c r="Q837" t="n">
        <v>0</v>
      </c>
      <c r="R837" s="2" t="inlineStr"/>
    </row>
    <row r="838" ht="15" customHeight="1">
      <c r="A838" t="inlineStr">
        <is>
          <t>A 27099-2025</t>
        </is>
      </c>
      <c r="B838" s="1" t="n">
        <v>45811.67792824074</v>
      </c>
      <c r="C838" s="1" t="n">
        <v>46181</v>
      </c>
      <c r="D838" t="inlineStr">
        <is>
          <t>VÄSTERNORRLANDS LÄN</t>
        </is>
      </c>
      <c r="E838" t="inlineStr">
        <is>
          <t>SUNDSVALL</t>
        </is>
      </c>
      <c r="F838" t="inlineStr">
        <is>
          <t>Naturvårdsverket</t>
        </is>
      </c>
      <c r="G838" t="n">
        <v>9.6</v>
      </c>
      <c r="H838" t="n">
        <v>0</v>
      </c>
      <c r="I838" t="n">
        <v>0</v>
      </c>
      <c r="J838" t="n">
        <v>0</v>
      </c>
      <c r="K838" t="n">
        <v>0</v>
      </c>
      <c r="L838" t="n">
        <v>0</v>
      </c>
      <c r="M838" t="n">
        <v>0</v>
      </c>
      <c r="N838" t="n">
        <v>0</v>
      </c>
      <c r="O838" t="n">
        <v>0</v>
      </c>
      <c r="P838" t="n">
        <v>0</v>
      </c>
      <c r="Q838" t="n">
        <v>0</v>
      </c>
      <c r="R838" s="2" t="inlineStr"/>
    </row>
    <row r="839" ht="15" customHeight="1">
      <c r="A839" t="inlineStr">
        <is>
          <t>A 58991-2024</t>
        </is>
      </c>
      <c r="B839" s="1" t="n">
        <v>45636.63574074074</v>
      </c>
      <c r="C839" s="1" t="n">
        <v>46181</v>
      </c>
      <c r="D839" t="inlineStr">
        <is>
          <t>VÄSTERNORRLANDS LÄN</t>
        </is>
      </c>
      <c r="E839" t="inlineStr">
        <is>
          <t>SUNDSVALL</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42762-2025</t>
        </is>
      </c>
      <c r="B840" s="1" t="n">
        <v>45905</v>
      </c>
      <c r="C840" s="1" t="n">
        <v>46181</v>
      </c>
      <c r="D840" t="inlineStr">
        <is>
          <t>VÄSTERNORRLANDS LÄN</t>
        </is>
      </c>
      <c r="E840" t="inlineStr">
        <is>
          <t>SUNDSVALL</t>
        </is>
      </c>
      <c r="G840" t="n">
        <v>3.8</v>
      </c>
      <c r="H840" t="n">
        <v>0</v>
      </c>
      <c r="I840" t="n">
        <v>0</v>
      </c>
      <c r="J840" t="n">
        <v>0</v>
      </c>
      <c r="K840" t="n">
        <v>0</v>
      </c>
      <c r="L840" t="n">
        <v>0</v>
      </c>
      <c r="M840" t="n">
        <v>0</v>
      </c>
      <c r="N840" t="n">
        <v>0</v>
      </c>
      <c r="O840" t="n">
        <v>0</v>
      </c>
      <c r="P840" t="n">
        <v>0</v>
      </c>
      <c r="Q840" t="n">
        <v>0</v>
      </c>
      <c r="R840" s="2" t="inlineStr"/>
    </row>
    <row r="841" ht="15" customHeight="1">
      <c r="A841" t="inlineStr">
        <is>
          <t>A 3536-2026</t>
        </is>
      </c>
      <c r="B841" s="1" t="n">
        <v>46042.62841435185</v>
      </c>
      <c r="C841" s="1" t="n">
        <v>46181</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19699-2025</t>
        </is>
      </c>
      <c r="B842" s="1" t="n">
        <v>45771.32137731482</v>
      </c>
      <c r="C842" s="1" t="n">
        <v>46181</v>
      </c>
      <c r="D842" t="inlineStr">
        <is>
          <t>VÄSTERNORRLANDS LÄN</t>
        </is>
      </c>
      <c r="E842" t="inlineStr">
        <is>
          <t>SUNDSVALL</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3376-2026</t>
        </is>
      </c>
      <c r="B843" s="1" t="n">
        <v>46042</v>
      </c>
      <c r="C843" s="1" t="n">
        <v>46181</v>
      </c>
      <c r="D843" t="inlineStr">
        <is>
          <t>VÄSTERNORRLANDS LÄN</t>
        </is>
      </c>
      <c r="E843" t="inlineStr">
        <is>
          <t>SUNDSVALL</t>
        </is>
      </c>
      <c r="G843" t="n">
        <v>9.5</v>
      </c>
      <c r="H843" t="n">
        <v>0</v>
      </c>
      <c r="I843" t="n">
        <v>0</v>
      </c>
      <c r="J843" t="n">
        <v>0</v>
      </c>
      <c r="K843" t="n">
        <v>0</v>
      </c>
      <c r="L843" t="n">
        <v>0</v>
      </c>
      <c r="M843" t="n">
        <v>0</v>
      </c>
      <c r="N843" t="n">
        <v>0</v>
      </c>
      <c r="O843" t="n">
        <v>0</v>
      </c>
      <c r="P843" t="n">
        <v>0</v>
      </c>
      <c r="Q843" t="n">
        <v>0</v>
      </c>
      <c r="R843" s="2" t="inlineStr"/>
    </row>
    <row r="844" ht="15" customHeight="1">
      <c r="A844" t="inlineStr">
        <is>
          <t>A 3287-2026</t>
        </is>
      </c>
      <c r="B844" s="1" t="n">
        <v>46041</v>
      </c>
      <c r="C844" s="1" t="n">
        <v>46181</v>
      </c>
      <c r="D844" t="inlineStr">
        <is>
          <t>VÄSTERNORRLANDS LÄN</t>
        </is>
      </c>
      <c r="E844" t="inlineStr">
        <is>
          <t>SUNDSVALL</t>
        </is>
      </c>
      <c r="G844" t="n">
        <v>4.6</v>
      </c>
      <c r="H844" t="n">
        <v>0</v>
      </c>
      <c r="I844" t="n">
        <v>0</v>
      </c>
      <c r="J844" t="n">
        <v>0</v>
      </c>
      <c r="K844" t="n">
        <v>0</v>
      </c>
      <c r="L844" t="n">
        <v>0</v>
      </c>
      <c r="M844" t="n">
        <v>0</v>
      </c>
      <c r="N844" t="n">
        <v>0</v>
      </c>
      <c r="O844" t="n">
        <v>0</v>
      </c>
      <c r="P844" t="n">
        <v>0</v>
      </c>
      <c r="Q844" t="n">
        <v>0</v>
      </c>
      <c r="R844" s="2" t="inlineStr"/>
    </row>
    <row r="845" ht="15" customHeight="1">
      <c r="A845" t="inlineStr">
        <is>
          <t>A 39710-2024</t>
        </is>
      </c>
      <c r="B845" s="1" t="n">
        <v>45552</v>
      </c>
      <c r="C845" s="1" t="n">
        <v>46181</v>
      </c>
      <c r="D845" t="inlineStr">
        <is>
          <t>VÄSTERNORRLANDS LÄN</t>
        </is>
      </c>
      <c r="E845" t="inlineStr">
        <is>
          <t>SUNDSVALL</t>
        </is>
      </c>
      <c r="G845" t="n">
        <v>0.7</v>
      </c>
      <c r="H845" t="n">
        <v>0</v>
      </c>
      <c r="I845" t="n">
        <v>0</v>
      </c>
      <c r="J845" t="n">
        <v>0</v>
      </c>
      <c r="K845" t="n">
        <v>0</v>
      </c>
      <c r="L845" t="n">
        <v>0</v>
      </c>
      <c r="M845" t="n">
        <v>0</v>
      </c>
      <c r="N845" t="n">
        <v>0</v>
      </c>
      <c r="O845" t="n">
        <v>0</v>
      </c>
      <c r="P845" t="n">
        <v>0</v>
      </c>
      <c r="Q845" t="n">
        <v>0</v>
      </c>
      <c r="R845" s="2" t="inlineStr"/>
    </row>
    <row r="846" ht="15" customHeight="1">
      <c r="A846" t="inlineStr">
        <is>
          <t>A 23690-2025</t>
        </is>
      </c>
      <c r="B846" s="1" t="n">
        <v>45793.34466435185</v>
      </c>
      <c r="C846" s="1" t="n">
        <v>46181</v>
      </c>
      <c r="D846" t="inlineStr">
        <is>
          <t>VÄSTERNORRLANDS LÄN</t>
        </is>
      </c>
      <c r="E846" t="inlineStr">
        <is>
          <t>SUNDSVALL</t>
        </is>
      </c>
      <c r="G846" t="n">
        <v>2.4</v>
      </c>
      <c r="H846" t="n">
        <v>0</v>
      </c>
      <c r="I846" t="n">
        <v>0</v>
      </c>
      <c r="J846" t="n">
        <v>0</v>
      </c>
      <c r="K846" t="n">
        <v>0</v>
      </c>
      <c r="L846" t="n">
        <v>0</v>
      </c>
      <c r="M846" t="n">
        <v>0</v>
      </c>
      <c r="N846" t="n">
        <v>0</v>
      </c>
      <c r="O846" t="n">
        <v>0</v>
      </c>
      <c r="P846" t="n">
        <v>0</v>
      </c>
      <c r="Q846" t="n">
        <v>0</v>
      </c>
      <c r="R846" s="2" t="inlineStr"/>
    </row>
    <row r="847" ht="15" customHeight="1">
      <c r="A847" t="inlineStr">
        <is>
          <t>A 60651-2022</t>
        </is>
      </c>
      <c r="B847" s="1" t="n">
        <v>44911</v>
      </c>
      <c r="C847" s="1" t="n">
        <v>46181</v>
      </c>
      <c r="D847" t="inlineStr">
        <is>
          <t>VÄSTERNORRLANDS LÄN</t>
        </is>
      </c>
      <c r="E847" t="inlineStr">
        <is>
          <t>SUNDSVALL</t>
        </is>
      </c>
      <c r="G847" t="n">
        <v>3.3</v>
      </c>
      <c r="H847" t="n">
        <v>0</v>
      </c>
      <c r="I847" t="n">
        <v>0</v>
      </c>
      <c r="J847" t="n">
        <v>0</v>
      </c>
      <c r="K847" t="n">
        <v>0</v>
      </c>
      <c r="L847" t="n">
        <v>0</v>
      </c>
      <c r="M847" t="n">
        <v>0</v>
      </c>
      <c r="N847" t="n">
        <v>0</v>
      </c>
      <c r="O847" t="n">
        <v>0</v>
      </c>
      <c r="P847" t="n">
        <v>0</v>
      </c>
      <c r="Q847" t="n">
        <v>0</v>
      </c>
      <c r="R847" s="2" t="inlineStr"/>
    </row>
    <row r="848" ht="15" customHeight="1">
      <c r="A848" t="inlineStr">
        <is>
          <t>A 43040-2024</t>
        </is>
      </c>
      <c r="B848" s="1" t="n">
        <v>45567</v>
      </c>
      <c r="C848" s="1" t="n">
        <v>46181</v>
      </c>
      <c r="D848" t="inlineStr">
        <is>
          <t>VÄSTERNORRLANDS LÄN</t>
        </is>
      </c>
      <c r="E848" t="inlineStr">
        <is>
          <t>SUNDSVALL</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51011-2021</t>
        </is>
      </c>
      <c r="B849" s="1" t="n">
        <v>44460</v>
      </c>
      <c r="C849" s="1" t="n">
        <v>46181</v>
      </c>
      <c r="D849" t="inlineStr">
        <is>
          <t>VÄSTERNORRLANDS LÄN</t>
        </is>
      </c>
      <c r="E849" t="inlineStr">
        <is>
          <t>SUNDSVALL</t>
        </is>
      </c>
      <c r="G849" t="n">
        <v>0.4</v>
      </c>
      <c r="H849" t="n">
        <v>0</v>
      </c>
      <c r="I849" t="n">
        <v>0</v>
      </c>
      <c r="J849" t="n">
        <v>0</v>
      </c>
      <c r="K849" t="n">
        <v>0</v>
      </c>
      <c r="L849" t="n">
        <v>0</v>
      </c>
      <c r="M849" t="n">
        <v>0</v>
      </c>
      <c r="N849" t="n">
        <v>0</v>
      </c>
      <c r="O849" t="n">
        <v>0</v>
      </c>
      <c r="P849" t="n">
        <v>0</v>
      </c>
      <c r="Q849" t="n">
        <v>0</v>
      </c>
      <c r="R849" s="2" t="inlineStr"/>
    </row>
    <row r="850" ht="15" customHeight="1">
      <c r="A850" t="inlineStr">
        <is>
          <t>A 39916-2024</t>
        </is>
      </c>
      <c r="B850" s="1" t="n">
        <v>45553</v>
      </c>
      <c r="C850" s="1" t="n">
        <v>46181</v>
      </c>
      <c r="D850" t="inlineStr">
        <is>
          <t>VÄSTERNORRLANDS LÄN</t>
        </is>
      </c>
      <c r="E850" t="inlineStr">
        <is>
          <t>SUNDSVALL</t>
        </is>
      </c>
      <c r="G850" t="n">
        <v>1.9</v>
      </c>
      <c r="H850" t="n">
        <v>0</v>
      </c>
      <c r="I850" t="n">
        <v>0</v>
      </c>
      <c r="J850" t="n">
        <v>0</v>
      </c>
      <c r="K850" t="n">
        <v>0</v>
      </c>
      <c r="L850" t="n">
        <v>0</v>
      </c>
      <c r="M850" t="n">
        <v>0</v>
      </c>
      <c r="N850" t="n">
        <v>0</v>
      </c>
      <c r="O850" t="n">
        <v>0</v>
      </c>
      <c r="P850" t="n">
        <v>0</v>
      </c>
      <c r="Q850" t="n">
        <v>0</v>
      </c>
      <c r="R850" s="2" t="inlineStr"/>
    </row>
    <row r="851" ht="15" customHeight="1">
      <c r="A851" t="inlineStr">
        <is>
          <t>A 4810-2025</t>
        </is>
      </c>
      <c r="B851" s="1" t="n">
        <v>45688</v>
      </c>
      <c r="C851" s="1" t="n">
        <v>46181</v>
      </c>
      <c r="D851" t="inlineStr">
        <is>
          <t>VÄSTERNORRLANDS LÄN</t>
        </is>
      </c>
      <c r="E851" t="inlineStr">
        <is>
          <t>SUNDSVALL</t>
        </is>
      </c>
      <c r="G851" t="n">
        <v>16</v>
      </c>
      <c r="H851" t="n">
        <v>0</v>
      </c>
      <c r="I851" t="n">
        <v>0</v>
      </c>
      <c r="J851" t="n">
        <v>0</v>
      </c>
      <c r="K851" t="n">
        <v>0</v>
      </c>
      <c r="L851" t="n">
        <v>0</v>
      </c>
      <c r="M851" t="n">
        <v>0</v>
      </c>
      <c r="N851" t="n">
        <v>0</v>
      </c>
      <c r="O851" t="n">
        <v>0</v>
      </c>
      <c r="P851" t="n">
        <v>0</v>
      </c>
      <c r="Q851" t="n">
        <v>0</v>
      </c>
      <c r="R851" s="2" t="inlineStr"/>
    </row>
    <row r="852" ht="15" customHeight="1">
      <c r="A852" t="inlineStr">
        <is>
          <t>A 1371-2023</t>
        </is>
      </c>
      <c r="B852" s="1" t="n">
        <v>44936.66162037037</v>
      </c>
      <c r="C852" s="1" t="n">
        <v>46181</v>
      </c>
      <c r="D852" t="inlineStr">
        <is>
          <t>VÄSTERNORRLANDS LÄN</t>
        </is>
      </c>
      <c r="E852" t="inlineStr">
        <is>
          <t>SUNDSVALL</t>
        </is>
      </c>
      <c r="G852" t="n">
        <v>2.7</v>
      </c>
      <c r="H852" t="n">
        <v>0</v>
      </c>
      <c r="I852" t="n">
        <v>0</v>
      </c>
      <c r="J852" t="n">
        <v>0</v>
      </c>
      <c r="K852" t="n">
        <v>0</v>
      </c>
      <c r="L852" t="n">
        <v>0</v>
      </c>
      <c r="M852" t="n">
        <v>0</v>
      </c>
      <c r="N852" t="n">
        <v>0</v>
      </c>
      <c r="O852" t="n">
        <v>0</v>
      </c>
      <c r="P852" t="n">
        <v>0</v>
      </c>
      <c r="Q852" t="n">
        <v>0</v>
      </c>
      <c r="R852" s="2" t="inlineStr"/>
    </row>
    <row r="853" ht="15" customHeight="1">
      <c r="A853" t="inlineStr">
        <is>
          <t>A 2625-2026</t>
        </is>
      </c>
      <c r="B853" s="1" t="n">
        <v>46037</v>
      </c>
      <c r="C853" s="1" t="n">
        <v>46181</v>
      </c>
      <c r="D853" t="inlineStr">
        <is>
          <t>VÄSTERNORRLANDS LÄN</t>
        </is>
      </c>
      <c r="E853" t="inlineStr">
        <is>
          <t>SUNDSVALL</t>
        </is>
      </c>
      <c r="G853" t="n">
        <v>19.5</v>
      </c>
      <c r="H853" t="n">
        <v>0</v>
      </c>
      <c r="I853" t="n">
        <v>0</v>
      </c>
      <c r="J853" t="n">
        <v>0</v>
      </c>
      <c r="K853" t="n">
        <v>0</v>
      </c>
      <c r="L853" t="n">
        <v>0</v>
      </c>
      <c r="M853" t="n">
        <v>0</v>
      </c>
      <c r="N853" t="n">
        <v>0</v>
      </c>
      <c r="O853" t="n">
        <v>0</v>
      </c>
      <c r="P853" t="n">
        <v>0</v>
      </c>
      <c r="Q853" t="n">
        <v>0</v>
      </c>
      <c r="R853" s="2" t="inlineStr"/>
    </row>
    <row r="854" ht="15" customHeight="1">
      <c r="A854" t="inlineStr">
        <is>
          <t>A 42428-2025</t>
        </is>
      </c>
      <c r="B854" s="1" t="n">
        <v>45905.4219212963</v>
      </c>
      <c r="C854" s="1" t="n">
        <v>46181</v>
      </c>
      <c r="D854" t="inlineStr">
        <is>
          <t>VÄSTERNORRLANDS LÄN</t>
        </is>
      </c>
      <c r="E854" t="inlineStr">
        <is>
          <t>SUNDSVALL</t>
        </is>
      </c>
      <c r="G854" t="n">
        <v>8.1</v>
      </c>
      <c r="H854" t="n">
        <v>0</v>
      </c>
      <c r="I854" t="n">
        <v>0</v>
      </c>
      <c r="J854" t="n">
        <v>0</v>
      </c>
      <c r="K854" t="n">
        <v>0</v>
      </c>
      <c r="L854" t="n">
        <v>0</v>
      </c>
      <c r="M854" t="n">
        <v>0</v>
      </c>
      <c r="N854" t="n">
        <v>0</v>
      </c>
      <c r="O854" t="n">
        <v>0</v>
      </c>
      <c r="P854" t="n">
        <v>0</v>
      </c>
      <c r="Q854" t="n">
        <v>0</v>
      </c>
      <c r="R854" s="2" t="inlineStr"/>
    </row>
    <row r="855" ht="15" customHeight="1">
      <c r="A855" t="inlineStr">
        <is>
          <t>A 3990-2026</t>
        </is>
      </c>
      <c r="B855" s="1" t="n">
        <v>46044</v>
      </c>
      <c r="C855" s="1" t="n">
        <v>46181</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7416-2025</t>
        </is>
      </c>
      <c r="B856" s="1" t="n">
        <v>45705</v>
      </c>
      <c r="C856" s="1" t="n">
        <v>46181</v>
      </c>
      <c r="D856" t="inlineStr">
        <is>
          <t>VÄSTERNORRLANDS LÄN</t>
        </is>
      </c>
      <c r="E856" t="inlineStr">
        <is>
          <t>SUNDSVALL</t>
        </is>
      </c>
      <c r="G856" t="n">
        <v>4.9</v>
      </c>
      <c r="H856" t="n">
        <v>0</v>
      </c>
      <c r="I856" t="n">
        <v>0</v>
      </c>
      <c r="J856" t="n">
        <v>0</v>
      </c>
      <c r="K856" t="n">
        <v>0</v>
      </c>
      <c r="L856" t="n">
        <v>0</v>
      </c>
      <c r="M856" t="n">
        <v>0</v>
      </c>
      <c r="N856" t="n">
        <v>0</v>
      </c>
      <c r="O856" t="n">
        <v>0</v>
      </c>
      <c r="P856" t="n">
        <v>0</v>
      </c>
      <c r="Q856" t="n">
        <v>0</v>
      </c>
      <c r="R856" s="2" t="inlineStr"/>
    </row>
    <row r="857" ht="15" customHeight="1">
      <c r="A857" t="inlineStr">
        <is>
          <t>A 3877-2026</t>
        </is>
      </c>
      <c r="B857" s="1" t="n">
        <v>46043</v>
      </c>
      <c r="C857" s="1" t="n">
        <v>46181</v>
      </c>
      <c r="D857" t="inlineStr">
        <is>
          <t>VÄSTERNORRLANDS LÄN</t>
        </is>
      </c>
      <c r="E857" t="inlineStr">
        <is>
          <t>SUNDSVALL</t>
        </is>
      </c>
      <c r="G857" t="n">
        <v>1</v>
      </c>
      <c r="H857" t="n">
        <v>0</v>
      </c>
      <c r="I857" t="n">
        <v>0</v>
      </c>
      <c r="J857" t="n">
        <v>0</v>
      </c>
      <c r="K857" t="n">
        <v>0</v>
      </c>
      <c r="L857" t="n">
        <v>0</v>
      </c>
      <c r="M857" t="n">
        <v>0</v>
      </c>
      <c r="N857" t="n">
        <v>0</v>
      </c>
      <c r="O857" t="n">
        <v>0</v>
      </c>
      <c r="P857" t="n">
        <v>0</v>
      </c>
      <c r="Q857" t="n">
        <v>0</v>
      </c>
      <c r="R857" s="2" t="inlineStr"/>
    </row>
    <row r="858" ht="15" customHeight="1">
      <c r="A858" t="inlineStr">
        <is>
          <t>A 42689-2025</t>
        </is>
      </c>
      <c r="B858" s="1" t="n">
        <v>45908.35649305556</v>
      </c>
      <c r="C858" s="1" t="n">
        <v>46181</v>
      </c>
      <c r="D858" t="inlineStr">
        <is>
          <t>VÄSTERNORRLANDS LÄN</t>
        </is>
      </c>
      <c r="E858" t="inlineStr">
        <is>
          <t>SUNDSVALL</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25037-2023</t>
        </is>
      </c>
      <c r="B859" s="1" t="n">
        <v>45085.92905092592</v>
      </c>
      <c r="C859" s="1" t="n">
        <v>46181</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4871-2022</t>
        </is>
      </c>
      <c r="B860" s="1" t="n">
        <v>44592</v>
      </c>
      <c r="C860" s="1" t="n">
        <v>46181</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3629-2026</t>
        </is>
      </c>
      <c r="B861" s="1" t="n">
        <v>46043</v>
      </c>
      <c r="C861" s="1" t="n">
        <v>46181</v>
      </c>
      <c r="D861" t="inlineStr">
        <is>
          <t>VÄSTERNORRLANDS LÄN</t>
        </is>
      </c>
      <c r="E861" t="inlineStr">
        <is>
          <t>SUNDSVALL</t>
        </is>
      </c>
      <c r="G861" t="n">
        <v>2.2</v>
      </c>
      <c r="H861" t="n">
        <v>0</v>
      </c>
      <c r="I861" t="n">
        <v>0</v>
      </c>
      <c r="J861" t="n">
        <v>0</v>
      </c>
      <c r="K861" t="n">
        <v>0</v>
      </c>
      <c r="L861" t="n">
        <v>0</v>
      </c>
      <c r="M861" t="n">
        <v>0</v>
      </c>
      <c r="N861" t="n">
        <v>0</v>
      </c>
      <c r="O861" t="n">
        <v>0</v>
      </c>
      <c r="P861" t="n">
        <v>0</v>
      </c>
      <c r="Q861" t="n">
        <v>0</v>
      </c>
      <c r="R861" s="2" t="inlineStr"/>
    </row>
    <row r="862" ht="15" customHeight="1">
      <c r="A862" t="inlineStr">
        <is>
          <t>A 27944-2025</t>
        </is>
      </c>
      <c r="B862" s="1" t="n">
        <v>45817.51094907407</v>
      </c>
      <c r="C862" s="1" t="n">
        <v>46181</v>
      </c>
      <c r="D862" t="inlineStr">
        <is>
          <t>VÄSTERNORRLANDS LÄN</t>
        </is>
      </c>
      <c r="E862" t="inlineStr">
        <is>
          <t>SUNDSVALL</t>
        </is>
      </c>
      <c r="F862" t="inlineStr">
        <is>
          <t>Naturvårdsverket</t>
        </is>
      </c>
      <c r="G862" t="n">
        <v>3.1</v>
      </c>
      <c r="H862" t="n">
        <v>0</v>
      </c>
      <c r="I862" t="n">
        <v>0</v>
      </c>
      <c r="J862" t="n">
        <v>0</v>
      </c>
      <c r="K862" t="n">
        <v>0</v>
      </c>
      <c r="L862" t="n">
        <v>0</v>
      </c>
      <c r="M862" t="n">
        <v>0</v>
      </c>
      <c r="N862" t="n">
        <v>0</v>
      </c>
      <c r="O862" t="n">
        <v>0</v>
      </c>
      <c r="P862" t="n">
        <v>0</v>
      </c>
      <c r="Q862" t="n">
        <v>0</v>
      </c>
      <c r="R862" s="2" t="inlineStr"/>
      <c r="U862">
        <f>HYPERLINK("https://klasma.github.io/Logging_2281/knärot/A 27944-2025 karta knärot.png", "A 27944-2025")</f>
        <v/>
      </c>
      <c r="V862">
        <f>HYPERLINK("https://klasma.github.io/Logging_2281/klagomål/A 27944-2025 FSC-klagomål.docx", "A 27944-2025")</f>
        <v/>
      </c>
      <c r="W862">
        <f>HYPERLINK("https://klasma.github.io/Logging_2281/klagomålsmail/A 27944-2025 FSC-klagomål mail.docx", "A 27944-2025")</f>
        <v/>
      </c>
      <c r="X862">
        <f>HYPERLINK("https://klasma.github.io/Logging_2281/tillsyn/A 27944-2025 tillsynsbegäran.docx", "A 27944-2025")</f>
        <v/>
      </c>
      <c r="Y862">
        <f>HYPERLINK("https://klasma.github.io/Logging_2281/tillsynsmail/A 27944-2025 tillsynsbegäran mail.docx", "A 27944-2025")</f>
        <v/>
      </c>
    </row>
    <row r="863" ht="15" customHeight="1">
      <c r="A863" t="inlineStr">
        <is>
          <t>A 42726-2025</t>
        </is>
      </c>
      <c r="B863" s="1" t="n">
        <v>45905</v>
      </c>
      <c r="C863" s="1" t="n">
        <v>46181</v>
      </c>
      <c r="D863" t="inlineStr">
        <is>
          <t>VÄSTERNORRLANDS LÄN</t>
        </is>
      </c>
      <c r="E863" t="inlineStr">
        <is>
          <t>SUNDSVALL</t>
        </is>
      </c>
      <c r="G863" t="n">
        <v>3.2</v>
      </c>
      <c r="H863" t="n">
        <v>0</v>
      </c>
      <c r="I863" t="n">
        <v>0</v>
      </c>
      <c r="J863" t="n">
        <v>0</v>
      </c>
      <c r="K863" t="n">
        <v>0</v>
      </c>
      <c r="L863" t="n">
        <v>0</v>
      </c>
      <c r="M863" t="n">
        <v>0</v>
      </c>
      <c r="N863" t="n">
        <v>0</v>
      </c>
      <c r="O863" t="n">
        <v>0</v>
      </c>
      <c r="P863" t="n">
        <v>0</v>
      </c>
      <c r="Q863" t="n">
        <v>0</v>
      </c>
      <c r="R863" s="2" t="inlineStr"/>
    </row>
    <row r="864" ht="15" customHeight="1">
      <c r="A864" t="inlineStr">
        <is>
          <t>A 3826-2026</t>
        </is>
      </c>
      <c r="B864" s="1" t="n">
        <v>46043</v>
      </c>
      <c r="C864" s="1" t="n">
        <v>46181</v>
      </c>
      <c r="D864" t="inlineStr">
        <is>
          <t>VÄSTERNORRLANDS LÄN</t>
        </is>
      </c>
      <c r="E864" t="inlineStr">
        <is>
          <t>SUNDSVALL</t>
        </is>
      </c>
      <c r="G864" t="n">
        <v>2.6</v>
      </c>
      <c r="H864" t="n">
        <v>0</v>
      </c>
      <c r="I864" t="n">
        <v>0</v>
      </c>
      <c r="J864" t="n">
        <v>0</v>
      </c>
      <c r="K864" t="n">
        <v>0</v>
      </c>
      <c r="L864" t="n">
        <v>0</v>
      </c>
      <c r="M864" t="n">
        <v>0</v>
      </c>
      <c r="N864" t="n">
        <v>0</v>
      </c>
      <c r="O864" t="n">
        <v>0</v>
      </c>
      <c r="P864" t="n">
        <v>0</v>
      </c>
      <c r="Q864" t="n">
        <v>0</v>
      </c>
      <c r="R864" s="2" t="inlineStr"/>
    </row>
    <row r="865" ht="15" customHeight="1">
      <c r="A865" t="inlineStr">
        <is>
          <t>A 37584-2024</t>
        </is>
      </c>
      <c r="B865" s="1" t="n">
        <v>45541.45975694444</v>
      </c>
      <c r="C865" s="1" t="n">
        <v>46181</v>
      </c>
      <c r="D865" t="inlineStr">
        <is>
          <t>VÄSTERNORRLANDS LÄN</t>
        </is>
      </c>
      <c r="E865" t="inlineStr">
        <is>
          <t>SUNDSVALL</t>
        </is>
      </c>
      <c r="G865" t="n">
        <v>4.1</v>
      </c>
      <c r="H865" t="n">
        <v>0</v>
      </c>
      <c r="I865" t="n">
        <v>0</v>
      </c>
      <c r="J865" t="n">
        <v>0</v>
      </c>
      <c r="K865" t="n">
        <v>0</v>
      </c>
      <c r="L865" t="n">
        <v>0</v>
      </c>
      <c r="M865" t="n">
        <v>0</v>
      </c>
      <c r="N865" t="n">
        <v>0</v>
      </c>
      <c r="O865" t="n">
        <v>0</v>
      </c>
      <c r="P865" t="n">
        <v>0</v>
      </c>
      <c r="Q865" t="n">
        <v>0</v>
      </c>
      <c r="R865" s="2" t="inlineStr"/>
    </row>
    <row r="866" ht="15" customHeight="1">
      <c r="A866" t="inlineStr">
        <is>
          <t>A 30748-2024</t>
        </is>
      </c>
      <c r="B866" s="1" t="n">
        <v>45496.6871875</v>
      </c>
      <c r="C866" s="1" t="n">
        <v>46181</v>
      </c>
      <c r="D866" t="inlineStr">
        <is>
          <t>VÄSTERNORRLANDS LÄN</t>
        </is>
      </c>
      <c r="E866" t="inlineStr">
        <is>
          <t>SUNDSVALL</t>
        </is>
      </c>
      <c r="G866" t="n">
        <v>3.3</v>
      </c>
      <c r="H866" t="n">
        <v>0</v>
      </c>
      <c r="I866" t="n">
        <v>0</v>
      </c>
      <c r="J866" t="n">
        <v>0</v>
      </c>
      <c r="K866" t="n">
        <v>0</v>
      </c>
      <c r="L866" t="n">
        <v>0</v>
      </c>
      <c r="M866" t="n">
        <v>0</v>
      </c>
      <c r="N866" t="n">
        <v>0</v>
      </c>
      <c r="O866" t="n">
        <v>0</v>
      </c>
      <c r="P866" t="n">
        <v>0</v>
      </c>
      <c r="Q866" t="n">
        <v>0</v>
      </c>
      <c r="R866" s="2" t="inlineStr"/>
    </row>
    <row r="867" ht="15" customHeight="1">
      <c r="A867" t="inlineStr">
        <is>
          <t>A 31712-2024</t>
        </is>
      </c>
      <c r="B867" s="1" t="n">
        <v>45508</v>
      </c>
      <c r="C867" s="1" t="n">
        <v>46181</v>
      </c>
      <c r="D867" t="inlineStr">
        <is>
          <t>VÄSTERNORRLANDS LÄN</t>
        </is>
      </c>
      <c r="E867" t="inlineStr">
        <is>
          <t>SUNDSVALL</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41196-2024</t>
        </is>
      </c>
      <c r="B868" s="1" t="n">
        <v>45559.51123842593</v>
      </c>
      <c r="C868" s="1" t="n">
        <v>46181</v>
      </c>
      <c r="D868" t="inlineStr">
        <is>
          <t>VÄSTERNORRLANDS LÄN</t>
        </is>
      </c>
      <c r="E868" t="inlineStr">
        <is>
          <t>SUNDSVALL</t>
        </is>
      </c>
      <c r="G868" t="n">
        <v>13.2</v>
      </c>
      <c r="H868" t="n">
        <v>0</v>
      </c>
      <c r="I868" t="n">
        <v>0</v>
      </c>
      <c r="J868" t="n">
        <v>0</v>
      </c>
      <c r="K868" t="n">
        <v>0</v>
      </c>
      <c r="L868" t="n">
        <v>0</v>
      </c>
      <c r="M868" t="n">
        <v>0</v>
      </c>
      <c r="N868" t="n">
        <v>0</v>
      </c>
      <c r="O868" t="n">
        <v>0</v>
      </c>
      <c r="P868" t="n">
        <v>0</v>
      </c>
      <c r="Q868" t="n">
        <v>0</v>
      </c>
      <c r="R868" s="2" t="inlineStr"/>
    </row>
    <row r="869" ht="15" customHeight="1">
      <c r="A869" t="inlineStr">
        <is>
          <t>A 3822-2026</t>
        </is>
      </c>
      <c r="B869" s="1" t="n">
        <v>46043</v>
      </c>
      <c r="C869" s="1" t="n">
        <v>46181</v>
      </c>
      <c r="D869" t="inlineStr">
        <is>
          <t>VÄSTERNORRLANDS LÄN</t>
        </is>
      </c>
      <c r="E869" t="inlineStr">
        <is>
          <t>SUNDSVALL</t>
        </is>
      </c>
      <c r="G869" t="n">
        <v>4.9</v>
      </c>
      <c r="H869" t="n">
        <v>0</v>
      </c>
      <c r="I869" t="n">
        <v>0</v>
      </c>
      <c r="J869" t="n">
        <v>0</v>
      </c>
      <c r="K869" t="n">
        <v>0</v>
      </c>
      <c r="L869" t="n">
        <v>0</v>
      </c>
      <c r="M869" t="n">
        <v>0</v>
      </c>
      <c r="N869" t="n">
        <v>0</v>
      </c>
      <c r="O869" t="n">
        <v>0</v>
      </c>
      <c r="P869" t="n">
        <v>0</v>
      </c>
      <c r="Q869" t="n">
        <v>0</v>
      </c>
      <c r="R869" s="2" t="inlineStr"/>
    </row>
    <row r="870" ht="15" customHeight="1">
      <c r="A870" t="inlineStr">
        <is>
          <t>A 33108-2024</t>
        </is>
      </c>
      <c r="B870" s="1" t="n">
        <v>45517</v>
      </c>
      <c r="C870" s="1" t="n">
        <v>46181</v>
      </c>
      <c r="D870" t="inlineStr">
        <is>
          <t>VÄSTERNORRLANDS LÄN</t>
        </is>
      </c>
      <c r="E870" t="inlineStr">
        <is>
          <t>SUNDSVALL</t>
        </is>
      </c>
      <c r="G870" t="n">
        <v>5.8</v>
      </c>
      <c r="H870" t="n">
        <v>0</v>
      </c>
      <c r="I870" t="n">
        <v>0</v>
      </c>
      <c r="J870" t="n">
        <v>0</v>
      </c>
      <c r="K870" t="n">
        <v>0</v>
      </c>
      <c r="L870" t="n">
        <v>0</v>
      </c>
      <c r="M870" t="n">
        <v>0</v>
      </c>
      <c r="N870" t="n">
        <v>0</v>
      </c>
      <c r="O870" t="n">
        <v>0</v>
      </c>
      <c r="P870" t="n">
        <v>0</v>
      </c>
      <c r="Q870" t="n">
        <v>0</v>
      </c>
      <c r="R870" s="2" t="inlineStr"/>
    </row>
    <row r="871" ht="15" customHeight="1">
      <c r="A871" t="inlineStr">
        <is>
          <t>A 20086-2022</t>
        </is>
      </c>
      <c r="B871" s="1" t="n">
        <v>44697</v>
      </c>
      <c r="C871" s="1" t="n">
        <v>46181</v>
      </c>
      <c r="D871" t="inlineStr">
        <is>
          <t>VÄSTERNORRLANDS LÄN</t>
        </is>
      </c>
      <c r="E871" t="inlineStr">
        <is>
          <t>SUNDSVALL</t>
        </is>
      </c>
      <c r="G871" t="n">
        <v>2</v>
      </c>
      <c r="H871" t="n">
        <v>0</v>
      </c>
      <c r="I871" t="n">
        <v>0</v>
      </c>
      <c r="J871" t="n">
        <v>0</v>
      </c>
      <c r="K871" t="n">
        <v>0</v>
      </c>
      <c r="L871" t="n">
        <v>0</v>
      </c>
      <c r="M871" t="n">
        <v>0</v>
      </c>
      <c r="N871" t="n">
        <v>0</v>
      </c>
      <c r="O871" t="n">
        <v>0</v>
      </c>
      <c r="P871" t="n">
        <v>0</v>
      </c>
      <c r="Q871" t="n">
        <v>0</v>
      </c>
      <c r="R871" s="2" t="inlineStr"/>
    </row>
    <row r="872" ht="15" customHeight="1">
      <c r="A872" t="inlineStr">
        <is>
          <t>A 27754-2025</t>
        </is>
      </c>
      <c r="B872" s="1" t="n">
        <v>45815.69635416667</v>
      </c>
      <c r="C872" s="1" t="n">
        <v>46181</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4467-2026</t>
        </is>
      </c>
      <c r="B873" s="1" t="n">
        <v>46044</v>
      </c>
      <c r="C873" s="1" t="n">
        <v>46181</v>
      </c>
      <c r="D873" t="inlineStr">
        <is>
          <t>VÄSTERNORRLANDS LÄN</t>
        </is>
      </c>
      <c r="E873" t="inlineStr">
        <is>
          <t>SUNDSVALL</t>
        </is>
      </c>
      <c r="G873" t="n">
        <v>2.6</v>
      </c>
      <c r="H873" t="n">
        <v>0</v>
      </c>
      <c r="I873" t="n">
        <v>0</v>
      </c>
      <c r="J873" t="n">
        <v>0</v>
      </c>
      <c r="K873" t="n">
        <v>0</v>
      </c>
      <c r="L873" t="n">
        <v>0</v>
      </c>
      <c r="M873" t="n">
        <v>0</v>
      </c>
      <c r="N873" t="n">
        <v>0</v>
      </c>
      <c r="O873" t="n">
        <v>0</v>
      </c>
      <c r="P873" t="n">
        <v>0</v>
      </c>
      <c r="Q873" t="n">
        <v>0</v>
      </c>
      <c r="R873" s="2" t="inlineStr"/>
    </row>
    <row r="874" ht="15" customHeight="1">
      <c r="A874" t="inlineStr">
        <is>
          <t>A 3744-2026</t>
        </is>
      </c>
      <c r="B874" s="1" t="n">
        <v>46043</v>
      </c>
      <c r="C874" s="1" t="n">
        <v>46181</v>
      </c>
      <c r="D874" t="inlineStr">
        <is>
          <t>VÄSTERNORRLANDS LÄN</t>
        </is>
      </c>
      <c r="E874" t="inlineStr">
        <is>
          <t>SUNDSVALL</t>
        </is>
      </c>
      <c r="G874" t="n">
        <v>2</v>
      </c>
      <c r="H874" t="n">
        <v>0</v>
      </c>
      <c r="I874" t="n">
        <v>0</v>
      </c>
      <c r="J874" t="n">
        <v>0</v>
      </c>
      <c r="K874" t="n">
        <v>0</v>
      </c>
      <c r="L874" t="n">
        <v>0</v>
      </c>
      <c r="M874" t="n">
        <v>0</v>
      </c>
      <c r="N874" t="n">
        <v>0</v>
      </c>
      <c r="O874" t="n">
        <v>0</v>
      </c>
      <c r="P874" t="n">
        <v>0</v>
      </c>
      <c r="Q874" t="n">
        <v>0</v>
      </c>
      <c r="R874" s="2" t="inlineStr"/>
    </row>
    <row r="875" ht="15" customHeight="1">
      <c r="A875" t="inlineStr">
        <is>
          <t>A 730-2025</t>
        </is>
      </c>
      <c r="B875" s="1" t="n">
        <v>45665</v>
      </c>
      <c r="C875" s="1" t="n">
        <v>46181</v>
      </c>
      <c r="D875" t="inlineStr">
        <is>
          <t>VÄSTERNORRLANDS LÄN</t>
        </is>
      </c>
      <c r="E875" t="inlineStr">
        <is>
          <t>SUNDSVALL</t>
        </is>
      </c>
      <c r="G875" t="n">
        <v>2</v>
      </c>
      <c r="H875" t="n">
        <v>0</v>
      </c>
      <c r="I875" t="n">
        <v>0</v>
      </c>
      <c r="J875" t="n">
        <v>0</v>
      </c>
      <c r="K875" t="n">
        <v>0</v>
      </c>
      <c r="L875" t="n">
        <v>0</v>
      </c>
      <c r="M875" t="n">
        <v>0</v>
      </c>
      <c r="N875" t="n">
        <v>0</v>
      </c>
      <c r="O875" t="n">
        <v>0</v>
      </c>
      <c r="P875" t="n">
        <v>0</v>
      </c>
      <c r="Q875" t="n">
        <v>0</v>
      </c>
      <c r="R875" s="2" t="inlineStr"/>
    </row>
    <row r="876" ht="15" customHeight="1">
      <c r="A876" t="inlineStr">
        <is>
          <t>A 61268-2023</t>
        </is>
      </c>
      <c r="B876" s="1" t="n">
        <v>45264</v>
      </c>
      <c r="C876" s="1" t="n">
        <v>46181</v>
      </c>
      <c r="D876" t="inlineStr">
        <is>
          <t>VÄSTERNORRLANDS LÄN</t>
        </is>
      </c>
      <c r="E876" t="inlineStr">
        <is>
          <t>SUNDSVALL</t>
        </is>
      </c>
      <c r="G876" t="n">
        <v>1.6</v>
      </c>
      <c r="H876" t="n">
        <v>0</v>
      </c>
      <c r="I876" t="n">
        <v>0</v>
      </c>
      <c r="J876" t="n">
        <v>0</v>
      </c>
      <c r="K876" t="n">
        <v>0</v>
      </c>
      <c r="L876" t="n">
        <v>0</v>
      </c>
      <c r="M876" t="n">
        <v>0</v>
      </c>
      <c r="N876" t="n">
        <v>0</v>
      </c>
      <c r="O876" t="n">
        <v>0</v>
      </c>
      <c r="P876" t="n">
        <v>0</v>
      </c>
      <c r="Q876" t="n">
        <v>0</v>
      </c>
      <c r="R876" s="2" t="inlineStr"/>
    </row>
    <row r="877" ht="15" customHeight="1">
      <c r="A877" t="inlineStr">
        <is>
          <t>A 19385-2022</t>
        </is>
      </c>
      <c r="B877" s="1" t="n">
        <v>44692.92344907407</v>
      </c>
      <c r="C877" s="1" t="n">
        <v>46181</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43331-2025</t>
        </is>
      </c>
      <c r="B878" s="1" t="n">
        <v>45910.69842592593</v>
      </c>
      <c r="C878" s="1" t="n">
        <v>46181</v>
      </c>
      <c r="D878" t="inlineStr">
        <is>
          <t>VÄSTERNORRLANDS LÄN</t>
        </is>
      </c>
      <c r="E878" t="inlineStr">
        <is>
          <t>SUNDSVALL</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21188-2025</t>
        </is>
      </c>
      <c r="B879" s="1" t="n">
        <v>45777</v>
      </c>
      <c r="C879" s="1" t="n">
        <v>46181</v>
      </c>
      <c r="D879" t="inlineStr">
        <is>
          <t>VÄSTERNORRLANDS LÄN</t>
        </is>
      </c>
      <c r="E879" t="inlineStr">
        <is>
          <t>SUNDSVALL</t>
        </is>
      </c>
      <c r="G879" t="n">
        <v>2.5</v>
      </c>
      <c r="H879" t="n">
        <v>0</v>
      </c>
      <c r="I879" t="n">
        <v>0</v>
      </c>
      <c r="J879" t="n">
        <v>0</v>
      </c>
      <c r="K879" t="n">
        <v>0</v>
      </c>
      <c r="L879" t="n">
        <v>0</v>
      </c>
      <c r="M879" t="n">
        <v>0</v>
      </c>
      <c r="N879" t="n">
        <v>0</v>
      </c>
      <c r="O879" t="n">
        <v>0</v>
      </c>
      <c r="P879" t="n">
        <v>0</v>
      </c>
      <c r="Q879" t="n">
        <v>0</v>
      </c>
      <c r="R879" s="2" t="inlineStr"/>
    </row>
    <row r="880" ht="15" customHeight="1">
      <c r="A880" t="inlineStr">
        <is>
          <t>A 22729-2022</t>
        </is>
      </c>
      <c r="B880" s="1" t="n">
        <v>44714.65461805555</v>
      </c>
      <c r="C880" s="1" t="n">
        <v>46181</v>
      </c>
      <c r="D880" t="inlineStr">
        <is>
          <t>VÄSTERNORRLANDS LÄN</t>
        </is>
      </c>
      <c r="E880" t="inlineStr">
        <is>
          <t>SUNDSVALL</t>
        </is>
      </c>
      <c r="G880" t="n">
        <v>2.4</v>
      </c>
      <c r="H880" t="n">
        <v>0</v>
      </c>
      <c r="I880" t="n">
        <v>0</v>
      </c>
      <c r="J880" t="n">
        <v>0</v>
      </c>
      <c r="K880" t="n">
        <v>0</v>
      </c>
      <c r="L880" t="n">
        <v>0</v>
      </c>
      <c r="M880" t="n">
        <v>0</v>
      </c>
      <c r="N880" t="n">
        <v>0</v>
      </c>
      <c r="O880" t="n">
        <v>0</v>
      </c>
      <c r="P880" t="n">
        <v>0</v>
      </c>
      <c r="Q880" t="n">
        <v>0</v>
      </c>
      <c r="R880" s="2" t="inlineStr"/>
    </row>
    <row r="881" ht="15" customHeight="1">
      <c r="A881" t="inlineStr">
        <is>
          <t>A 27753-2025</t>
        </is>
      </c>
      <c r="B881" s="1" t="n">
        <v>45815.69273148148</v>
      </c>
      <c r="C881" s="1" t="n">
        <v>46181</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4561-2026</t>
        </is>
      </c>
      <c r="B882" s="1" t="n">
        <v>46047</v>
      </c>
      <c r="C882" s="1" t="n">
        <v>46181</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17993-2022</t>
        </is>
      </c>
      <c r="B883" s="1" t="n">
        <v>44683</v>
      </c>
      <c r="C883" s="1" t="n">
        <v>46181</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43152-2025</t>
        </is>
      </c>
      <c r="B884" s="1" t="n">
        <v>45910.34438657408</v>
      </c>
      <c r="C884" s="1" t="n">
        <v>46181</v>
      </c>
      <c r="D884" t="inlineStr">
        <is>
          <t>VÄSTERNORRLANDS LÄN</t>
        </is>
      </c>
      <c r="E884" t="inlineStr">
        <is>
          <t>SUNDSVALL</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10047-2023</t>
        </is>
      </c>
      <c r="B885" s="1" t="n">
        <v>44977</v>
      </c>
      <c r="C885" s="1" t="n">
        <v>46181</v>
      </c>
      <c r="D885" t="inlineStr">
        <is>
          <t>VÄSTERNORRLANDS LÄN</t>
        </is>
      </c>
      <c r="E885" t="inlineStr">
        <is>
          <t>SUNDSVALL</t>
        </is>
      </c>
      <c r="G885" t="n">
        <v>1.1</v>
      </c>
      <c r="H885" t="n">
        <v>0</v>
      </c>
      <c r="I885" t="n">
        <v>0</v>
      </c>
      <c r="J885" t="n">
        <v>0</v>
      </c>
      <c r="K885" t="n">
        <v>0</v>
      </c>
      <c r="L885" t="n">
        <v>0</v>
      </c>
      <c r="M885" t="n">
        <v>0</v>
      </c>
      <c r="N885" t="n">
        <v>0</v>
      </c>
      <c r="O885" t="n">
        <v>0</v>
      </c>
      <c r="P885" t="n">
        <v>0</v>
      </c>
      <c r="Q885" t="n">
        <v>0</v>
      </c>
      <c r="R885" s="2" t="inlineStr"/>
    </row>
    <row r="886" ht="15" customHeight="1">
      <c r="A886" t="inlineStr">
        <is>
          <t>A 27823-2025</t>
        </is>
      </c>
      <c r="B886" s="1" t="n">
        <v>45817.34424768519</v>
      </c>
      <c r="C886" s="1" t="n">
        <v>46181</v>
      </c>
      <c r="D886" t="inlineStr">
        <is>
          <t>VÄSTERNORRLANDS LÄN</t>
        </is>
      </c>
      <c r="E886" t="inlineStr">
        <is>
          <t>SUNDSVALL</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43108-2025</t>
        </is>
      </c>
      <c r="B887" s="1" t="n">
        <v>45909.65167824074</v>
      </c>
      <c r="C887" s="1" t="n">
        <v>46181</v>
      </c>
      <c r="D887" t="inlineStr">
        <is>
          <t>VÄSTERNORRLANDS LÄN</t>
        </is>
      </c>
      <c r="E887" t="inlineStr">
        <is>
          <t>SUNDSVALL</t>
        </is>
      </c>
      <c r="G887" t="n">
        <v>2.1</v>
      </c>
      <c r="H887" t="n">
        <v>0</v>
      </c>
      <c r="I887" t="n">
        <v>0</v>
      </c>
      <c r="J887" t="n">
        <v>0</v>
      </c>
      <c r="K887" t="n">
        <v>0</v>
      </c>
      <c r="L887" t="n">
        <v>0</v>
      </c>
      <c r="M887" t="n">
        <v>0</v>
      </c>
      <c r="N887" t="n">
        <v>0</v>
      </c>
      <c r="O887" t="n">
        <v>0</v>
      </c>
      <c r="P887" t="n">
        <v>0</v>
      </c>
      <c r="Q887" t="n">
        <v>0</v>
      </c>
      <c r="R887" s="2" t="inlineStr"/>
    </row>
    <row r="888" ht="15" customHeight="1">
      <c r="A888" t="inlineStr">
        <is>
          <t>A 58419-2022</t>
        </is>
      </c>
      <c r="B888" s="1" t="n">
        <v>44901</v>
      </c>
      <c r="C888" s="1" t="n">
        <v>46181</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39795-2023</t>
        </is>
      </c>
      <c r="B889" s="1" t="n">
        <v>45167</v>
      </c>
      <c r="C889" s="1" t="n">
        <v>46181</v>
      </c>
      <c r="D889" t="inlineStr">
        <is>
          <t>VÄSTERNORRLANDS LÄN</t>
        </is>
      </c>
      <c r="E889" t="inlineStr">
        <is>
          <t>SUNDSVALL</t>
        </is>
      </c>
      <c r="G889" t="n">
        <v>15.2</v>
      </c>
      <c r="H889" t="n">
        <v>0</v>
      </c>
      <c r="I889" t="n">
        <v>0</v>
      </c>
      <c r="J889" t="n">
        <v>0</v>
      </c>
      <c r="K889" t="n">
        <v>0</v>
      </c>
      <c r="L889" t="n">
        <v>0</v>
      </c>
      <c r="M889" t="n">
        <v>0</v>
      </c>
      <c r="N889" t="n">
        <v>0</v>
      </c>
      <c r="O889" t="n">
        <v>0</v>
      </c>
      <c r="P889" t="n">
        <v>0</v>
      </c>
      <c r="Q889" t="n">
        <v>0</v>
      </c>
      <c r="R889" s="2" t="inlineStr"/>
    </row>
    <row r="890" ht="15" customHeight="1">
      <c r="A890" t="inlineStr">
        <is>
          <t>A 62076-2022</t>
        </is>
      </c>
      <c r="B890" s="1" t="n">
        <v>44918.9221412037</v>
      </c>
      <c r="C890" s="1" t="n">
        <v>46181</v>
      </c>
      <c r="D890" t="inlineStr">
        <is>
          <t>VÄSTERNORRLANDS LÄN</t>
        </is>
      </c>
      <c r="E890" t="inlineStr">
        <is>
          <t>SUNDSVALL</t>
        </is>
      </c>
      <c r="G890" t="n">
        <v>2.6</v>
      </c>
      <c r="H890" t="n">
        <v>0</v>
      </c>
      <c r="I890" t="n">
        <v>0</v>
      </c>
      <c r="J890" t="n">
        <v>0</v>
      </c>
      <c r="K890" t="n">
        <v>0</v>
      </c>
      <c r="L890" t="n">
        <v>0</v>
      </c>
      <c r="M890" t="n">
        <v>0</v>
      </c>
      <c r="N890" t="n">
        <v>0</v>
      </c>
      <c r="O890" t="n">
        <v>0</v>
      </c>
      <c r="P890" t="n">
        <v>0</v>
      </c>
      <c r="Q890" t="n">
        <v>0</v>
      </c>
      <c r="R890" s="2" t="inlineStr"/>
    </row>
    <row r="891" ht="15" customHeight="1">
      <c r="A891" t="inlineStr">
        <is>
          <t>A 47283-2023</t>
        </is>
      </c>
      <c r="B891" s="1" t="n">
        <v>45196</v>
      </c>
      <c r="C891" s="1" t="n">
        <v>46181</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43615-2025</t>
        </is>
      </c>
      <c r="B892" s="1" t="n">
        <v>45911.67784722222</v>
      </c>
      <c r="C892" s="1" t="n">
        <v>46181</v>
      </c>
      <c r="D892" t="inlineStr">
        <is>
          <t>VÄSTERNORRLANDS LÄN</t>
        </is>
      </c>
      <c r="E892" t="inlineStr">
        <is>
          <t>SUNDSVALL</t>
        </is>
      </c>
      <c r="F892" t="inlineStr">
        <is>
          <t>Naturvårdsverket</t>
        </is>
      </c>
      <c r="G892" t="n">
        <v>1.7</v>
      </c>
      <c r="H892" t="n">
        <v>0</v>
      </c>
      <c r="I892" t="n">
        <v>0</v>
      </c>
      <c r="J892" t="n">
        <v>0</v>
      </c>
      <c r="K892" t="n">
        <v>0</v>
      </c>
      <c r="L892" t="n">
        <v>0</v>
      </c>
      <c r="M892" t="n">
        <v>0</v>
      </c>
      <c r="N892" t="n">
        <v>0</v>
      </c>
      <c r="O892" t="n">
        <v>0</v>
      </c>
      <c r="P892" t="n">
        <v>0</v>
      </c>
      <c r="Q892" t="n">
        <v>0</v>
      </c>
      <c r="R892" s="2" t="inlineStr"/>
    </row>
    <row r="893" ht="15" customHeight="1">
      <c r="A893" t="inlineStr">
        <is>
          <t>A 43488-2025</t>
        </is>
      </c>
      <c r="B893" s="1" t="n">
        <v>45911.51083333333</v>
      </c>
      <c r="C893" s="1" t="n">
        <v>46181</v>
      </c>
      <c r="D893" t="inlineStr">
        <is>
          <t>VÄSTERNORRLANDS LÄN</t>
        </is>
      </c>
      <c r="E893" t="inlineStr">
        <is>
          <t>SUNDSVALL</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43814-2025</t>
        </is>
      </c>
      <c r="B894" s="1" t="n">
        <v>45912.59471064815</v>
      </c>
      <c r="C894" s="1" t="n">
        <v>46181</v>
      </c>
      <c r="D894" t="inlineStr">
        <is>
          <t>VÄSTERNORRLANDS LÄN</t>
        </is>
      </c>
      <c r="E894" t="inlineStr">
        <is>
          <t>SUNDSVALL</t>
        </is>
      </c>
      <c r="F894" t="inlineStr">
        <is>
          <t>Naturvårdsverket</t>
        </is>
      </c>
      <c r="G894" t="n">
        <v>2.1</v>
      </c>
      <c r="H894" t="n">
        <v>0</v>
      </c>
      <c r="I894" t="n">
        <v>0</v>
      </c>
      <c r="J894" t="n">
        <v>0</v>
      </c>
      <c r="K894" t="n">
        <v>0</v>
      </c>
      <c r="L894" t="n">
        <v>0</v>
      </c>
      <c r="M894" t="n">
        <v>0</v>
      </c>
      <c r="N894" t="n">
        <v>0</v>
      </c>
      <c r="O894" t="n">
        <v>0</v>
      </c>
      <c r="P894" t="n">
        <v>0</v>
      </c>
      <c r="Q894" t="n">
        <v>0</v>
      </c>
      <c r="R894" s="2" t="inlineStr"/>
    </row>
    <row r="895" ht="15" customHeight="1">
      <c r="A895" t="inlineStr">
        <is>
          <t>A 61049-2022</t>
        </is>
      </c>
      <c r="B895" s="1" t="n">
        <v>44914.97056712963</v>
      </c>
      <c r="C895" s="1" t="n">
        <v>46181</v>
      </c>
      <c r="D895" t="inlineStr">
        <is>
          <t>VÄSTERNORRLANDS LÄN</t>
        </is>
      </c>
      <c r="E895" t="inlineStr">
        <is>
          <t>SUNDSVALL</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28407-2025</t>
        </is>
      </c>
      <c r="B896" s="1" t="n">
        <v>45819.34581018519</v>
      </c>
      <c r="C896" s="1" t="n">
        <v>46181</v>
      </c>
      <c r="D896" t="inlineStr">
        <is>
          <t>VÄSTERNORRLANDS LÄN</t>
        </is>
      </c>
      <c r="E896" t="inlineStr">
        <is>
          <t>SUNDSVALL</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36203-2023</t>
        </is>
      </c>
      <c r="B897" s="1" t="n">
        <v>45149</v>
      </c>
      <c r="C897" s="1" t="n">
        <v>46181</v>
      </c>
      <c r="D897" t="inlineStr">
        <is>
          <t>VÄSTERNORRLANDS LÄN</t>
        </is>
      </c>
      <c r="E897" t="inlineStr">
        <is>
          <t>SUNDSVALL</t>
        </is>
      </c>
      <c r="G897" t="n">
        <v>0.8</v>
      </c>
      <c r="H897" t="n">
        <v>0</v>
      </c>
      <c r="I897" t="n">
        <v>0</v>
      </c>
      <c r="J897" t="n">
        <v>0</v>
      </c>
      <c r="K897" t="n">
        <v>0</v>
      </c>
      <c r="L897" t="n">
        <v>0</v>
      </c>
      <c r="M897" t="n">
        <v>0</v>
      </c>
      <c r="N897" t="n">
        <v>0</v>
      </c>
      <c r="O897" t="n">
        <v>0</v>
      </c>
      <c r="P897" t="n">
        <v>0</v>
      </c>
      <c r="Q897" t="n">
        <v>0</v>
      </c>
      <c r="R897" s="2" t="inlineStr"/>
    </row>
    <row r="898" ht="15" customHeight="1">
      <c r="A898" t="inlineStr">
        <is>
          <t>A 4437-2026</t>
        </is>
      </c>
      <c r="B898" s="1" t="n">
        <v>46045.63258101852</v>
      </c>
      <c r="C898" s="1" t="n">
        <v>46181</v>
      </c>
      <c r="D898" t="inlineStr">
        <is>
          <t>VÄSTERNORRLANDS LÄN</t>
        </is>
      </c>
      <c r="E898" t="inlineStr">
        <is>
          <t>SUNDSVALL</t>
        </is>
      </c>
      <c r="G898" t="n">
        <v>4.4</v>
      </c>
      <c r="H898" t="n">
        <v>0</v>
      </c>
      <c r="I898" t="n">
        <v>0</v>
      </c>
      <c r="J898" t="n">
        <v>0</v>
      </c>
      <c r="K898" t="n">
        <v>0</v>
      </c>
      <c r="L898" t="n">
        <v>0</v>
      </c>
      <c r="M898" t="n">
        <v>0</v>
      </c>
      <c r="N898" t="n">
        <v>0</v>
      </c>
      <c r="O898" t="n">
        <v>0</v>
      </c>
      <c r="P898" t="n">
        <v>0</v>
      </c>
      <c r="Q898" t="n">
        <v>0</v>
      </c>
      <c r="R898" s="2" t="inlineStr"/>
    </row>
    <row r="899" ht="15" customHeight="1">
      <c r="A899" t="inlineStr">
        <is>
          <t>A 52368-2024</t>
        </is>
      </c>
      <c r="B899" s="1" t="n">
        <v>45608</v>
      </c>
      <c r="C899" s="1" t="n">
        <v>46181</v>
      </c>
      <c r="D899" t="inlineStr">
        <is>
          <t>VÄSTERNORRLANDS LÄN</t>
        </is>
      </c>
      <c r="E899" t="inlineStr">
        <is>
          <t>SUNDSVALL</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1483-2023</t>
        </is>
      </c>
      <c r="B900" s="1" t="n">
        <v>44937.46645833334</v>
      </c>
      <c r="C900" s="1" t="n">
        <v>46181</v>
      </c>
      <c r="D900" t="inlineStr">
        <is>
          <t>VÄSTERNORRLANDS LÄN</t>
        </is>
      </c>
      <c r="E900" t="inlineStr">
        <is>
          <t>SUNDSVALL</t>
        </is>
      </c>
      <c r="G900" t="n">
        <v>3</v>
      </c>
      <c r="H900" t="n">
        <v>0</v>
      </c>
      <c r="I900" t="n">
        <v>0</v>
      </c>
      <c r="J900" t="n">
        <v>0</v>
      </c>
      <c r="K900" t="n">
        <v>0</v>
      </c>
      <c r="L900" t="n">
        <v>0</v>
      </c>
      <c r="M900" t="n">
        <v>0</v>
      </c>
      <c r="N900" t="n">
        <v>0</v>
      </c>
      <c r="O900" t="n">
        <v>0</v>
      </c>
      <c r="P900" t="n">
        <v>0</v>
      </c>
      <c r="Q900" t="n">
        <v>0</v>
      </c>
      <c r="R900" s="2" t="inlineStr"/>
    </row>
    <row r="901" ht="15" customHeight="1">
      <c r="A901" t="inlineStr">
        <is>
          <t>A 29231-2025</t>
        </is>
      </c>
      <c r="B901" s="1" t="n">
        <v>45824.34424768519</v>
      </c>
      <c r="C901" s="1" t="n">
        <v>46181</v>
      </c>
      <c r="D901" t="inlineStr">
        <is>
          <t>VÄSTERNORRLANDS LÄN</t>
        </is>
      </c>
      <c r="E901" t="inlineStr">
        <is>
          <t>SUNDSVALL</t>
        </is>
      </c>
      <c r="F901" t="inlineStr">
        <is>
          <t>Naturvårdsverket</t>
        </is>
      </c>
      <c r="G901" t="n">
        <v>6.1</v>
      </c>
      <c r="H901" t="n">
        <v>0</v>
      </c>
      <c r="I901" t="n">
        <v>0</v>
      </c>
      <c r="J901" t="n">
        <v>0</v>
      </c>
      <c r="K901" t="n">
        <v>0</v>
      </c>
      <c r="L901" t="n">
        <v>0</v>
      </c>
      <c r="M901" t="n">
        <v>0</v>
      </c>
      <c r="N901" t="n">
        <v>0</v>
      </c>
      <c r="O901" t="n">
        <v>0</v>
      </c>
      <c r="P901" t="n">
        <v>0</v>
      </c>
      <c r="Q901" t="n">
        <v>0</v>
      </c>
      <c r="R901" s="2" t="inlineStr"/>
    </row>
    <row r="902" ht="15" customHeight="1">
      <c r="A902" t="inlineStr">
        <is>
          <t>A 4484-2026</t>
        </is>
      </c>
      <c r="B902" s="1" t="n">
        <v>46045</v>
      </c>
      <c r="C902" s="1" t="n">
        <v>46181</v>
      </c>
      <c r="D902" t="inlineStr">
        <is>
          <t>VÄSTERNORRLANDS LÄN</t>
        </is>
      </c>
      <c r="E902" t="inlineStr">
        <is>
          <t>SUNDSVALL</t>
        </is>
      </c>
      <c r="G902" t="n">
        <v>2.8</v>
      </c>
      <c r="H902" t="n">
        <v>0</v>
      </c>
      <c r="I902" t="n">
        <v>0</v>
      </c>
      <c r="J902" t="n">
        <v>0</v>
      </c>
      <c r="K902" t="n">
        <v>0</v>
      </c>
      <c r="L902" t="n">
        <v>0</v>
      </c>
      <c r="M902" t="n">
        <v>0</v>
      </c>
      <c r="N902" t="n">
        <v>0</v>
      </c>
      <c r="O902" t="n">
        <v>0</v>
      </c>
      <c r="P902" t="n">
        <v>0</v>
      </c>
      <c r="Q902" t="n">
        <v>0</v>
      </c>
      <c r="R902" s="2" t="inlineStr"/>
    </row>
    <row r="903" ht="15" customHeight="1">
      <c r="A903" t="inlineStr">
        <is>
          <t>A 29370-2025</t>
        </is>
      </c>
      <c r="B903" s="1" t="n">
        <v>45824.57320601852</v>
      </c>
      <c r="C903" s="1" t="n">
        <v>46181</v>
      </c>
      <c r="D903" t="inlineStr">
        <is>
          <t>VÄSTERNORRLANDS LÄN</t>
        </is>
      </c>
      <c r="E903" t="inlineStr">
        <is>
          <t>SUNDSVALL</t>
        </is>
      </c>
      <c r="G903" t="n">
        <v>0.9</v>
      </c>
      <c r="H903" t="n">
        <v>0</v>
      </c>
      <c r="I903" t="n">
        <v>0</v>
      </c>
      <c r="J903" t="n">
        <v>0</v>
      </c>
      <c r="K903" t="n">
        <v>0</v>
      </c>
      <c r="L903" t="n">
        <v>0</v>
      </c>
      <c r="M903" t="n">
        <v>0</v>
      </c>
      <c r="N903" t="n">
        <v>0</v>
      </c>
      <c r="O903" t="n">
        <v>0</v>
      </c>
      <c r="P903" t="n">
        <v>0</v>
      </c>
      <c r="Q903" t="n">
        <v>0</v>
      </c>
      <c r="R903" s="2" t="inlineStr"/>
    </row>
    <row r="904" ht="15" customHeight="1">
      <c r="A904" t="inlineStr">
        <is>
          <t>A 57838-2022</t>
        </is>
      </c>
      <c r="B904" s="1" t="n">
        <v>44897</v>
      </c>
      <c r="C904" s="1" t="n">
        <v>46181</v>
      </c>
      <c r="D904" t="inlineStr">
        <is>
          <t>VÄSTERNORRLANDS LÄN</t>
        </is>
      </c>
      <c r="E904" t="inlineStr">
        <is>
          <t>SUNDSVALL</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29711-2025</t>
        </is>
      </c>
      <c r="B905" s="1" t="n">
        <v>45825</v>
      </c>
      <c r="C905" s="1" t="n">
        <v>46181</v>
      </c>
      <c r="D905" t="inlineStr">
        <is>
          <t>VÄSTERNORRLANDS LÄN</t>
        </is>
      </c>
      <c r="E905" t="inlineStr">
        <is>
          <t>SUNDSVALL</t>
        </is>
      </c>
      <c r="F905" t="inlineStr">
        <is>
          <t>Kyrkan</t>
        </is>
      </c>
      <c r="G905" t="n">
        <v>43.8</v>
      </c>
      <c r="H905" t="n">
        <v>0</v>
      </c>
      <c r="I905" t="n">
        <v>0</v>
      </c>
      <c r="J905" t="n">
        <v>0</v>
      </c>
      <c r="K905" t="n">
        <v>0</v>
      </c>
      <c r="L905" t="n">
        <v>0</v>
      </c>
      <c r="M905" t="n">
        <v>0</v>
      </c>
      <c r="N905" t="n">
        <v>0</v>
      </c>
      <c r="O905" t="n">
        <v>0</v>
      </c>
      <c r="P905" t="n">
        <v>0</v>
      </c>
      <c r="Q905" t="n">
        <v>0</v>
      </c>
      <c r="R905" s="2" t="inlineStr"/>
    </row>
    <row r="906" ht="15" customHeight="1">
      <c r="A906" t="inlineStr">
        <is>
          <t>A 43865-2025</t>
        </is>
      </c>
      <c r="B906" s="1" t="n">
        <v>45912.65709490741</v>
      </c>
      <c r="C906" s="1" t="n">
        <v>46181</v>
      </c>
      <c r="D906" t="inlineStr">
        <is>
          <t>VÄSTERNORRLANDS LÄN</t>
        </is>
      </c>
      <c r="E906" t="inlineStr">
        <is>
          <t>SUNDSVALL</t>
        </is>
      </c>
      <c r="F906" t="inlineStr">
        <is>
          <t>Kommuner</t>
        </is>
      </c>
      <c r="G906" t="n">
        <v>1.6</v>
      </c>
      <c r="H906" t="n">
        <v>0</v>
      </c>
      <c r="I906" t="n">
        <v>0</v>
      </c>
      <c r="J906" t="n">
        <v>0</v>
      </c>
      <c r="K906" t="n">
        <v>0</v>
      </c>
      <c r="L906" t="n">
        <v>0</v>
      </c>
      <c r="M906" t="n">
        <v>0</v>
      </c>
      <c r="N906" t="n">
        <v>0</v>
      </c>
      <c r="O906" t="n">
        <v>0</v>
      </c>
      <c r="P906" t="n">
        <v>0</v>
      </c>
      <c r="Q906" t="n">
        <v>0</v>
      </c>
      <c r="R906" s="2" t="inlineStr"/>
    </row>
    <row r="907" ht="15" customHeight="1">
      <c r="A907" t="inlineStr">
        <is>
          <t>A 29881-2025</t>
        </is>
      </c>
      <c r="B907" s="1" t="n">
        <v>45826.3653125</v>
      </c>
      <c r="C907" s="1" t="n">
        <v>46181</v>
      </c>
      <c r="D907" t="inlineStr">
        <is>
          <t>VÄSTERNORRLANDS LÄN</t>
        </is>
      </c>
      <c r="E907" t="inlineStr">
        <is>
          <t>SUNDSVALL</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29923-2025</t>
        </is>
      </c>
      <c r="B908" s="1" t="n">
        <v>45826.42758101852</v>
      </c>
      <c r="C908" s="1" t="n">
        <v>46181</v>
      </c>
      <c r="D908" t="inlineStr">
        <is>
          <t>VÄSTERNORRLANDS LÄN</t>
        </is>
      </c>
      <c r="E908" t="inlineStr">
        <is>
          <t>SUNDSVALL</t>
        </is>
      </c>
      <c r="F908" t="inlineStr">
        <is>
          <t>Naturvårdsverket</t>
        </is>
      </c>
      <c r="G908" t="n">
        <v>16.6</v>
      </c>
      <c r="H908" t="n">
        <v>0</v>
      </c>
      <c r="I908" t="n">
        <v>0</v>
      </c>
      <c r="J908" t="n">
        <v>0</v>
      </c>
      <c r="K908" t="n">
        <v>0</v>
      </c>
      <c r="L908" t="n">
        <v>0</v>
      </c>
      <c r="M908" t="n">
        <v>0</v>
      </c>
      <c r="N908" t="n">
        <v>0</v>
      </c>
      <c r="O908" t="n">
        <v>0</v>
      </c>
      <c r="P908" t="n">
        <v>0</v>
      </c>
      <c r="Q908" t="n">
        <v>0</v>
      </c>
      <c r="R908" s="2" t="inlineStr"/>
    </row>
    <row r="909" ht="15" customHeight="1">
      <c r="A909" t="inlineStr">
        <is>
          <t>A 4818-2026</t>
        </is>
      </c>
      <c r="B909" s="1" t="n">
        <v>46048</v>
      </c>
      <c r="C909" s="1" t="n">
        <v>46181</v>
      </c>
      <c r="D909" t="inlineStr">
        <is>
          <t>VÄSTERNORRLANDS LÄN</t>
        </is>
      </c>
      <c r="E909" t="inlineStr">
        <is>
          <t>SUNDSVALL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29973-2025</t>
        </is>
      </c>
      <c r="B910" s="1" t="n">
        <v>45826.49049768518</v>
      </c>
      <c r="C910" s="1" t="n">
        <v>46181</v>
      </c>
      <c r="D910" t="inlineStr">
        <is>
          <t>VÄSTERNORRLANDS LÄN</t>
        </is>
      </c>
      <c r="E910" t="inlineStr">
        <is>
          <t>SUNDSVALL</t>
        </is>
      </c>
      <c r="F910" t="inlineStr">
        <is>
          <t>Naturvårdsverket</t>
        </is>
      </c>
      <c r="G910" t="n">
        <v>1.1</v>
      </c>
      <c r="H910" t="n">
        <v>0</v>
      </c>
      <c r="I910" t="n">
        <v>0</v>
      </c>
      <c r="J910" t="n">
        <v>0</v>
      </c>
      <c r="K910" t="n">
        <v>0</v>
      </c>
      <c r="L910" t="n">
        <v>0</v>
      </c>
      <c r="M910" t="n">
        <v>0</v>
      </c>
      <c r="N910" t="n">
        <v>0</v>
      </c>
      <c r="O910" t="n">
        <v>0</v>
      </c>
      <c r="P910" t="n">
        <v>0</v>
      </c>
      <c r="Q910" t="n">
        <v>0</v>
      </c>
      <c r="R910" s="2" t="inlineStr"/>
    </row>
    <row r="911" ht="15" customHeight="1">
      <c r="A911" t="inlineStr">
        <is>
          <t>A 42728-2021</t>
        </is>
      </c>
      <c r="B911" s="1" t="n">
        <v>44428.59997685185</v>
      </c>
      <c r="C911" s="1" t="n">
        <v>46181</v>
      </c>
      <c r="D911" t="inlineStr">
        <is>
          <t>VÄSTERNORRLANDS LÄN</t>
        </is>
      </c>
      <c r="E911" t="inlineStr">
        <is>
          <t>SUNDSVALL</t>
        </is>
      </c>
      <c r="G911" t="n">
        <v>3.6</v>
      </c>
      <c r="H911" t="n">
        <v>0</v>
      </c>
      <c r="I911" t="n">
        <v>0</v>
      </c>
      <c r="J911" t="n">
        <v>0</v>
      </c>
      <c r="K911" t="n">
        <v>0</v>
      </c>
      <c r="L911" t="n">
        <v>0</v>
      </c>
      <c r="M911" t="n">
        <v>0</v>
      </c>
      <c r="N911" t="n">
        <v>0</v>
      </c>
      <c r="O911" t="n">
        <v>0</v>
      </c>
      <c r="P911" t="n">
        <v>0</v>
      </c>
      <c r="Q911" t="n">
        <v>0</v>
      </c>
      <c r="R911" s="2" t="inlineStr"/>
    </row>
    <row r="912" ht="15" customHeight="1">
      <c r="A912" t="inlineStr">
        <is>
          <t>A 29955-2025</t>
        </is>
      </c>
      <c r="B912" s="1" t="n">
        <v>45826.47030092592</v>
      </c>
      <c r="C912" s="1" t="n">
        <v>46181</v>
      </c>
      <c r="D912" t="inlineStr">
        <is>
          <t>VÄSTERNORRLANDS LÄN</t>
        </is>
      </c>
      <c r="E912" t="inlineStr">
        <is>
          <t>SUNDSVALL</t>
        </is>
      </c>
      <c r="F912" t="inlineStr">
        <is>
          <t>Naturvårdsverket</t>
        </is>
      </c>
      <c r="G912" t="n">
        <v>0.9</v>
      </c>
      <c r="H912" t="n">
        <v>0</v>
      </c>
      <c r="I912" t="n">
        <v>0</v>
      </c>
      <c r="J912" t="n">
        <v>0</v>
      </c>
      <c r="K912" t="n">
        <v>0</v>
      </c>
      <c r="L912" t="n">
        <v>0</v>
      </c>
      <c r="M912" t="n">
        <v>0</v>
      </c>
      <c r="N912" t="n">
        <v>0</v>
      </c>
      <c r="O912" t="n">
        <v>0</v>
      </c>
      <c r="P912" t="n">
        <v>0</v>
      </c>
      <c r="Q912" t="n">
        <v>0</v>
      </c>
      <c r="R912" s="2" t="inlineStr"/>
    </row>
    <row r="913" ht="15" customHeight="1">
      <c r="A913" t="inlineStr">
        <is>
          <t>A 29954-2025</t>
        </is>
      </c>
      <c r="B913" s="1" t="n">
        <v>45826.47004629629</v>
      </c>
      <c r="C913" s="1" t="n">
        <v>46181</v>
      </c>
      <c r="D913" t="inlineStr">
        <is>
          <t>VÄSTERNORRLANDS LÄN</t>
        </is>
      </c>
      <c r="E913" t="inlineStr">
        <is>
          <t>SUNDSVALL</t>
        </is>
      </c>
      <c r="F913" t="inlineStr">
        <is>
          <t>Naturvårdsverket</t>
        </is>
      </c>
      <c r="G913" t="n">
        <v>1.3</v>
      </c>
      <c r="H913" t="n">
        <v>0</v>
      </c>
      <c r="I913" t="n">
        <v>0</v>
      </c>
      <c r="J913" t="n">
        <v>0</v>
      </c>
      <c r="K913" t="n">
        <v>0</v>
      </c>
      <c r="L913" t="n">
        <v>0</v>
      </c>
      <c r="M913" t="n">
        <v>0</v>
      </c>
      <c r="N913" t="n">
        <v>0</v>
      </c>
      <c r="O913" t="n">
        <v>0</v>
      </c>
      <c r="P913" t="n">
        <v>0</v>
      </c>
      <c r="Q913" t="n">
        <v>0</v>
      </c>
      <c r="R913" s="2" t="inlineStr"/>
    </row>
    <row r="914" ht="15" customHeight="1">
      <c r="A914" t="inlineStr">
        <is>
          <t>A 29970-2025</t>
        </is>
      </c>
      <c r="B914" s="1" t="n">
        <v>45826.49003472222</v>
      </c>
      <c r="C914" s="1" t="n">
        <v>46181</v>
      </c>
      <c r="D914" t="inlineStr">
        <is>
          <t>VÄSTERNORRLANDS LÄN</t>
        </is>
      </c>
      <c r="E914" t="inlineStr">
        <is>
          <t>SUNDSVALL</t>
        </is>
      </c>
      <c r="F914" t="inlineStr">
        <is>
          <t>Naturvårdsverket</t>
        </is>
      </c>
      <c r="G914" t="n">
        <v>4</v>
      </c>
      <c r="H914" t="n">
        <v>0</v>
      </c>
      <c r="I914" t="n">
        <v>0</v>
      </c>
      <c r="J914" t="n">
        <v>0</v>
      </c>
      <c r="K914" t="n">
        <v>0</v>
      </c>
      <c r="L914" t="n">
        <v>0</v>
      </c>
      <c r="M914" t="n">
        <v>0</v>
      </c>
      <c r="N914" t="n">
        <v>0</v>
      </c>
      <c r="O914" t="n">
        <v>0</v>
      </c>
      <c r="P914" t="n">
        <v>0</v>
      </c>
      <c r="Q914" t="n">
        <v>0</v>
      </c>
      <c r="R914" s="2" t="inlineStr"/>
    </row>
    <row r="915" ht="15" customHeight="1">
      <c r="A915" t="inlineStr">
        <is>
          <t>A 47718-2024</t>
        </is>
      </c>
      <c r="B915" s="1" t="n">
        <v>45588.48990740741</v>
      </c>
      <c r="C915" s="1" t="n">
        <v>46181</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43592-2025</t>
        </is>
      </c>
      <c r="B916" s="1" t="n">
        <v>45911.65704861111</v>
      </c>
      <c r="C916" s="1" t="n">
        <v>46181</v>
      </c>
      <c r="D916" t="inlineStr">
        <is>
          <t>VÄSTERNORRLANDS LÄN</t>
        </is>
      </c>
      <c r="E916" t="inlineStr">
        <is>
          <t>SUNDSVALL</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4596-2026</t>
        </is>
      </c>
      <c r="B917" s="1" t="n">
        <v>46048.34674768519</v>
      </c>
      <c r="C917" s="1" t="n">
        <v>46181</v>
      </c>
      <c r="D917" t="inlineStr">
        <is>
          <t>VÄSTERNORRLANDS LÄN</t>
        </is>
      </c>
      <c r="E917" t="inlineStr">
        <is>
          <t>SUNDSVALL</t>
        </is>
      </c>
      <c r="G917" t="n">
        <v>1.5</v>
      </c>
      <c r="H917" t="n">
        <v>0</v>
      </c>
      <c r="I917" t="n">
        <v>0</v>
      </c>
      <c r="J917" t="n">
        <v>0</v>
      </c>
      <c r="K917" t="n">
        <v>0</v>
      </c>
      <c r="L917" t="n">
        <v>0</v>
      </c>
      <c r="M917" t="n">
        <v>0</v>
      </c>
      <c r="N917" t="n">
        <v>0</v>
      </c>
      <c r="O917" t="n">
        <v>0</v>
      </c>
      <c r="P917" t="n">
        <v>0</v>
      </c>
      <c r="Q917" t="n">
        <v>0</v>
      </c>
      <c r="R917" s="2" t="inlineStr"/>
    </row>
    <row r="918" ht="15" customHeight="1">
      <c r="A918" t="inlineStr">
        <is>
          <t>A 44297-2025</t>
        </is>
      </c>
      <c r="B918" s="1" t="n">
        <v>45916.36524305555</v>
      </c>
      <c r="C918" s="1" t="n">
        <v>46181</v>
      </c>
      <c r="D918" t="inlineStr">
        <is>
          <t>VÄSTERNORRLANDS LÄN</t>
        </is>
      </c>
      <c r="E918" t="inlineStr">
        <is>
          <t>SUNDSVALL</t>
        </is>
      </c>
      <c r="F918" t="inlineStr">
        <is>
          <t>Naturvårdsverket</t>
        </is>
      </c>
      <c r="G918" t="n">
        <v>1.2</v>
      </c>
      <c r="H918" t="n">
        <v>0</v>
      </c>
      <c r="I918" t="n">
        <v>0</v>
      </c>
      <c r="J918" t="n">
        <v>0</v>
      </c>
      <c r="K918" t="n">
        <v>0</v>
      </c>
      <c r="L918" t="n">
        <v>0</v>
      </c>
      <c r="M918" t="n">
        <v>0</v>
      </c>
      <c r="N918" t="n">
        <v>0</v>
      </c>
      <c r="O918" t="n">
        <v>0</v>
      </c>
      <c r="P918" t="n">
        <v>0</v>
      </c>
      <c r="Q918" t="n">
        <v>0</v>
      </c>
      <c r="R918" s="2" t="inlineStr"/>
    </row>
    <row r="919" ht="15" customHeight="1">
      <c r="A919" t="inlineStr">
        <is>
          <t>A 44054-2025</t>
        </is>
      </c>
      <c r="B919" s="1" t="n">
        <v>45915.51605324074</v>
      </c>
      <c r="C919" s="1" t="n">
        <v>46181</v>
      </c>
      <c r="D919" t="inlineStr">
        <is>
          <t>VÄSTERNORRLANDS LÄN</t>
        </is>
      </c>
      <c r="E919" t="inlineStr">
        <is>
          <t>SUNDSVALL</t>
        </is>
      </c>
      <c r="G919" t="n">
        <v>4.3</v>
      </c>
      <c r="H919" t="n">
        <v>0</v>
      </c>
      <c r="I919" t="n">
        <v>0</v>
      </c>
      <c r="J919" t="n">
        <v>0</v>
      </c>
      <c r="K919" t="n">
        <v>0</v>
      </c>
      <c r="L919" t="n">
        <v>0</v>
      </c>
      <c r="M919" t="n">
        <v>0</v>
      </c>
      <c r="N919" t="n">
        <v>0</v>
      </c>
      <c r="O919" t="n">
        <v>0</v>
      </c>
      <c r="P919" t="n">
        <v>0</v>
      </c>
      <c r="Q919" t="n">
        <v>0</v>
      </c>
      <c r="R919" s="2" t="inlineStr"/>
    </row>
    <row r="920" ht="15" customHeight="1">
      <c r="A920" t="inlineStr">
        <is>
          <t>A 4589-2026</t>
        </is>
      </c>
      <c r="B920" s="1" t="n">
        <v>46048.34230324074</v>
      </c>
      <c r="C920" s="1" t="n">
        <v>46181</v>
      </c>
      <c r="D920" t="inlineStr">
        <is>
          <t>VÄSTERNORRLANDS LÄN</t>
        </is>
      </c>
      <c r="E920" t="inlineStr">
        <is>
          <t>SUNDSVALL</t>
        </is>
      </c>
      <c r="G920" t="n">
        <v>2</v>
      </c>
      <c r="H920" t="n">
        <v>0</v>
      </c>
      <c r="I920" t="n">
        <v>0</v>
      </c>
      <c r="J920" t="n">
        <v>0</v>
      </c>
      <c r="K920" t="n">
        <v>0</v>
      </c>
      <c r="L920" t="n">
        <v>0</v>
      </c>
      <c r="M920" t="n">
        <v>0</v>
      </c>
      <c r="N920" t="n">
        <v>0</v>
      </c>
      <c r="O920" t="n">
        <v>0</v>
      </c>
      <c r="P920" t="n">
        <v>0</v>
      </c>
      <c r="Q920" t="n">
        <v>0</v>
      </c>
      <c r="R920" s="2" t="inlineStr"/>
    </row>
    <row r="921" ht="15" customHeight="1">
      <c r="A921" t="inlineStr">
        <is>
          <t>A 26408-2025</t>
        </is>
      </c>
      <c r="B921" s="1" t="n">
        <v>45807.34425925926</v>
      </c>
      <c r="C921" s="1" t="n">
        <v>46181</v>
      </c>
      <c r="D921" t="inlineStr">
        <is>
          <t>VÄSTERNORRLANDS LÄN</t>
        </is>
      </c>
      <c r="E921" t="inlineStr">
        <is>
          <t>SUNDSVALL</t>
        </is>
      </c>
      <c r="F921" t="inlineStr">
        <is>
          <t>Naturvårdsverket</t>
        </is>
      </c>
      <c r="G921" t="n">
        <v>3.9</v>
      </c>
      <c r="H921" t="n">
        <v>0</v>
      </c>
      <c r="I921" t="n">
        <v>0</v>
      </c>
      <c r="J921" t="n">
        <v>0</v>
      </c>
      <c r="K921" t="n">
        <v>0</v>
      </c>
      <c r="L921" t="n">
        <v>0</v>
      </c>
      <c r="M921" t="n">
        <v>0</v>
      </c>
      <c r="N921" t="n">
        <v>0</v>
      </c>
      <c r="O921" t="n">
        <v>0</v>
      </c>
      <c r="P921" t="n">
        <v>0</v>
      </c>
      <c r="Q921" t="n">
        <v>0</v>
      </c>
      <c r="R921" s="2" t="inlineStr"/>
    </row>
    <row r="922" ht="15" customHeight="1">
      <c r="A922" t="inlineStr">
        <is>
          <t>A 4479-2026</t>
        </is>
      </c>
      <c r="B922" s="1" t="n">
        <v>46045</v>
      </c>
      <c r="C922" s="1" t="n">
        <v>46181</v>
      </c>
      <c r="D922" t="inlineStr">
        <is>
          <t>VÄSTERNORRLANDS LÄN</t>
        </is>
      </c>
      <c r="E922" t="inlineStr">
        <is>
          <t>SUNDSVALL</t>
        </is>
      </c>
      <c r="G922" t="n">
        <v>1.9</v>
      </c>
      <c r="H922" t="n">
        <v>0</v>
      </c>
      <c r="I922" t="n">
        <v>0</v>
      </c>
      <c r="J922" t="n">
        <v>0</v>
      </c>
      <c r="K922" t="n">
        <v>0</v>
      </c>
      <c r="L922" t="n">
        <v>0</v>
      </c>
      <c r="M922" t="n">
        <v>0</v>
      </c>
      <c r="N922" t="n">
        <v>0</v>
      </c>
      <c r="O922" t="n">
        <v>0</v>
      </c>
      <c r="P922" t="n">
        <v>0</v>
      </c>
      <c r="Q922" t="n">
        <v>0</v>
      </c>
      <c r="R922" s="2" t="inlineStr"/>
    </row>
    <row r="923" ht="15" customHeight="1">
      <c r="A923" t="inlineStr">
        <is>
          <t>A 29952-2025</t>
        </is>
      </c>
      <c r="B923" s="1" t="n">
        <v>45826.46950231482</v>
      </c>
      <c r="C923" s="1" t="n">
        <v>46181</v>
      </c>
      <c r="D923" t="inlineStr">
        <is>
          <t>VÄSTERNORRLANDS LÄN</t>
        </is>
      </c>
      <c r="E923" t="inlineStr">
        <is>
          <t>SUNDSVALL</t>
        </is>
      </c>
      <c r="F923" t="inlineStr">
        <is>
          <t>Naturvårdsverket</t>
        </is>
      </c>
      <c r="G923" t="n">
        <v>4</v>
      </c>
      <c r="H923" t="n">
        <v>0</v>
      </c>
      <c r="I923" t="n">
        <v>0</v>
      </c>
      <c r="J923" t="n">
        <v>0</v>
      </c>
      <c r="K923" t="n">
        <v>0</v>
      </c>
      <c r="L923" t="n">
        <v>0</v>
      </c>
      <c r="M923" t="n">
        <v>0</v>
      </c>
      <c r="N923" t="n">
        <v>0</v>
      </c>
      <c r="O923" t="n">
        <v>0</v>
      </c>
      <c r="P923" t="n">
        <v>0</v>
      </c>
      <c r="Q923" t="n">
        <v>0</v>
      </c>
      <c r="R923" s="2" t="inlineStr"/>
    </row>
    <row r="924" ht="15" customHeight="1">
      <c r="A924" t="inlineStr">
        <is>
          <t>A 4297-2026</t>
        </is>
      </c>
      <c r="B924" s="1" t="n">
        <v>46045.41980324074</v>
      </c>
      <c r="C924" s="1" t="n">
        <v>46181</v>
      </c>
      <c r="D924" t="inlineStr">
        <is>
          <t>VÄSTERNORRLANDS LÄN</t>
        </is>
      </c>
      <c r="E924" t="inlineStr">
        <is>
          <t>SUNDSVALL</t>
        </is>
      </c>
      <c r="G924" t="n">
        <v>2.8</v>
      </c>
      <c r="H924" t="n">
        <v>0</v>
      </c>
      <c r="I924" t="n">
        <v>0</v>
      </c>
      <c r="J924" t="n">
        <v>0</v>
      </c>
      <c r="K924" t="n">
        <v>0</v>
      </c>
      <c r="L924" t="n">
        <v>0</v>
      </c>
      <c r="M924" t="n">
        <v>0</v>
      </c>
      <c r="N924" t="n">
        <v>0</v>
      </c>
      <c r="O924" t="n">
        <v>0</v>
      </c>
      <c r="P924" t="n">
        <v>0</v>
      </c>
      <c r="Q924" t="n">
        <v>0</v>
      </c>
      <c r="R924" s="2" t="inlineStr"/>
    </row>
    <row r="925" ht="15" customHeight="1">
      <c r="A925" t="inlineStr">
        <is>
          <t>A 44307-2025</t>
        </is>
      </c>
      <c r="B925" s="1" t="n">
        <v>45915</v>
      </c>
      <c r="C925" s="1" t="n">
        <v>46181</v>
      </c>
      <c r="D925" t="inlineStr">
        <is>
          <t>VÄSTERNORRLANDS LÄN</t>
        </is>
      </c>
      <c r="E925" t="inlineStr">
        <is>
          <t>SUNDSVALL</t>
        </is>
      </c>
      <c r="G925" t="n">
        <v>1</v>
      </c>
      <c r="H925" t="n">
        <v>0</v>
      </c>
      <c r="I925" t="n">
        <v>0</v>
      </c>
      <c r="J925" t="n">
        <v>0</v>
      </c>
      <c r="K925" t="n">
        <v>0</v>
      </c>
      <c r="L925" t="n">
        <v>0</v>
      </c>
      <c r="M925" t="n">
        <v>0</v>
      </c>
      <c r="N925" t="n">
        <v>0</v>
      </c>
      <c r="O925" t="n">
        <v>0</v>
      </c>
      <c r="P925" t="n">
        <v>0</v>
      </c>
      <c r="Q925" t="n">
        <v>0</v>
      </c>
      <c r="R925" s="2" t="inlineStr"/>
    </row>
    <row r="926" ht="15" customHeight="1">
      <c r="A926" t="inlineStr">
        <is>
          <t>A 58745-2023</t>
        </is>
      </c>
      <c r="B926" s="1" t="n">
        <v>45251</v>
      </c>
      <c r="C926" s="1" t="n">
        <v>46181</v>
      </c>
      <c r="D926" t="inlineStr">
        <is>
          <t>VÄSTERNORRLANDS LÄN</t>
        </is>
      </c>
      <c r="E926" t="inlineStr">
        <is>
          <t>SUNDSVALL</t>
        </is>
      </c>
      <c r="G926" t="n">
        <v>2.7</v>
      </c>
      <c r="H926" t="n">
        <v>0</v>
      </c>
      <c r="I926" t="n">
        <v>0</v>
      </c>
      <c r="J926" t="n">
        <v>0</v>
      </c>
      <c r="K926" t="n">
        <v>0</v>
      </c>
      <c r="L926" t="n">
        <v>0</v>
      </c>
      <c r="M926" t="n">
        <v>0</v>
      </c>
      <c r="N926" t="n">
        <v>0</v>
      </c>
      <c r="O926" t="n">
        <v>0</v>
      </c>
      <c r="P926" t="n">
        <v>0</v>
      </c>
      <c r="Q926" t="n">
        <v>0</v>
      </c>
      <c r="R926" s="2" t="inlineStr"/>
    </row>
    <row r="927" ht="15" customHeight="1">
      <c r="A927" t="inlineStr">
        <is>
          <t>A 29700-2025</t>
        </is>
      </c>
      <c r="B927" s="1" t="n">
        <v>45825.55259259259</v>
      </c>
      <c r="C927" s="1" t="n">
        <v>46181</v>
      </c>
      <c r="D927" t="inlineStr">
        <is>
          <t>VÄSTERNORRLANDS LÄN</t>
        </is>
      </c>
      <c r="E927" t="inlineStr">
        <is>
          <t>SUNDSVALL</t>
        </is>
      </c>
      <c r="G927" t="n">
        <v>3.9</v>
      </c>
      <c r="H927" t="n">
        <v>0</v>
      </c>
      <c r="I927" t="n">
        <v>0</v>
      </c>
      <c r="J927" t="n">
        <v>0</v>
      </c>
      <c r="K927" t="n">
        <v>0</v>
      </c>
      <c r="L927" t="n">
        <v>0</v>
      </c>
      <c r="M927" t="n">
        <v>0</v>
      </c>
      <c r="N927" t="n">
        <v>0</v>
      </c>
      <c r="O927" t="n">
        <v>0</v>
      </c>
      <c r="P927" t="n">
        <v>0</v>
      </c>
      <c r="Q927" t="n">
        <v>0</v>
      </c>
      <c r="R927" s="2" t="inlineStr"/>
    </row>
    <row r="928" ht="15" customHeight="1">
      <c r="A928" t="inlineStr">
        <is>
          <t>A 4746-2026</t>
        </is>
      </c>
      <c r="B928" s="1" t="n">
        <v>46048.51106481482</v>
      </c>
      <c r="C928" s="1" t="n">
        <v>46181</v>
      </c>
      <c r="D928" t="inlineStr">
        <is>
          <t>VÄSTERNORRLANDS LÄN</t>
        </is>
      </c>
      <c r="E928" t="inlineStr">
        <is>
          <t>SUNDSVALL</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22473-2023</t>
        </is>
      </c>
      <c r="B929" s="1" t="n">
        <v>45070</v>
      </c>
      <c r="C929" s="1" t="n">
        <v>46181</v>
      </c>
      <c r="D929" t="inlineStr">
        <is>
          <t>VÄSTERNORRLANDS LÄN</t>
        </is>
      </c>
      <c r="E929" t="inlineStr">
        <is>
          <t>SUNDSVALL</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30464-2025</t>
        </is>
      </c>
      <c r="B930" s="1" t="n">
        <v>45827.72248842593</v>
      </c>
      <c r="C930" s="1" t="n">
        <v>46181</v>
      </c>
      <c r="D930" t="inlineStr">
        <is>
          <t>VÄSTERNORRLANDS LÄN</t>
        </is>
      </c>
      <c r="E930" t="inlineStr">
        <is>
          <t>SUNDSVALL</t>
        </is>
      </c>
      <c r="G930" t="n">
        <v>1.7</v>
      </c>
      <c r="H930" t="n">
        <v>0</v>
      </c>
      <c r="I930" t="n">
        <v>0</v>
      </c>
      <c r="J930" t="n">
        <v>0</v>
      </c>
      <c r="K930" t="n">
        <v>0</v>
      </c>
      <c r="L930" t="n">
        <v>0</v>
      </c>
      <c r="M930" t="n">
        <v>0</v>
      </c>
      <c r="N930" t="n">
        <v>0</v>
      </c>
      <c r="O930" t="n">
        <v>0</v>
      </c>
      <c r="P930" t="n">
        <v>0</v>
      </c>
      <c r="Q930" t="n">
        <v>0</v>
      </c>
      <c r="R930" s="2" t="inlineStr"/>
    </row>
    <row r="931" ht="15" customHeight="1">
      <c r="A931" t="inlineStr">
        <is>
          <t>A 43981-2025</t>
        </is>
      </c>
      <c r="B931" s="1" t="n">
        <v>45915.42752314815</v>
      </c>
      <c r="C931" s="1" t="n">
        <v>46181</v>
      </c>
      <c r="D931" t="inlineStr">
        <is>
          <t>VÄSTERNORRLANDS LÄN</t>
        </is>
      </c>
      <c r="E931" t="inlineStr">
        <is>
          <t>SUNDSVALL</t>
        </is>
      </c>
      <c r="F931" t="inlineStr">
        <is>
          <t>Naturvårdsverket</t>
        </is>
      </c>
      <c r="G931" t="n">
        <v>2.7</v>
      </c>
      <c r="H931" t="n">
        <v>0</v>
      </c>
      <c r="I931" t="n">
        <v>0</v>
      </c>
      <c r="J931" t="n">
        <v>0</v>
      </c>
      <c r="K931" t="n">
        <v>0</v>
      </c>
      <c r="L931" t="n">
        <v>0</v>
      </c>
      <c r="M931" t="n">
        <v>0</v>
      </c>
      <c r="N931" t="n">
        <v>0</v>
      </c>
      <c r="O931" t="n">
        <v>0</v>
      </c>
      <c r="P931" t="n">
        <v>0</v>
      </c>
      <c r="Q931" t="n">
        <v>0</v>
      </c>
      <c r="R931" s="2" t="inlineStr"/>
    </row>
    <row r="932" ht="15" customHeight="1">
      <c r="A932" t="inlineStr">
        <is>
          <t>A 44150-2025</t>
        </is>
      </c>
      <c r="B932" s="1" t="n">
        <v>45915.59415509259</v>
      </c>
      <c r="C932" s="1" t="n">
        <v>46181</v>
      </c>
      <c r="D932" t="inlineStr">
        <is>
          <t>VÄSTERNORRLANDS LÄN</t>
        </is>
      </c>
      <c r="E932" t="inlineStr">
        <is>
          <t>SUNDSVALL</t>
        </is>
      </c>
      <c r="G932" t="n">
        <v>0.9</v>
      </c>
      <c r="H932" t="n">
        <v>0</v>
      </c>
      <c r="I932" t="n">
        <v>0</v>
      </c>
      <c r="J932" t="n">
        <v>0</v>
      </c>
      <c r="K932" t="n">
        <v>0</v>
      </c>
      <c r="L932" t="n">
        <v>0</v>
      </c>
      <c r="M932" t="n">
        <v>0</v>
      </c>
      <c r="N932" t="n">
        <v>0</v>
      </c>
      <c r="O932" t="n">
        <v>0</v>
      </c>
      <c r="P932" t="n">
        <v>0</v>
      </c>
      <c r="Q932" t="n">
        <v>0</v>
      </c>
      <c r="R932" s="2" t="inlineStr"/>
    </row>
    <row r="933" ht="15" customHeight="1">
      <c r="A933" t="inlineStr">
        <is>
          <t>A 44151-2025</t>
        </is>
      </c>
      <c r="B933" s="1" t="n">
        <v>45915.59424768519</v>
      </c>
      <c r="C933" s="1" t="n">
        <v>46181</v>
      </c>
      <c r="D933" t="inlineStr">
        <is>
          <t>VÄSTERNORRLANDS LÄN</t>
        </is>
      </c>
      <c r="E933" t="inlineStr">
        <is>
          <t>SUNDSVALL</t>
        </is>
      </c>
      <c r="G933" t="n">
        <v>1</v>
      </c>
      <c r="H933" t="n">
        <v>0</v>
      </c>
      <c r="I933" t="n">
        <v>0</v>
      </c>
      <c r="J933" t="n">
        <v>0</v>
      </c>
      <c r="K933" t="n">
        <v>0</v>
      </c>
      <c r="L933" t="n">
        <v>0</v>
      </c>
      <c r="M933" t="n">
        <v>0</v>
      </c>
      <c r="N933" t="n">
        <v>0</v>
      </c>
      <c r="O933" t="n">
        <v>0</v>
      </c>
      <c r="P933" t="n">
        <v>0</v>
      </c>
      <c r="Q933" t="n">
        <v>0</v>
      </c>
      <c r="R933" s="2" t="inlineStr"/>
    </row>
    <row r="934" ht="15" customHeight="1">
      <c r="A934" t="inlineStr">
        <is>
          <t>A 30259-2025</t>
        </is>
      </c>
      <c r="B934" s="1" t="n">
        <v>45827.42768518518</v>
      </c>
      <c r="C934" s="1" t="n">
        <v>46181</v>
      </c>
      <c r="D934" t="inlineStr">
        <is>
          <t>VÄSTERNORRLANDS LÄN</t>
        </is>
      </c>
      <c r="E934" t="inlineStr">
        <is>
          <t>SUNDSVALL</t>
        </is>
      </c>
      <c r="G934" t="n">
        <v>4.3</v>
      </c>
      <c r="H934" t="n">
        <v>0</v>
      </c>
      <c r="I934" t="n">
        <v>0</v>
      </c>
      <c r="J934" t="n">
        <v>0</v>
      </c>
      <c r="K934" t="n">
        <v>0</v>
      </c>
      <c r="L934" t="n">
        <v>0</v>
      </c>
      <c r="M934" t="n">
        <v>0</v>
      </c>
      <c r="N934" t="n">
        <v>0</v>
      </c>
      <c r="O934" t="n">
        <v>0</v>
      </c>
      <c r="P934" t="n">
        <v>0</v>
      </c>
      <c r="Q934" t="n">
        <v>0</v>
      </c>
      <c r="R934" s="2" t="inlineStr"/>
    </row>
    <row r="935" ht="15" customHeight="1">
      <c r="A935" t="inlineStr">
        <is>
          <t>A 30268-2025</t>
        </is>
      </c>
      <c r="B935" s="1" t="n">
        <v>45827.44883101852</v>
      </c>
      <c r="C935" s="1" t="n">
        <v>46181</v>
      </c>
      <c r="D935" t="inlineStr">
        <is>
          <t>VÄSTERNORRLANDS LÄN</t>
        </is>
      </c>
      <c r="E935" t="inlineStr">
        <is>
          <t>SUNDSVALL</t>
        </is>
      </c>
      <c r="G935" t="n">
        <v>2.9</v>
      </c>
      <c r="H935" t="n">
        <v>0</v>
      </c>
      <c r="I935" t="n">
        <v>0</v>
      </c>
      <c r="J935" t="n">
        <v>0</v>
      </c>
      <c r="K935" t="n">
        <v>0</v>
      </c>
      <c r="L935" t="n">
        <v>0</v>
      </c>
      <c r="M935" t="n">
        <v>0</v>
      </c>
      <c r="N935" t="n">
        <v>0</v>
      </c>
      <c r="O935" t="n">
        <v>0</v>
      </c>
      <c r="P935" t="n">
        <v>0</v>
      </c>
      <c r="Q935" t="n">
        <v>0</v>
      </c>
      <c r="R935" s="2" t="inlineStr"/>
    </row>
    <row r="936" ht="15" customHeight="1">
      <c r="A936" t="inlineStr">
        <is>
          <t>A 4808-2026</t>
        </is>
      </c>
      <c r="B936" s="1" t="n">
        <v>46048</v>
      </c>
      <c r="C936" s="1" t="n">
        <v>46181</v>
      </c>
      <c r="D936" t="inlineStr">
        <is>
          <t>VÄSTERNORRLANDS LÄN</t>
        </is>
      </c>
      <c r="E936" t="inlineStr">
        <is>
          <t>SUNDSVALL</t>
        </is>
      </c>
      <c r="F936" t="inlineStr">
        <is>
          <t>Holmen skog AB</t>
        </is>
      </c>
      <c r="G936" t="n">
        <v>2</v>
      </c>
      <c r="H936" t="n">
        <v>0</v>
      </c>
      <c r="I936" t="n">
        <v>0</v>
      </c>
      <c r="J936" t="n">
        <v>0</v>
      </c>
      <c r="K936" t="n">
        <v>0</v>
      </c>
      <c r="L936" t="n">
        <v>0</v>
      </c>
      <c r="M936" t="n">
        <v>0</v>
      </c>
      <c r="N936" t="n">
        <v>0</v>
      </c>
      <c r="O936" t="n">
        <v>0</v>
      </c>
      <c r="P936" t="n">
        <v>0</v>
      </c>
      <c r="Q936" t="n">
        <v>0</v>
      </c>
      <c r="R936" s="2" t="inlineStr"/>
    </row>
    <row r="937" ht="15" customHeight="1">
      <c r="A937" t="inlineStr">
        <is>
          <t>A 45515-2021</t>
        </is>
      </c>
      <c r="B937" s="1" t="n">
        <v>44440.58136574074</v>
      </c>
      <c r="C937" s="1" t="n">
        <v>46181</v>
      </c>
      <c r="D937" t="inlineStr">
        <is>
          <t>VÄSTERNORRLANDS LÄN</t>
        </is>
      </c>
      <c r="E937" t="inlineStr">
        <is>
          <t>SUNDSVALL</t>
        </is>
      </c>
      <c r="G937" t="n">
        <v>7.3</v>
      </c>
      <c r="H937" t="n">
        <v>0</v>
      </c>
      <c r="I937" t="n">
        <v>0</v>
      </c>
      <c r="J937" t="n">
        <v>0</v>
      </c>
      <c r="K937" t="n">
        <v>0</v>
      </c>
      <c r="L937" t="n">
        <v>0</v>
      </c>
      <c r="M937" t="n">
        <v>0</v>
      </c>
      <c r="N937" t="n">
        <v>0</v>
      </c>
      <c r="O937" t="n">
        <v>0</v>
      </c>
      <c r="P937" t="n">
        <v>0</v>
      </c>
      <c r="Q937" t="n">
        <v>0</v>
      </c>
      <c r="R937" s="2" t="inlineStr"/>
    </row>
    <row r="938" ht="15" customHeight="1">
      <c r="A938" t="inlineStr">
        <is>
          <t>A 4293-2026</t>
        </is>
      </c>
      <c r="B938" s="1" t="n">
        <v>46045.41609953704</v>
      </c>
      <c r="C938" s="1" t="n">
        <v>46181</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3188-2025</t>
        </is>
      </c>
      <c r="B939" s="1" t="n">
        <v>45679.40740740741</v>
      </c>
      <c r="C939" s="1" t="n">
        <v>46181</v>
      </c>
      <c r="D939" t="inlineStr">
        <is>
          <t>VÄSTERNORRLANDS LÄN</t>
        </is>
      </c>
      <c r="E939" t="inlineStr">
        <is>
          <t>SUNDSVALL</t>
        </is>
      </c>
      <c r="F939" t="inlineStr">
        <is>
          <t>SCA</t>
        </is>
      </c>
      <c r="G939" t="n">
        <v>7.8</v>
      </c>
      <c r="H939" t="n">
        <v>0</v>
      </c>
      <c r="I939" t="n">
        <v>0</v>
      </c>
      <c r="J939" t="n">
        <v>0</v>
      </c>
      <c r="K939" t="n">
        <v>0</v>
      </c>
      <c r="L939" t="n">
        <v>0</v>
      </c>
      <c r="M939" t="n">
        <v>0</v>
      </c>
      <c r="N939" t="n">
        <v>0</v>
      </c>
      <c r="O939" t="n">
        <v>0</v>
      </c>
      <c r="P939" t="n">
        <v>0</v>
      </c>
      <c r="Q939" t="n">
        <v>0</v>
      </c>
      <c r="R939" s="2" t="inlineStr"/>
    </row>
    <row r="940" ht="15" customHeight="1">
      <c r="A940" t="inlineStr">
        <is>
          <t>A 44284-2025</t>
        </is>
      </c>
      <c r="B940" s="1" t="n">
        <v>45916.34548611111</v>
      </c>
      <c r="C940" s="1" t="n">
        <v>46181</v>
      </c>
      <c r="D940" t="inlineStr">
        <is>
          <t>VÄSTERNORRLANDS LÄN</t>
        </is>
      </c>
      <c r="E940" t="inlineStr">
        <is>
          <t>SUNDSVALL</t>
        </is>
      </c>
      <c r="G940" t="n">
        <v>1.2</v>
      </c>
      <c r="H940" t="n">
        <v>0</v>
      </c>
      <c r="I940" t="n">
        <v>0</v>
      </c>
      <c r="J940" t="n">
        <v>0</v>
      </c>
      <c r="K940" t="n">
        <v>0</v>
      </c>
      <c r="L940" t="n">
        <v>0</v>
      </c>
      <c r="M940" t="n">
        <v>0</v>
      </c>
      <c r="N940" t="n">
        <v>0</v>
      </c>
      <c r="O940" t="n">
        <v>0</v>
      </c>
      <c r="P940" t="n">
        <v>0</v>
      </c>
      <c r="Q940" t="n">
        <v>0</v>
      </c>
      <c r="R940" s="2" t="inlineStr"/>
    </row>
    <row r="941" ht="15" customHeight="1">
      <c r="A941" t="inlineStr">
        <is>
          <t>A 44426-2025</t>
        </is>
      </c>
      <c r="B941" s="1" t="n">
        <v>45916</v>
      </c>
      <c r="C941" s="1" t="n">
        <v>46181</v>
      </c>
      <c r="D941" t="inlineStr">
        <is>
          <t>VÄSTERNORRLANDS LÄN</t>
        </is>
      </c>
      <c r="E941" t="inlineStr">
        <is>
          <t>SUNDSVALL</t>
        </is>
      </c>
      <c r="G941" t="n">
        <v>2.4</v>
      </c>
      <c r="H941" t="n">
        <v>0</v>
      </c>
      <c r="I941" t="n">
        <v>0</v>
      </c>
      <c r="J941" t="n">
        <v>0</v>
      </c>
      <c r="K941" t="n">
        <v>0</v>
      </c>
      <c r="L941" t="n">
        <v>0</v>
      </c>
      <c r="M941" t="n">
        <v>0</v>
      </c>
      <c r="N941" t="n">
        <v>0</v>
      </c>
      <c r="O941" t="n">
        <v>0</v>
      </c>
      <c r="P941" t="n">
        <v>0</v>
      </c>
      <c r="Q941" t="n">
        <v>0</v>
      </c>
      <c r="R941" s="2" t="inlineStr"/>
      <c r="U941">
        <f>HYPERLINK("https://klasma.github.io/Logging_2281/knärot/A 44426-2025 karta knärot.png", "A 44426-2025")</f>
        <v/>
      </c>
      <c r="V941">
        <f>HYPERLINK("https://klasma.github.io/Logging_2281/klagomål/A 44426-2025 FSC-klagomål.docx", "A 44426-2025")</f>
        <v/>
      </c>
      <c r="W941">
        <f>HYPERLINK("https://klasma.github.io/Logging_2281/klagomålsmail/A 44426-2025 FSC-klagomål mail.docx", "A 44426-2025")</f>
        <v/>
      </c>
      <c r="X941">
        <f>HYPERLINK("https://klasma.github.io/Logging_2281/tillsyn/A 44426-2025 tillsynsbegäran.docx", "A 44426-2025")</f>
        <v/>
      </c>
      <c r="Y941">
        <f>HYPERLINK("https://klasma.github.io/Logging_2281/tillsynsmail/A 44426-2025 tillsynsbegäran mail.docx", "A 44426-2025")</f>
        <v/>
      </c>
    </row>
    <row r="942" ht="15" customHeight="1">
      <c r="A942" t="inlineStr">
        <is>
          <t>A 3215-2025</t>
        </is>
      </c>
      <c r="B942" s="1" t="n">
        <v>45679</v>
      </c>
      <c r="C942" s="1" t="n">
        <v>46181</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5320-2026</t>
        </is>
      </c>
      <c r="B943" s="1" t="n">
        <v>46050.38601851852</v>
      </c>
      <c r="C943" s="1" t="n">
        <v>46181</v>
      </c>
      <c r="D943" t="inlineStr">
        <is>
          <t>VÄSTERNORRLANDS LÄN</t>
        </is>
      </c>
      <c r="E943" t="inlineStr">
        <is>
          <t>SUNDSVALL</t>
        </is>
      </c>
      <c r="F943" t="inlineStr">
        <is>
          <t>SCA</t>
        </is>
      </c>
      <c r="G943" t="n">
        <v>25.6</v>
      </c>
      <c r="H943" t="n">
        <v>0</v>
      </c>
      <c r="I943" t="n">
        <v>0</v>
      </c>
      <c r="J943" t="n">
        <v>0</v>
      </c>
      <c r="K943" t="n">
        <v>0</v>
      </c>
      <c r="L943" t="n">
        <v>0</v>
      </c>
      <c r="M943" t="n">
        <v>0</v>
      </c>
      <c r="N943" t="n">
        <v>0</v>
      </c>
      <c r="O943" t="n">
        <v>0</v>
      </c>
      <c r="P943" t="n">
        <v>0</v>
      </c>
      <c r="Q943" t="n">
        <v>0</v>
      </c>
      <c r="R943" s="2" t="inlineStr"/>
    </row>
    <row r="944" ht="15" customHeight="1">
      <c r="A944" t="inlineStr">
        <is>
          <t>A 48441-2024</t>
        </is>
      </c>
      <c r="B944" s="1" t="n">
        <v>45590.67782407408</v>
      </c>
      <c r="C944" s="1" t="n">
        <v>46181</v>
      </c>
      <c r="D944" t="inlineStr">
        <is>
          <t>VÄSTERNORRLANDS LÄN</t>
        </is>
      </c>
      <c r="E944" t="inlineStr">
        <is>
          <t>SUNDSVALL</t>
        </is>
      </c>
      <c r="G944" t="n">
        <v>0.3</v>
      </c>
      <c r="H944" t="n">
        <v>0</v>
      </c>
      <c r="I944" t="n">
        <v>0</v>
      </c>
      <c r="J944" t="n">
        <v>0</v>
      </c>
      <c r="K944" t="n">
        <v>0</v>
      </c>
      <c r="L944" t="n">
        <v>0</v>
      </c>
      <c r="M944" t="n">
        <v>0</v>
      </c>
      <c r="N944" t="n">
        <v>0</v>
      </c>
      <c r="O944" t="n">
        <v>0</v>
      </c>
      <c r="P944" t="n">
        <v>0</v>
      </c>
      <c r="Q944" t="n">
        <v>0</v>
      </c>
      <c r="R944" s="2" t="inlineStr"/>
    </row>
    <row r="945" ht="15" customHeight="1">
      <c r="A945" t="inlineStr">
        <is>
          <t>A 48442-2024</t>
        </is>
      </c>
      <c r="B945" s="1" t="n">
        <v>45590.67783564814</v>
      </c>
      <c r="C945" s="1" t="n">
        <v>46181</v>
      </c>
      <c r="D945" t="inlineStr">
        <is>
          <t>VÄSTERNORRLANDS LÄN</t>
        </is>
      </c>
      <c r="E945" t="inlineStr">
        <is>
          <t>SUNDSVALL</t>
        </is>
      </c>
      <c r="G945" t="n">
        <v>0.4</v>
      </c>
      <c r="H945" t="n">
        <v>0</v>
      </c>
      <c r="I945" t="n">
        <v>0</v>
      </c>
      <c r="J945" t="n">
        <v>0</v>
      </c>
      <c r="K945" t="n">
        <v>0</v>
      </c>
      <c r="L945" t="n">
        <v>0</v>
      </c>
      <c r="M945" t="n">
        <v>0</v>
      </c>
      <c r="N945" t="n">
        <v>0</v>
      </c>
      <c r="O945" t="n">
        <v>0</v>
      </c>
      <c r="P945" t="n">
        <v>0</v>
      </c>
      <c r="Q945" t="n">
        <v>0</v>
      </c>
      <c r="R945" s="2" t="inlineStr"/>
    </row>
    <row r="946" ht="15" customHeight="1">
      <c r="A946" t="inlineStr">
        <is>
          <t>A 44934-2021</t>
        </is>
      </c>
      <c r="B946" s="1" t="n">
        <v>44438</v>
      </c>
      <c r="C946" s="1" t="n">
        <v>46181</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8488-2025</t>
        </is>
      </c>
      <c r="B947" s="1" t="n">
        <v>45709.50527777777</v>
      </c>
      <c r="C947" s="1" t="n">
        <v>46181</v>
      </c>
      <c r="D947" t="inlineStr">
        <is>
          <t>VÄSTERNORRLANDS LÄN</t>
        </is>
      </c>
      <c r="E947" t="inlineStr">
        <is>
          <t>SUNDSVALL</t>
        </is>
      </c>
      <c r="G947" t="n">
        <v>2.6</v>
      </c>
      <c r="H947" t="n">
        <v>0</v>
      </c>
      <c r="I947" t="n">
        <v>0</v>
      </c>
      <c r="J947" t="n">
        <v>0</v>
      </c>
      <c r="K947" t="n">
        <v>0</v>
      </c>
      <c r="L947" t="n">
        <v>0</v>
      </c>
      <c r="M947" t="n">
        <v>0</v>
      </c>
      <c r="N947" t="n">
        <v>0</v>
      </c>
      <c r="O947" t="n">
        <v>0</v>
      </c>
      <c r="P947" t="n">
        <v>0</v>
      </c>
      <c r="Q947" t="n">
        <v>0</v>
      </c>
      <c r="R947" s="2" t="inlineStr"/>
    </row>
    <row r="948" ht="15" customHeight="1">
      <c r="A948" t="inlineStr">
        <is>
          <t>A 5494-2026</t>
        </is>
      </c>
      <c r="B948" s="1" t="n">
        <v>46050</v>
      </c>
      <c r="C948" s="1" t="n">
        <v>46181</v>
      </c>
      <c r="D948" t="inlineStr">
        <is>
          <t>VÄSTERNORRLANDS LÄN</t>
        </is>
      </c>
      <c r="E948" t="inlineStr">
        <is>
          <t>SUNDSVALL</t>
        </is>
      </c>
      <c r="G948" t="n">
        <v>2.6</v>
      </c>
      <c r="H948" t="n">
        <v>0</v>
      </c>
      <c r="I948" t="n">
        <v>0</v>
      </c>
      <c r="J948" t="n">
        <v>0</v>
      </c>
      <c r="K948" t="n">
        <v>0</v>
      </c>
      <c r="L948" t="n">
        <v>0</v>
      </c>
      <c r="M948" t="n">
        <v>0</v>
      </c>
      <c r="N948" t="n">
        <v>0</v>
      </c>
      <c r="O948" t="n">
        <v>0</v>
      </c>
      <c r="P948" t="n">
        <v>0</v>
      </c>
      <c r="Q948" t="n">
        <v>0</v>
      </c>
      <c r="R948" s="2" t="inlineStr"/>
    </row>
    <row r="949" ht="15" customHeight="1">
      <c r="A949" t="inlineStr">
        <is>
          <t>A 44388-2025</t>
        </is>
      </c>
      <c r="B949" s="1" t="n">
        <v>45916.49010416667</v>
      </c>
      <c r="C949" s="1" t="n">
        <v>46181</v>
      </c>
      <c r="D949" t="inlineStr">
        <is>
          <t>VÄSTERNORRLANDS LÄN</t>
        </is>
      </c>
      <c r="E949" t="inlineStr">
        <is>
          <t>SUNDSVALL</t>
        </is>
      </c>
      <c r="F949" t="inlineStr">
        <is>
          <t>Naturvårdsverket</t>
        </is>
      </c>
      <c r="G949" t="n">
        <v>1.6</v>
      </c>
      <c r="H949" t="n">
        <v>0</v>
      </c>
      <c r="I949" t="n">
        <v>0</v>
      </c>
      <c r="J949" t="n">
        <v>0</v>
      </c>
      <c r="K949" t="n">
        <v>0</v>
      </c>
      <c r="L949" t="n">
        <v>0</v>
      </c>
      <c r="M949" t="n">
        <v>0</v>
      </c>
      <c r="N949" t="n">
        <v>0</v>
      </c>
      <c r="O949" t="n">
        <v>0</v>
      </c>
      <c r="P949" t="n">
        <v>0</v>
      </c>
      <c r="Q949" t="n">
        <v>0</v>
      </c>
      <c r="R949" s="2" t="inlineStr"/>
    </row>
    <row r="950" ht="15" customHeight="1">
      <c r="A950" t="inlineStr">
        <is>
          <t>A 44437-2025</t>
        </is>
      </c>
      <c r="B950" s="1" t="n">
        <v>45916.58321759259</v>
      </c>
      <c r="C950" s="1" t="n">
        <v>46181</v>
      </c>
      <c r="D950" t="inlineStr">
        <is>
          <t>VÄSTERNORRLANDS LÄN</t>
        </is>
      </c>
      <c r="E950" t="inlineStr">
        <is>
          <t>SUNDSVALL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5252-2026</t>
        </is>
      </c>
      <c r="B951" s="1" t="n">
        <v>46050.23104166667</v>
      </c>
      <c r="C951" s="1" t="n">
        <v>46181</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44837-2025</t>
        </is>
      </c>
      <c r="B952" s="1" t="n">
        <v>45918.42329861111</v>
      </c>
      <c r="C952" s="1" t="n">
        <v>46181</v>
      </c>
      <c r="D952" t="inlineStr">
        <is>
          <t>VÄSTERNORRLANDS LÄN</t>
        </is>
      </c>
      <c r="E952" t="inlineStr">
        <is>
          <t>SUNDSVALL</t>
        </is>
      </c>
      <c r="G952" t="n">
        <v>1.2</v>
      </c>
      <c r="H952" t="n">
        <v>0</v>
      </c>
      <c r="I952" t="n">
        <v>0</v>
      </c>
      <c r="J952" t="n">
        <v>0</v>
      </c>
      <c r="K952" t="n">
        <v>0</v>
      </c>
      <c r="L952" t="n">
        <v>0</v>
      </c>
      <c r="M952" t="n">
        <v>0</v>
      </c>
      <c r="N952" t="n">
        <v>0</v>
      </c>
      <c r="O952" t="n">
        <v>0</v>
      </c>
      <c r="P952" t="n">
        <v>0</v>
      </c>
      <c r="Q952" t="n">
        <v>0</v>
      </c>
      <c r="R952" s="2" t="inlineStr"/>
    </row>
    <row r="953" ht="15" customHeight="1">
      <c r="A953" t="inlineStr">
        <is>
          <t>A 5352-2026</t>
        </is>
      </c>
      <c r="B953" s="1" t="n">
        <v>46050.43876157407</v>
      </c>
      <c r="C953" s="1" t="n">
        <v>46181</v>
      </c>
      <c r="D953" t="inlineStr">
        <is>
          <t>VÄSTERNORRLANDS LÄN</t>
        </is>
      </c>
      <c r="E953" t="inlineStr">
        <is>
          <t>SUNDSVALL</t>
        </is>
      </c>
      <c r="G953" t="n">
        <v>7.3</v>
      </c>
      <c r="H953" t="n">
        <v>0</v>
      </c>
      <c r="I953" t="n">
        <v>0</v>
      </c>
      <c r="J953" t="n">
        <v>0</v>
      </c>
      <c r="K953" t="n">
        <v>0</v>
      </c>
      <c r="L953" t="n">
        <v>0</v>
      </c>
      <c r="M953" t="n">
        <v>0</v>
      </c>
      <c r="N953" t="n">
        <v>0</v>
      </c>
      <c r="O953" t="n">
        <v>0</v>
      </c>
      <c r="P953" t="n">
        <v>0</v>
      </c>
      <c r="Q953" t="n">
        <v>0</v>
      </c>
      <c r="R953" s="2" t="inlineStr"/>
    </row>
    <row r="954" ht="15" customHeight="1">
      <c r="A954" t="inlineStr">
        <is>
          <t>A 5416-2026</t>
        </is>
      </c>
      <c r="B954" s="1" t="n">
        <v>46050.53677083334</v>
      </c>
      <c r="C954" s="1" t="n">
        <v>46181</v>
      </c>
      <c r="D954" t="inlineStr">
        <is>
          <t>VÄSTERNORRLANDS LÄN</t>
        </is>
      </c>
      <c r="E954" t="inlineStr">
        <is>
          <t>SUNDSVALL</t>
        </is>
      </c>
      <c r="G954" t="n">
        <v>1</v>
      </c>
      <c r="H954" t="n">
        <v>0</v>
      </c>
      <c r="I954" t="n">
        <v>0</v>
      </c>
      <c r="J954" t="n">
        <v>0</v>
      </c>
      <c r="K954" t="n">
        <v>0</v>
      </c>
      <c r="L954" t="n">
        <v>0</v>
      </c>
      <c r="M954" t="n">
        <v>0</v>
      </c>
      <c r="N954" t="n">
        <v>0</v>
      </c>
      <c r="O954" t="n">
        <v>0</v>
      </c>
      <c r="P954" t="n">
        <v>0</v>
      </c>
      <c r="Q954" t="n">
        <v>0</v>
      </c>
      <c r="R954" s="2" t="inlineStr"/>
    </row>
    <row r="955" ht="15" customHeight="1">
      <c r="A955" t="inlineStr">
        <is>
          <t>A 48950-2024</t>
        </is>
      </c>
      <c r="B955" s="1" t="n">
        <v>45594.42883101852</v>
      </c>
      <c r="C955" s="1" t="n">
        <v>46181</v>
      </c>
      <c r="D955" t="inlineStr">
        <is>
          <t>VÄSTERNORRLANDS LÄN</t>
        </is>
      </c>
      <c r="E955" t="inlineStr">
        <is>
          <t>SUNDSVALL</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54570-2024</t>
        </is>
      </c>
      <c r="B956" s="1" t="n">
        <v>45617.64739583333</v>
      </c>
      <c r="C956" s="1" t="n">
        <v>46181</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31114-2025</t>
        </is>
      </c>
      <c r="B957" s="1" t="n">
        <v>45832.61521990741</v>
      </c>
      <c r="C957" s="1" t="n">
        <v>46181</v>
      </c>
      <c r="D957" t="inlineStr">
        <is>
          <t>VÄSTERNORRLANDS LÄN</t>
        </is>
      </c>
      <c r="E957" t="inlineStr">
        <is>
          <t>SUNDSVALL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5532-2026</t>
        </is>
      </c>
      <c r="B958" s="1" t="n">
        <v>46050.65679398148</v>
      </c>
      <c r="C958" s="1" t="n">
        <v>46181</v>
      </c>
      <c r="D958" t="inlineStr">
        <is>
          <t>VÄSTERNORRLANDS LÄN</t>
        </is>
      </c>
      <c r="E958" t="inlineStr">
        <is>
          <t>SUNDSVALL</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57363-2022</t>
        </is>
      </c>
      <c r="B959" s="1" t="n">
        <v>44896.43229166666</v>
      </c>
      <c r="C959" s="1" t="n">
        <v>46181</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44582-2025</t>
        </is>
      </c>
      <c r="B960" s="1" t="n">
        <v>45917.40690972222</v>
      </c>
      <c r="C960" s="1" t="n">
        <v>46181</v>
      </c>
      <c r="D960" t="inlineStr">
        <is>
          <t>VÄSTERNORRLANDS LÄN</t>
        </is>
      </c>
      <c r="E960" t="inlineStr">
        <is>
          <t>SUNDSVALL</t>
        </is>
      </c>
      <c r="F960" t="inlineStr">
        <is>
          <t>Naturvårdsverket</t>
        </is>
      </c>
      <c r="G960" t="n">
        <v>3.5</v>
      </c>
      <c r="H960" t="n">
        <v>0</v>
      </c>
      <c r="I960" t="n">
        <v>0</v>
      </c>
      <c r="J960" t="n">
        <v>0</v>
      </c>
      <c r="K960" t="n">
        <v>0</v>
      </c>
      <c r="L960" t="n">
        <v>0</v>
      </c>
      <c r="M960" t="n">
        <v>0</v>
      </c>
      <c r="N960" t="n">
        <v>0</v>
      </c>
      <c r="O960" t="n">
        <v>0</v>
      </c>
      <c r="P960" t="n">
        <v>0</v>
      </c>
      <c r="Q960" t="n">
        <v>0</v>
      </c>
      <c r="R960" s="2" t="inlineStr"/>
    </row>
    <row r="961" ht="15" customHeight="1">
      <c r="A961" t="inlineStr">
        <is>
          <t>A 5334-2026</t>
        </is>
      </c>
      <c r="B961" s="1" t="n">
        <v>46050.40685185185</v>
      </c>
      <c r="C961" s="1" t="n">
        <v>46181</v>
      </c>
      <c r="D961" t="inlineStr">
        <is>
          <t>VÄSTERNORRLANDS LÄN</t>
        </is>
      </c>
      <c r="E961" t="inlineStr">
        <is>
          <t>SUNDSVALL</t>
        </is>
      </c>
      <c r="G961" t="n">
        <v>17</v>
      </c>
      <c r="H961" t="n">
        <v>0</v>
      </c>
      <c r="I961" t="n">
        <v>0</v>
      </c>
      <c r="J961" t="n">
        <v>0</v>
      </c>
      <c r="K961" t="n">
        <v>0</v>
      </c>
      <c r="L961" t="n">
        <v>0</v>
      </c>
      <c r="M961" t="n">
        <v>0</v>
      </c>
      <c r="N961" t="n">
        <v>0</v>
      </c>
      <c r="O961" t="n">
        <v>0</v>
      </c>
      <c r="P961" t="n">
        <v>0</v>
      </c>
      <c r="Q961" t="n">
        <v>0</v>
      </c>
      <c r="R961" s="2" t="inlineStr"/>
    </row>
    <row r="962" ht="15" customHeight="1">
      <c r="A962" t="inlineStr">
        <is>
          <t>A 40319-2024</t>
        </is>
      </c>
      <c r="B962" s="1" t="n">
        <v>45554.80418981481</v>
      </c>
      <c r="C962" s="1" t="n">
        <v>46181</v>
      </c>
      <c r="D962" t="inlineStr">
        <is>
          <t>VÄSTERNORRLANDS LÄN</t>
        </is>
      </c>
      <c r="E962" t="inlineStr">
        <is>
          <t>SUNDSVALL</t>
        </is>
      </c>
      <c r="G962" t="n">
        <v>1.5</v>
      </c>
      <c r="H962" t="n">
        <v>0</v>
      </c>
      <c r="I962" t="n">
        <v>0</v>
      </c>
      <c r="J962" t="n">
        <v>0</v>
      </c>
      <c r="K962" t="n">
        <v>0</v>
      </c>
      <c r="L962" t="n">
        <v>0</v>
      </c>
      <c r="M962" t="n">
        <v>0</v>
      </c>
      <c r="N962" t="n">
        <v>0</v>
      </c>
      <c r="O962" t="n">
        <v>0</v>
      </c>
      <c r="P962" t="n">
        <v>0</v>
      </c>
      <c r="Q962" t="n">
        <v>0</v>
      </c>
      <c r="R962" s="2" t="inlineStr"/>
    </row>
    <row r="963" ht="15" customHeight="1">
      <c r="A963" t="inlineStr">
        <is>
          <t>A 44932-2025</t>
        </is>
      </c>
      <c r="B963" s="1" t="n">
        <v>45918.57347222222</v>
      </c>
      <c r="C963" s="1" t="n">
        <v>46181</v>
      </c>
      <c r="D963" t="inlineStr">
        <is>
          <t>VÄSTERNORRLANDS LÄN</t>
        </is>
      </c>
      <c r="E963" t="inlineStr">
        <is>
          <t>SUNDSVALL</t>
        </is>
      </c>
      <c r="F963" t="inlineStr">
        <is>
          <t>Naturvårdsverket</t>
        </is>
      </c>
      <c r="G963" t="n">
        <v>0.8</v>
      </c>
      <c r="H963" t="n">
        <v>0</v>
      </c>
      <c r="I963" t="n">
        <v>0</v>
      </c>
      <c r="J963" t="n">
        <v>0</v>
      </c>
      <c r="K963" t="n">
        <v>0</v>
      </c>
      <c r="L963" t="n">
        <v>0</v>
      </c>
      <c r="M963" t="n">
        <v>0</v>
      </c>
      <c r="N963" t="n">
        <v>0</v>
      </c>
      <c r="O963" t="n">
        <v>0</v>
      </c>
      <c r="P963" t="n">
        <v>0</v>
      </c>
      <c r="Q963" t="n">
        <v>0</v>
      </c>
      <c r="R963" s="2" t="inlineStr"/>
    </row>
    <row r="964" ht="15" customHeight="1">
      <c r="A964" t="inlineStr">
        <is>
          <t>A 30810-2025</t>
        </is>
      </c>
      <c r="B964" s="1" t="n">
        <v>45831.65712962963</v>
      </c>
      <c r="C964" s="1" t="n">
        <v>46181</v>
      </c>
      <c r="D964" t="inlineStr">
        <is>
          <t>VÄSTERNORRLANDS LÄN</t>
        </is>
      </c>
      <c r="E964" t="inlineStr">
        <is>
          <t>SUNDSVALL</t>
        </is>
      </c>
      <c r="G964" t="n">
        <v>1.4</v>
      </c>
      <c r="H964" t="n">
        <v>0</v>
      </c>
      <c r="I964" t="n">
        <v>0</v>
      </c>
      <c r="J964" t="n">
        <v>0</v>
      </c>
      <c r="K964" t="n">
        <v>0</v>
      </c>
      <c r="L964" t="n">
        <v>0</v>
      </c>
      <c r="M964" t="n">
        <v>0</v>
      </c>
      <c r="N964" t="n">
        <v>0</v>
      </c>
      <c r="O964" t="n">
        <v>0</v>
      </c>
      <c r="P964" t="n">
        <v>0</v>
      </c>
      <c r="Q964" t="n">
        <v>0</v>
      </c>
      <c r="R964" s="2" t="inlineStr"/>
    </row>
    <row r="965" ht="15" customHeight="1">
      <c r="A965" t="inlineStr">
        <is>
          <t>A 41287-2024</t>
        </is>
      </c>
      <c r="B965" s="1" t="n">
        <v>45559</v>
      </c>
      <c r="C965" s="1" t="n">
        <v>46181</v>
      </c>
      <c r="D965" t="inlineStr">
        <is>
          <t>VÄSTERNORRLANDS LÄN</t>
        </is>
      </c>
      <c r="E965" t="inlineStr">
        <is>
          <t>SUNDSVALL</t>
        </is>
      </c>
      <c r="G965" t="n">
        <v>1.4</v>
      </c>
      <c r="H965" t="n">
        <v>0</v>
      </c>
      <c r="I965" t="n">
        <v>0</v>
      </c>
      <c r="J965" t="n">
        <v>0</v>
      </c>
      <c r="K965" t="n">
        <v>0</v>
      </c>
      <c r="L965" t="n">
        <v>0</v>
      </c>
      <c r="M965" t="n">
        <v>0</v>
      </c>
      <c r="N965" t="n">
        <v>0</v>
      </c>
      <c r="O965" t="n">
        <v>0</v>
      </c>
      <c r="P965" t="n">
        <v>0</v>
      </c>
      <c r="Q965" t="n">
        <v>0</v>
      </c>
      <c r="R965" s="2" t="inlineStr"/>
    </row>
    <row r="966" ht="15" customHeight="1">
      <c r="A966" t="inlineStr">
        <is>
          <t>A 7220-2024</t>
        </is>
      </c>
      <c r="B966" s="1" t="n">
        <v>45344.63797453704</v>
      </c>
      <c r="C966" s="1" t="n">
        <v>46181</v>
      </c>
      <c r="D966" t="inlineStr">
        <is>
          <t>VÄSTERNORRLANDS LÄN</t>
        </is>
      </c>
      <c r="E966" t="inlineStr">
        <is>
          <t>SUNDSVALL</t>
        </is>
      </c>
      <c r="G966" t="n">
        <v>2.9</v>
      </c>
      <c r="H966" t="n">
        <v>0</v>
      </c>
      <c r="I966" t="n">
        <v>0</v>
      </c>
      <c r="J966" t="n">
        <v>0</v>
      </c>
      <c r="K966" t="n">
        <v>0</v>
      </c>
      <c r="L966" t="n">
        <v>0</v>
      </c>
      <c r="M966" t="n">
        <v>0</v>
      </c>
      <c r="N966" t="n">
        <v>0</v>
      </c>
      <c r="O966" t="n">
        <v>0</v>
      </c>
      <c r="P966" t="n">
        <v>0</v>
      </c>
      <c r="Q966" t="n">
        <v>0</v>
      </c>
      <c r="R966" s="2" t="inlineStr"/>
    </row>
    <row r="967" ht="15" customHeight="1">
      <c r="A967" t="inlineStr">
        <is>
          <t>A 12101-2024</t>
        </is>
      </c>
      <c r="B967" s="1" t="n">
        <v>45376</v>
      </c>
      <c r="C967" s="1" t="n">
        <v>46181</v>
      </c>
      <c r="D967" t="inlineStr">
        <is>
          <t>VÄSTERNORRLANDS LÄN</t>
        </is>
      </c>
      <c r="E967" t="inlineStr">
        <is>
          <t>SUNDSVALL</t>
        </is>
      </c>
      <c r="G967" t="n">
        <v>6</v>
      </c>
      <c r="H967" t="n">
        <v>0</v>
      </c>
      <c r="I967" t="n">
        <v>0</v>
      </c>
      <c r="J967" t="n">
        <v>0</v>
      </c>
      <c r="K967" t="n">
        <v>0</v>
      </c>
      <c r="L967" t="n">
        <v>0</v>
      </c>
      <c r="M967" t="n">
        <v>0</v>
      </c>
      <c r="N967" t="n">
        <v>0</v>
      </c>
      <c r="O967" t="n">
        <v>0</v>
      </c>
      <c r="P967" t="n">
        <v>0</v>
      </c>
      <c r="Q967" t="n">
        <v>0</v>
      </c>
      <c r="R967" s="2" t="inlineStr"/>
    </row>
    <row r="968" ht="15" customHeight="1">
      <c r="A968" t="inlineStr">
        <is>
          <t>A 5490-2026</t>
        </is>
      </c>
      <c r="B968" s="1" t="n">
        <v>46050.61539351852</v>
      </c>
      <c r="C968" s="1" t="n">
        <v>46181</v>
      </c>
      <c r="D968" t="inlineStr">
        <is>
          <t>VÄSTERNORRLANDS LÄN</t>
        </is>
      </c>
      <c r="E968" t="inlineStr">
        <is>
          <t>SUNDSVALL</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38939-2024</t>
        </is>
      </c>
      <c r="B969" s="1" t="n">
        <v>45548.34457175926</v>
      </c>
      <c r="C969" s="1" t="n">
        <v>46181</v>
      </c>
      <c r="D969" t="inlineStr">
        <is>
          <t>VÄSTERNORRLANDS LÄN</t>
        </is>
      </c>
      <c r="E969" t="inlineStr">
        <is>
          <t>SUNDSVALL</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38942-2024</t>
        </is>
      </c>
      <c r="B970" s="1" t="n">
        <v>45548.34482638889</v>
      </c>
      <c r="C970" s="1" t="n">
        <v>46181</v>
      </c>
      <c r="D970" t="inlineStr">
        <is>
          <t>VÄSTERNORRLANDS LÄN</t>
        </is>
      </c>
      <c r="E970" t="inlineStr">
        <is>
          <t>SUNDSVALL</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5253-2026</t>
        </is>
      </c>
      <c r="B971" s="1" t="n">
        <v>46050.23314814815</v>
      </c>
      <c r="C971" s="1" t="n">
        <v>46181</v>
      </c>
      <c r="D971" t="inlineStr">
        <is>
          <t>VÄSTERNORRLANDS LÄN</t>
        </is>
      </c>
      <c r="E971" t="inlineStr">
        <is>
          <t>SUNDSVALL</t>
        </is>
      </c>
      <c r="G971" t="n">
        <v>1.8</v>
      </c>
      <c r="H971" t="n">
        <v>0</v>
      </c>
      <c r="I971" t="n">
        <v>0</v>
      </c>
      <c r="J971" t="n">
        <v>0</v>
      </c>
      <c r="K971" t="n">
        <v>0</v>
      </c>
      <c r="L971" t="n">
        <v>0</v>
      </c>
      <c r="M971" t="n">
        <v>0</v>
      </c>
      <c r="N971" t="n">
        <v>0</v>
      </c>
      <c r="O971" t="n">
        <v>0</v>
      </c>
      <c r="P971" t="n">
        <v>0</v>
      </c>
      <c r="Q971" t="n">
        <v>0</v>
      </c>
      <c r="R971" s="2" t="inlineStr"/>
    </row>
    <row r="972" ht="15" customHeight="1">
      <c r="A972" t="inlineStr">
        <is>
          <t>A 34822-2024</t>
        </is>
      </c>
      <c r="B972" s="1" t="n">
        <v>45526.71462962963</v>
      </c>
      <c r="C972" s="1" t="n">
        <v>46181</v>
      </c>
      <c r="D972" t="inlineStr">
        <is>
          <t>VÄSTERNORRLANDS LÄN</t>
        </is>
      </c>
      <c r="E972" t="inlineStr">
        <is>
          <t>SUNDSVALL</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44035-2024</t>
        </is>
      </c>
      <c r="B973" s="1" t="n">
        <v>45572.57914351852</v>
      </c>
      <c r="C973" s="1" t="n">
        <v>46181</v>
      </c>
      <c r="D973" t="inlineStr">
        <is>
          <t>VÄSTERNORRLANDS LÄN</t>
        </is>
      </c>
      <c r="E973" t="inlineStr">
        <is>
          <t>SUNDSVALL</t>
        </is>
      </c>
      <c r="G973" t="n">
        <v>3.7</v>
      </c>
      <c r="H973" t="n">
        <v>0</v>
      </c>
      <c r="I973" t="n">
        <v>0</v>
      </c>
      <c r="J973" t="n">
        <v>0</v>
      </c>
      <c r="K973" t="n">
        <v>0</v>
      </c>
      <c r="L973" t="n">
        <v>0</v>
      </c>
      <c r="M973" t="n">
        <v>0</v>
      </c>
      <c r="N973" t="n">
        <v>0</v>
      </c>
      <c r="O973" t="n">
        <v>0</v>
      </c>
      <c r="P973" t="n">
        <v>0</v>
      </c>
      <c r="Q973" t="n">
        <v>0</v>
      </c>
      <c r="R973" s="2" t="inlineStr"/>
    </row>
    <row r="974" ht="15" customHeight="1">
      <c r="A974" t="inlineStr">
        <is>
          <t>A 36101-2024</t>
        </is>
      </c>
      <c r="B974" s="1" t="n">
        <v>45533</v>
      </c>
      <c r="C974" s="1" t="n">
        <v>46181</v>
      </c>
      <c r="D974" t="inlineStr">
        <is>
          <t>VÄSTERNORRLANDS LÄN</t>
        </is>
      </c>
      <c r="E974" t="inlineStr">
        <is>
          <t>SUNDSVALL</t>
        </is>
      </c>
      <c r="G974" t="n">
        <v>3</v>
      </c>
      <c r="H974" t="n">
        <v>0</v>
      </c>
      <c r="I974" t="n">
        <v>0</v>
      </c>
      <c r="J974" t="n">
        <v>0</v>
      </c>
      <c r="K974" t="n">
        <v>0</v>
      </c>
      <c r="L974" t="n">
        <v>0</v>
      </c>
      <c r="M974" t="n">
        <v>0</v>
      </c>
      <c r="N974" t="n">
        <v>0</v>
      </c>
      <c r="O974" t="n">
        <v>0</v>
      </c>
      <c r="P974" t="n">
        <v>0</v>
      </c>
      <c r="Q974" t="n">
        <v>0</v>
      </c>
      <c r="R974" s="2" t="inlineStr"/>
    </row>
    <row r="975" ht="15" customHeight="1">
      <c r="A975" t="inlineStr">
        <is>
          <t>A 45018-2025</t>
        </is>
      </c>
      <c r="B975" s="1" t="n">
        <v>45918.67739583334</v>
      </c>
      <c r="C975" s="1" t="n">
        <v>46181</v>
      </c>
      <c r="D975" t="inlineStr">
        <is>
          <t>VÄSTERNORRLANDS LÄN</t>
        </is>
      </c>
      <c r="E975" t="inlineStr">
        <is>
          <t>SUNDSVALL</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12310-2024</t>
        </is>
      </c>
      <c r="B976" s="1" t="n">
        <v>45377</v>
      </c>
      <c r="C976" s="1" t="n">
        <v>46181</v>
      </c>
      <c r="D976" t="inlineStr">
        <is>
          <t>VÄSTERNORRLANDS LÄN</t>
        </is>
      </c>
      <c r="E976" t="inlineStr">
        <is>
          <t>SUNDSVALL</t>
        </is>
      </c>
      <c r="G976" t="n">
        <v>3.6</v>
      </c>
      <c r="H976" t="n">
        <v>0</v>
      </c>
      <c r="I976" t="n">
        <v>0</v>
      </c>
      <c r="J976" t="n">
        <v>0</v>
      </c>
      <c r="K976" t="n">
        <v>0</v>
      </c>
      <c r="L976" t="n">
        <v>0</v>
      </c>
      <c r="M976" t="n">
        <v>0</v>
      </c>
      <c r="N976" t="n">
        <v>0</v>
      </c>
      <c r="O976" t="n">
        <v>0</v>
      </c>
      <c r="P976" t="n">
        <v>0</v>
      </c>
      <c r="Q976" t="n">
        <v>0</v>
      </c>
      <c r="R976" s="2" t="inlineStr"/>
    </row>
    <row r="977" ht="15" customHeight="1">
      <c r="A977" t="inlineStr">
        <is>
          <t>A 5602-2026</t>
        </is>
      </c>
      <c r="B977" s="1" t="n">
        <v>46051.34418981482</v>
      </c>
      <c r="C977" s="1" t="n">
        <v>46181</v>
      </c>
      <c r="D977" t="inlineStr">
        <is>
          <t>VÄSTERNORRLANDS LÄN</t>
        </is>
      </c>
      <c r="E977" t="inlineStr">
        <is>
          <t>SUNDSVALL</t>
        </is>
      </c>
      <c r="G977" t="n">
        <v>2.4</v>
      </c>
      <c r="H977" t="n">
        <v>0</v>
      </c>
      <c r="I977" t="n">
        <v>0</v>
      </c>
      <c r="J977" t="n">
        <v>0</v>
      </c>
      <c r="K977" t="n">
        <v>0</v>
      </c>
      <c r="L977" t="n">
        <v>0</v>
      </c>
      <c r="M977" t="n">
        <v>0</v>
      </c>
      <c r="N977" t="n">
        <v>0</v>
      </c>
      <c r="O977" t="n">
        <v>0</v>
      </c>
      <c r="P977" t="n">
        <v>0</v>
      </c>
      <c r="Q977" t="n">
        <v>0</v>
      </c>
      <c r="R977" s="2" t="inlineStr"/>
    </row>
    <row r="978" ht="15" customHeight="1">
      <c r="A978" t="inlineStr">
        <is>
          <t>A 45571-2025</t>
        </is>
      </c>
      <c r="B978" s="1" t="n">
        <v>45922.65731481482</v>
      </c>
      <c r="C978" s="1" t="n">
        <v>46181</v>
      </c>
      <c r="D978" t="inlineStr">
        <is>
          <t>VÄSTERNORRLANDS LÄN</t>
        </is>
      </c>
      <c r="E978" t="inlineStr">
        <is>
          <t>SUNDSVALL</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5854-2026</t>
        </is>
      </c>
      <c r="B979" s="1" t="n">
        <v>46052.3628587963</v>
      </c>
      <c r="C979" s="1" t="n">
        <v>46181</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31115-2025</t>
        </is>
      </c>
      <c r="B980" s="1" t="n">
        <v>45832.61564814814</v>
      </c>
      <c r="C980" s="1" t="n">
        <v>46181</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5886-2026</t>
        </is>
      </c>
      <c r="B981" s="1" t="n">
        <v>46052.41074074074</v>
      </c>
      <c r="C981" s="1" t="n">
        <v>46181</v>
      </c>
      <c r="D981" t="inlineStr">
        <is>
          <t>VÄSTERNORRLANDS LÄN</t>
        </is>
      </c>
      <c r="E981" t="inlineStr">
        <is>
          <t>SUNDSVALL</t>
        </is>
      </c>
      <c r="G981" t="n">
        <v>9.9</v>
      </c>
      <c r="H981" t="n">
        <v>0</v>
      </c>
      <c r="I981" t="n">
        <v>0</v>
      </c>
      <c r="J981" t="n">
        <v>0</v>
      </c>
      <c r="K981" t="n">
        <v>0</v>
      </c>
      <c r="L981" t="n">
        <v>0</v>
      </c>
      <c r="M981" t="n">
        <v>0</v>
      </c>
      <c r="N981" t="n">
        <v>0</v>
      </c>
      <c r="O981" t="n">
        <v>0</v>
      </c>
      <c r="P981" t="n">
        <v>0</v>
      </c>
      <c r="Q981" t="n">
        <v>0</v>
      </c>
      <c r="R981" s="2" t="inlineStr"/>
    </row>
    <row r="982" ht="15" customHeight="1">
      <c r="A982" t="inlineStr">
        <is>
          <t>A 5891-2026</t>
        </is>
      </c>
      <c r="B982" s="1" t="n">
        <v>46052.416875</v>
      </c>
      <c r="C982" s="1" t="n">
        <v>46181</v>
      </c>
      <c r="D982" t="inlineStr">
        <is>
          <t>VÄSTERNORRLANDS LÄN</t>
        </is>
      </c>
      <c r="E982" t="inlineStr">
        <is>
          <t>SUNDSVALL</t>
        </is>
      </c>
      <c r="G982" t="n">
        <v>1.5</v>
      </c>
      <c r="H982" t="n">
        <v>0</v>
      </c>
      <c r="I982" t="n">
        <v>0</v>
      </c>
      <c r="J982" t="n">
        <v>0</v>
      </c>
      <c r="K982" t="n">
        <v>0</v>
      </c>
      <c r="L982" t="n">
        <v>0</v>
      </c>
      <c r="M982" t="n">
        <v>0</v>
      </c>
      <c r="N982" t="n">
        <v>0</v>
      </c>
      <c r="O982" t="n">
        <v>0</v>
      </c>
      <c r="P982" t="n">
        <v>0</v>
      </c>
      <c r="Q982" t="n">
        <v>0</v>
      </c>
      <c r="R982" s="2" t="inlineStr"/>
    </row>
    <row r="983" ht="15" customHeight="1">
      <c r="A983" t="inlineStr">
        <is>
          <t>A 55339-2023</t>
        </is>
      </c>
      <c r="B983" s="1" t="n">
        <v>45237.97483796296</v>
      </c>
      <c r="C983" s="1" t="n">
        <v>46181</v>
      </c>
      <c r="D983" t="inlineStr">
        <is>
          <t>VÄSTERNORRLANDS LÄN</t>
        </is>
      </c>
      <c r="E983" t="inlineStr">
        <is>
          <t>SUNDSVALL</t>
        </is>
      </c>
      <c r="F983" t="inlineStr">
        <is>
          <t>SCA</t>
        </is>
      </c>
      <c r="G983" t="n">
        <v>12.1</v>
      </c>
      <c r="H983" t="n">
        <v>0</v>
      </c>
      <c r="I983" t="n">
        <v>0</v>
      </c>
      <c r="J983" t="n">
        <v>0</v>
      </c>
      <c r="K983" t="n">
        <v>0</v>
      </c>
      <c r="L983" t="n">
        <v>0</v>
      </c>
      <c r="M983" t="n">
        <v>0</v>
      </c>
      <c r="N983" t="n">
        <v>0</v>
      </c>
      <c r="O983" t="n">
        <v>0</v>
      </c>
      <c r="P983" t="n">
        <v>0</v>
      </c>
      <c r="Q983" t="n">
        <v>0</v>
      </c>
      <c r="R983" s="2" t="inlineStr"/>
    </row>
    <row r="984" ht="15" customHeight="1">
      <c r="A984" t="inlineStr">
        <is>
          <t>A 5843-2026</t>
        </is>
      </c>
      <c r="B984" s="1" t="n">
        <v>46052</v>
      </c>
      <c r="C984" s="1" t="n">
        <v>46181</v>
      </c>
      <c r="D984" t="inlineStr">
        <is>
          <t>VÄSTERNORRLANDS LÄN</t>
        </is>
      </c>
      <c r="E984" t="inlineStr">
        <is>
          <t>SUNDSVALL</t>
        </is>
      </c>
      <c r="G984" t="n">
        <v>0.9</v>
      </c>
      <c r="H984" t="n">
        <v>0</v>
      </c>
      <c r="I984" t="n">
        <v>0</v>
      </c>
      <c r="J984" t="n">
        <v>0</v>
      </c>
      <c r="K984" t="n">
        <v>0</v>
      </c>
      <c r="L984" t="n">
        <v>0</v>
      </c>
      <c r="M984" t="n">
        <v>0</v>
      </c>
      <c r="N984" t="n">
        <v>0</v>
      </c>
      <c r="O984" t="n">
        <v>0</v>
      </c>
      <c r="P984" t="n">
        <v>0</v>
      </c>
      <c r="Q984" t="n">
        <v>0</v>
      </c>
      <c r="R984" s="2" t="inlineStr"/>
    </row>
    <row r="985" ht="15" customHeight="1">
      <c r="A985" t="inlineStr">
        <is>
          <t>A 5845-2026</t>
        </is>
      </c>
      <c r="B985" s="1" t="n">
        <v>46052.34831018518</v>
      </c>
      <c r="C985" s="1" t="n">
        <v>46181</v>
      </c>
      <c r="D985" t="inlineStr">
        <is>
          <t>VÄSTERNORRLANDS LÄN</t>
        </is>
      </c>
      <c r="E985" t="inlineStr">
        <is>
          <t>SUNDSVALL</t>
        </is>
      </c>
      <c r="G985" t="n">
        <v>0.8</v>
      </c>
      <c r="H985" t="n">
        <v>0</v>
      </c>
      <c r="I985" t="n">
        <v>0</v>
      </c>
      <c r="J985" t="n">
        <v>0</v>
      </c>
      <c r="K985" t="n">
        <v>0</v>
      </c>
      <c r="L985" t="n">
        <v>0</v>
      </c>
      <c r="M985" t="n">
        <v>0</v>
      </c>
      <c r="N985" t="n">
        <v>0</v>
      </c>
      <c r="O985" t="n">
        <v>0</v>
      </c>
      <c r="P985" t="n">
        <v>0</v>
      </c>
      <c r="Q985" t="n">
        <v>0</v>
      </c>
      <c r="R985" s="2" t="inlineStr"/>
    </row>
    <row r="986" ht="15" customHeight="1">
      <c r="A986" t="inlineStr">
        <is>
          <t>A 7579-2025</t>
        </is>
      </c>
      <c r="B986" s="1" t="n">
        <v>45705</v>
      </c>
      <c r="C986" s="1" t="n">
        <v>46181</v>
      </c>
      <c r="D986" t="inlineStr">
        <is>
          <t>VÄSTERNORRLANDS LÄN</t>
        </is>
      </c>
      <c r="E986" t="inlineStr">
        <is>
          <t>SUNDSVALL</t>
        </is>
      </c>
      <c r="G986" t="n">
        <v>4.9</v>
      </c>
      <c r="H986" t="n">
        <v>0</v>
      </c>
      <c r="I986" t="n">
        <v>0</v>
      </c>
      <c r="J986" t="n">
        <v>0</v>
      </c>
      <c r="K986" t="n">
        <v>0</v>
      </c>
      <c r="L986" t="n">
        <v>0</v>
      </c>
      <c r="M986" t="n">
        <v>0</v>
      </c>
      <c r="N986" t="n">
        <v>0</v>
      </c>
      <c r="O986" t="n">
        <v>0</v>
      </c>
      <c r="P986" t="n">
        <v>0</v>
      </c>
      <c r="Q986" t="n">
        <v>0</v>
      </c>
      <c r="R986" s="2" t="inlineStr"/>
    </row>
    <row r="987" ht="15" customHeight="1">
      <c r="A987" t="inlineStr">
        <is>
          <t>A 45234-2025</t>
        </is>
      </c>
      <c r="B987" s="1" t="n">
        <v>45919.59416666667</v>
      </c>
      <c r="C987" s="1" t="n">
        <v>46181</v>
      </c>
      <c r="D987" t="inlineStr">
        <is>
          <t>VÄSTERNORRLANDS LÄN</t>
        </is>
      </c>
      <c r="E987" t="inlineStr">
        <is>
          <t>SUNDSVALL</t>
        </is>
      </c>
      <c r="F987" t="inlineStr">
        <is>
          <t>SCA</t>
        </is>
      </c>
      <c r="G987" t="n">
        <v>10.8</v>
      </c>
      <c r="H987" t="n">
        <v>0</v>
      </c>
      <c r="I987" t="n">
        <v>0</v>
      </c>
      <c r="J987" t="n">
        <v>0</v>
      </c>
      <c r="K987" t="n">
        <v>0</v>
      </c>
      <c r="L987" t="n">
        <v>0</v>
      </c>
      <c r="M987" t="n">
        <v>0</v>
      </c>
      <c r="N987" t="n">
        <v>0</v>
      </c>
      <c r="O987" t="n">
        <v>0</v>
      </c>
      <c r="P987" t="n">
        <v>0</v>
      </c>
      <c r="Q987" t="n">
        <v>0</v>
      </c>
      <c r="R987" s="2" t="inlineStr"/>
    </row>
    <row r="988" ht="15" customHeight="1">
      <c r="A988" t="inlineStr">
        <is>
          <t>A 45517-2025</t>
        </is>
      </c>
      <c r="B988" s="1" t="n">
        <v>45922.58853009259</v>
      </c>
      <c r="C988" s="1" t="n">
        <v>46181</v>
      </c>
      <c r="D988" t="inlineStr">
        <is>
          <t>VÄSTERNORRLANDS LÄN</t>
        </is>
      </c>
      <c r="E988" t="inlineStr">
        <is>
          <t>SUNDSVALL</t>
        </is>
      </c>
      <c r="G988" t="n">
        <v>2.8</v>
      </c>
      <c r="H988" t="n">
        <v>0</v>
      </c>
      <c r="I988" t="n">
        <v>0</v>
      </c>
      <c r="J988" t="n">
        <v>0</v>
      </c>
      <c r="K988" t="n">
        <v>0</v>
      </c>
      <c r="L988" t="n">
        <v>0</v>
      </c>
      <c r="M988" t="n">
        <v>0</v>
      </c>
      <c r="N988" t="n">
        <v>0</v>
      </c>
      <c r="O988" t="n">
        <v>0</v>
      </c>
      <c r="P988" t="n">
        <v>0</v>
      </c>
      <c r="Q988" t="n">
        <v>0</v>
      </c>
      <c r="R988" s="2" t="inlineStr"/>
    </row>
    <row r="989" ht="15" customHeight="1">
      <c r="A989" t="inlineStr">
        <is>
          <t>A 31695-2025</t>
        </is>
      </c>
      <c r="B989" s="1" t="n">
        <v>45834.40709490741</v>
      </c>
      <c r="C989" s="1" t="n">
        <v>46181</v>
      </c>
      <c r="D989" t="inlineStr">
        <is>
          <t>VÄSTERNORRLANDS LÄN</t>
        </is>
      </c>
      <c r="E989" t="inlineStr">
        <is>
          <t>SUNDSVALL</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52517-2023</t>
        </is>
      </c>
      <c r="B990" s="1" t="n">
        <v>45225.49472222223</v>
      </c>
      <c r="C990" s="1" t="n">
        <v>46181</v>
      </c>
      <c r="D990" t="inlineStr">
        <is>
          <t>VÄSTERNORRLANDS LÄN</t>
        </is>
      </c>
      <c r="E990" t="inlineStr">
        <is>
          <t>SUNDSVALL</t>
        </is>
      </c>
      <c r="F990" t="inlineStr">
        <is>
          <t>Kommuner</t>
        </is>
      </c>
      <c r="G990" t="n">
        <v>5.2</v>
      </c>
      <c r="H990" t="n">
        <v>0</v>
      </c>
      <c r="I990" t="n">
        <v>0</v>
      </c>
      <c r="J990" t="n">
        <v>0</v>
      </c>
      <c r="K990" t="n">
        <v>0</v>
      </c>
      <c r="L990" t="n">
        <v>0</v>
      </c>
      <c r="M990" t="n">
        <v>0</v>
      </c>
      <c r="N990" t="n">
        <v>0</v>
      </c>
      <c r="O990" t="n">
        <v>0</v>
      </c>
      <c r="P990" t="n">
        <v>0</v>
      </c>
      <c r="Q990" t="n">
        <v>0</v>
      </c>
      <c r="R990" s="2" t="inlineStr"/>
    </row>
    <row r="991" ht="15" customHeight="1">
      <c r="A991" t="inlineStr">
        <is>
          <t>A 45094-2025</t>
        </is>
      </c>
      <c r="B991" s="1" t="n">
        <v>45919.38578703703</v>
      </c>
      <c r="C991" s="1" t="n">
        <v>46181</v>
      </c>
      <c r="D991" t="inlineStr">
        <is>
          <t>VÄSTERNORRLANDS LÄN</t>
        </is>
      </c>
      <c r="E991" t="inlineStr">
        <is>
          <t>SUNDSVALL</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13694-2023</t>
        </is>
      </c>
      <c r="B992" s="1" t="n">
        <v>45006</v>
      </c>
      <c r="C992" s="1" t="n">
        <v>46181</v>
      </c>
      <c r="D992" t="inlineStr">
        <is>
          <t>VÄSTERNORRLANDS LÄN</t>
        </is>
      </c>
      <c r="E992" t="inlineStr">
        <is>
          <t>SUNDSVALL</t>
        </is>
      </c>
      <c r="G992" t="n">
        <v>3.5</v>
      </c>
      <c r="H992" t="n">
        <v>0</v>
      </c>
      <c r="I992" t="n">
        <v>0</v>
      </c>
      <c r="J992" t="n">
        <v>0</v>
      </c>
      <c r="K992" t="n">
        <v>0</v>
      </c>
      <c r="L992" t="n">
        <v>0</v>
      </c>
      <c r="M992" t="n">
        <v>0</v>
      </c>
      <c r="N992" t="n">
        <v>0</v>
      </c>
      <c r="O992" t="n">
        <v>0</v>
      </c>
      <c r="P992" t="n">
        <v>0</v>
      </c>
      <c r="Q992" t="n">
        <v>0</v>
      </c>
      <c r="R992" s="2" t="inlineStr"/>
    </row>
    <row r="993" ht="15" customHeight="1">
      <c r="A993" t="inlineStr">
        <is>
          <t>A 31229-2025</t>
        </is>
      </c>
      <c r="B993" s="1" t="n">
        <v>45832.81157407408</v>
      </c>
      <c r="C993" s="1" t="n">
        <v>46181</v>
      </c>
      <c r="D993" t="inlineStr">
        <is>
          <t>VÄSTERNORRLANDS LÄN</t>
        </is>
      </c>
      <c r="E993" t="inlineStr">
        <is>
          <t>SUNDSVALL</t>
        </is>
      </c>
      <c r="G993" t="n">
        <v>2.8</v>
      </c>
      <c r="H993" t="n">
        <v>0</v>
      </c>
      <c r="I993" t="n">
        <v>0</v>
      </c>
      <c r="J993" t="n">
        <v>0</v>
      </c>
      <c r="K993" t="n">
        <v>0</v>
      </c>
      <c r="L993" t="n">
        <v>0</v>
      </c>
      <c r="M993" t="n">
        <v>0</v>
      </c>
      <c r="N993" t="n">
        <v>0</v>
      </c>
      <c r="O993" t="n">
        <v>0</v>
      </c>
      <c r="P993" t="n">
        <v>0</v>
      </c>
      <c r="Q993" t="n">
        <v>0</v>
      </c>
      <c r="R993" s="2" t="inlineStr"/>
    </row>
    <row r="994" ht="15" customHeight="1">
      <c r="A994" t="inlineStr">
        <is>
          <t>A 13690-2023</t>
        </is>
      </c>
      <c r="B994" s="1" t="n">
        <v>45006.94331018518</v>
      </c>
      <c r="C994" s="1" t="n">
        <v>46181</v>
      </c>
      <c r="D994" t="inlineStr">
        <is>
          <t>VÄSTERNORRLANDS LÄN</t>
        </is>
      </c>
      <c r="E994" t="inlineStr">
        <is>
          <t>SUNDSVALL</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31319-2025</t>
        </is>
      </c>
      <c r="B995" s="1" t="n">
        <v>45833</v>
      </c>
      <c r="C995" s="1" t="n">
        <v>46181</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45134-2025</t>
        </is>
      </c>
      <c r="B996" s="1" t="n">
        <v>45919.44836805556</v>
      </c>
      <c r="C996" s="1" t="n">
        <v>46181</v>
      </c>
      <c r="D996" t="inlineStr">
        <is>
          <t>VÄSTERNORRLANDS LÄN</t>
        </is>
      </c>
      <c r="E996" t="inlineStr">
        <is>
          <t>SUNDSVALL</t>
        </is>
      </c>
      <c r="F996" t="inlineStr">
        <is>
          <t>SCA</t>
        </is>
      </c>
      <c r="G996" t="n">
        <v>17.6</v>
      </c>
      <c r="H996" t="n">
        <v>0</v>
      </c>
      <c r="I996" t="n">
        <v>0</v>
      </c>
      <c r="J996" t="n">
        <v>0</v>
      </c>
      <c r="K996" t="n">
        <v>0</v>
      </c>
      <c r="L996" t="n">
        <v>0</v>
      </c>
      <c r="M996" t="n">
        <v>0</v>
      </c>
      <c r="N996" t="n">
        <v>0</v>
      </c>
      <c r="O996" t="n">
        <v>0</v>
      </c>
      <c r="P996" t="n">
        <v>0</v>
      </c>
      <c r="Q996" t="n">
        <v>0</v>
      </c>
      <c r="R996" s="2" t="inlineStr"/>
    </row>
    <row r="997" ht="15" customHeight="1">
      <c r="A997" t="inlineStr">
        <is>
          <t>A 11023-2025</t>
        </is>
      </c>
      <c r="B997" s="1" t="n">
        <v>45723.46907407408</v>
      </c>
      <c r="C997" s="1" t="n">
        <v>46181</v>
      </c>
      <c r="D997" t="inlineStr">
        <is>
          <t>VÄSTERNORRLANDS LÄN</t>
        </is>
      </c>
      <c r="E997" t="inlineStr">
        <is>
          <t>SUNDSVALL</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50202-2024</t>
        </is>
      </c>
      <c r="B998" s="1" t="n">
        <v>45600.49368055556</v>
      </c>
      <c r="C998" s="1" t="n">
        <v>46181</v>
      </c>
      <c r="D998" t="inlineStr">
        <is>
          <t>VÄSTERNORRLANDS LÄN</t>
        </is>
      </c>
      <c r="E998" t="inlineStr">
        <is>
          <t>SUNDSVALL</t>
        </is>
      </c>
      <c r="G998" t="n">
        <v>0.6</v>
      </c>
      <c r="H998" t="n">
        <v>0</v>
      </c>
      <c r="I998" t="n">
        <v>0</v>
      </c>
      <c r="J998" t="n">
        <v>0</v>
      </c>
      <c r="K998" t="n">
        <v>0</v>
      </c>
      <c r="L998" t="n">
        <v>0</v>
      </c>
      <c r="M998" t="n">
        <v>0</v>
      </c>
      <c r="N998" t="n">
        <v>0</v>
      </c>
      <c r="O998" t="n">
        <v>0</v>
      </c>
      <c r="P998" t="n">
        <v>0</v>
      </c>
      <c r="Q998" t="n">
        <v>0</v>
      </c>
      <c r="R998" s="2" t="inlineStr"/>
    </row>
    <row r="999" ht="15" customHeight="1">
      <c r="A999" t="inlineStr">
        <is>
          <t>A 50204-2024</t>
        </is>
      </c>
      <c r="B999" s="1" t="n">
        <v>45600.49379629629</v>
      </c>
      <c r="C999" s="1" t="n">
        <v>46181</v>
      </c>
      <c r="D999" t="inlineStr">
        <is>
          <t>VÄSTERNORRLANDS LÄN</t>
        </is>
      </c>
      <c r="E999" t="inlineStr">
        <is>
          <t>SUNDSVALL</t>
        </is>
      </c>
      <c r="G999" t="n">
        <v>4.7</v>
      </c>
      <c r="H999" t="n">
        <v>0</v>
      </c>
      <c r="I999" t="n">
        <v>0</v>
      </c>
      <c r="J999" t="n">
        <v>0</v>
      </c>
      <c r="K999" t="n">
        <v>0</v>
      </c>
      <c r="L999" t="n">
        <v>0</v>
      </c>
      <c r="M999" t="n">
        <v>0</v>
      </c>
      <c r="N999" t="n">
        <v>0</v>
      </c>
      <c r="O999" t="n">
        <v>0</v>
      </c>
      <c r="P999" t="n">
        <v>0</v>
      </c>
      <c r="Q999" t="n">
        <v>0</v>
      </c>
      <c r="R999" s="2" t="inlineStr"/>
    </row>
    <row r="1000" ht="15" customHeight="1">
      <c r="A1000" t="inlineStr">
        <is>
          <t>A 31270-2025</t>
        </is>
      </c>
      <c r="B1000" s="1" t="n">
        <v>45833.33703703704</v>
      </c>
      <c r="C1000" s="1" t="n">
        <v>46181</v>
      </c>
      <c r="D1000" t="inlineStr">
        <is>
          <t>VÄSTERNORRLANDS LÄN</t>
        </is>
      </c>
      <c r="E1000" t="inlineStr">
        <is>
          <t>SUNDSVALL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22890-2022</t>
        </is>
      </c>
      <c r="B1001" s="1" t="n">
        <v>44715</v>
      </c>
      <c r="C1001" s="1" t="n">
        <v>46181</v>
      </c>
      <c r="D1001" t="inlineStr">
        <is>
          <t>VÄSTERNORRLANDS LÄN</t>
        </is>
      </c>
      <c r="E1001" t="inlineStr">
        <is>
          <t>SUNDSVALL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31322-2025</t>
        </is>
      </c>
      <c r="B1002" s="1" t="n">
        <v>45833</v>
      </c>
      <c r="C1002" s="1" t="n">
        <v>46181</v>
      </c>
      <c r="D1002" t="inlineStr">
        <is>
          <t>VÄSTERNORRLANDS LÄN</t>
        </is>
      </c>
      <c r="E1002" t="inlineStr">
        <is>
          <t>SUNDSVALL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45845-2025</t>
        </is>
      </c>
      <c r="B1003" s="1" t="n">
        <v>45923.61579861111</v>
      </c>
      <c r="C1003" s="1" t="n">
        <v>46181</v>
      </c>
      <c r="D1003" t="inlineStr">
        <is>
          <t>VÄSTERNORRLANDS LÄN</t>
        </is>
      </c>
      <c r="E1003" t="inlineStr">
        <is>
          <t>SUNDSVALL</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31388-2025</t>
        </is>
      </c>
      <c r="B1004" s="1" t="n">
        <v>45833.45306712963</v>
      </c>
      <c r="C1004" s="1" t="n">
        <v>46181</v>
      </c>
      <c r="D1004" t="inlineStr">
        <is>
          <t>VÄSTERNORRLANDS LÄN</t>
        </is>
      </c>
      <c r="E1004" t="inlineStr">
        <is>
          <t>SUNDSVALL</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45768-2025</t>
        </is>
      </c>
      <c r="B1005" s="1" t="n">
        <v>45923.53170138889</v>
      </c>
      <c r="C1005" s="1" t="n">
        <v>46181</v>
      </c>
      <c r="D1005" t="inlineStr">
        <is>
          <t>VÄSTERNORRLANDS LÄN</t>
        </is>
      </c>
      <c r="E1005" t="inlineStr">
        <is>
          <t>SUNDSVALL</t>
        </is>
      </c>
      <c r="F1005" t="inlineStr">
        <is>
          <t>SCA</t>
        </is>
      </c>
      <c r="G1005" t="n">
        <v>9.5</v>
      </c>
      <c r="H1005" t="n">
        <v>0</v>
      </c>
      <c r="I1005" t="n">
        <v>0</v>
      </c>
      <c r="J1005" t="n">
        <v>0</v>
      </c>
      <c r="K1005" t="n">
        <v>0</v>
      </c>
      <c r="L1005" t="n">
        <v>0</v>
      </c>
      <c r="M1005" t="n">
        <v>0</v>
      </c>
      <c r="N1005" t="n">
        <v>0</v>
      </c>
      <c r="O1005" t="n">
        <v>0</v>
      </c>
      <c r="P1005" t="n">
        <v>0</v>
      </c>
      <c r="Q1005" t="n">
        <v>0</v>
      </c>
      <c r="R1005" s="2" t="inlineStr"/>
      <c r="U1005">
        <f>HYPERLINK("https://klasma.github.io/Logging_2281/knärot/A 45768-2025 karta knärot.png", "A 45768-2025")</f>
        <v/>
      </c>
      <c r="V1005">
        <f>HYPERLINK("https://klasma.github.io/Logging_2281/klagomål/A 45768-2025 FSC-klagomål.docx", "A 45768-2025")</f>
        <v/>
      </c>
      <c r="W1005">
        <f>HYPERLINK("https://klasma.github.io/Logging_2281/klagomålsmail/A 45768-2025 FSC-klagomål mail.docx", "A 45768-2025")</f>
        <v/>
      </c>
      <c r="X1005">
        <f>HYPERLINK("https://klasma.github.io/Logging_2281/tillsyn/A 45768-2025 tillsynsbegäran.docx", "A 45768-2025")</f>
        <v/>
      </c>
      <c r="Y1005">
        <f>HYPERLINK("https://klasma.github.io/Logging_2281/tillsynsmail/A 45768-2025 tillsynsbegäran mail.docx", "A 45768-2025")</f>
        <v/>
      </c>
    </row>
    <row r="1006" ht="15" customHeight="1">
      <c r="A1006" t="inlineStr">
        <is>
          <t>A 28536-2022</t>
        </is>
      </c>
      <c r="B1006" s="1" t="n">
        <v>44748</v>
      </c>
      <c r="C1006" s="1" t="n">
        <v>46181</v>
      </c>
      <c r="D1006" t="inlineStr">
        <is>
          <t>VÄSTERNORRLANDS LÄN</t>
        </is>
      </c>
      <c r="E1006" t="inlineStr">
        <is>
          <t>SUNDSVALL</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56755-2021</t>
        </is>
      </c>
      <c r="B1007" s="1" t="n">
        <v>44481</v>
      </c>
      <c r="C1007" s="1" t="n">
        <v>46181</v>
      </c>
      <c r="D1007" t="inlineStr">
        <is>
          <t>VÄSTERNORRLANDS LÄN</t>
        </is>
      </c>
      <c r="E1007" t="inlineStr">
        <is>
          <t>SUNDSVALL</t>
        </is>
      </c>
      <c r="F1007" t="inlineStr">
        <is>
          <t>Kommuner</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50829-2023</t>
        </is>
      </c>
      <c r="B1008" s="1" t="n">
        <v>45217</v>
      </c>
      <c r="C1008" s="1" t="n">
        <v>46181</v>
      </c>
      <c r="D1008" t="inlineStr">
        <is>
          <t>VÄSTERNORRLANDS LÄN</t>
        </is>
      </c>
      <c r="E1008" t="inlineStr">
        <is>
          <t>SUNDSVALL</t>
        </is>
      </c>
      <c r="F1008" t="inlineStr">
        <is>
          <t>SCA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45874-2025</t>
        </is>
      </c>
      <c r="B1009" s="1" t="n">
        <v>45923.65667824074</v>
      </c>
      <c r="C1009" s="1" t="n">
        <v>46181</v>
      </c>
      <c r="D1009" t="inlineStr">
        <is>
          <t>VÄSTERNORRLANDS LÄN</t>
        </is>
      </c>
      <c r="E1009" t="inlineStr">
        <is>
          <t>SUNDSVALL</t>
        </is>
      </c>
      <c r="F1009" t="inlineStr">
        <is>
          <t>SCA</t>
        </is>
      </c>
      <c r="G1009" t="n">
        <v>16.3</v>
      </c>
      <c r="H1009" t="n">
        <v>0</v>
      </c>
      <c r="I1009" t="n">
        <v>0</v>
      </c>
      <c r="J1009" t="n">
        <v>0</v>
      </c>
      <c r="K1009" t="n">
        <v>0</v>
      </c>
      <c r="L1009" t="n">
        <v>0</v>
      </c>
      <c r="M1009" t="n">
        <v>0</v>
      </c>
      <c r="N1009" t="n">
        <v>0</v>
      </c>
      <c r="O1009" t="n">
        <v>0</v>
      </c>
      <c r="P1009" t="n">
        <v>0</v>
      </c>
      <c r="Q1009" t="n">
        <v>0</v>
      </c>
      <c r="R1009" s="2" t="inlineStr"/>
    </row>
    <row r="1010" ht="15" customHeight="1">
      <c r="A1010" t="inlineStr">
        <is>
          <t>A 34706-2024</t>
        </is>
      </c>
      <c r="B1010" s="1" t="n">
        <v>45526</v>
      </c>
      <c r="C1010" s="1" t="n">
        <v>46181</v>
      </c>
      <c r="D1010" t="inlineStr">
        <is>
          <t>VÄSTERNORRLANDS LÄN</t>
        </is>
      </c>
      <c r="E1010" t="inlineStr">
        <is>
          <t>SUNDSVALL</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46187-2025</t>
        </is>
      </c>
      <c r="B1011" s="1" t="n">
        <v>45924.66307870371</v>
      </c>
      <c r="C1011" s="1" t="n">
        <v>46181</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43004-2024</t>
        </is>
      </c>
      <c r="B1012" s="1" t="n">
        <v>45567.37616898148</v>
      </c>
      <c r="C1012" s="1" t="n">
        <v>46181</v>
      </c>
      <c r="D1012" t="inlineStr">
        <is>
          <t>VÄSTERNORRLANDS LÄN</t>
        </is>
      </c>
      <c r="E1012" t="inlineStr">
        <is>
          <t>SUNDSVALL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45840-2025</t>
        </is>
      </c>
      <c r="B1013" s="1" t="n">
        <v>45923.61502314815</v>
      </c>
      <c r="C1013" s="1" t="n">
        <v>46181</v>
      </c>
      <c r="D1013" t="inlineStr">
        <is>
          <t>VÄSTERNORRLANDS LÄN</t>
        </is>
      </c>
      <c r="E1013" t="inlineStr">
        <is>
          <t>SUNDSVALL</t>
        </is>
      </c>
      <c r="F1013" t="inlineStr">
        <is>
          <t>SCA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45846-2025</t>
        </is>
      </c>
      <c r="B1014" s="1" t="n">
        <v>45923.61597222222</v>
      </c>
      <c r="C1014" s="1" t="n">
        <v>46181</v>
      </c>
      <c r="D1014" t="inlineStr">
        <is>
          <t>VÄSTERNORRLANDS LÄN</t>
        </is>
      </c>
      <c r="E1014" t="inlineStr">
        <is>
          <t>SUNDSVALL</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31385-2025</t>
        </is>
      </c>
      <c r="B1015" s="1" t="n">
        <v>45833.45167824074</v>
      </c>
      <c r="C1015" s="1" t="n">
        <v>46181</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31708-2025</t>
        </is>
      </c>
      <c r="B1016" s="1" t="n">
        <v>45834.42398148148</v>
      </c>
      <c r="C1016" s="1" t="n">
        <v>46181</v>
      </c>
      <c r="D1016" t="inlineStr">
        <is>
          <t>VÄSTERNORRLANDS LÄN</t>
        </is>
      </c>
      <c r="E1016" t="inlineStr">
        <is>
          <t>SUNDSVALL</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45753-2025</t>
        </is>
      </c>
      <c r="B1017" s="1" t="n">
        <v>45923.49008101852</v>
      </c>
      <c r="C1017" s="1" t="n">
        <v>46181</v>
      </c>
      <c r="D1017" t="inlineStr">
        <is>
          <t>VÄSTERNORRLANDS LÄN</t>
        </is>
      </c>
      <c r="E1017" t="inlineStr">
        <is>
          <t>SUNDSVALL</t>
        </is>
      </c>
      <c r="F1017" t="inlineStr">
        <is>
          <t>SCA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31382-2025</t>
        </is>
      </c>
      <c r="B1018" s="1" t="n">
        <v>45833.4502199074</v>
      </c>
      <c r="C1018" s="1" t="n">
        <v>46181</v>
      </c>
      <c r="D1018" t="inlineStr">
        <is>
          <t>VÄSTERNORRLANDS LÄN</t>
        </is>
      </c>
      <c r="E1018" t="inlineStr">
        <is>
          <t>SUNDSVALL</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31486-2025</t>
        </is>
      </c>
      <c r="B1019" s="1" t="n">
        <v>45833.57436342593</v>
      </c>
      <c r="C1019" s="1" t="n">
        <v>46181</v>
      </c>
      <c r="D1019" t="inlineStr">
        <is>
          <t>VÄSTERNORRLANDS LÄN</t>
        </is>
      </c>
      <c r="E1019" t="inlineStr">
        <is>
          <t>SUNDSVALL</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19011-2025</t>
        </is>
      </c>
      <c r="B1020" s="1" t="n">
        <v>45764.59440972222</v>
      </c>
      <c r="C1020" s="1" t="n">
        <v>46181</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31295-2025</t>
        </is>
      </c>
      <c r="B1021" s="1" t="n">
        <v>45833.36490740741</v>
      </c>
      <c r="C1021" s="1" t="n">
        <v>46181</v>
      </c>
      <c r="D1021" t="inlineStr">
        <is>
          <t>VÄSTERNORRLANDS LÄN</t>
        </is>
      </c>
      <c r="E1021" t="inlineStr">
        <is>
          <t>SUNDSVALL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31931-2025</t>
        </is>
      </c>
      <c r="B1022" s="1" t="n">
        <v>45834.95619212963</v>
      </c>
      <c r="C1022" s="1" t="n">
        <v>46181</v>
      </c>
      <c r="D1022" t="inlineStr">
        <is>
          <t>VÄSTERNORRLANDS LÄN</t>
        </is>
      </c>
      <c r="E1022" t="inlineStr">
        <is>
          <t>SUNDSVALL</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45972-2025</t>
        </is>
      </c>
      <c r="B1023" s="1" t="n">
        <v>45924</v>
      </c>
      <c r="C1023" s="1" t="n">
        <v>46181</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27005-2022</t>
        </is>
      </c>
      <c r="B1024" s="1" t="n">
        <v>44740</v>
      </c>
      <c r="C1024" s="1" t="n">
        <v>46181</v>
      </c>
      <c r="D1024" t="inlineStr">
        <is>
          <t>VÄSTERNORRLANDS LÄN</t>
        </is>
      </c>
      <c r="E1024" t="inlineStr">
        <is>
          <t>SUNDSVALL</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28492-2025</t>
        </is>
      </c>
      <c r="B1025" s="1" t="n">
        <v>45819</v>
      </c>
      <c r="C1025" s="1" t="n">
        <v>46181</v>
      </c>
      <c r="D1025" t="inlineStr">
        <is>
          <t>VÄSTERNORRLANDS LÄN</t>
        </is>
      </c>
      <c r="E1025" t="inlineStr">
        <is>
          <t>SUNDSVALL</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32359-2025</t>
        </is>
      </c>
      <c r="B1026" s="1" t="n">
        <v>45837.59410879629</v>
      </c>
      <c r="C1026" s="1" t="n">
        <v>46181</v>
      </c>
      <c r="D1026" t="inlineStr">
        <is>
          <t>VÄSTERNORRLANDS LÄN</t>
        </is>
      </c>
      <c r="E1026" t="inlineStr">
        <is>
          <t>SUNDSVALL</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12496-2022</t>
        </is>
      </c>
      <c r="B1027" s="1" t="n">
        <v>44638.51076388889</v>
      </c>
      <c r="C1027" s="1" t="n">
        <v>46181</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43978-2023</t>
        </is>
      </c>
      <c r="B1028" s="1" t="n">
        <v>45187</v>
      </c>
      <c r="C1028" s="1" t="n">
        <v>46181</v>
      </c>
      <c r="D1028" t="inlineStr">
        <is>
          <t>VÄSTERNORRLANDS LÄN</t>
        </is>
      </c>
      <c r="E1028" t="inlineStr">
        <is>
          <t>SUNDSVALL</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46266-2025</t>
        </is>
      </c>
      <c r="B1029" s="1" t="n">
        <v>45925.36525462963</v>
      </c>
      <c r="C1029" s="1" t="n">
        <v>46181</v>
      </c>
      <c r="D1029" t="inlineStr">
        <is>
          <t>VÄSTERNORRLANDS LÄN</t>
        </is>
      </c>
      <c r="E1029" t="inlineStr">
        <is>
          <t>SUNDSVALL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32385-2025</t>
        </is>
      </c>
      <c r="B1030" s="1" t="n">
        <v>45837.80767361111</v>
      </c>
      <c r="C1030" s="1" t="n">
        <v>46181</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32351-2025</t>
        </is>
      </c>
      <c r="B1031" s="1" t="n">
        <v>45837.4900462963</v>
      </c>
      <c r="C1031" s="1" t="n">
        <v>46181</v>
      </c>
      <c r="D1031" t="inlineStr">
        <is>
          <t>VÄSTERNORRLANDS LÄN</t>
        </is>
      </c>
      <c r="E1031" t="inlineStr">
        <is>
          <t>SUNDSVALL</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32360-2025</t>
        </is>
      </c>
      <c r="B1032" s="1" t="n">
        <v>45837.59423611111</v>
      </c>
      <c r="C1032" s="1" t="n">
        <v>46181</v>
      </c>
      <c r="D1032" t="inlineStr">
        <is>
          <t>VÄSTERNORRLANDS LÄN</t>
        </is>
      </c>
      <c r="E1032" t="inlineStr">
        <is>
          <t>SUNDSVALL</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32350-2025</t>
        </is>
      </c>
      <c r="B1033" s="1" t="n">
        <v>45837.48990740741</v>
      </c>
      <c r="C1033" s="1" t="n">
        <v>46181</v>
      </c>
      <c r="D1033" t="inlineStr">
        <is>
          <t>VÄSTERNORRLANDS LÄN</t>
        </is>
      </c>
      <c r="E1033" t="inlineStr">
        <is>
          <t>SUNDSVALL</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43138-2023</t>
        </is>
      </c>
      <c r="B1034" s="1" t="n">
        <v>45180</v>
      </c>
      <c r="C1034" s="1" t="n">
        <v>46181</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7924-2025</t>
        </is>
      </c>
      <c r="B1035" s="1" t="n">
        <v>45707.36533564814</v>
      </c>
      <c r="C1035" s="1" t="n">
        <v>46181</v>
      </c>
      <c r="D1035" t="inlineStr">
        <is>
          <t>VÄSTERNORRLANDS LÄN</t>
        </is>
      </c>
      <c r="E1035" t="inlineStr">
        <is>
          <t>SUNDSVALL</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31932-2025</t>
        </is>
      </c>
      <c r="B1036" s="1" t="n">
        <v>45834.95900462963</v>
      </c>
      <c r="C1036" s="1" t="n">
        <v>46181</v>
      </c>
      <c r="D1036" t="inlineStr">
        <is>
          <t>VÄSTERNORRLANDS LÄN</t>
        </is>
      </c>
      <c r="E1036" t="inlineStr">
        <is>
          <t>SUNDSVALL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7961-2025</t>
        </is>
      </c>
      <c r="B1037" s="1" t="n">
        <v>45707.44523148148</v>
      </c>
      <c r="C1037" s="1" t="n">
        <v>46181</v>
      </c>
      <c r="D1037" t="inlineStr">
        <is>
          <t>VÄSTERNORRLANDS LÄN</t>
        </is>
      </c>
      <c r="E1037" t="inlineStr">
        <is>
          <t>SUNDSVALL</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7970-2025</t>
        </is>
      </c>
      <c r="B1038" s="1" t="n">
        <v>45707.45626157407</v>
      </c>
      <c r="C1038" s="1" t="n">
        <v>46181</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46255-2025</t>
        </is>
      </c>
      <c r="B1039" s="1" t="n">
        <v>45925.34540509259</v>
      </c>
      <c r="C1039" s="1" t="n">
        <v>46181</v>
      </c>
      <c r="D1039" t="inlineStr">
        <is>
          <t>VÄSTERNORRLANDS LÄN</t>
        </is>
      </c>
      <c r="E1039" t="inlineStr">
        <is>
          <t>SUNDSVALL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41027-2024</t>
        </is>
      </c>
      <c r="B1040" s="1" t="n">
        <v>45559</v>
      </c>
      <c r="C1040" s="1" t="n">
        <v>46181</v>
      </c>
      <c r="D1040" t="inlineStr">
        <is>
          <t>VÄSTERNORRLANDS LÄN</t>
        </is>
      </c>
      <c r="E1040" t="inlineStr">
        <is>
          <t>SUNDSVALL</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26674-2022</t>
        </is>
      </c>
      <c r="B1041" s="1" t="n">
        <v>44739</v>
      </c>
      <c r="C1041" s="1" t="n">
        <v>46181</v>
      </c>
      <c r="D1041" t="inlineStr">
        <is>
          <t>VÄSTERNORRLANDS LÄN</t>
        </is>
      </c>
      <c r="E1041" t="inlineStr">
        <is>
          <t>SUNDSVALL</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5616-2026</t>
        </is>
      </c>
      <c r="B1042" s="1" t="n">
        <v>46051.37532407408</v>
      </c>
      <c r="C1042" s="1" t="n">
        <v>46181</v>
      </c>
      <c r="D1042" t="inlineStr">
        <is>
          <t>VÄSTERNORRLANDS LÄN</t>
        </is>
      </c>
      <c r="E1042" t="inlineStr">
        <is>
          <t>SUNDSVALL</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32285-2025</t>
        </is>
      </c>
      <c r="B1043" s="1" t="n">
        <v>45835.68939814815</v>
      </c>
      <c r="C1043" s="1" t="n">
        <v>46181</v>
      </c>
      <c r="D1043" t="inlineStr">
        <is>
          <t>VÄSTERNORRLANDS LÄN</t>
        </is>
      </c>
      <c r="E1043" t="inlineStr">
        <is>
          <t>SUNDSVALL</t>
        </is>
      </c>
      <c r="F1043" t="inlineStr">
        <is>
          <t>Kyrkan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6289-2026</t>
        </is>
      </c>
      <c r="B1044" s="1" t="n">
        <v>46055.55256944444</v>
      </c>
      <c r="C1044" s="1" t="n">
        <v>46181</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6288-2026</t>
        </is>
      </c>
      <c r="B1045" s="1" t="n">
        <v>46055.5525</v>
      </c>
      <c r="C1045" s="1" t="n">
        <v>46181</v>
      </c>
      <c r="D1045" t="inlineStr">
        <is>
          <t>VÄSTERNORRLANDS LÄN</t>
        </is>
      </c>
      <c r="E1045" t="inlineStr">
        <is>
          <t>SUNDSVALL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6290-2026</t>
        </is>
      </c>
      <c r="B1046" s="1" t="n">
        <v>46055.55262731481</v>
      </c>
      <c r="C1046" s="1" t="n">
        <v>46181</v>
      </c>
      <c r="D1046" t="inlineStr">
        <is>
          <t>VÄSTERNORRLANDS LÄN</t>
        </is>
      </c>
      <c r="E1046" t="inlineStr">
        <is>
          <t>SUNDSVALL</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32288-2025</t>
        </is>
      </c>
      <c r="B1047" s="1" t="n">
        <v>45835.69495370371</v>
      </c>
      <c r="C1047" s="1" t="n">
        <v>46181</v>
      </c>
      <c r="D1047" t="inlineStr">
        <is>
          <t>VÄSTERNORRLANDS LÄN</t>
        </is>
      </c>
      <c r="E1047" t="inlineStr">
        <is>
          <t>SUNDSVALL</t>
        </is>
      </c>
      <c r="F1047" t="inlineStr">
        <is>
          <t>Kyrkan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46792-2025</t>
        </is>
      </c>
      <c r="B1048" s="1" t="n">
        <v>45926.65543981481</v>
      </c>
      <c r="C1048" s="1" t="n">
        <v>46181</v>
      </c>
      <c r="D1048" t="inlineStr">
        <is>
          <t>VÄSTERNORRLANDS LÄN</t>
        </is>
      </c>
      <c r="E1048" t="inlineStr">
        <is>
          <t>SUNDSVALL</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32492-2025</t>
        </is>
      </c>
      <c r="B1049" s="1" t="n">
        <v>45838.44849537037</v>
      </c>
      <c r="C1049" s="1" t="n">
        <v>46181</v>
      </c>
      <c r="D1049" t="inlineStr">
        <is>
          <t>VÄSTERNORRLANDS LÄN</t>
        </is>
      </c>
      <c r="E1049" t="inlineStr">
        <is>
          <t>SUNDSVALL</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46385-2025</t>
        </is>
      </c>
      <c r="B1050" s="1" t="n">
        <v>45925.53165509259</v>
      </c>
      <c r="C1050" s="1" t="n">
        <v>46181</v>
      </c>
      <c r="D1050" t="inlineStr">
        <is>
          <t>VÄSTERNORRLANDS LÄN</t>
        </is>
      </c>
      <c r="E1050" t="inlineStr">
        <is>
          <t>SUNDSVALL</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32068-2025</t>
        </is>
      </c>
      <c r="B1051" s="1" t="n">
        <v>45835.44856481482</v>
      </c>
      <c r="C1051" s="1" t="n">
        <v>46181</v>
      </c>
      <c r="D1051" t="inlineStr">
        <is>
          <t>VÄSTERNORRLANDS LÄN</t>
        </is>
      </c>
      <c r="E1051" t="inlineStr">
        <is>
          <t>SUNDSVALL</t>
        </is>
      </c>
      <c r="F1051" t="inlineStr">
        <is>
          <t>Naturvårdsverket</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31933-2025</t>
        </is>
      </c>
      <c r="B1052" s="1" t="n">
        <v>45834.96138888889</v>
      </c>
      <c r="C1052" s="1" t="n">
        <v>46181</v>
      </c>
      <c r="D1052" t="inlineStr">
        <is>
          <t>VÄSTERNORRLANDS LÄN</t>
        </is>
      </c>
      <c r="E1052" t="inlineStr">
        <is>
          <t>SUNDSVALL</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31934-2025</t>
        </is>
      </c>
      <c r="B1053" s="1" t="n">
        <v>45834.96792824074</v>
      </c>
      <c r="C1053" s="1" t="n">
        <v>46181</v>
      </c>
      <c r="D1053" t="inlineStr">
        <is>
          <t>VÄSTERNORRLANDS LÄN</t>
        </is>
      </c>
      <c r="E1053" t="inlineStr">
        <is>
          <t>SUNDSVALL</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32356-2025</t>
        </is>
      </c>
      <c r="B1054" s="1" t="n">
        <v>45837.57331018519</v>
      </c>
      <c r="C1054" s="1" t="n">
        <v>46181</v>
      </c>
      <c r="D1054" t="inlineStr">
        <is>
          <t>VÄSTERNORRLANDS LÄN</t>
        </is>
      </c>
      <c r="E1054" t="inlineStr">
        <is>
          <t>SUNDSVALL</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32357-2025</t>
        </is>
      </c>
      <c r="B1055" s="1" t="n">
        <v>45837.5734375</v>
      </c>
      <c r="C1055" s="1" t="n">
        <v>46181</v>
      </c>
      <c r="D1055" t="inlineStr">
        <is>
          <t>VÄSTERNORRLANDS LÄN</t>
        </is>
      </c>
      <c r="E1055" t="inlineStr">
        <is>
          <t>SUNDSVALL</t>
        </is>
      </c>
      <c r="F1055" t="inlineStr">
        <is>
          <t>SCA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17211-2022</t>
        </is>
      </c>
      <c r="B1056" s="1" t="n">
        <v>44677</v>
      </c>
      <c r="C1056" s="1" t="n">
        <v>46181</v>
      </c>
      <c r="D1056" t="inlineStr">
        <is>
          <t>VÄSTERNORRLANDS LÄN</t>
        </is>
      </c>
      <c r="E1056" t="inlineStr">
        <is>
          <t>SUNDSVALL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32383-2025</t>
        </is>
      </c>
      <c r="B1057" s="1" t="n">
        <v>45837.80671296296</v>
      </c>
      <c r="C1057" s="1" t="n">
        <v>46181</v>
      </c>
      <c r="D1057" t="inlineStr">
        <is>
          <t>VÄSTERNORRLANDS LÄN</t>
        </is>
      </c>
      <c r="E1057" t="inlineStr">
        <is>
          <t>SUNDSVALL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6925-2026</t>
        </is>
      </c>
      <c r="B1058" s="1" t="n">
        <v>46056</v>
      </c>
      <c r="C1058" s="1" t="n">
        <v>46181</v>
      </c>
      <c r="D1058" t="inlineStr">
        <is>
          <t>VÄSTERNORRLANDS LÄN</t>
        </is>
      </c>
      <c r="E1058" t="inlineStr">
        <is>
          <t>SUNDSVALL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25024-2024</t>
        </is>
      </c>
      <c r="B1059" s="1" t="n">
        <v>45461</v>
      </c>
      <c r="C1059" s="1" t="n">
        <v>46181</v>
      </c>
      <c r="D1059" t="inlineStr">
        <is>
          <t>VÄSTERNORRLANDS LÄN</t>
        </is>
      </c>
      <c r="E1059" t="inlineStr">
        <is>
          <t>SUNDSVALL</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46791-2025</t>
        </is>
      </c>
      <c r="B1060" s="1" t="n">
        <v>45926.65502314815</v>
      </c>
      <c r="C1060" s="1" t="n">
        <v>46181</v>
      </c>
      <c r="D1060" t="inlineStr">
        <is>
          <t>VÄSTERNORRLANDS LÄN</t>
        </is>
      </c>
      <c r="E1060" t="inlineStr">
        <is>
          <t>SUNDSVALL</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41091-2024</t>
        </is>
      </c>
      <c r="B1061" s="1" t="n">
        <v>45559.42767361111</v>
      </c>
      <c r="C1061" s="1" t="n">
        <v>46181</v>
      </c>
      <c r="D1061" t="inlineStr">
        <is>
          <t>VÄSTERNORRLANDS LÄN</t>
        </is>
      </c>
      <c r="E1061" t="inlineStr">
        <is>
          <t>SUNDSVALL</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46356-2025</t>
        </is>
      </c>
      <c r="B1062" s="1" t="n">
        <v>45925.49037037037</v>
      </c>
      <c r="C1062" s="1" t="n">
        <v>46181</v>
      </c>
      <c r="D1062" t="inlineStr">
        <is>
          <t>VÄSTERNORRLANDS LÄN</t>
        </is>
      </c>
      <c r="E1062" t="inlineStr">
        <is>
          <t>SUNDSVALL</t>
        </is>
      </c>
      <c r="F1062" t="inlineStr">
        <is>
          <t>SCA</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47149-2025</t>
        </is>
      </c>
      <c r="B1063" s="1" t="n">
        <v>45929.71913194445</v>
      </c>
      <c r="C1063" s="1" t="n">
        <v>46181</v>
      </c>
      <c r="D1063" t="inlineStr">
        <is>
          <t>VÄSTERNORRLANDS LÄN</t>
        </is>
      </c>
      <c r="E1063" t="inlineStr">
        <is>
          <t>SUNDSVALL</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21637-2023</t>
        </is>
      </c>
      <c r="B1064" s="1" t="n">
        <v>45063</v>
      </c>
      <c r="C1064" s="1" t="n">
        <v>46181</v>
      </c>
      <c r="D1064" t="inlineStr">
        <is>
          <t>VÄSTERNORRLANDS LÄN</t>
        </is>
      </c>
      <c r="E1064" t="inlineStr">
        <is>
          <t>SUNDSVALL</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51547-2022</t>
        </is>
      </c>
      <c r="B1065" s="1" t="n">
        <v>44869</v>
      </c>
      <c r="C1065" s="1" t="n">
        <v>46181</v>
      </c>
      <c r="D1065" t="inlineStr">
        <is>
          <t>VÄSTERNORRLANDS LÄN</t>
        </is>
      </c>
      <c r="E1065" t="inlineStr">
        <is>
          <t>SUNDSVALL</t>
        </is>
      </c>
      <c r="F1065" t="inlineStr">
        <is>
          <t>SCA</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6700-2026</t>
        </is>
      </c>
      <c r="B1066" s="1" t="n">
        <v>46056.64269675926</v>
      </c>
      <c r="C1066" s="1" t="n">
        <v>46181</v>
      </c>
      <c r="D1066" t="inlineStr">
        <is>
          <t>VÄSTERNORRLANDS LÄN</t>
        </is>
      </c>
      <c r="E1066" t="inlineStr">
        <is>
          <t>SUNDSVALL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25350-2024</t>
        </is>
      </c>
      <c r="B1067" s="1" t="n">
        <v>45462</v>
      </c>
      <c r="C1067" s="1" t="n">
        <v>46181</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6662-2026</t>
        </is>
      </c>
      <c r="B1068" s="1" t="n">
        <v>46056</v>
      </c>
      <c r="C1068" s="1" t="n">
        <v>46181</v>
      </c>
      <c r="D1068" t="inlineStr">
        <is>
          <t>VÄSTERNORRLANDS LÄN</t>
        </is>
      </c>
      <c r="E1068" t="inlineStr">
        <is>
          <t>SUNDSVALL</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47378-2025</t>
        </is>
      </c>
      <c r="B1069" s="1" t="n">
        <v>45930.59487268519</v>
      </c>
      <c r="C1069" s="1" t="n">
        <v>46181</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8423-2024</t>
        </is>
      </c>
      <c r="B1070" s="1" t="n">
        <v>45352.98938657407</v>
      </c>
      <c r="C1070" s="1" t="n">
        <v>46181</v>
      </c>
      <c r="D1070" t="inlineStr">
        <is>
          <t>VÄSTERNORRLANDS LÄN</t>
        </is>
      </c>
      <c r="E1070" t="inlineStr">
        <is>
          <t>SUNDSVALL</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47380-2025</t>
        </is>
      </c>
      <c r="B1071" s="1" t="n">
        <v>45930.59491898148</v>
      </c>
      <c r="C1071" s="1" t="n">
        <v>46181</v>
      </c>
      <c r="D1071" t="inlineStr">
        <is>
          <t>VÄSTERNORRLANDS LÄN</t>
        </is>
      </c>
      <c r="E1071" t="inlineStr">
        <is>
          <t>SUNDSVALL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47455-2025</t>
        </is>
      </c>
      <c r="B1072" s="1" t="n">
        <v>45930</v>
      </c>
      <c r="C1072" s="1" t="n">
        <v>46181</v>
      </c>
      <c r="D1072" t="inlineStr">
        <is>
          <t>VÄSTERNORRLANDS LÄN</t>
        </is>
      </c>
      <c r="E1072" t="inlineStr">
        <is>
          <t>SUNDSVALL</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46936-2025</t>
        </is>
      </c>
      <c r="B1073" s="1" t="n">
        <v>45929.44827546296</v>
      </c>
      <c r="C1073" s="1" t="n">
        <v>46181</v>
      </c>
      <c r="D1073" t="inlineStr">
        <is>
          <t>VÄSTERNORRLANDS LÄN</t>
        </is>
      </c>
      <c r="E1073" t="inlineStr">
        <is>
          <t>SUNDSVALL</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60942-2023</t>
        </is>
      </c>
      <c r="B1074" s="1" t="n">
        <v>45259</v>
      </c>
      <c r="C1074" s="1" t="n">
        <v>46181</v>
      </c>
      <c r="D1074" t="inlineStr">
        <is>
          <t>VÄSTERNORRLANDS LÄN</t>
        </is>
      </c>
      <c r="E1074" t="inlineStr">
        <is>
          <t>SUNDSVALL</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47482-2025</t>
        </is>
      </c>
      <c r="B1075" s="1" t="n">
        <v>45930</v>
      </c>
      <c r="C1075" s="1" t="n">
        <v>46181</v>
      </c>
      <c r="D1075" t="inlineStr">
        <is>
          <t>VÄSTERNORRLANDS LÄN</t>
        </is>
      </c>
      <c r="E1075" t="inlineStr">
        <is>
          <t>SUNDSVALL</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47379-2025</t>
        </is>
      </c>
      <c r="B1076" s="1" t="n">
        <v>45930.59488425926</v>
      </c>
      <c r="C1076" s="1" t="n">
        <v>46181</v>
      </c>
      <c r="D1076" t="inlineStr">
        <is>
          <t>VÄSTERNORRLANDS LÄN</t>
        </is>
      </c>
      <c r="E1076" t="inlineStr">
        <is>
          <t>SUNDSVALL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13262-2023</t>
        </is>
      </c>
      <c r="B1077" s="1" t="n">
        <v>45002</v>
      </c>
      <c r="C1077" s="1" t="n">
        <v>46181</v>
      </c>
      <c r="D1077" t="inlineStr">
        <is>
          <t>VÄSTERNORRLANDS LÄN</t>
        </is>
      </c>
      <c r="E1077" t="inlineStr">
        <is>
          <t>SUNDSVALL</t>
        </is>
      </c>
      <c r="F1077" t="inlineStr">
        <is>
          <t>Naturvårdsverket</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4917-2025</t>
        </is>
      </c>
      <c r="B1078" s="1" t="n">
        <v>45688</v>
      </c>
      <c r="C1078" s="1" t="n">
        <v>46181</v>
      </c>
      <c r="D1078" t="inlineStr">
        <is>
          <t>VÄSTERNORRLANDS LÄN</t>
        </is>
      </c>
      <c r="E1078" t="inlineStr">
        <is>
          <t>SUNDSVALL</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47071-2025</t>
        </is>
      </c>
      <c r="B1079" s="1" t="n">
        <v>45929.63642361111</v>
      </c>
      <c r="C1079" s="1" t="n">
        <v>46181</v>
      </c>
      <c r="D1079" t="inlineStr">
        <is>
          <t>VÄSTERNORRLANDS LÄN</t>
        </is>
      </c>
      <c r="E1079" t="inlineStr">
        <is>
          <t>SUNDSVALL</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33646-2025</t>
        </is>
      </c>
      <c r="B1080" s="1" t="n">
        <v>45841.65662037037</v>
      </c>
      <c r="C1080" s="1" t="n">
        <v>46181</v>
      </c>
      <c r="D1080" t="inlineStr">
        <is>
          <t>VÄSTERNORRLANDS LÄN</t>
        </is>
      </c>
      <c r="E1080" t="inlineStr">
        <is>
          <t>SUNDSVALL</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28232-2022</t>
        </is>
      </c>
      <c r="B1081" s="1" t="n">
        <v>44746</v>
      </c>
      <c r="C1081" s="1" t="n">
        <v>46181</v>
      </c>
      <c r="D1081" t="inlineStr">
        <is>
          <t>VÄSTERNORRLANDS LÄN</t>
        </is>
      </c>
      <c r="E1081" t="inlineStr">
        <is>
          <t>SUNDSVALL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6457-2023</t>
        </is>
      </c>
      <c r="B1082" s="1" t="n">
        <v>44965.93969907407</v>
      </c>
      <c r="C1082" s="1" t="n">
        <v>46181</v>
      </c>
      <c r="D1082" t="inlineStr">
        <is>
          <t>VÄSTERNORRLANDS LÄN</t>
        </is>
      </c>
      <c r="E1082" t="inlineStr">
        <is>
          <t>SUNDSVALL</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16997-2023</t>
        </is>
      </c>
      <c r="B1083" s="1" t="n">
        <v>45033.92600694444</v>
      </c>
      <c r="C1083" s="1" t="n">
        <v>46181</v>
      </c>
      <c r="D1083" t="inlineStr">
        <is>
          <t>VÄSTERNORRLANDS LÄN</t>
        </is>
      </c>
      <c r="E1083" t="inlineStr">
        <is>
          <t>SUNDSVALL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47671-2025</t>
        </is>
      </c>
      <c r="B1084" s="1" t="n">
        <v>45931.57368055556</v>
      </c>
      <c r="C1084" s="1" t="n">
        <v>46181</v>
      </c>
      <c r="D1084" t="inlineStr">
        <is>
          <t>VÄSTERNORRLANDS LÄN</t>
        </is>
      </c>
      <c r="E1084" t="inlineStr">
        <is>
          <t>SUNDSVALL</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47824-2025</t>
        </is>
      </c>
      <c r="B1085" s="1" t="n">
        <v>45932.34465277778</v>
      </c>
      <c r="C1085" s="1" t="n">
        <v>46181</v>
      </c>
      <c r="D1085" t="inlineStr">
        <is>
          <t>VÄSTERNORRLANDS LÄN</t>
        </is>
      </c>
      <c r="E1085" t="inlineStr">
        <is>
          <t>SUNDSVALL</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47672-2025</t>
        </is>
      </c>
      <c r="B1086" s="1" t="n">
        <v>45931.57385416667</v>
      </c>
      <c r="C1086" s="1" t="n">
        <v>46181</v>
      </c>
      <c r="D1086" t="inlineStr">
        <is>
          <t>VÄSTERNORRLANDS LÄN</t>
        </is>
      </c>
      <c r="E1086" t="inlineStr">
        <is>
          <t>SUNDSVALL</t>
        </is>
      </c>
      <c r="F1086" t="inlineStr">
        <is>
          <t>SCA</t>
        </is>
      </c>
      <c r="G1086" t="n">
        <v>16.6</v>
      </c>
      <c r="H1086" t="n">
        <v>0</v>
      </c>
      <c r="I1086" t="n">
        <v>0</v>
      </c>
      <c r="J1086" t="n">
        <v>0</v>
      </c>
      <c r="K1086" t="n">
        <v>0</v>
      </c>
      <c r="L1086" t="n">
        <v>0</v>
      </c>
      <c r="M1086" t="n">
        <v>0</v>
      </c>
      <c r="N1086" t="n">
        <v>0</v>
      </c>
      <c r="O1086" t="n">
        <v>0</v>
      </c>
      <c r="P1086" t="n">
        <v>0</v>
      </c>
      <c r="Q1086" t="n">
        <v>0</v>
      </c>
      <c r="R1086" s="2" t="inlineStr"/>
    </row>
    <row r="1087" ht="15" customHeight="1">
      <c r="A1087" t="inlineStr">
        <is>
          <t>A 48048-2025</t>
        </is>
      </c>
      <c r="B1087" s="1" t="n">
        <v>45932.67753472222</v>
      </c>
      <c r="C1087" s="1" t="n">
        <v>46181</v>
      </c>
      <c r="D1087" t="inlineStr">
        <is>
          <t>VÄSTERNORRLANDS LÄN</t>
        </is>
      </c>
      <c r="E1087" t="inlineStr">
        <is>
          <t>SUNDSVALL</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48054-2025</t>
        </is>
      </c>
      <c r="B1088" s="1" t="n">
        <v>45932.67890046296</v>
      </c>
      <c r="C1088" s="1" t="n">
        <v>46181</v>
      </c>
      <c r="D1088" t="inlineStr">
        <is>
          <t>VÄSTERNORRLANDS LÄN</t>
        </is>
      </c>
      <c r="E1088" t="inlineStr">
        <is>
          <t>SUNDSVALL</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33934-2025</t>
        </is>
      </c>
      <c r="B1089" s="1" t="n">
        <v>45842.63596064815</v>
      </c>
      <c r="C1089" s="1" t="n">
        <v>46181</v>
      </c>
      <c r="D1089" t="inlineStr">
        <is>
          <t>VÄSTERNORRLANDS LÄN</t>
        </is>
      </c>
      <c r="E1089" t="inlineStr">
        <is>
          <t>SUNDSVALL</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33899-2025</t>
        </is>
      </c>
      <c r="B1090" s="1" t="n">
        <v>45842.59440972222</v>
      </c>
      <c r="C1090" s="1" t="n">
        <v>46181</v>
      </c>
      <c r="D1090" t="inlineStr">
        <is>
          <t>VÄSTERNORRLANDS LÄN</t>
        </is>
      </c>
      <c r="E1090" t="inlineStr">
        <is>
          <t>SUNDSVALL</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35165-2022</t>
        </is>
      </c>
      <c r="B1091" s="1" t="n">
        <v>44797</v>
      </c>
      <c r="C1091" s="1" t="n">
        <v>46181</v>
      </c>
      <c r="D1091" t="inlineStr">
        <is>
          <t>VÄSTERNORRLANDS LÄN</t>
        </is>
      </c>
      <c r="E1091" t="inlineStr">
        <is>
          <t>SUNDSVALL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56197-2024</t>
        </is>
      </c>
      <c r="B1092" s="1" t="n">
        <v>45624</v>
      </c>
      <c r="C1092" s="1" t="n">
        <v>46181</v>
      </c>
      <c r="D1092" t="inlineStr">
        <is>
          <t>VÄSTERNORRLANDS LÄN</t>
        </is>
      </c>
      <c r="E1092" t="inlineStr">
        <is>
          <t>SUNDSVALL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47673-2025</t>
        </is>
      </c>
      <c r="B1093" s="1" t="n">
        <v>45931.57407407407</v>
      </c>
      <c r="C1093" s="1" t="n">
        <v>46181</v>
      </c>
      <c r="D1093" t="inlineStr">
        <is>
          <t>VÄSTERNORRLANDS LÄN</t>
        </is>
      </c>
      <c r="E1093" t="inlineStr">
        <is>
          <t>SUNDSVALL</t>
        </is>
      </c>
      <c r="F1093" t="inlineStr">
        <is>
          <t>SCA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3467-2024</t>
        </is>
      </c>
      <c r="B1094" s="1" t="n">
        <v>45317</v>
      </c>
      <c r="C1094" s="1" t="n">
        <v>46181</v>
      </c>
      <c r="D1094" t="inlineStr">
        <is>
          <t>VÄSTERNORRLANDS LÄN</t>
        </is>
      </c>
      <c r="E1094" t="inlineStr">
        <is>
          <t>SUNDSVALL</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58130-2024</t>
        </is>
      </c>
      <c r="B1095" s="1" t="n">
        <v>45632.40662037037</v>
      </c>
      <c r="C1095" s="1" t="n">
        <v>46181</v>
      </c>
      <c r="D1095" t="inlineStr">
        <is>
          <t>VÄSTERNORRLANDS LÄN</t>
        </is>
      </c>
      <c r="E1095" t="inlineStr">
        <is>
          <t>SUNDSVALL</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9562-2024</t>
        </is>
      </c>
      <c r="B1096" s="1" t="n">
        <v>45360.03582175926</v>
      </c>
      <c r="C1096" s="1" t="n">
        <v>46181</v>
      </c>
      <c r="D1096" t="inlineStr">
        <is>
          <t>VÄSTERNORRLANDS LÄN</t>
        </is>
      </c>
      <c r="E1096" t="inlineStr">
        <is>
          <t>SUNDSVALL</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47670-2025</t>
        </is>
      </c>
      <c r="B1097" s="1" t="n">
        <v>45931.57358796296</v>
      </c>
      <c r="C1097" s="1" t="n">
        <v>46181</v>
      </c>
      <c r="D1097" t="inlineStr">
        <is>
          <t>VÄSTERNORRLANDS LÄN</t>
        </is>
      </c>
      <c r="E1097" t="inlineStr">
        <is>
          <t>SUNDSVALL</t>
        </is>
      </c>
      <c r="F1097" t="inlineStr">
        <is>
          <t>SCA</t>
        </is>
      </c>
      <c r="G1097" t="n">
        <v>20.8</v>
      </c>
      <c r="H1097" t="n">
        <v>0</v>
      </c>
      <c r="I1097" t="n">
        <v>0</v>
      </c>
      <c r="J1097" t="n">
        <v>0</v>
      </c>
      <c r="K1097" t="n">
        <v>0</v>
      </c>
      <c r="L1097" t="n">
        <v>0</v>
      </c>
      <c r="M1097" t="n">
        <v>0</v>
      </c>
      <c r="N1097" t="n">
        <v>0</v>
      </c>
      <c r="O1097" t="n">
        <v>0</v>
      </c>
      <c r="P1097" t="n">
        <v>0</v>
      </c>
      <c r="Q1097" t="n">
        <v>0</v>
      </c>
      <c r="R1097" s="2" t="inlineStr"/>
    </row>
    <row r="1098" ht="15" customHeight="1">
      <c r="A1098" t="inlineStr">
        <is>
          <t>A 33649-2025</t>
        </is>
      </c>
      <c r="B1098" s="1" t="n">
        <v>45841.65697916667</v>
      </c>
      <c r="C1098" s="1" t="n">
        <v>46181</v>
      </c>
      <c r="D1098" t="inlineStr">
        <is>
          <t>VÄSTERNORRLANDS LÄN</t>
        </is>
      </c>
      <c r="E1098" t="inlineStr">
        <is>
          <t>SUNDSVALL</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6733-2026</t>
        </is>
      </c>
      <c r="B1099" s="1" t="n">
        <v>46056.6880787037</v>
      </c>
      <c r="C1099" s="1" t="n">
        <v>46181</v>
      </c>
      <c r="D1099" t="inlineStr">
        <is>
          <t>VÄSTERNORRLANDS LÄN</t>
        </is>
      </c>
      <c r="E1099" t="inlineStr">
        <is>
          <t>SUNDSVALL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6730-2026</t>
        </is>
      </c>
      <c r="B1100" s="1" t="n">
        <v>46056.68538194444</v>
      </c>
      <c r="C1100" s="1" t="n">
        <v>46181</v>
      </c>
      <c r="D1100" t="inlineStr">
        <is>
          <t>VÄSTERNORRLANDS LÄN</t>
        </is>
      </c>
      <c r="E1100" t="inlineStr">
        <is>
          <t>SUNDSVALL</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48336-2025</t>
        </is>
      </c>
      <c r="B1101" s="1" t="n">
        <v>45933</v>
      </c>
      <c r="C1101" s="1" t="n">
        <v>46181</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48350-2025</t>
        </is>
      </c>
      <c r="B1102" s="1" t="n">
        <v>45933.65699074074</v>
      </c>
      <c r="C1102" s="1" t="n">
        <v>46181</v>
      </c>
      <c r="D1102" t="inlineStr">
        <is>
          <t>VÄSTERNORRLANDS LÄN</t>
        </is>
      </c>
      <c r="E1102" t="inlineStr">
        <is>
          <t>SUNDSVALL</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48442-2025</t>
        </is>
      </c>
      <c r="B1103" s="1" t="n">
        <v>45935.53334490741</v>
      </c>
      <c r="C1103" s="1" t="n">
        <v>46181</v>
      </c>
      <c r="D1103" t="inlineStr">
        <is>
          <t>VÄSTERNORRLANDS LÄN</t>
        </is>
      </c>
      <c r="E1103" t="inlineStr">
        <is>
          <t>SUNDSVALL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48402-2025</t>
        </is>
      </c>
      <c r="B1104" s="1" t="n">
        <v>45934.34449074074</v>
      </c>
      <c r="C1104" s="1" t="n">
        <v>46181</v>
      </c>
      <c r="D1104" t="inlineStr">
        <is>
          <t>VÄSTERNORRLANDS LÄN</t>
        </is>
      </c>
      <c r="E1104" t="inlineStr">
        <is>
          <t>SUNDSVALL</t>
        </is>
      </c>
      <c r="F1104" t="inlineStr">
        <is>
          <t>SCA</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48471-2025</t>
        </is>
      </c>
      <c r="B1105" s="1" t="n">
        <v>45936.34520833333</v>
      </c>
      <c r="C1105" s="1" t="n">
        <v>46181</v>
      </c>
      <c r="D1105" t="inlineStr">
        <is>
          <t>VÄSTERNORRLANDS LÄN</t>
        </is>
      </c>
      <c r="E1105" t="inlineStr">
        <is>
          <t>SUNDSVALL</t>
        </is>
      </c>
      <c r="F1105" t="inlineStr">
        <is>
          <t>SCA</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44569-2024</t>
        </is>
      </c>
      <c r="B1106" s="1" t="n">
        <v>45574.48010416667</v>
      </c>
      <c r="C1106" s="1" t="n">
        <v>46181</v>
      </c>
      <c r="D1106" t="inlineStr">
        <is>
          <t>VÄSTERNORRLANDS LÄN</t>
        </is>
      </c>
      <c r="E1106" t="inlineStr">
        <is>
          <t>SUNDSVALL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42497-2024</t>
        </is>
      </c>
      <c r="B1107" s="1" t="n">
        <v>45565</v>
      </c>
      <c r="C1107" s="1" t="n">
        <v>46181</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48233-2025</t>
        </is>
      </c>
      <c r="B1108" s="1" t="n">
        <v>45933.53196759259</v>
      </c>
      <c r="C1108" s="1" t="n">
        <v>46181</v>
      </c>
      <c r="D1108" t="inlineStr">
        <is>
          <t>VÄSTERNORRLANDS LÄN</t>
        </is>
      </c>
      <c r="E1108" t="inlineStr">
        <is>
          <t>SUNDSVALL</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48192-2025</t>
        </is>
      </c>
      <c r="B1109" s="1" t="n">
        <v>45933.4696875</v>
      </c>
      <c r="C1109" s="1" t="n">
        <v>46181</v>
      </c>
      <c r="D1109" t="inlineStr">
        <is>
          <t>VÄSTERNORRLANDS LÄN</t>
        </is>
      </c>
      <c r="E1109" t="inlineStr">
        <is>
          <t>SUNDSVALL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6691-2026</t>
        </is>
      </c>
      <c r="B1110" s="1" t="n">
        <v>46056</v>
      </c>
      <c r="C1110" s="1" t="n">
        <v>46181</v>
      </c>
      <c r="D1110" t="inlineStr">
        <is>
          <t>VÄSTERNORRLANDS LÄN</t>
        </is>
      </c>
      <c r="E1110" t="inlineStr">
        <is>
          <t>SUNDSVALL</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51768-2021</t>
        </is>
      </c>
      <c r="B1111" s="1" t="n">
        <v>44462</v>
      </c>
      <c r="C1111" s="1" t="n">
        <v>46181</v>
      </c>
      <c r="D1111" t="inlineStr">
        <is>
          <t>VÄSTERNORRLANDS LÄN</t>
        </is>
      </c>
      <c r="E1111" t="inlineStr">
        <is>
          <t>SUNDSVALL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48472-2025</t>
        </is>
      </c>
      <c r="B1112" s="1" t="n">
        <v>45936.34538194445</v>
      </c>
      <c r="C1112" s="1" t="n">
        <v>46181</v>
      </c>
      <c r="D1112" t="inlineStr">
        <is>
          <t>VÄSTERNORRLANDS LÄN</t>
        </is>
      </c>
      <c r="E1112" t="inlineStr">
        <is>
          <t>SUNDSVALL</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6650-2026</t>
        </is>
      </c>
      <c r="B1113" s="1" t="n">
        <v>46056.55253472222</v>
      </c>
      <c r="C1113" s="1" t="n">
        <v>46181</v>
      </c>
      <c r="D1113" t="inlineStr">
        <is>
          <t>VÄSTERNORRLANDS LÄN</t>
        </is>
      </c>
      <c r="E1113" t="inlineStr">
        <is>
          <t>SUNDSVALL</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34383-2025</t>
        </is>
      </c>
      <c r="B1114" s="1" t="n">
        <v>45846.55236111111</v>
      </c>
      <c r="C1114" s="1" t="n">
        <v>46181</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48410-2025</t>
        </is>
      </c>
      <c r="B1115" s="1" t="n">
        <v>45934.42759259259</v>
      </c>
      <c r="C1115" s="1" t="n">
        <v>46181</v>
      </c>
      <c r="D1115" t="inlineStr">
        <is>
          <t>VÄSTERNORRLANDS LÄN</t>
        </is>
      </c>
      <c r="E1115" t="inlineStr">
        <is>
          <t>SUNDSVALL</t>
        </is>
      </c>
      <c r="F1115" t="inlineStr">
        <is>
          <t>SCA</t>
        </is>
      </c>
      <c r="G1115" t="n">
        <v>16.5</v>
      </c>
      <c r="H1115" t="n">
        <v>0</v>
      </c>
      <c r="I1115" t="n">
        <v>0</v>
      </c>
      <c r="J1115" t="n">
        <v>0</v>
      </c>
      <c r="K1115" t="n">
        <v>0</v>
      </c>
      <c r="L1115" t="n">
        <v>0</v>
      </c>
      <c r="M1115" t="n">
        <v>0</v>
      </c>
      <c r="N1115" t="n">
        <v>0</v>
      </c>
      <c r="O1115" t="n">
        <v>0</v>
      </c>
      <c r="P1115" t="n">
        <v>0</v>
      </c>
      <c r="Q1115" t="n">
        <v>0</v>
      </c>
      <c r="R1115" s="2" t="inlineStr"/>
    </row>
    <row r="1116" ht="15" customHeight="1">
      <c r="A1116" t="inlineStr">
        <is>
          <t>A 48426-2025</t>
        </is>
      </c>
      <c r="B1116" s="1" t="n">
        <v>45934.71929398148</v>
      </c>
      <c r="C1116" s="1" t="n">
        <v>46181</v>
      </c>
      <c r="D1116" t="inlineStr">
        <is>
          <t>VÄSTERNORRLANDS LÄN</t>
        </is>
      </c>
      <c r="E1116" t="inlineStr">
        <is>
          <t>SUNDSVALL</t>
        </is>
      </c>
      <c r="F1116" t="inlineStr">
        <is>
          <t>SCA</t>
        </is>
      </c>
      <c r="G1116" t="n">
        <v>19.9</v>
      </c>
      <c r="H1116" t="n">
        <v>0</v>
      </c>
      <c r="I1116" t="n">
        <v>0</v>
      </c>
      <c r="J1116" t="n">
        <v>0</v>
      </c>
      <c r="K1116" t="n">
        <v>0</v>
      </c>
      <c r="L1116" t="n">
        <v>0</v>
      </c>
      <c r="M1116" t="n">
        <v>0</v>
      </c>
      <c r="N1116" t="n">
        <v>0</v>
      </c>
      <c r="O1116" t="n">
        <v>0</v>
      </c>
      <c r="P1116" t="n">
        <v>0</v>
      </c>
      <c r="Q1116" t="n">
        <v>0</v>
      </c>
      <c r="R1116" s="2" t="inlineStr"/>
    </row>
    <row r="1117" ht="15" customHeight="1">
      <c r="A1117" t="inlineStr">
        <is>
          <t>A 7392-2026</t>
        </is>
      </c>
      <c r="B1117" s="1" t="n">
        <v>46057</v>
      </c>
      <c r="C1117" s="1" t="n">
        <v>46181</v>
      </c>
      <c r="D1117" t="inlineStr">
        <is>
          <t>VÄSTERNORRLANDS LÄN</t>
        </is>
      </c>
      <c r="E1117" t="inlineStr">
        <is>
          <t>SUNDSVALL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34261-2025</t>
        </is>
      </c>
      <c r="B1118" s="1" t="n">
        <v>45845.71960648148</v>
      </c>
      <c r="C1118" s="1" t="n">
        <v>46181</v>
      </c>
      <c r="D1118" t="inlineStr">
        <is>
          <t>VÄSTERNORRLANDS LÄN</t>
        </is>
      </c>
      <c r="E1118" t="inlineStr">
        <is>
          <t>SUNDSVALL</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6818-2026</t>
        </is>
      </c>
      <c r="B1119" s="1" t="n">
        <v>46057.38607638889</v>
      </c>
      <c r="C1119" s="1" t="n">
        <v>46181</v>
      </c>
      <c r="D1119" t="inlineStr">
        <is>
          <t>VÄSTERNORRLANDS LÄN</t>
        </is>
      </c>
      <c r="E1119" t="inlineStr">
        <is>
          <t>SUNDSVALL</t>
        </is>
      </c>
      <c r="F1119" t="inlineStr">
        <is>
          <t>SCA</t>
        </is>
      </c>
      <c r="G1119" t="n">
        <v>19.2</v>
      </c>
      <c r="H1119" t="n">
        <v>0</v>
      </c>
      <c r="I1119" t="n">
        <v>0</v>
      </c>
      <c r="J1119" t="n">
        <v>0</v>
      </c>
      <c r="K1119" t="n">
        <v>0</v>
      </c>
      <c r="L1119" t="n">
        <v>0</v>
      </c>
      <c r="M1119" t="n">
        <v>0</v>
      </c>
      <c r="N1119" t="n">
        <v>0</v>
      </c>
      <c r="O1119" t="n">
        <v>0</v>
      </c>
      <c r="P1119" t="n">
        <v>0</v>
      </c>
      <c r="Q1119" t="n">
        <v>0</v>
      </c>
      <c r="R1119" s="2" t="inlineStr"/>
    </row>
    <row r="1120" ht="15" customHeight="1">
      <c r="A1120" t="inlineStr">
        <is>
          <t>A 5267-2025</t>
        </is>
      </c>
      <c r="B1120" s="1" t="n">
        <v>45692.38988425926</v>
      </c>
      <c r="C1120" s="1" t="n">
        <v>46181</v>
      </c>
      <c r="D1120" t="inlineStr">
        <is>
          <t>VÄSTERNORRLANDS LÄN</t>
        </is>
      </c>
      <c r="E1120" t="inlineStr">
        <is>
          <t>SUNDSVALL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48239-2025</t>
        </is>
      </c>
      <c r="B1121" s="1" t="n">
        <v>45933.53252314815</v>
      </c>
      <c r="C1121" s="1" t="n">
        <v>46181</v>
      </c>
      <c r="D1121" t="inlineStr">
        <is>
          <t>VÄSTERNORRLANDS LÄN</t>
        </is>
      </c>
      <c r="E1121" t="inlineStr">
        <is>
          <t>SUNDSVALL</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48605-2025</t>
        </is>
      </c>
      <c r="B1122" s="1" t="n">
        <v>45936.46971064815</v>
      </c>
      <c r="C1122" s="1" t="n">
        <v>46181</v>
      </c>
      <c r="D1122" t="inlineStr">
        <is>
          <t>VÄSTERNORRLANDS LÄN</t>
        </is>
      </c>
      <c r="E1122" t="inlineStr">
        <is>
          <t>SUNDSVALL</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48352-2025</t>
        </is>
      </c>
      <c r="B1123" s="1" t="n">
        <v>45933</v>
      </c>
      <c r="C1123" s="1" t="n">
        <v>46181</v>
      </c>
      <c r="D1123" t="inlineStr">
        <is>
          <t>VÄSTERNORRLANDS LÄN</t>
        </is>
      </c>
      <c r="E1123" t="inlineStr">
        <is>
          <t>SUNDSVALL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12333-2023</t>
        </is>
      </c>
      <c r="B1124" s="1" t="n">
        <v>44999</v>
      </c>
      <c r="C1124" s="1" t="n">
        <v>46181</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48629-2025</t>
        </is>
      </c>
      <c r="B1125" s="1" t="n">
        <v>45936.51148148148</v>
      </c>
      <c r="C1125" s="1" t="n">
        <v>46181</v>
      </c>
      <c r="D1125" t="inlineStr">
        <is>
          <t>VÄSTERNORRLANDS LÄN</t>
        </is>
      </c>
      <c r="E1125" t="inlineStr">
        <is>
          <t>SUNDSVALL</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7059-2026</t>
        </is>
      </c>
      <c r="B1126" s="1" t="n">
        <v>46057.89136574074</v>
      </c>
      <c r="C1126" s="1" t="n">
        <v>46181</v>
      </c>
      <c r="D1126" t="inlineStr">
        <is>
          <t>VÄSTERNORRLANDS LÄN</t>
        </is>
      </c>
      <c r="E1126" t="inlineStr">
        <is>
          <t>SUNDSVALL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28917-2024</t>
        </is>
      </c>
      <c r="B1127" s="1" t="n">
        <v>45480</v>
      </c>
      <c r="C1127" s="1" t="n">
        <v>46181</v>
      </c>
      <c r="D1127" t="inlineStr">
        <is>
          <t>VÄSTERNORRLANDS LÄN</t>
        </is>
      </c>
      <c r="E1127" t="inlineStr">
        <is>
          <t>SUNDSVALL</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48136-2025</t>
        </is>
      </c>
      <c r="B1128" s="1" t="n">
        <v>45933.37855324074</v>
      </c>
      <c r="C1128" s="1" t="n">
        <v>46181</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34558-2025</t>
        </is>
      </c>
      <c r="B1129" s="1" t="n">
        <v>45847.57377314815</v>
      </c>
      <c r="C1129" s="1" t="n">
        <v>46181</v>
      </c>
      <c r="D1129" t="inlineStr">
        <is>
          <t>VÄSTERNORRLANDS LÄN</t>
        </is>
      </c>
      <c r="E1129" t="inlineStr">
        <is>
          <t>SUNDSVALL</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48993-2022</t>
        </is>
      </c>
      <c r="B1130" s="1" t="n">
        <v>44860</v>
      </c>
      <c r="C1130" s="1" t="n">
        <v>46181</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34668-2025</t>
        </is>
      </c>
      <c r="B1131" s="1" t="n">
        <v>45848.38586805556</v>
      </c>
      <c r="C1131" s="1" t="n">
        <v>46181</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48668-2025</t>
        </is>
      </c>
      <c r="B1132" s="1" t="n">
        <v>45936.5741550926</v>
      </c>
      <c r="C1132" s="1" t="n">
        <v>46181</v>
      </c>
      <c r="D1132" t="inlineStr">
        <is>
          <t>VÄSTERNORRLANDS LÄN</t>
        </is>
      </c>
      <c r="E1132" t="inlineStr">
        <is>
          <t>SUNDSVALL</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34556-2025</t>
        </is>
      </c>
      <c r="B1133" s="1" t="n">
        <v>45847.57347222222</v>
      </c>
      <c r="C1133" s="1" t="n">
        <v>46181</v>
      </c>
      <c r="D1133" t="inlineStr">
        <is>
          <t>VÄSTERNORRLANDS LÄN</t>
        </is>
      </c>
      <c r="E1133" t="inlineStr">
        <is>
          <t>SUNDSVALL</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34557-2025</t>
        </is>
      </c>
      <c r="B1134" s="1" t="n">
        <v>45847.57372685185</v>
      </c>
      <c r="C1134" s="1" t="n">
        <v>46181</v>
      </c>
      <c r="D1134" t="inlineStr">
        <is>
          <t>VÄSTERNORRLANDS LÄN</t>
        </is>
      </c>
      <c r="E1134" t="inlineStr">
        <is>
          <t>SUNDSVALL</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7323-2026</t>
        </is>
      </c>
      <c r="B1135" s="1" t="n">
        <v>46058.67792824074</v>
      </c>
      <c r="C1135" s="1" t="n">
        <v>46181</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7162-2026</t>
        </is>
      </c>
      <c r="B1136" s="1" t="n">
        <v>46058.44864583333</v>
      </c>
      <c r="C1136" s="1" t="n">
        <v>46181</v>
      </c>
      <c r="D1136" t="inlineStr">
        <is>
          <t>VÄSTERNORRLANDS LÄN</t>
        </is>
      </c>
      <c r="E1136" t="inlineStr">
        <is>
          <t>SUNDSVALL</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19235-2023</t>
        </is>
      </c>
      <c r="B1137" s="1" t="n">
        <v>45048.92684027777</v>
      </c>
      <c r="C1137" s="1" t="n">
        <v>46181</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19236-2023</t>
        </is>
      </c>
      <c r="B1138" s="1" t="n">
        <v>45048</v>
      </c>
      <c r="C1138" s="1" t="n">
        <v>46181</v>
      </c>
      <c r="D1138" t="inlineStr">
        <is>
          <t>VÄSTERNORRLANDS LÄN</t>
        </is>
      </c>
      <c r="E1138" t="inlineStr">
        <is>
          <t>SUNDSVALL</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48831-2025</t>
        </is>
      </c>
      <c r="B1139" s="1" t="n">
        <v>45937.3866087963</v>
      </c>
      <c r="C1139" s="1" t="n">
        <v>46181</v>
      </c>
      <c r="D1139" t="inlineStr">
        <is>
          <t>VÄSTERNORRLANDS LÄN</t>
        </is>
      </c>
      <c r="E1139" t="inlineStr">
        <is>
          <t>SUNDSVALL</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48814-2025</t>
        </is>
      </c>
      <c r="B1140" s="1" t="n">
        <v>45937.36435185185</v>
      </c>
      <c r="C1140" s="1" t="n">
        <v>46181</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48819-2025</t>
        </is>
      </c>
      <c r="B1141" s="1" t="n">
        <v>45937.3687037037</v>
      </c>
      <c r="C1141" s="1" t="n">
        <v>46181</v>
      </c>
      <c r="D1141" t="inlineStr">
        <is>
          <t>VÄSTERNORRLANDS LÄN</t>
        </is>
      </c>
      <c r="E1141" t="inlineStr">
        <is>
          <t>SUNDSVALL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7035-2026</t>
        </is>
      </c>
      <c r="B1142" s="1" t="n">
        <v>46057.68603009259</v>
      </c>
      <c r="C1142" s="1" t="n">
        <v>46181</v>
      </c>
      <c r="D1142" t="inlineStr">
        <is>
          <t>VÄSTERNORRLANDS LÄN</t>
        </is>
      </c>
      <c r="E1142" t="inlineStr">
        <is>
          <t>SUNDSVALL</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23652-2025</t>
        </is>
      </c>
      <c r="B1143" s="1" t="n">
        <v>45792</v>
      </c>
      <c r="C1143" s="1" t="n">
        <v>46181</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19812-2023</t>
        </is>
      </c>
      <c r="B1144" s="1" t="n">
        <v>45051.92583333333</v>
      </c>
      <c r="C1144" s="1" t="n">
        <v>46181</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34375-2025</t>
        </is>
      </c>
      <c r="B1145" s="1" t="n">
        <v>45846</v>
      </c>
      <c r="C1145" s="1" t="n">
        <v>46181</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7489-2026</t>
        </is>
      </c>
      <c r="B1146" s="1" t="n">
        <v>46058</v>
      </c>
      <c r="C1146" s="1" t="n">
        <v>46181</v>
      </c>
      <c r="D1146" t="inlineStr">
        <is>
          <t>VÄSTERNORRLANDS LÄN</t>
        </is>
      </c>
      <c r="E1146" t="inlineStr">
        <is>
          <t>SUNDSVALL</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7278-2026</t>
        </is>
      </c>
      <c r="B1147" s="1" t="n">
        <v>46058.62868055556</v>
      </c>
      <c r="C1147" s="1" t="n">
        <v>46181</v>
      </c>
      <c r="D1147" t="inlineStr">
        <is>
          <t>VÄSTERNORRLANDS LÄN</t>
        </is>
      </c>
      <c r="E1147" t="inlineStr">
        <is>
          <t>SUNDSVALL</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7090-2026</t>
        </is>
      </c>
      <c r="B1148" s="1" t="n">
        <v>46058</v>
      </c>
      <c r="C1148" s="1" t="n">
        <v>46181</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35120-2025</t>
        </is>
      </c>
      <c r="B1149" s="1" t="n">
        <v>45852</v>
      </c>
      <c r="C1149" s="1" t="n">
        <v>46181</v>
      </c>
      <c r="D1149" t="inlineStr">
        <is>
          <t>VÄSTERNORRLANDS LÄN</t>
        </is>
      </c>
      <c r="E1149" t="inlineStr">
        <is>
          <t>SUNDSVALL</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7109-2026</t>
        </is>
      </c>
      <c r="B1150" s="1" t="n">
        <v>46058</v>
      </c>
      <c r="C1150" s="1" t="n">
        <v>46181</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54977-2023</t>
        </is>
      </c>
      <c r="B1151" s="1" t="n">
        <v>45236</v>
      </c>
      <c r="C1151" s="1" t="n">
        <v>46181</v>
      </c>
      <c r="D1151" t="inlineStr">
        <is>
          <t>VÄSTERNORRLANDS LÄN</t>
        </is>
      </c>
      <c r="E1151" t="inlineStr">
        <is>
          <t>SUNDSVALL</t>
        </is>
      </c>
      <c r="F1151" t="inlineStr">
        <is>
          <t>Kyrkan</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22053-2025</t>
        </is>
      </c>
      <c r="B1152" s="1" t="n">
        <v>45785.3650462963</v>
      </c>
      <c r="C1152" s="1" t="n">
        <v>46181</v>
      </c>
      <c r="D1152" t="inlineStr">
        <is>
          <t>VÄSTERNORRLANDS LÄN</t>
        </is>
      </c>
      <c r="E1152" t="inlineStr">
        <is>
          <t>SUNDSVALL</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7030-2026</t>
        </is>
      </c>
      <c r="B1153" s="1" t="n">
        <v>46057.67849537037</v>
      </c>
      <c r="C1153" s="1" t="n">
        <v>46181</v>
      </c>
      <c r="D1153" t="inlineStr">
        <is>
          <t>VÄSTERNORRLANDS LÄN</t>
        </is>
      </c>
      <c r="E1153" t="inlineStr">
        <is>
          <t>SUNDSVALL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7031-2026</t>
        </is>
      </c>
      <c r="B1154" s="1" t="n">
        <v>46057.67917824074</v>
      </c>
      <c r="C1154" s="1" t="n">
        <v>46181</v>
      </c>
      <c r="D1154" t="inlineStr">
        <is>
          <t>VÄSTERNORRLANDS LÄN</t>
        </is>
      </c>
      <c r="E1154" t="inlineStr">
        <is>
          <t>SUNDSVALL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7288-2026</t>
        </is>
      </c>
      <c r="B1155" s="1" t="n">
        <v>46058.63849537037</v>
      </c>
      <c r="C1155" s="1" t="n">
        <v>46181</v>
      </c>
      <c r="D1155" t="inlineStr">
        <is>
          <t>VÄSTERNORRLANDS LÄN</t>
        </is>
      </c>
      <c r="E1155" t="inlineStr">
        <is>
          <t>SUNDSVALL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56214-2024</t>
        </is>
      </c>
      <c r="B1156" s="1" t="n">
        <v>45624</v>
      </c>
      <c r="C1156" s="1" t="n">
        <v>46181</v>
      </c>
      <c r="D1156" t="inlineStr">
        <is>
          <t>VÄSTERNORRLANDS LÄN</t>
        </is>
      </c>
      <c r="E1156" t="inlineStr">
        <is>
          <t>SUNDSVALL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7617-2026</t>
        </is>
      </c>
      <c r="B1157" s="1" t="n">
        <v>46062.33678240741</v>
      </c>
      <c r="C1157" s="1" t="n">
        <v>46181</v>
      </c>
      <c r="D1157" t="inlineStr">
        <is>
          <t>VÄSTERNORRLANDS LÄN</t>
        </is>
      </c>
      <c r="E1157" t="inlineStr">
        <is>
          <t>SUNDSVALL</t>
        </is>
      </c>
      <c r="F1157" t="inlineStr">
        <is>
          <t>Holmen skog AB</t>
        </is>
      </c>
      <c r="G1157" t="n">
        <v>31.3</v>
      </c>
      <c r="H1157" t="n">
        <v>0</v>
      </c>
      <c r="I1157" t="n">
        <v>0</v>
      </c>
      <c r="J1157" t="n">
        <v>0</v>
      </c>
      <c r="K1157" t="n">
        <v>0</v>
      </c>
      <c r="L1157" t="n">
        <v>0</v>
      </c>
      <c r="M1157" t="n">
        <v>0</v>
      </c>
      <c r="N1157" t="n">
        <v>0</v>
      </c>
      <c r="O1157" t="n">
        <v>0</v>
      </c>
      <c r="P1157" t="n">
        <v>0</v>
      </c>
      <c r="Q1157" t="n">
        <v>0</v>
      </c>
      <c r="R1157" s="2" t="inlineStr"/>
    </row>
    <row r="1158" ht="15" customHeight="1">
      <c r="A1158" t="inlineStr">
        <is>
          <t>A 7472-2026</t>
        </is>
      </c>
      <c r="B1158" s="1" t="n">
        <v>46059.49037037037</v>
      </c>
      <c r="C1158" s="1" t="n">
        <v>46181</v>
      </c>
      <c r="D1158" t="inlineStr">
        <is>
          <t>VÄSTERNORRLANDS LÄN</t>
        </is>
      </c>
      <c r="E1158" t="inlineStr">
        <is>
          <t>SUNDSVALL</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23650-2025</t>
        </is>
      </c>
      <c r="B1159" s="1" t="n">
        <v>45792</v>
      </c>
      <c r="C1159" s="1" t="n">
        <v>46181</v>
      </c>
      <c r="D1159" t="inlineStr">
        <is>
          <t>VÄSTERNORRLANDS LÄN</t>
        </is>
      </c>
      <c r="E1159" t="inlineStr">
        <is>
          <t>SUNDSVALL</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35461-2025</t>
        </is>
      </c>
      <c r="B1160" s="1" t="n">
        <v>45855.61505787037</v>
      </c>
      <c r="C1160" s="1" t="n">
        <v>46181</v>
      </c>
      <c r="D1160" t="inlineStr">
        <is>
          <t>VÄSTERNORRLANDS LÄN</t>
        </is>
      </c>
      <c r="E1160" t="inlineStr">
        <is>
          <t>SUNDSVALL</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49055-2025</t>
        </is>
      </c>
      <c r="B1161" s="1" t="n">
        <v>45937.64056712963</v>
      </c>
      <c r="C1161" s="1" t="n">
        <v>46181</v>
      </c>
      <c r="D1161" t="inlineStr">
        <is>
          <t>VÄSTERNORRLANDS LÄN</t>
        </is>
      </c>
      <c r="E1161" t="inlineStr">
        <is>
          <t>SUNDSVALL</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47025-2023</t>
        </is>
      </c>
      <c r="B1162" s="1" t="n">
        <v>45195</v>
      </c>
      <c r="C1162" s="1" t="n">
        <v>46181</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249-2024</t>
        </is>
      </c>
      <c r="B1163" s="1" t="n">
        <v>45294</v>
      </c>
      <c r="C1163" s="1" t="n">
        <v>46181</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7635-2026</t>
        </is>
      </c>
      <c r="B1164" s="1" t="n">
        <v>46062.36525462963</v>
      </c>
      <c r="C1164" s="1" t="n">
        <v>46181</v>
      </c>
      <c r="D1164" t="inlineStr">
        <is>
          <t>VÄSTERNORRLANDS LÄN</t>
        </is>
      </c>
      <c r="E1164" t="inlineStr">
        <is>
          <t>SUNDSVALL</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9113-2024</t>
        </is>
      </c>
      <c r="B1165" s="1" t="n">
        <v>45357</v>
      </c>
      <c r="C1165" s="1" t="n">
        <v>46181</v>
      </c>
      <c r="D1165" t="inlineStr">
        <is>
          <t>VÄSTERNORRLANDS LÄN</t>
        </is>
      </c>
      <c r="E1165" t="inlineStr">
        <is>
          <t>SUNDSVALL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35716-2025</t>
        </is>
      </c>
      <c r="B1166" s="1" t="n">
        <v>45860.42753472222</v>
      </c>
      <c r="C1166" s="1" t="n">
        <v>46181</v>
      </c>
      <c r="D1166" t="inlineStr">
        <is>
          <t>VÄSTERNORRLANDS LÄN</t>
        </is>
      </c>
      <c r="E1166" t="inlineStr">
        <is>
          <t>SUNDSVALL</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31667-2024</t>
        </is>
      </c>
      <c r="B1167" s="1" t="n">
        <v>45506</v>
      </c>
      <c r="C1167" s="1" t="n">
        <v>46181</v>
      </c>
      <c r="D1167" t="inlineStr">
        <is>
          <t>VÄSTERNORRLANDS LÄN</t>
        </is>
      </c>
      <c r="E1167" t="inlineStr">
        <is>
          <t>SUNDSVALL</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27303-2024</t>
        </is>
      </c>
      <c r="B1168" s="1" t="n">
        <v>45471</v>
      </c>
      <c r="C1168" s="1" t="n">
        <v>46181</v>
      </c>
      <c r="D1168" t="inlineStr">
        <is>
          <t>VÄSTERNORRLANDS LÄN</t>
        </is>
      </c>
      <c r="E1168" t="inlineStr">
        <is>
          <t>SUNDSVALL</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48913-2025</t>
        </is>
      </c>
      <c r="B1169" s="1" t="n">
        <v>45937.49005787037</v>
      </c>
      <c r="C1169" s="1" t="n">
        <v>46181</v>
      </c>
      <c r="D1169" t="inlineStr">
        <is>
          <t>VÄSTERNORRLANDS LÄN</t>
        </is>
      </c>
      <c r="E1169" t="inlineStr">
        <is>
          <t>SUNDSVALL</t>
        </is>
      </c>
      <c r="F1169" t="inlineStr">
        <is>
          <t>Naturvårdsverket</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48795-2025</t>
        </is>
      </c>
      <c r="B1170" s="1" t="n">
        <v>45937.34444444445</v>
      </c>
      <c r="C1170" s="1" t="n">
        <v>46181</v>
      </c>
      <c r="D1170" t="inlineStr">
        <is>
          <t>VÄSTERNORRLANDS LÄN</t>
        </is>
      </c>
      <c r="E1170" t="inlineStr">
        <is>
          <t>SUNDSVALL</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7816-2026</t>
        </is>
      </c>
      <c r="B1171" s="1" t="n">
        <v>46059</v>
      </c>
      <c r="C1171" s="1" t="n">
        <v>46181</v>
      </c>
      <c r="D1171" t="inlineStr">
        <is>
          <t>VÄSTERNORRLANDS LÄN</t>
        </is>
      </c>
      <c r="E1171" t="inlineStr">
        <is>
          <t>SUNDSVALL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35881-2025</t>
        </is>
      </c>
      <c r="B1172" s="1" t="n">
        <v>45862.38577546296</v>
      </c>
      <c r="C1172" s="1" t="n">
        <v>46181</v>
      </c>
      <c r="D1172" t="inlineStr">
        <is>
          <t>VÄSTERNORRLANDS LÄN</t>
        </is>
      </c>
      <c r="E1172" t="inlineStr">
        <is>
          <t>SUNDSVALL</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49752-2025</t>
        </is>
      </c>
      <c r="B1173" s="1" t="n">
        <v>45940.34524305556</v>
      </c>
      <c r="C1173" s="1" t="n">
        <v>46181</v>
      </c>
      <c r="D1173" t="inlineStr">
        <is>
          <t>VÄSTERNORRLANDS LÄN</t>
        </is>
      </c>
      <c r="E1173" t="inlineStr">
        <is>
          <t>SUNDSVALL</t>
        </is>
      </c>
      <c r="F1173" t="inlineStr">
        <is>
          <t>Naturvårdsverket</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35926-2025</t>
        </is>
      </c>
      <c r="B1174" s="1" t="n">
        <v>45862.59415509259</v>
      </c>
      <c r="C1174" s="1" t="n">
        <v>46181</v>
      </c>
      <c r="D1174" t="inlineStr">
        <is>
          <t>VÄSTERNORRLANDS LÄN</t>
        </is>
      </c>
      <c r="E1174" t="inlineStr">
        <is>
          <t>SUNDSVALL</t>
        </is>
      </c>
      <c r="F1174" t="inlineStr">
        <is>
          <t>SCA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35927-2025</t>
        </is>
      </c>
      <c r="B1175" s="1" t="n">
        <v>45862.5943287037</v>
      </c>
      <c r="C1175" s="1" t="n">
        <v>46181</v>
      </c>
      <c r="D1175" t="inlineStr">
        <is>
          <t>VÄSTERNORRLANDS LÄN</t>
        </is>
      </c>
      <c r="E1175" t="inlineStr">
        <is>
          <t>SUNDSVALL</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35901-2025</t>
        </is>
      </c>
      <c r="B1176" s="1" t="n">
        <v>45862.48984953704</v>
      </c>
      <c r="C1176" s="1" t="n">
        <v>46181</v>
      </c>
      <c r="D1176" t="inlineStr">
        <is>
          <t>VÄSTERNORRLANDS LÄN</t>
        </is>
      </c>
      <c r="E1176" t="inlineStr">
        <is>
          <t>SUNDSVALL</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35861-2025</t>
        </is>
      </c>
      <c r="B1177" s="1" t="n">
        <v>45861.65689814815</v>
      </c>
      <c r="C1177" s="1" t="n">
        <v>46181</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35942-2025</t>
        </is>
      </c>
      <c r="B1178" s="1" t="n">
        <v>45862.6775</v>
      </c>
      <c r="C1178" s="1" t="n">
        <v>46181</v>
      </c>
      <c r="D1178" t="inlineStr">
        <is>
          <t>VÄSTERNORRLANDS LÄN</t>
        </is>
      </c>
      <c r="E1178" t="inlineStr">
        <is>
          <t>SUNDSVALL</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38350-2023</t>
        </is>
      </c>
      <c r="B1179" s="1" t="n">
        <v>45161.92380787037</v>
      </c>
      <c r="C1179" s="1" t="n">
        <v>46181</v>
      </c>
      <c r="D1179" t="inlineStr">
        <is>
          <t>VÄSTERNORRLANDS LÄN</t>
        </is>
      </c>
      <c r="E1179" t="inlineStr">
        <is>
          <t>SUNDSVALL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49529-2025</t>
        </is>
      </c>
      <c r="B1180" s="1" t="n">
        <v>45939.4068287037</v>
      </c>
      <c r="C1180" s="1" t="n">
        <v>46181</v>
      </c>
      <c r="D1180" t="inlineStr">
        <is>
          <t>VÄSTERNORRLANDS LÄN</t>
        </is>
      </c>
      <c r="E1180" t="inlineStr">
        <is>
          <t>SUNDSVALL</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36073-2025</t>
        </is>
      </c>
      <c r="B1181" s="1" t="n">
        <v>45866.4346412037</v>
      </c>
      <c r="C1181" s="1" t="n">
        <v>46181</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35979-2025</t>
        </is>
      </c>
      <c r="B1182" s="1" t="n">
        <v>45863.44825231482</v>
      </c>
      <c r="C1182" s="1" t="n">
        <v>46181</v>
      </c>
      <c r="D1182" t="inlineStr">
        <is>
          <t>VÄSTERNORRLANDS LÄN</t>
        </is>
      </c>
      <c r="E1182" t="inlineStr">
        <is>
          <t>SUNDSVALL</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35973-2025</t>
        </is>
      </c>
      <c r="B1183" s="1" t="n">
        <v>45863.42748842593</v>
      </c>
      <c r="C1183" s="1" t="n">
        <v>46181</v>
      </c>
      <c r="D1183" t="inlineStr">
        <is>
          <t>VÄSTERNORRLANDS LÄN</t>
        </is>
      </c>
      <c r="E1183" t="inlineStr">
        <is>
          <t>SUNDSVALL</t>
        </is>
      </c>
      <c r="F1183" t="inlineStr">
        <is>
          <t>SCA</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49697-2025</t>
        </is>
      </c>
      <c r="B1184" s="1" t="n">
        <v>45939.67776620371</v>
      </c>
      <c r="C1184" s="1" t="n">
        <v>46181</v>
      </c>
      <c r="D1184" t="inlineStr">
        <is>
          <t>VÄSTERNORRLANDS LÄN</t>
        </is>
      </c>
      <c r="E1184" t="inlineStr">
        <is>
          <t>SUNDSVALL</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49867-2025</t>
        </is>
      </c>
      <c r="B1185" s="1" t="n">
        <v>45940.53179398148</v>
      </c>
      <c r="C1185" s="1" t="n">
        <v>46181</v>
      </c>
      <c r="D1185" t="inlineStr">
        <is>
          <t>VÄSTERNORRLANDS LÄN</t>
        </is>
      </c>
      <c r="E1185" t="inlineStr">
        <is>
          <t>SUNDSVALL</t>
        </is>
      </c>
      <c r="F1185" t="inlineStr">
        <is>
          <t>Naturvårdsverket</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8242-2026</t>
        </is>
      </c>
      <c r="B1186" s="1" t="n">
        <v>46064.49005787037</v>
      </c>
      <c r="C1186" s="1" t="n">
        <v>46181</v>
      </c>
      <c r="D1186" t="inlineStr">
        <is>
          <t>VÄSTERNORRLANDS LÄN</t>
        </is>
      </c>
      <c r="E1186" t="inlineStr">
        <is>
          <t>SUNDSVALL</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2246-2026</t>
        </is>
      </c>
      <c r="B1187" s="1" t="n">
        <v>46036</v>
      </c>
      <c r="C1187" s="1" t="n">
        <v>46181</v>
      </c>
      <c r="D1187" t="inlineStr">
        <is>
          <t>VÄSTERNORRLANDS LÄN</t>
        </is>
      </c>
      <c r="E1187" t="inlineStr">
        <is>
          <t>SUNDSVALL</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36329-2025</t>
        </is>
      </c>
      <c r="B1188" s="1" t="n">
        <v>45868.42763888889</v>
      </c>
      <c r="C1188" s="1" t="n">
        <v>46181</v>
      </c>
      <c r="D1188" t="inlineStr">
        <is>
          <t>VÄSTERNORRLANDS LÄN</t>
        </is>
      </c>
      <c r="E1188" t="inlineStr">
        <is>
          <t>SUNDSVALL</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49641-2025</t>
        </is>
      </c>
      <c r="B1189" s="1" t="n">
        <v>45939.61519675926</v>
      </c>
      <c r="C1189" s="1" t="n">
        <v>46181</v>
      </c>
      <c r="D1189" t="inlineStr">
        <is>
          <t>VÄSTERNORRLANDS LÄN</t>
        </is>
      </c>
      <c r="E1189" t="inlineStr">
        <is>
          <t>SUNDSVALL</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50401-2025</t>
        </is>
      </c>
      <c r="B1190" s="1" t="n">
        <v>45944.63585648148</v>
      </c>
      <c r="C1190" s="1" t="n">
        <v>46181</v>
      </c>
      <c r="D1190" t="inlineStr">
        <is>
          <t>VÄSTERNORRLANDS LÄN</t>
        </is>
      </c>
      <c r="E1190" t="inlineStr">
        <is>
          <t>SUNDSVALL</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1375-2023</t>
        </is>
      </c>
      <c r="B1191" s="1" t="n">
        <v>44936.66675925926</v>
      </c>
      <c r="C1191" s="1" t="n">
        <v>46181</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50405-2025</t>
        </is>
      </c>
      <c r="B1192" s="1" t="n">
        <v>45944.63644675926</v>
      </c>
      <c r="C1192" s="1" t="n">
        <v>46181</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50407-2025</t>
        </is>
      </c>
      <c r="B1193" s="1" t="n">
        <v>45944.63677083333</v>
      </c>
      <c r="C1193" s="1" t="n">
        <v>46181</v>
      </c>
      <c r="D1193" t="inlineStr">
        <is>
          <t>VÄSTERNORRLANDS LÄN</t>
        </is>
      </c>
      <c r="E1193" t="inlineStr">
        <is>
          <t>SUNDSVALL</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50294-2025</t>
        </is>
      </c>
      <c r="B1194" s="1" t="n">
        <v>45944.408125</v>
      </c>
      <c r="C1194" s="1" t="n">
        <v>46181</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36622-2025</t>
        </is>
      </c>
      <c r="B1195" s="1" t="n">
        <v>45870.65707175926</v>
      </c>
      <c r="C1195" s="1" t="n">
        <v>46181</v>
      </c>
      <c r="D1195" t="inlineStr">
        <is>
          <t>VÄSTERNORRLANDS LÄN</t>
        </is>
      </c>
      <c r="E1195" t="inlineStr">
        <is>
          <t>SUNDSVALL</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36546-2025</t>
        </is>
      </c>
      <c r="B1196" s="1" t="n">
        <v>45869.69824074074</v>
      </c>
      <c r="C1196" s="1" t="n">
        <v>46181</v>
      </c>
      <c r="D1196" t="inlineStr">
        <is>
          <t>VÄSTERNORRLANDS LÄN</t>
        </is>
      </c>
      <c r="E1196" t="inlineStr">
        <is>
          <t>SUNDSVALL</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36458-2025</t>
        </is>
      </c>
      <c r="B1197" s="1" t="n">
        <v>45869.44858796296</v>
      </c>
      <c r="C1197" s="1" t="n">
        <v>46181</v>
      </c>
      <c r="D1197" t="inlineStr">
        <is>
          <t>VÄSTERNORRLANDS LÄN</t>
        </is>
      </c>
      <c r="E1197" t="inlineStr">
        <is>
          <t>SUNDSVALL</t>
        </is>
      </c>
      <c r="G1197" t="n">
        <v>9.6</v>
      </c>
      <c r="H1197" t="n">
        <v>0</v>
      </c>
      <c r="I1197" t="n">
        <v>0</v>
      </c>
      <c r="J1197" t="n">
        <v>0</v>
      </c>
      <c r="K1197" t="n">
        <v>0</v>
      </c>
      <c r="L1197" t="n">
        <v>0</v>
      </c>
      <c r="M1197" t="n">
        <v>0</v>
      </c>
      <c r="N1197" t="n">
        <v>0</v>
      </c>
      <c r="O1197" t="n">
        <v>0</v>
      </c>
      <c r="P1197" t="n">
        <v>0</v>
      </c>
      <c r="Q1197" t="n">
        <v>0</v>
      </c>
      <c r="R1197" s="2" t="inlineStr"/>
    </row>
    <row r="1198" ht="15" customHeight="1">
      <c r="A1198" t="inlineStr">
        <is>
          <t>A 7918-2026</t>
        </is>
      </c>
      <c r="B1198" s="1" t="n">
        <v>46063.38263888889</v>
      </c>
      <c r="C1198" s="1" t="n">
        <v>46181</v>
      </c>
      <c r="D1198" t="inlineStr">
        <is>
          <t>VÄSTERNORRLANDS LÄN</t>
        </is>
      </c>
      <c r="E1198" t="inlineStr">
        <is>
          <t>SUNDSVALL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50180-2025</t>
        </is>
      </c>
      <c r="B1199" s="1" t="n">
        <v>45943.61502314815</v>
      </c>
      <c r="C1199" s="1" t="n">
        <v>46181</v>
      </c>
      <c r="D1199" t="inlineStr">
        <is>
          <t>VÄSTERNORRLANDS LÄN</t>
        </is>
      </c>
      <c r="E1199" t="inlineStr">
        <is>
          <t>SUNDSVALL</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8463-2026</t>
        </is>
      </c>
      <c r="B1200" s="1" t="n">
        <v>46065.43620370371</v>
      </c>
      <c r="C1200" s="1" t="n">
        <v>46181</v>
      </c>
      <c r="D1200" t="inlineStr">
        <is>
          <t>VÄSTERNORRLANDS LÄN</t>
        </is>
      </c>
      <c r="E1200" t="inlineStr">
        <is>
          <t>SUNDSVALL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8688-2026</t>
        </is>
      </c>
      <c r="B1201" s="1" t="n">
        <v>46066.44523148148</v>
      </c>
      <c r="C1201" s="1" t="n">
        <v>46181</v>
      </c>
      <c r="D1201" t="inlineStr">
        <is>
          <t>VÄSTERNORRLANDS LÄN</t>
        </is>
      </c>
      <c r="E1201" t="inlineStr">
        <is>
          <t>SUNDSVALL</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31185-2025</t>
        </is>
      </c>
      <c r="B1202" s="1" t="n">
        <v>45832.67805555555</v>
      </c>
      <c r="C1202" s="1" t="n">
        <v>46181</v>
      </c>
      <c r="D1202" t="inlineStr">
        <is>
          <t>VÄSTERNORRLANDS LÄN</t>
        </is>
      </c>
      <c r="E1202" t="inlineStr">
        <is>
          <t>SUNDSVALL</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49960-2025</t>
        </is>
      </c>
      <c r="B1203" s="1" t="n">
        <v>45941.34421296296</v>
      </c>
      <c r="C1203" s="1" t="n">
        <v>46181</v>
      </c>
      <c r="D1203" t="inlineStr">
        <is>
          <t>VÄSTERNORRLANDS LÄN</t>
        </is>
      </c>
      <c r="E1203" t="inlineStr">
        <is>
          <t>SUNDSVALL</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7959-2025</t>
        </is>
      </c>
      <c r="B1204" s="1" t="n">
        <v>45707.43788194445</v>
      </c>
      <c r="C1204" s="1" t="n">
        <v>46181</v>
      </c>
      <c r="D1204" t="inlineStr">
        <is>
          <t>VÄSTERNORRLANDS LÄN</t>
        </is>
      </c>
      <c r="E1204" t="inlineStr">
        <is>
          <t>SUNDSVALL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50228-2025</t>
        </is>
      </c>
      <c r="B1205" s="1" t="n">
        <v>45943.69835648148</v>
      </c>
      <c r="C1205" s="1" t="n">
        <v>46181</v>
      </c>
      <c r="D1205" t="inlineStr">
        <is>
          <t>VÄSTERNORRLANDS LÄN</t>
        </is>
      </c>
      <c r="E1205" t="inlineStr">
        <is>
          <t>SUNDSVALL</t>
        </is>
      </c>
      <c r="F1205" t="inlineStr">
        <is>
          <t>SCA</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58165-2022</t>
        </is>
      </c>
      <c r="B1206" s="1" t="n">
        <v>44900</v>
      </c>
      <c r="C1206" s="1" t="n">
        <v>46181</v>
      </c>
      <c r="D1206" t="inlineStr">
        <is>
          <t>VÄSTERNORRLANDS LÄN</t>
        </is>
      </c>
      <c r="E1206" t="inlineStr">
        <is>
          <t>SUNDSVALL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36950-2025</t>
        </is>
      </c>
      <c r="B1207" s="1" t="n">
        <v>45874.60196759259</v>
      </c>
      <c r="C1207" s="1" t="n">
        <v>46181</v>
      </c>
      <c r="D1207" t="inlineStr">
        <is>
          <t>VÄSTERNORRLANDS LÄN</t>
        </is>
      </c>
      <c r="E1207" t="inlineStr">
        <is>
          <t>SUNDSVALL</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53403-2024</t>
        </is>
      </c>
      <c r="B1208" s="1" t="n">
        <v>45614.49353009259</v>
      </c>
      <c r="C1208" s="1" t="n">
        <v>46181</v>
      </c>
      <c r="D1208" t="inlineStr">
        <is>
          <t>VÄSTERNORRLANDS LÄN</t>
        </is>
      </c>
      <c r="E1208" t="inlineStr">
        <is>
          <t>SUNDSVALL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36743-2025</t>
        </is>
      </c>
      <c r="B1209" s="1" t="n">
        <v>45873.53770833334</v>
      </c>
      <c r="C1209" s="1" t="n">
        <v>46181</v>
      </c>
      <c r="D1209" t="inlineStr">
        <is>
          <t>VÄSTERNORRLANDS LÄN</t>
        </is>
      </c>
      <c r="E1209" t="inlineStr">
        <is>
          <t>SUNDSVALL</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36667-2025</t>
        </is>
      </c>
      <c r="B1210" s="1" t="n">
        <v>45873.381875</v>
      </c>
      <c r="C1210" s="1" t="n">
        <v>46181</v>
      </c>
      <c r="D1210" t="inlineStr">
        <is>
          <t>VÄSTERNORRLANDS LÄN</t>
        </is>
      </c>
      <c r="E1210" t="inlineStr">
        <is>
          <t>SUNDSVALL</t>
        </is>
      </c>
      <c r="F1210" t="inlineStr">
        <is>
          <t>Holmen skog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50293-2025</t>
        </is>
      </c>
      <c r="B1211" s="1" t="n">
        <v>45944.40810185186</v>
      </c>
      <c r="C1211" s="1" t="n">
        <v>46181</v>
      </c>
      <c r="D1211" t="inlineStr">
        <is>
          <t>VÄSTERNORRLANDS LÄN</t>
        </is>
      </c>
      <c r="E1211" t="inlineStr">
        <is>
          <t>SUNDSVALL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50265-2025</t>
        </is>
      </c>
      <c r="B1212" s="1" t="n">
        <v>45944.34559027778</v>
      </c>
      <c r="C1212" s="1" t="n">
        <v>46181</v>
      </c>
      <c r="D1212" t="inlineStr">
        <is>
          <t>VÄSTERNORRLANDS LÄN</t>
        </is>
      </c>
      <c r="E1212" t="inlineStr">
        <is>
          <t>SUNDSVALL</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37009-2025</t>
        </is>
      </c>
      <c r="B1213" s="1" t="n">
        <v>45874.70120370371</v>
      </c>
      <c r="C1213" s="1" t="n">
        <v>46181</v>
      </c>
      <c r="D1213" t="inlineStr">
        <is>
          <t>VÄSTERNORRLANDS LÄN</t>
        </is>
      </c>
      <c r="E1213" t="inlineStr">
        <is>
          <t>SUNDSVALL</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50799-2025</t>
        </is>
      </c>
      <c r="B1214" s="1" t="n">
        <v>45946.49013888889</v>
      </c>
      <c r="C1214" s="1" t="n">
        <v>46181</v>
      </c>
      <c r="D1214" t="inlineStr">
        <is>
          <t>VÄSTERNORRLANDS LÄN</t>
        </is>
      </c>
      <c r="E1214" t="inlineStr">
        <is>
          <t>SUNDSVALL</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50800-2025</t>
        </is>
      </c>
      <c r="B1215" s="1" t="n">
        <v>45946.49042824074</v>
      </c>
      <c r="C1215" s="1" t="n">
        <v>46181</v>
      </c>
      <c r="D1215" t="inlineStr">
        <is>
          <t>VÄSTERNORRLANDS LÄN</t>
        </is>
      </c>
      <c r="E1215" t="inlineStr">
        <is>
          <t>SUNDSVALL</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50828-2025</t>
        </is>
      </c>
      <c r="B1216" s="1" t="n">
        <v>45946.55261574074</v>
      </c>
      <c r="C1216" s="1" t="n">
        <v>46181</v>
      </c>
      <c r="D1216" t="inlineStr">
        <is>
          <t>VÄSTERNORRLANDS LÄN</t>
        </is>
      </c>
      <c r="E1216" t="inlineStr">
        <is>
          <t>SUNDSVALL</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50575-2025</t>
        </is>
      </c>
      <c r="B1217" s="1" t="n">
        <v>45945.57913194445</v>
      </c>
      <c r="C1217" s="1" t="n">
        <v>46181</v>
      </c>
      <c r="D1217" t="inlineStr">
        <is>
          <t>VÄSTERNORRLANDS LÄN</t>
        </is>
      </c>
      <c r="E1217" t="inlineStr">
        <is>
          <t>SUNDSVALL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50809-2025</t>
        </is>
      </c>
      <c r="B1218" s="1" t="n">
        <v>45946.51101851852</v>
      </c>
      <c r="C1218" s="1" t="n">
        <v>46181</v>
      </c>
      <c r="D1218" t="inlineStr">
        <is>
          <t>VÄSTERNORRLANDS LÄN</t>
        </is>
      </c>
      <c r="E1218" t="inlineStr">
        <is>
          <t>SUNDSVALL</t>
        </is>
      </c>
      <c r="F1218" t="inlineStr">
        <is>
          <t>SCA</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26436-2022</t>
        </is>
      </c>
      <c r="B1219" s="1" t="n">
        <v>44736.93907407407</v>
      </c>
      <c r="C1219" s="1" t="n">
        <v>46181</v>
      </c>
      <c r="D1219" t="inlineStr">
        <is>
          <t>VÄSTERNORRLANDS LÄN</t>
        </is>
      </c>
      <c r="E1219" t="inlineStr">
        <is>
          <t>SUNDSVALL</t>
        </is>
      </c>
      <c r="F1219" t="inlineStr">
        <is>
          <t>Naturvårdsverket</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50863-2025</t>
        </is>
      </c>
      <c r="B1220" s="1" t="n">
        <v>45946.59517361111</v>
      </c>
      <c r="C1220" s="1" t="n">
        <v>46181</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36972-2025</t>
        </is>
      </c>
      <c r="B1221" s="1" t="n">
        <v>45874.63732638889</v>
      </c>
      <c r="C1221" s="1" t="n">
        <v>46181</v>
      </c>
      <c r="D1221" t="inlineStr">
        <is>
          <t>VÄSTERNORRLANDS LÄN</t>
        </is>
      </c>
      <c r="E1221" t="inlineStr">
        <is>
          <t>SUNDSVALL</t>
        </is>
      </c>
      <c r="F1221" t="inlineStr">
        <is>
          <t>SCA</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50567-2025</t>
        </is>
      </c>
      <c r="B1222" s="1" t="n">
        <v>45945.5684375</v>
      </c>
      <c r="C1222" s="1" t="n">
        <v>46181</v>
      </c>
      <c r="D1222" t="inlineStr">
        <is>
          <t>VÄSTERNORRLANDS LÄN</t>
        </is>
      </c>
      <c r="E1222" t="inlineStr">
        <is>
          <t>SUNDSVALL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50569-2025</t>
        </is>
      </c>
      <c r="B1223" s="1" t="n">
        <v>45945.57335648148</v>
      </c>
      <c r="C1223" s="1" t="n">
        <v>46181</v>
      </c>
      <c r="D1223" t="inlineStr">
        <is>
          <t>VÄSTERNORRLANDS LÄN</t>
        </is>
      </c>
      <c r="E1223" t="inlineStr">
        <is>
          <t>SUNDSVALL</t>
        </is>
      </c>
      <c r="F1223" t="inlineStr">
        <is>
          <t>SCA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50576-2025</t>
        </is>
      </c>
      <c r="B1224" s="1" t="n">
        <v>45945.58091435185</v>
      </c>
      <c r="C1224" s="1" t="n">
        <v>46181</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50577-2025</t>
        </is>
      </c>
      <c r="B1225" s="1" t="n">
        <v>45945</v>
      </c>
      <c r="C1225" s="1" t="n">
        <v>46181</v>
      </c>
      <c r="D1225" t="inlineStr">
        <is>
          <t>VÄSTERNORRLANDS LÄN</t>
        </is>
      </c>
      <c r="E1225" t="inlineStr">
        <is>
          <t>SUNDSVALL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8456-2026</t>
        </is>
      </c>
      <c r="B1226" s="1" t="n">
        <v>46065.42681712963</v>
      </c>
      <c r="C1226" s="1" t="n">
        <v>46181</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8601-2026</t>
        </is>
      </c>
      <c r="B1227" s="1" t="n">
        <v>46065</v>
      </c>
      <c r="C1227" s="1" t="n">
        <v>46181</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37001-2025</t>
        </is>
      </c>
      <c r="B1228" s="1" t="n">
        <v>45874.68542824074</v>
      </c>
      <c r="C1228" s="1" t="n">
        <v>46181</v>
      </c>
      <c r="D1228" t="inlineStr">
        <is>
          <t>VÄSTERNORRLANDS LÄN</t>
        </is>
      </c>
      <c r="E1228" t="inlineStr">
        <is>
          <t>SUNDSVALL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6834-2026</t>
        </is>
      </c>
      <c r="B1229" s="1" t="n">
        <v>46057</v>
      </c>
      <c r="C1229" s="1" t="n">
        <v>46181</v>
      </c>
      <c r="D1229" t="inlineStr">
        <is>
          <t>VÄSTERNORRLANDS LÄN</t>
        </is>
      </c>
      <c r="E1229" t="inlineStr">
        <is>
          <t>SUNDSVALL</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50861-2025</t>
        </is>
      </c>
      <c r="B1230" s="1" t="n">
        <v>45946.59496527778</v>
      </c>
      <c r="C1230" s="1" t="n">
        <v>46181</v>
      </c>
      <c r="D1230" t="inlineStr">
        <is>
          <t>VÄSTERNORRLANDS LÄN</t>
        </is>
      </c>
      <c r="E1230" t="inlineStr">
        <is>
          <t>SUNDSVALL</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37003-2025</t>
        </is>
      </c>
      <c r="B1231" s="1" t="n">
        <v>45874.68918981482</v>
      </c>
      <c r="C1231" s="1" t="n">
        <v>46181</v>
      </c>
      <c r="D1231" t="inlineStr">
        <is>
          <t>VÄSTERNORRLANDS LÄN</t>
        </is>
      </c>
      <c r="E1231" t="inlineStr">
        <is>
          <t>SUNDSVALL</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50743-2025</t>
        </is>
      </c>
      <c r="B1232" s="1" t="n">
        <v>45946.38587962963</v>
      </c>
      <c r="C1232" s="1" t="n">
        <v>46181</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7089-2025</t>
        </is>
      </c>
      <c r="B1233" s="1" t="n">
        <v>45701.74523148148</v>
      </c>
      <c r="C1233" s="1" t="n">
        <v>46181</v>
      </c>
      <c r="D1233" t="inlineStr">
        <is>
          <t>VÄSTERNORRLANDS LÄN</t>
        </is>
      </c>
      <c r="E1233" t="inlineStr">
        <is>
          <t>SUNDSVALL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7090-2025</t>
        </is>
      </c>
      <c r="B1234" s="1" t="n">
        <v>45701.75070601852</v>
      </c>
      <c r="C1234" s="1" t="n">
        <v>46181</v>
      </c>
      <c r="D1234" t="inlineStr">
        <is>
          <t>VÄSTERNORRLANDS LÄN</t>
        </is>
      </c>
      <c r="E1234" t="inlineStr">
        <is>
          <t>SUNDSVALL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40050-2024</t>
        </is>
      </c>
      <c r="B1235" s="1" t="n">
        <v>45553.80729166666</v>
      </c>
      <c r="C1235" s="1" t="n">
        <v>46181</v>
      </c>
      <c r="D1235" t="inlineStr">
        <is>
          <t>VÄSTERNORRLANDS LÄN</t>
        </is>
      </c>
      <c r="E1235" t="inlineStr">
        <is>
          <t>SUNDSVALL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50457-2025</t>
        </is>
      </c>
      <c r="B1236" s="1" t="n">
        <v>45945</v>
      </c>
      <c r="C1236" s="1" t="n">
        <v>46181</v>
      </c>
      <c r="D1236" t="inlineStr">
        <is>
          <t>VÄSTERNORRLANDS LÄN</t>
        </is>
      </c>
      <c r="E1236" t="inlineStr">
        <is>
          <t>SUNDSVALL</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50926-2025</t>
        </is>
      </c>
      <c r="B1237" s="1" t="n">
        <v>45946.67871527778</v>
      </c>
      <c r="C1237" s="1" t="n">
        <v>46181</v>
      </c>
      <c r="D1237" t="inlineStr">
        <is>
          <t>VÄSTERNORRLANDS LÄN</t>
        </is>
      </c>
      <c r="E1237" t="inlineStr">
        <is>
          <t>SUNDSVALL</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36772-2025</t>
        </is>
      </c>
      <c r="B1238" s="1" t="n">
        <v>45873</v>
      </c>
      <c r="C1238" s="1" t="n">
        <v>46181</v>
      </c>
      <c r="D1238" t="inlineStr">
        <is>
          <t>VÄSTERNORRLANDS LÄN</t>
        </is>
      </c>
      <c r="E1238" t="inlineStr">
        <is>
          <t>SUNDSVALL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50935-2025</t>
        </is>
      </c>
      <c r="B1239" s="1" t="n">
        <v>45946.69409722222</v>
      </c>
      <c r="C1239" s="1" t="n">
        <v>46181</v>
      </c>
      <c r="D1239" t="inlineStr">
        <is>
          <t>VÄSTERNORRLANDS LÄN</t>
        </is>
      </c>
      <c r="E1239" t="inlineStr">
        <is>
          <t>SUNDSVALL</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50512-2025</t>
        </is>
      </c>
      <c r="B1240" s="1" t="n">
        <v>45945.44846064815</v>
      </c>
      <c r="C1240" s="1" t="n">
        <v>46181</v>
      </c>
      <c r="D1240" t="inlineStr">
        <is>
          <t>VÄSTERNORRLANDS LÄN</t>
        </is>
      </c>
      <c r="E1240" t="inlineStr">
        <is>
          <t>SUNDSVALL</t>
        </is>
      </c>
      <c r="F1240" t="inlineStr">
        <is>
          <t>SCA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62302-2023</t>
        </is>
      </c>
      <c r="B1241" s="1" t="n">
        <v>45266</v>
      </c>
      <c r="C1241" s="1" t="n">
        <v>46181</v>
      </c>
      <c r="D1241" t="inlineStr">
        <is>
          <t>VÄSTERNORRLANDS LÄN</t>
        </is>
      </c>
      <c r="E1241" t="inlineStr">
        <is>
          <t>SUNDSVALL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37113-2025</t>
        </is>
      </c>
      <c r="B1242" s="1" t="n">
        <v>45875.51104166666</v>
      </c>
      <c r="C1242" s="1" t="n">
        <v>46181</v>
      </c>
      <c r="D1242" t="inlineStr">
        <is>
          <t>VÄSTERNORRLANDS LÄN</t>
        </is>
      </c>
      <c r="E1242" t="inlineStr">
        <is>
          <t>SUNDSVALL</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17436-2023</t>
        </is>
      </c>
      <c r="B1243" s="1" t="n">
        <v>45035.92699074074</v>
      </c>
      <c r="C1243" s="1" t="n">
        <v>46181</v>
      </c>
      <c r="D1243" t="inlineStr">
        <is>
          <t>VÄSTERNORRLANDS LÄN</t>
        </is>
      </c>
      <c r="E1243" t="inlineStr">
        <is>
          <t>SUNDSVALL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51239-2025</t>
        </is>
      </c>
      <c r="B1244" s="1" t="n">
        <v>45947.69834490741</v>
      </c>
      <c r="C1244" s="1" t="n">
        <v>46181</v>
      </c>
      <c r="D1244" t="inlineStr">
        <is>
          <t>VÄSTERNORRLANDS LÄN</t>
        </is>
      </c>
      <c r="E1244" t="inlineStr">
        <is>
          <t>SUNDSVALL</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37329-2025</t>
        </is>
      </c>
      <c r="B1245" s="1" t="n">
        <v>45876</v>
      </c>
      <c r="C1245" s="1" t="n">
        <v>46181</v>
      </c>
      <c r="D1245" t="inlineStr">
        <is>
          <t>VÄSTERNORRLANDS LÄN</t>
        </is>
      </c>
      <c r="E1245" t="inlineStr">
        <is>
          <t>SUNDSVALL</t>
        </is>
      </c>
      <c r="F1245" t="inlineStr">
        <is>
          <t>SCA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57110-2024</t>
        </is>
      </c>
      <c r="B1246" s="1" t="n">
        <v>45629.36476851852</v>
      </c>
      <c r="C1246" s="1" t="n">
        <v>46181</v>
      </c>
      <c r="D1246" t="inlineStr">
        <is>
          <t>VÄSTERNORRLANDS LÄN</t>
        </is>
      </c>
      <c r="E1246" t="inlineStr">
        <is>
          <t>SUNDSVALL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37081-2025</t>
        </is>
      </c>
      <c r="B1247" s="1" t="n">
        <v>45875.43229166666</v>
      </c>
      <c r="C1247" s="1" t="n">
        <v>46181</v>
      </c>
      <c r="D1247" t="inlineStr">
        <is>
          <t>VÄSTERNORRLANDS LÄN</t>
        </is>
      </c>
      <c r="E1247" t="inlineStr">
        <is>
          <t>SUNDSVALL</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37114-2025</t>
        </is>
      </c>
      <c r="B1248" s="1" t="n">
        <v>45875.5112037037</v>
      </c>
      <c r="C1248" s="1" t="n">
        <v>46181</v>
      </c>
      <c r="D1248" t="inlineStr">
        <is>
          <t>VÄSTERNORRLANDS LÄN</t>
        </is>
      </c>
      <c r="E1248" t="inlineStr">
        <is>
          <t>SUNDSVALL</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37205-2025</t>
        </is>
      </c>
      <c r="B1249" s="1" t="n">
        <v>45875.69844907407</v>
      </c>
      <c r="C1249" s="1" t="n">
        <v>46181</v>
      </c>
      <c r="D1249" t="inlineStr">
        <is>
          <t>VÄSTERNORRLANDS LÄN</t>
        </is>
      </c>
      <c r="E1249" t="inlineStr">
        <is>
          <t>SUNDSVALL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36971-2025</t>
        </is>
      </c>
      <c r="B1250" s="1" t="n">
        <v>45874.6371875</v>
      </c>
      <c r="C1250" s="1" t="n">
        <v>46181</v>
      </c>
      <c r="D1250" t="inlineStr">
        <is>
          <t>VÄSTERNORRLANDS LÄN</t>
        </is>
      </c>
      <c r="E1250" t="inlineStr">
        <is>
          <t>SUNDSVALL</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51409-2025</t>
        </is>
      </c>
      <c r="B1251" s="1" t="n">
        <v>45950.49034722222</v>
      </c>
      <c r="C1251" s="1" t="n">
        <v>46181</v>
      </c>
      <c r="D1251" t="inlineStr">
        <is>
          <t>VÄSTERNORRLANDS LÄN</t>
        </is>
      </c>
      <c r="E1251" t="inlineStr">
        <is>
          <t>SUNDSVALL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37080-2025</t>
        </is>
      </c>
      <c r="B1252" s="1" t="n">
        <v>45875.42811342593</v>
      </c>
      <c r="C1252" s="1" t="n">
        <v>46181</v>
      </c>
      <c r="D1252" t="inlineStr">
        <is>
          <t>VÄSTERNORRLANDS LÄN</t>
        </is>
      </c>
      <c r="E1252" t="inlineStr">
        <is>
          <t>SUNDSVALL</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37165-2025</t>
        </is>
      </c>
      <c r="B1253" s="1" t="n">
        <v>45875.60496527778</v>
      </c>
      <c r="C1253" s="1" t="n">
        <v>46181</v>
      </c>
      <c r="D1253" t="inlineStr">
        <is>
          <t>VÄSTERNORRLANDS LÄN</t>
        </is>
      </c>
      <c r="E1253" t="inlineStr">
        <is>
          <t>SUNDSVALL</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51018-2025</t>
        </is>
      </c>
      <c r="B1254" s="1" t="n">
        <v>45947.38604166666</v>
      </c>
      <c r="C1254" s="1" t="n">
        <v>46181</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8962-2024</t>
        </is>
      </c>
      <c r="B1255" s="1" t="n">
        <v>45357.46949074074</v>
      </c>
      <c r="C1255" s="1" t="n">
        <v>46181</v>
      </c>
      <c r="D1255" t="inlineStr">
        <is>
          <t>VÄSTERNORRLANDS LÄN</t>
        </is>
      </c>
      <c r="E1255" t="inlineStr">
        <is>
          <t>SUNDSVALL</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8996-2026</t>
        </is>
      </c>
      <c r="B1256" s="1" t="n">
        <v>46069</v>
      </c>
      <c r="C1256" s="1" t="n">
        <v>46181</v>
      </c>
      <c r="D1256" t="inlineStr">
        <is>
          <t>VÄSTERNORRLANDS LÄN</t>
        </is>
      </c>
      <c r="E1256" t="inlineStr">
        <is>
          <t>SUNDSVALL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26084-2024</t>
        </is>
      </c>
      <c r="B1257" s="1" t="n">
        <v>45468</v>
      </c>
      <c r="C1257" s="1" t="n">
        <v>46181</v>
      </c>
      <c r="D1257" t="inlineStr">
        <is>
          <t>VÄSTERNORRLANDS LÄN</t>
        </is>
      </c>
      <c r="E1257" t="inlineStr">
        <is>
          <t>SUNDSVALL</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37577-2025</t>
        </is>
      </c>
      <c r="B1258" s="1" t="n">
        <v>45880.38368055555</v>
      </c>
      <c r="C1258" s="1" t="n">
        <v>46181</v>
      </c>
      <c r="D1258" t="inlineStr">
        <is>
          <t>VÄSTERNORRLANDS LÄN</t>
        </is>
      </c>
      <c r="E1258" t="inlineStr">
        <is>
          <t>SUNDSVALL</t>
        </is>
      </c>
      <c r="F1258" t="inlineStr">
        <is>
          <t>Holmen skog AB</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37598-2025</t>
        </is>
      </c>
      <c r="B1259" s="1" t="n">
        <v>45880.41893518518</v>
      </c>
      <c r="C1259" s="1" t="n">
        <v>46181</v>
      </c>
      <c r="D1259" t="inlineStr">
        <is>
          <t>VÄSTERNORRLANDS LÄN</t>
        </is>
      </c>
      <c r="E1259" t="inlineStr">
        <is>
          <t>SUNDSVALL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25153-2025</t>
        </is>
      </c>
      <c r="B1260" s="1" t="n">
        <v>45800.42759259259</v>
      </c>
      <c r="C1260" s="1" t="n">
        <v>46181</v>
      </c>
      <c r="D1260" t="inlineStr">
        <is>
          <t>VÄSTERNORRLANDS LÄN</t>
        </is>
      </c>
      <c r="E1260" t="inlineStr">
        <is>
          <t>SUNDSVALL</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9274-2026</t>
        </is>
      </c>
      <c r="B1261" s="1" t="n">
        <v>46070.56462962963</v>
      </c>
      <c r="C1261" s="1" t="n">
        <v>46181</v>
      </c>
      <c r="D1261" t="inlineStr">
        <is>
          <t>VÄSTERNORRLANDS LÄN</t>
        </is>
      </c>
      <c r="E1261" t="inlineStr">
        <is>
          <t>SUNDSVALL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37588-2025</t>
        </is>
      </c>
      <c r="B1262" s="1" t="n">
        <v>45880.40707175926</v>
      </c>
      <c r="C1262" s="1" t="n">
        <v>46181</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51112-2025</t>
        </is>
      </c>
      <c r="B1263" s="1" t="n">
        <v>45947.51068287037</v>
      </c>
      <c r="C1263" s="1" t="n">
        <v>46181</v>
      </c>
      <c r="D1263" t="inlineStr">
        <is>
          <t>VÄSTERNORRLANDS LÄN</t>
        </is>
      </c>
      <c r="E1263" t="inlineStr">
        <is>
          <t>SUNDSVALL</t>
        </is>
      </c>
      <c r="F1263" t="inlineStr">
        <is>
          <t>Holmen skog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37597-2025</t>
        </is>
      </c>
      <c r="B1264" s="1" t="n">
        <v>45880.41709490741</v>
      </c>
      <c r="C1264" s="1" t="n">
        <v>46181</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51378-2025</t>
        </is>
      </c>
      <c r="B1265" s="1" t="n">
        <v>45950.45506944445</v>
      </c>
      <c r="C1265" s="1" t="n">
        <v>46181</v>
      </c>
      <c r="D1265" t="inlineStr">
        <is>
          <t>VÄSTERNORRLANDS LÄN</t>
        </is>
      </c>
      <c r="E1265" t="inlineStr">
        <is>
          <t>SUNDSVALL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19805-2025</t>
        </is>
      </c>
      <c r="B1266" s="1" t="n">
        <v>45771</v>
      </c>
      <c r="C1266" s="1" t="n">
        <v>46181</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37567-2025</t>
        </is>
      </c>
      <c r="B1267" s="1" t="n">
        <v>45880</v>
      </c>
      <c r="C1267" s="1" t="n">
        <v>46181</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51714-2025</t>
        </is>
      </c>
      <c r="B1268" s="1" t="n">
        <v>45950</v>
      </c>
      <c r="C1268" s="1" t="n">
        <v>46181</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28449-2022</t>
        </is>
      </c>
      <c r="B1269" s="1" t="n">
        <v>44747.68142361111</v>
      </c>
      <c r="C1269" s="1" t="n">
        <v>46181</v>
      </c>
      <c r="D1269" t="inlineStr">
        <is>
          <t>VÄSTERNORRLANDS LÄN</t>
        </is>
      </c>
      <c r="E1269" t="inlineStr">
        <is>
          <t>SUNDSVALL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11764-2025</t>
        </is>
      </c>
      <c r="B1270" s="1" t="n">
        <v>45727.65665509259</v>
      </c>
      <c r="C1270" s="1" t="n">
        <v>46181</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37896-2025</t>
        </is>
      </c>
      <c r="B1271" s="1" t="n">
        <v>45881.55258101852</v>
      </c>
      <c r="C1271" s="1" t="n">
        <v>46181</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37933-2025</t>
        </is>
      </c>
      <c r="B1272" s="1" t="n">
        <v>45881.59413194445</v>
      </c>
      <c r="C1272" s="1" t="n">
        <v>46181</v>
      </c>
      <c r="D1272" t="inlineStr">
        <is>
          <t>VÄSTERNORRLANDS LÄN</t>
        </is>
      </c>
      <c r="E1272" t="inlineStr">
        <is>
          <t>SUNDSVALL</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51846-2025</t>
        </is>
      </c>
      <c r="B1273" s="1" t="n">
        <v>45952.34964120371</v>
      </c>
      <c r="C1273" s="1" t="n">
        <v>46181</v>
      </c>
      <c r="D1273" t="inlineStr">
        <is>
          <t>VÄSTERNORRLANDS LÄN</t>
        </is>
      </c>
      <c r="E1273" t="inlineStr">
        <is>
          <t>SUNDSVALL</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51731-2025</t>
        </is>
      </c>
      <c r="B1274" s="1" t="n">
        <v>45951.59444444445</v>
      </c>
      <c r="C1274" s="1" t="n">
        <v>46181</v>
      </c>
      <c r="D1274" t="inlineStr">
        <is>
          <t>VÄSTERNORRLANDS LÄN</t>
        </is>
      </c>
      <c r="E1274" t="inlineStr">
        <is>
          <t>SUNDSVALL</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51583-2025</t>
        </is>
      </c>
      <c r="B1275" s="1" t="n">
        <v>45951.34568287037</v>
      </c>
      <c r="C1275" s="1" t="n">
        <v>46181</v>
      </c>
      <c r="D1275" t="inlineStr">
        <is>
          <t>VÄSTERNORRLANDS LÄN</t>
        </is>
      </c>
      <c r="E1275" t="inlineStr">
        <is>
          <t>SUNDSVALL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38621-2025</t>
        </is>
      </c>
      <c r="B1276" s="1" t="n">
        <v>45884.55306712963</v>
      </c>
      <c r="C1276" s="1" t="n">
        <v>46181</v>
      </c>
      <c r="D1276" t="inlineStr">
        <is>
          <t>VÄSTERNORRLANDS LÄN</t>
        </is>
      </c>
      <c r="E1276" t="inlineStr">
        <is>
          <t>SUNDSVALL</t>
        </is>
      </c>
      <c r="F1276" t="inlineStr">
        <is>
          <t>Naturvårdsverket</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51861-2025</t>
        </is>
      </c>
      <c r="B1277" s="1" t="n">
        <v>45952.36784722222</v>
      </c>
      <c r="C1277" s="1" t="n">
        <v>46181</v>
      </c>
      <c r="D1277" t="inlineStr">
        <is>
          <t>VÄSTERNORRLANDS LÄN</t>
        </is>
      </c>
      <c r="E1277" t="inlineStr">
        <is>
          <t>SUNDSVALL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35682-2023</t>
        </is>
      </c>
      <c r="B1278" s="1" t="n">
        <v>45147</v>
      </c>
      <c r="C1278" s="1" t="n">
        <v>46181</v>
      </c>
      <c r="D1278" t="inlineStr">
        <is>
          <t>VÄSTERNORRLANDS LÄN</t>
        </is>
      </c>
      <c r="E1278" t="inlineStr">
        <is>
          <t>SUNDSVALL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65188-2023</t>
        </is>
      </c>
      <c r="B1279" s="1" t="n">
        <v>45288</v>
      </c>
      <c r="C1279" s="1" t="n">
        <v>46181</v>
      </c>
      <c r="D1279" t="inlineStr">
        <is>
          <t>VÄSTERNORRLANDS LÄN</t>
        </is>
      </c>
      <c r="E1279" t="inlineStr">
        <is>
          <t>SUNDSVALL</t>
        </is>
      </c>
      <c r="F1279" t="inlineStr">
        <is>
          <t>SCA</t>
        </is>
      </c>
      <c r="G1279" t="n">
        <v>16.9</v>
      </c>
      <c r="H1279" t="n">
        <v>0</v>
      </c>
      <c r="I1279" t="n">
        <v>0</v>
      </c>
      <c r="J1279" t="n">
        <v>0</v>
      </c>
      <c r="K1279" t="n">
        <v>0</v>
      </c>
      <c r="L1279" t="n">
        <v>0</v>
      </c>
      <c r="M1279" t="n">
        <v>0</v>
      </c>
      <c r="N1279" t="n">
        <v>0</v>
      </c>
      <c r="O1279" t="n">
        <v>0</v>
      </c>
      <c r="P1279" t="n">
        <v>0</v>
      </c>
      <c r="Q1279" t="n">
        <v>0</v>
      </c>
      <c r="R1279" s="2" t="inlineStr"/>
    </row>
    <row r="1280" ht="15" customHeight="1">
      <c r="A1280" t="inlineStr">
        <is>
          <t>A 9579-2026</t>
        </is>
      </c>
      <c r="B1280" s="1" t="n">
        <v>46071.67767361111</v>
      </c>
      <c r="C1280" s="1" t="n">
        <v>46181</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51814-2025</t>
        </is>
      </c>
      <c r="B1281" s="1" t="n">
        <v>45951.83572916667</v>
      </c>
      <c r="C1281" s="1" t="n">
        <v>46181</v>
      </c>
      <c r="D1281" t="inlineStr">
        <is>
          <t>VÄSTERNORRLANDS LÄN</t>
        </is>
      </c>
      <c r="E1281" t="inlineStr">
        <is>
          <t>SUNDSVALL</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9759-2026</t>
        </is>
      </c>
      <c r="B1282" s="1" t="n">
        <v>46072.55251157407</v>
      </c>
      <c r="C1282" s="1" t="n">
        <v>46181</v>
      </c>
      <c r="D1282" t="inlineStr">
        <is>
          <t>VÄSTERNORRLANDS LÄN</t>
        </is>
      </c>
      <c r="E1282" t="inlineStr">
        <is>
          <t>SUNDSVALL</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38675-2025</t>
        </is>
      </c>
      <c r="B1283" s="1" t="n">
        <v>45884.63487268519</v>
      </c>
      <c r="C1283" s="1" t="n">
        <v>46181</v>
      </c>
      <c r="D1283" t="inlineStr">
        <is>
          <t>VÄSTERNORRLANDS LÄN</t>
        </is>
      </c>
      <c r="E1283" t="inlineStr">
        <is>
          <t>SUNDSVALL</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38354-2025</t>
        </is>
      </c>
      <c r="B1284" s="1" t="n">
        <v>45883.53215277778</v>
      </c>
      <c r="C1284" s="1" t="n">
        <v>46181</v>
      </c>
      <c r="D1284" t="inlineStr">
        <is>
          <t>VÄSTERNORRLANDS LÄN</t>
        </is>
      </c>
      <c r="E1284" t="inlineStr">
        <is>
          <t>SUNDSVALL</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38450-2025</t>
        </is>
      </c>
      <c r="B1285" s="1" t="n">
        <v>45883.6778587963</v>
      </c>
      <c r="C1285" s="1" t="n">
        <v>46181</v>
      </c>
      <c r="D1285" t="inlineStr">
        <is>
          <t>VÄSTERNORRLANDS LÄN</t>
        </is>
      </c>
      <c r="E1285" t="inlineStr">
        <is>
          <t>SUNDSVALL</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38483-2025</t>
        </is>
      </c>
      <c r="B1286" s="1" t="n">
        <v>45884.33432870371</v>
      </c>
      <c r="C1286" s="1" t="n">
        <v>46181</v>
      </c>
      <c r="D1286" t="inlineStr">
        <is>
          <t>VÄSTERNORRLANDS LÄN</t>
        </is>
      </c>
      <c r="E1286" t="inlineStr">
        <is>
          <t>SUNDSVALL</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9490-2026</t>
        </is>
      </c>
      <c r="B1287" s="1" t="n">
        <v>46071.55266203704</v>
      </c>
      <c r="C1287" s="1" t="n">
        <v>46181</v>
      </c>
      <c r="D1287" t="inlineStr">
        <is>
          <t>VÄSTERNORRLANDS LÄN</t>
        </is>
      </c>
      <c r="E1287" t="inlineStr">
        <is>
          <t>SUNDSVALL</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51578-2025</t>
        </is>
      </c>
      <c r="B1288" s="1" t="n">
        <v>45951.34520833333</v>
      </c>
      <c r="C1288" s="1" t="n">
        <v>46181</v>
      </c>
      <c r="D1288" t="inlineStr">
        <is>
          <t>VÄSTERNORRLANDS LÄN</t>
        </is>
      </c>
      <c r="E1288" t="inlineStr">
        <is>
          <t>SUNDSVALL</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51581-2025</t>
        </is>
      </c>
      <c r="B1289" s="1" t="n">
        <v>45951.34552083333</v>
      </c>
      <c r="C1289" s="1" t="n">
        <v>46181</v>
      </c>
      <c r="D1289" t="inlineStr">
        <is>
          <t>VÄSTERNORRLANDS LÄN</t>
        </is>
      </c>
      <c r="E1289" t="inlineStr">
        <is>
          <t>SUNDSVALL</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29584-2021</t>
        </is>
      </c>
      <c r="B1290" s="1" t="n">
        <v>44361</v>
      </c>
      <c r="C1290" s="1" t="n">
        <v>46181</v>
      </c>
      <c r="D1290" t="inlineStr">
        <is>
          <t>VÄSTERNORRLANDS LÄN</t>
        </is>
      </c>
      <c r="E1290" t="inlineStr">
        <is>
          <t>SUNDSVALL</t>
        </is>
      </c>
      <c r="G1290" t="n">
        <v>14.6</v>
      </c>
      <c r="H1290" t="n">
        <v>0</v>
      </c>
      <c r="I1290" t="n">
        <v>0</v>
      </c>
      <c r="J1290" t="n">
        <v>0</v>
      </c>
      <c r="K1290" t="n">
        <v>0</v>
      </c>
      <c r="L1290" t="n">
        <v>0</v>
      </c>
      <c r="M1290" t="n">
        <v>0</v>
      </c>
      <c r="N1290" t="n">
        <v>0</v>
      </c>
      <c r="O1290" t="n">
        <v>0</v>
      </c>
      <c r="P1290" t="n">
        <v>0</v>
      </c>
      <c r="Q1290" t="n">
        <v>0</v>
      </c>
      <c r="R1290" s="2" t="inlineStr"/>
    </row>
    <row r="1291" ht="15" customHeight="1">
      <c r="A1291" t="inlineStr">
        <is>
          <t>A 52148-2025</t>
        </is>
      </c>
      <c r="B1291" s="1" t="n">
        <v>45953.34452546296</v>
      </c>
      <c r="C1291" s="1" t="n">
        <v>46181</v>
      </c>
      <c r="D1291" t="inlineStr">
        <is>
          <t>VÄSTERNORRLANDS LÄN</t>
        </is>
      </c>
      <c r="E1291" t="inlineStr">
        <is>
          <t>SUNDSVALL</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52149-2025</t>
        </is>
      </c>
      <c r="B1292" s="1" t="n">
        <v>45953.34471064815</v>
      </c>
      <c r="C1292" s="1" t="n">
        <v>46181</v>
      </c>
      <c r="D1292" t="inlineStr">
        <is>
          <t>VÄSTERNORRLANDS LÄN</t>
        </is>
      </c>
      <c r="E1292" t="inlineStr">
        <is>
          <t>SUNDSVALL</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52616-2025</t>
        </is>
      </c>
      <c r="B1293" s="1" t="n">
        <v>45954.67804398148</v>
      </c>
      <c r="C1293" s="1" t="n">
        <v>46181</v>
      </c>
      <c r="D1293" t="inlineStr">
        <is>
          <t>VÄSTERNORRLANDS LÄN</t>
        </is>
      </c>
      <c r="E1293" t="inlineStr">
        <is>
          <t>SUNDSVALL</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38272-2025</t>
        </is>
      </c>
      <c r="B1294" s="1" t="n">
        <v>45883.40728009259</v>
      </c>
      <c r="C1294" s="1" t="n">
        <v>46181</v>
      </c>
      <c r="D1294" t="inlineStr">
        <is>
          <t>VÄSTERNORRLANDS LÄN</t>
        </is>
      </c>
      <c r="E1294" t="inlineStr">
        <is>
          <t>SUNDSVALL</t>
        </is>
      </c>
      <c r="F1294" t="inlineStr">
        <is>
          <t>SCA</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17166-2025</t>
        </is>
      </c>
      <c r="B1295" s="1" t="n">
        <v>45756.36495370371</v>
      </c>
      <c r="C1295" s="1" t="n">
        <v>46181</v>
      </c>
      <c r="D1295" t="inlineStr">
        <is>
          <t>VÄSTERNORRLANDS LÄN</t>
        </is>
      </c>
      <c r="E1295" t="inlineStr">
        <is>
          <t>SUNDSVALL</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10088-2026</t>
        </is>
      </c>
      <c r="B1296" s="1" t="n">
        <v>46073.69837962963</v>
      </c>
      <c r="C1296" s="1" t="n">
        <v>46181</v>
      </c>
      <c r="D1296" t="inlineStr">
        <is>
          <t>VÄSTERNORRLANDS LÄN</t>
        </is>
      </c>
      <c r="E1296" t="inlineStr">
        <is>
          <t>SUNDSVALL</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52282-2025</t>
        </is>
      </c>
      <c r="B1297" s="1" t="n">
        <v>45953.57335648148</v>
      </c>
      <c r="C1297" s="1" t="n">
        <v>46181</v>
      </c>
      <c r="D1297" t="inlineStr">
        <is>
          <t>VÄSTERNORRLANDS LÄN</t>
        </is>
      </c>
      <c r="E1297" t="inlineStr">
        <is>
          <t>SUNDSVALL</t>
        </is>
      </c>
      <c r="F1297" t="inlineStr">
        <is>
          <t>SCA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52636-2025</t>
        </is>
      </c>
      <c r="B1298" s="1" t="n">
        <v>45954.74804398148</v>
      </c>
      <c r="C1298" s="1" t="n">
        <v>46181</v>
      </c>
      <c r="D1298" t="inlineStr">
        <is>
          <t>VÄSTERNORRLANDS LÄN</t>
        </is>
      </c>
      <c r="E1298" t="inlineStr">
        <is>
          <t>SUNDSVALL</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52615-2025</t>
        </is>
      </c>
      <c r="B1299" s="1" t="n">
        <v>45954.6778125</v>
      </c>
      <c r="C1299" s="1" t="n">
        <v>46181</v>
      </c>
      <c r="D1299" t="inlineStr">
        <is>
          <t>VÄSTERNORRLANDS LÄN</t>
        </is>
      </c>
      <c r="E1299" t="inlineStr">
        <is>
          <t>SUNDSVALL</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53105-2025</t>
        </is>
      </c>
      <c r="B1300" s="1" t="n">
        <v>45958.4336574074</v>
      </c>
      <c r="C1300" s="1" t="n">
        <v>46181</v>
      </c>
      <c r="D1300" t="inlineStr">
        <is>
          <t>VÄSTERNORRLANDS LÄN</t>
        </is>
      </c>
      <c r="E1300" t="inlineStr">
        <is>
          <t>SUNDSVALL</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9985-2026</t>
        </is>
      </c>
      <c r="B1301" s="1" t="n">
        <v>46073.5425</v>
      </c>
      <c r="C1301" s="1" t="n">
        <v>46181</v>
      </c>
      <c r="D1301" t="inlineStr">
        <is>
          <t>VÄSTERNORRLANDS LÄN</t>
        </is>
      </c>
      <c r="E1301" t="inlineStr">
        <is>
          <t>SUNDSVALL</t>
        </is>
      </c>
      <c r="F1301" t="inlineStr">
        <is>
          <t>Kyrkan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17377-2024</t>
        </is>
      </c>
      <c r="B1302" s="1" t="n">
        <v>45414</v>
      </c>
      <c r="C1302" s="1" t="n">
        <v>46181</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112-2025</t>
        </is>
      </c>
      <c r="B1303" s="1" t="n">
        <v>45659</v>
      </c>
      <c r="C1303" s="1" t="n">
        <v>46181</v>
      </c>
      <c r="D1303" t="inlineStr">
        <is>
          <t>VÄSTERNORRLANDS LÄN</t>
        </is>
      </c>
      <c r="E1303" t="inlineStr">
        <is>
          <t>SUNDSVALL</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9932-2026</t>
        </is>
      </c>
      <c r="B1304" s="1" t="n">
        <v>46073.45615740741</v>
      </c>
      <c r="C1304" s="1" t="n">
        <v>46181</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9918-2026</t>
        </is>
      </c>
      <c r="B1305" s="1" t="n">
        <v>46073.43922453704</v>
      </c>
      <c r="C1305" s="1" t="n">
        <v>46181</v>
      </c>
      <c r="D1305" t="inlineStr">
        <is>
          <t>VÄSTERNORRLANDS LÄN</t>
        </is>
      </c>
      <c r="E1305" t="inlineStr">
        <is>
          <t>SUNDSVALL</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57519-2024</t>
        </is>
      </c>
      <c r="B1306" s="1" t="n">
        <v>45630.40659722222</v>
      </c>
      <c r="C1306" s="1" t="n">
        <v>46181</v>
      </c>
      <c r="D1306" t="inlineStr">
        <is>
          <t>VÄSTERNORRLANDS LÄN</t>
        </is>
      </c>
      <c r="E1306" t="inlineStr">
        <is>
          <t>SUNDSVALL</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53251-2025</t>
        </is>
      </c>
      <c r="B1307" s="1" t="n">
        <v>45958.66457175926</v>
      </c>
      <c r="C1307" s="1" t="n">
        <v>46181</v>
      </c>
      <c r="D1307" t="inlineStr">
        <is>
          <t>VÄSTERNORRLANDS LÄN</t>
        </is>
      </c>
      <c r="E1307" t="inlineStr">
        <is>
          <t>SUNDSVALL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10042-2026</t>
        </is>
      </c>
      <c r="B1308" s="1" t="n">
        <v>46073.59899305556</v>
      </c>
      <c r="C1308" s="1" t="n">
        <v>46181</v>
      </c>
      <c r="D1308" t="inlineStr">
        <is>
          <t>VÄSTERNORRLANDS LÄN</t>
        </is>
      </c>
      <c r="E1308" t="inlineStr">
        <is>
          <t>SUNDSVALL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52923-2025</t>
        </is>
      </c>
      <c r="B1309" s="1" t="n">
        <v>45957.61545138889</v>
      </c>
      <c r="C1309" s="1" t="n">
        <v>46181</v>
      </c>
      <c r="D1309" t="inlineStr">
        <is>
          <t>VÄSTERNORRLANDS LÄN</t>
        </is>
      </c>
      <c r="E1309" t="inlineStr">
        <is>
          <t>SUNDSVALL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53254-2025</t>
        </is>
      </c>
      <c r="B1310" s="1" t="n">
        <v>45958.66876157407</v>
      </c>
      <c r="C1310" s="1" t="n">
        <v>46181</v>
      </c>
      <c r="D1310" t="inlineStr">
        <is>
          <t>VÄSTERNORRLANDS LÄN</t>
        </is>
      </c>
      <c r="E1310" t="inlineStr">
        <is>
          <t>SUNDSVALL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16568-2023</t>
        </is>
      </c>
      <c r="B1311" s="1" t="n">
        <v>45029.94200231481</v>
      </c>
      <c r="C1311" s="1" t="n">
        <v>46181</v>
      </c>
      <c r="D1311" t="inlineStr">
        <is>
          <t>VÄSTERNORRLANDS LÄN</t>
        </is>
      </c>
      <c r="E1311" t="inlineStr">
        <is>
          <t>SUNDSVALL</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10691-2026</t>
        </is>
      </c>
      <c r="B1312" s="1" t="n">
        <v>46078</v>
      </c>
      <c r="C1312" s="1" t="n">
        <v>46181</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10969-2026</t>
        </is>
      </c>
      <c r="B1313" s="1" t="n">
        <v>46079.44508101852</v>
      </c>
      <c r="C1313" s="1" t="n">
        <v>46181</v>
      </c>
      <c r="D1313" t="inlineStr">
        <is>
          <t>VÄSTERNORRLANDS LÄN</t>
        </is>
      </c>
      <c r="E1313" t="inlineStr">
        <is>
          <t>SUNDSVALL</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10971-2026</t>
        </is>
      </c>
      <c r="B1314" s="1" t="n">
        <v>46079.45012731481</v>
      </c>
      <c r="C1314" s="1" t="n">
        <v>46181</v>
      </c>
      <c r="D1314" t="inlineStr">
        <is>
          <t>VÄSTERNORRLANDS LÄN</t>
        </is>
      </c>
      <c r="E1314" t="inlineStr">
        <is>
          <t>SUNDSVALL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10926-2026</t>
        </is>
      </c>
      <c r="B1315" s="1" t="n">
        <v>46079</v>
      </c>
      <c r="C1315" s="1" t="n">
        <v>46181</v>
      </c>
      <c r="D1315" t="inlineStr">
        <is>
          <t>VÄSTERNORRLANDS LÄN</t>
        </is>
      </c>
      <c r="E1315" t="inlineStr">
        <is>
          <t>SUNDSVALL</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10937-2026</t>
        </is>
      </c>
      <c r="B1316" s="1" t="n">
        <v>46079.368125</v>
      </c>
      <c r="C1316" s="1" t="n">
        <v>46181</v>
      </c>
      <c r="D1316" t="inlineStr">
        <is>
          <t>VÄSTERNORRLANDS LÄN</t>
        </is>
      </c>
      <c r="E1316" t="inlineStr">
        <is>
          <t>SUNDSVALL</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15133-2025</t>
        </is>
      </c>
      <c r="B1317" s="1" t="n">
        <v>45744.38577546296</v>
      </c>
      <c r="C1317" s="1" t="n">
        <v>46181</v>
      </c>
      <c r="D1317" t="inlineStr">
        <is>
          <t>VÄSTERNORRLANDS LÄN</t>
        </is>
      </c>
      <c r="E1317" t="inlineStr">
        <is>
          <t>SUNDSVALL</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15135-2025</t>
        </is>
      </c>
      <c r="B1318" s="1" t="n">
        <v>45744</v>
      </c>
      <c r="C1318" s="1" t="n">
        <v>46181</v>
      </c>
      <c r="D1318" t="inlineStr">
        <is>
          <t>VÄSTERNORRLANDS LÄN</t>
        </is>
      </c>
      <c r="E1318" t="inlineStr">
        <is>
          <t>SUNDSVALL</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10719-2026</t>
        </is>
      </c>
      <c r="B1319" s="1" t="n">
        <v>46078.46847222222</v>
      </c>
      <c r="C1319" s="1" t="n">
        <v>46181</v>
      </c>
      <c r="D1319" t="inlineStr">
        <is>
          <t>VÄSTERNORRLANDS LÄN</t>
        </is>
      </c>
      <c r="E1319" t="inlineStr">
        <is>
          <t>SUNDSVALL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10962-2026</t>
        </is>
      </c>
      <c r="B1320" s="1" t="n">
        <v>46079.42851851852</v>
      </c>
      <c r="C1320" s="1" t="n">
        <v>46181</v>
      </c>
      <c r="D1320" t="inlineStr">
        <is>
          <t>VÄSTERNORRLANDS LÄN</t>
        </is>
      </c>
      <c r="E1320" t="inlineStr">
        <is>
          <t>SUNDSVALL</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10959-2026</t>
        </is>
      </c>
      <c r="B1321" s="1" t="n">
        <v>46079.41228009259</v>
      </c>
      <c r="C1321" s="1" t="n">
        <v>46181</v>
      </c>
      <c r="D1321" t="inlineStr">
        <is>
          <t>VÄSTERNORRLANDS LÄN</t>
        </is>
      </c>
      <c r="E1321" t="inlineStr">
        <is>
          <t>SUNDSVALL</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11051-2026</t>
        </is>
      </c>
      <c r="B1322" s="1" t="n">
        <v>46079.59100694444</v>
      </c>
      <c r="C1322" s="1" t="n">
        <v>46181</v>
      </c>
      <c r="D1322" t="inlineStr">
        <is>
          <t>VÄSTERNORRLANDS LÄN</t>
        </is>
      </c>
      <c r="E1322" t="inlineStr">
        <is>
          <t>SUNDSVALL</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53034-2025</t>
        </is>
      </c>
      <c r="B1323" s="1" t="n">
        <v>45958</v>
      </c>
      <c r="C1323" s="1" t="n">
        <v>46181</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55676-2021</t>
        </is>
      </c>
      <c r="B1324" s="1" t="n">
        <v>44476</v>
      </c>
      <c r="C1324" s="1" t="n">
        <v>46181</v>
      </c>
      <c r="D1324" t="inlineStr">
        <is>
          <t>VÄSTERNORRLANDS LÄN</t>
        </is>
      </c>
      <c r="E1324" t="inlineStr">
        <is>
          <t>SUNDSVALL</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10689-2026</t>
        </is>
      </c>
      <c r="B1325" s="1" t="n">
        <v>46078</v>
      </c>
      <c r="C1325" s="1" t="n">
        <v>46181</v>
      </c>
      <c r="D1325" t="inlineStr">
        <is>
          <t>VÄSTERNORRLANDS LÄN</t>
        </is>
      </c>
      <c r="E1325" t="inlineStr">
        <is>
          <t>SUNDSVALL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10769-2026</t>
        </is>
      </c>
      <c r="B1326" s="1" t="n">
        <v>46078</v>
      </c>
      <c r="C1326" s="1" t="n">
        <v>46181</v>
      </c>
      <c r="D1326" t="inlineStr">
        <is>
          <t>VÄSTERNORRLANDS LÄN</t>
        </is>
      </c>
      <c r="E1326" t="inlineStr">
        <is>
          <t>SUNDSVALL</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52993-2025</t>
        </is>
      </c>
      <c r="B1327" s="1" t="n">
        <v>45957</v>
      </c>
      <c r="C1327" s="1" t="n">
        <v>46181</v>
      </c>
      <c r="D1327" t="inlineStr">
        <is>
          <t>VÄSTERNORRLANDS LÄN</t>
        </is>
      </c>
      <c r="E1327" t="inlineStr">
        <is>
          <t>SUNDSVALL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28798-2024</t>
        </is>
      </c>
      <c r="B1328" s="1" t="n">
        <v>45478</v>
      </c>
      <c r="C1328" s="1" t="n">
        <v>46181</v>
      </c>
      <c r="D1328" t="inlineStr">
        <is>
          <t>VÄSTERNORRLANDS LÄN</t>
        </is>
      </c>
      <c r="E1328" t="inlineStr">
        <is>
          <t>SUNDSVALL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11470-2026</t>
        </is>
      </c>
      <c r="B1329" s="1" t="n">
        <v>46083.59429398148</v>
      </c>
      <c r="C1329" s="1" t="n">
        <v>46181</v>
      </c>
      <c r="D1329" t="inlineStr">
        <is>
          <t>VÄSTERNORRLANDS LÄN</t>
        </is>
      </c>
      <c r="E1329" t="inlineStr">
        <is>
          <t>SUNDSVALL</t>
        </is>
      </c>
      <c r="F1329" t="inlineStr">
        <is>
          <t>SCA</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11507-2026</t>
        </is>
      </c>
      <c r="B1330" s="1" t="n">
        <v>46083.65457175926</v>
      </c>
      <c r="C1330" s="1" t="n">
        <v>46181</v>
      </c>
      <c r="D1330" t="inlineStr">
        <is>
          <t>VÄSTERNORRLANDS LÄN</t>
        </is>
      </c>
      <c r="E1330" t="inlineStr">
        <is>
          <t>SUNDSVALL</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11512-2026</t>
        </is>
      </c>
      <c r="B1331" s="1" t="n">
        <v>46083.65806712963</v>
      </c>
      <c r="C1331" s="1" t="n">
        <v>46181</v>
      </c>
      <c r="D1331" t="inlineStr">
        <is>
          <t>VÄSTERNORRLANDS LÄN</t>
        </is>
      </c>
      <c r="E1331" t="inlineStr">
        <is>
          <t>SUNDSVALL</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53463-2025</t>
        </is>
      </c>
      <c r="B1332" s="1" t="n">
        <v>45959.68188657407</v>
      </c>
      <c r="C1332" s="1" t="n">
        <v>46181</v>
      </c>
      <c r="D1332" t="inlineStr">
        <is>
          <t>VÄSTERNORRLANDS LÄN</t>
        </is>
      </c>
      <c r="E1332" t="inlineStr">
        <is>
          <t>SUNDSVALL</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53313-2025</t>
        </is>
      </c>
      <c r="B1333" s="1" t="n">
        <v>45959.34465277778</v>
      </c>
      <c r="C1333" s="1" t="n">
        <v>46181</v>
      </c>
      <c r="D1333" t="inlineStr">
        <is>
          <t>VÄSTERNORRLANDS LÄN</t>
        </is>
      </c>
      <c r="E1333" t="inlineStr">
        <is>
          <t>SUNDSVALL</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53258-2025</t>
        </is>
      </c>
      <c r="B1334" s="1" t="n">
        <v>45958.6775</v>
      </c>
      <c r="C1334" s="1" t="n">
        <v>46181</v>
      </c>
      <c r="D1334" t="inlineStr">
        <is>
          <t>VÄSTERNORRLANDS LÄN</t>
        </is>
      </c>
      <c r="E1334" t="inlineStr">
        <is>
          <t>SUNDSVALL</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11487-2026</t>
        </is>
      </c>
      <c r="B1335" s="1" t="n">
        <v>46083.63237268518</v>
      </c>
      <c r="C1335" s="1" t="n">
        <v>46181</v>
      </c>
      <c r="D1335" t="inlineStr">
        <is>
          <t>VÄSTERNORRLANDS LÄN</t>
        </is>
      </c>
      <c r="E1335" t="inlineStr">
        <is>
          <t>SUNDSVALL</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53611-2025</t>
        </is>
      </c>
      <c r="B1336" s="1" t="n">
        <v>45960.46984953704</v>
      </c>
      <c r="C1336" s="1" t="n">
        <v>46181</v>
      </c>
      <c r="D1336" t="inlineStr">
        <is>
          <t>VÄSTERNORRLANDS LÄN</t>
        </is>
      </c>
      <c r="E1336" t="inlineStr">
        <is>
          <t>SUNDSVALL</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53916-2025</t>
        </is>
      </c>
      <c r="B1337" s="1" t="n">
        <v>45961.4484837963</v>
      </c>
      <c r="C1337" s="1" t="n">
        <v>46181</v>
      </c>
      <c r="D1337" t="inlineStr">
        <is>
          <t>VÄSTERNORRLANDS LÄN</t>
        </is>
      </c>
      <c r="E1337" t="inlineStr">
        <is>
          <t>SUNDSVALL</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63651-2021</t>
        </is>
      </c>
      <c r="B1338" s="1" t="n">
        <v>44508</v>
      </c>
      <c r="C1338" s="1" t="n">
        <v>46181</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53832-2025</t>
        </is>
      </c>
      <c r="B1339" s="1" t="n">
        <v>45961.34505787037</v>
      </c>
      <c r="C1339" s="1" t="n">
        <v>46181</v>
      </c>
      <c r="D1339" t="inlineStr">
        <is>
          <t>VÄSTERNORRLANDS LÄN</t>
        </is>
      </c>
      <c r="E1339" t="inlineStr">
        <is>
          <t>SUNDSVALL</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29662-2024</t>
        </is>
      </c>
      <c r="B1340" s="1" t="n">
        <v>45484.93993055556</v>
      </c>
      <c r="C1340" s="1" t="n">
        <v>46181</v>
      </c>
      <c r="D1340" t="inlineStr">
        <is>
          <t>VÄSTERNORRLANDS LÄN</t>
        </is>
      </c>
      <c r="E1340" t="inlineStr">
        <is>
          <t>SUNDSVALL</t>
        </is>
      </c>
      <c r="F1340" t="inlineStr">
        <is>
          <t>SCA</t>
        </is>
      </c>
      <c r="G1340" t="n">
        <v>27.8</v>
      </c>
      <c r="H1340" t="n">
        <v>0</v>
      </c>
      <c r="I1340" t="n">
        <v>0</v>
      </c>
      <c r="J1340" t="n">
        <v>0</v>
      </c>
      <c r="K1340" t="n">
        <v>0</v>
      </c>
      <c r="L1340" t="n">
        <v>0</v>
      </c>
      <c r="M1340" t="n">
        <v>0</v>
      </c>
      <c r="N1340" t="n">
        <v>0</v>
      </c>
      <c r="O1340" t="n">
        <v>0</v>
      </c>
      <c r="P1340" t="n">
        <v>0</v>
      </c>
      <c r="Q1340" t="n">
        <v>0</v>
      </c>
      <c r="R1340" s="2" t="inlineStr"/>
    </row>
    <row r="1341" ht="15" customHeight="1">
      <c r="A1341" t="inlineStr">
        <is>
          <t>A 57455-2023</t>
        </is>
      </c>
      <c r="B1341" s="1" t="n">
        <v>45246</v>
      </c>
      <c r="C1341" s="1" t="n">
        <v>46181</v>
      </c>
      <c r="D1341" t="inlineStr">
        <is>
          <t>VÄSTERNORRLANDS LÄN</t>
        </is>
      </c>
      <c r="E1341" t="inlineStr">
        <is>
          <t>SUNDSVALL</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27998-2023</t>
        </is>
      </c>
      <c r="B1342" s="1" t="n">
        <v>45098.92375</v>
      </c>
      <c r="C1342" s="1" t="n">
        <v>46181</v>
      </c>
      <c r="D1342" t="inlineStr">
        <is>
          <t>VÄSTERNORRLANDS LÄN</t>
        </is>
      </c>
      <c r="E1342" t="inlineStr">
        <is>
          <t>SUNDSVALL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53830-2025</t>
        </is>
      </c>
      <c r="B1343" s="1" t="n">
        <v>45961.34489583333</v>
      </c>
      <c r="C1343" s="1" t="n">
        <v>46181</v>
      </c>
      <c r="D1343" t="inlineStr">
        <is>
          <t>VÄSTERNORRLANDS LÄN</t>
        </is>
      </c>
      <c r="E1343" t="inlineStr">
        <is>
          <t>SUNDSVALL</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52759-2023</t>
        </is>
      </c>
      <c r="B1344" s="1" t="n">
        <v>45225</v>
      </c>
      <c r="C1344" s="1" t="n">
        <v>46181</v>
      </c>
      <c r="D1344" t="inlineStr">
        <is>
          <t>VÄSTERNORRLANDS LÄN</t>
        </is>
      </c>
      <c r="E1344" t="inlineStr">
        <is>
          <t>SUNDSVALL</t>
        </is>
      </c>
      <c r="F1344" t="inlineStr">
        <is>
          <t>SCA</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47248-2025</t>
        </is>
      </c>
      <c r="B1345" s="1" t="n">
        <v>45930</v>
      </c>
      <c r="C1345" s="1" t="n">
        <v>46181</v>
      </c>
      <c r="D1345" t="inlineStr">
        <is>
          <t>VÄSTERNORRLANDS LÄN</t>
        </is>
      </c>
      <c r="E1345" t="inlineStr">
        <is>
          <t>SUNDSVALL</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11474-2026</t>
        </is>
      </c>
      <c r="B1346" s="1" t="n">
        <v>46083.59480324074</v>
      </c>
      <c r="C1346" s="1" t="n">
        <v>46181</v>
      </c>
      <c r="D1346" t="inlineStr">
        <is>
          <t>VÄSTERNORRLANDS LÄN</t>
        </is>
      </c>
      <c r="E1346" t="inlineStr">
        <is>
          <t>SUNDSVALL</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11490-2026</t>
        </is>
      </c>
      <c r="B1347" s="1" t="n">
        <v>46083.63535879629</v>
      </c>
      <c r="C1347" s="1" t="n">
        <v>46181</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22102-2024</t>
        </is>
      </c>
      <c r="B1348" s="1" t="n">
        <v>45443.95085648148</v>
      </c>
      <c r="C1348" s="1" t="n">
        <v>46181</v>
      </c>
      <c r="D1348" t="inlineStr">
        <is>
          <t>VÄSTERNORRLANDS LÄN</t>
        </is>
      </c>
      <c r="E1348" t="inlineStr">
        <is>
          <t>SUNDSVALL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8531-2025</t>
        </is>
      </c>
      <c r="B1349" s="1" t="n">
        <v>45709.5850462963</v>
      </c>
      <c r="C1349" s="1" t="n">
        <v>46181</v>
      </c>
      <c r="D1349" t="inlineStr">
        <is>
          <t>VÄSTERNORRLANDS LÄN</t>
        </is>
      </c>
      <c r="E1349" t="inlineStr">
        <is>
          <t>SUNDSVALL</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11272-2026</t>
        </is>
      </c>
      <c r="B1350" s="1" t="n">
        <v>46080</v>
      </c>
      <c r="C1350" s="1" t="n">
        <v>46181</v>
      </c>
      <c r="D1350" t="inlineStr">
        <is>
          <t>VÄSTERNORRLANDS LÄN</t>
        </is>
      </c>
      <c r="E1350" t="inlineStr">
        <is>
          <t>SUNDSVALL</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52404-2023</t>
        </is>
      </c>
      <c r="B1351" s="1" t="n">
        <v>45224.96506944444</v>
      </c>
      <c r="C1351" s="1" t="n">
        <v>46181</v>
      </c>
      <c r="D1351" t="inlineStr">
        <is>
          <t>VÄSTERNORRLANDS LÄN</t>
        </is>
      </c>
      <c r="E1351" t="inlineStr">
        <is>
          <t>SUNDSVALL</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26071-2023</t>
        </is>
      </c>
      <c r="B1352" s="1" t="n">
        <v>45091</v>
      </c>
      <c r="C1352" s="1" t="n">
        <v>46181</v>
      </c>
      <c r="D1352" t="inlineStr">
        <is>
          <t>VÄSTERNORRLANDS LÄN</t>
        </is>
      </c>
      <c r="E1352" t="inlineStr">
        <is>
          <t>SUNDSVALL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15620-2023</t>
        </is>
      </c>
      <c r="B1353" s="1" t="n">
        <v>45020</v>
      </c>
      <c r="C1353" s="1" t="n">
        <v>46181</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54490-2025</t>
        </is>
      </c>
      <c r="B1354" s="1" t="n">
        <v>45965.59504629629</v>
      </c>
      <c r="C1354" s="1" t="n">
        <v>46181</v>
      </c>
      <c r="D1354" t="inlineStr">
        <is>
          <t>VÄSTERNORRLANDS LÄN</t>
        </is>
      </c>
      <c r="E1354" t="inlineStr">
        <is>
          <t>SUNDSVALL</t>
        </is>
      </c>
      <c r="F1354" t="inlineStr">
        <is>
          <t>SCA</t>
        </is>
      </c>
      <c r="G1354" t="n">
        <v>29.4</v>
      </c>
      <c r="H1354" t="n">
        <v>0</v>
      </c>
      <c r="I1354" t="n">
        <v>0</v>
      </c>
      <c r="J1354" t="n">
        <v>0</v>
      </c>
      <c r="K1354" t="n">
        <v>0</v>
      </c>
      <c r="L1354" t="n">
        <v>0</v>
      </c>
      <c r="M1354" t="n">
        <v>0</v>
      </c>
      <c r="N1354" t="n">
        <v>0</v>
      </c>
      <c r="O1354" t="n">
        <v>0</v>
      </c>
      <c r="P1354" t="n">
        <v>0</v>
      </c>
      <c r="Q1354" t="n">
        <v>0</v>
      </c>
      <c r="R1354" s="2" t="inlineStr"/>
    </row>
    <row r="1355" ht="15" customHeight="1">
      <c r="A1355" t="inlineStr">
        <is>
          <t>A 16250-2024</t>
        </is>
      </c>
      <c r="B1355" s="1" t="n">
        <v>45407</v>
      </c>
      <c r="C1355" s="1" t="n">
        <v>46181</v>
      </c>
      <c r="D1355" t="inlineStr">
        <is>
          <t>VÄSTERNORRLANDS LÄN</t>
        </is>
      </c>
      <c r="E1355" t="inlineStr">
        <is>
          <t>SUNDSVALL</t>
        </is>
      </c>
      <c r="F1355" t="inlineStr">
        <is>
          <t>SCA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61409-2021</t>
        </is>
      </c>
      <c r="B1356" s="1" t="n">
        <v>44500.91974537037</v>
      </c>
      <c r="C1356" s="1" t="n">
        <v>46181</v>
      </c>
      <c r="D1356" t="inlineStr">
        <is>
          <t>VÄSTERNORRLANDS LÄN</t>
        </is>
      </c>
      <c r="E1356" t="inlineStr">
        <is>
          <t>SUNDSVALL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54719-2025</t>
        </is>
      </c>
      <c r="B1357" s="1" t="n">
        <v>45966.53165509259</v>
      </c>
      <c r="C1357" s="1" t="n">
        <v>46181</v>
      </c>
      <c r="D1357" t="inlineStr">
        <is>
          <t>VÄSTERNORRLANDS LÄN</t>
        </is>
      </c>
      <c r="E1357" t="inlineStr">
        <is>
          <t>SUNDSVALL</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54754-2025</t>
        </is>
      </c>
      <c r="B1358" s="1" t="n">
        <v>45966.59429398148</v>
      </c>
      <c r="C1358" s="1" t="n">
        <v>46181</v>
      </c>
      <c r="D1358" t="inlineStr">
        <is>
          <t>VÄSTERNORRLANDS LÄN</t>
        </is>
      </c>
      <c r="E1358" t="inlineStr">
        <is>
          <t>SUNDSVALL</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11518-2026</t>
        </is>
      </c>
      <c r="B1359" s="1" t="n">
        <v>46083.66465277778</v>
      </c>
      <c r="C1359" s="1" t="n">
        <v>46181</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54818-2025</t>
        </is>
      </c>
      <c r="B1360" s="1" t="n">
        <v>45966.656875</v>
      </c>
      <c r="C1360" s="1" t="n">
        <v>46181</v>
      </c>
      <c r="D1360" t="inlineStr">
        <is>
          <t>VÄSTERNORRLANDS LÄN</t>
        </is>
      </c>
      <c r="E1360" t="inlineStr">
        <is>
          <t>SUNDSVALL</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11193-2026</t>
        </is>
      </c>
      <c r="B1361" s="1" t="n">
        <v>46080.42586805556</v>
      </c>
      <c r="C1361" s="1" t="n">
        <v>46181</v>
      </c>
      <c r="D1361" t="inlineStr">
        <is>
          <t>VÄSTERNORRLANDS LÄN</t>
        </is>
      </c>
      <c r="E1361" t="inlineStr">
        <is>
          <t>SUNDSVALL</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30066-2024</t>
        </is>
      </c>
      <c r="B1362" s="1" t="n">
        <v>45488.94865740741</v>
      </c>
      <c r="C1362" s="1" t="n">
        <v>46181</v>
      </c>
      <c r="D1362" t="inlineStr">
        <is>
          <t>VÄSTERNORRLANDS LÄN</t>
        </is>
      </c>
      <c r="E1362" t="inlineStr">
        <is>
          <t>SUNDSVALL</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54854-2025</t>
        </is>
      </c>
      <c r="B1363" s="1" t="n">
        <v>45966</v>
      </c>
      <c r="C1363" s="1" t="n">
        <v>46181</v>
      </c>
      <c r="D1363" t="inlineStr">
        <is>
          <t>VÄSTERNORRLANDS LÄN</t>
        </is>
      </c>
      <c r="E1363" t="inlineStr">
        <is>
          <t>SUNDSVALL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15609-2025</t>
        </is>
      </c>
      <c r="B1364" s="1" t="n">
        <v>45748.34819444444</v>
      </c>
      <c r="C1364" s="1" t="n">
        <v>46181</v>
      </c>
      <c r="D1364" t="inlineStr">
        <is>
          <t>VÄSTERNORRLANDS LÄN</t>
        </is>
      </c>
      <c r="E1364" t="inlineStr">
        <is>
          <t>SUNDSVALL</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55026-2025</t>
        </is>
      </c>
      <c r="B1365" s="1" t="n">
        <v>45967</v>
      </c>
      <c r="C1365" s="1" t="n">
        <v>46181</v>
      </c>
      <c r="D1365" t="inlineStr">
        <is>
          <t>VÄSTERNORRLANDS LÄN</t>
        </is>
      </c>
      <c r="E1365" t="inlineStr">
        <is>
          <t>SUNDSVALL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11570-2026</t>
        </is>
      </c>
      <c r="B1366" s="1" t="n">
        <v>46084.38008101852</v>
      </c>
      <c r="C1366" s="1" t="n">
        <v>46181</v>
      </c>
      <c r="D1366" t="inlineStr">
        <is>
          <t>VÄSTERNORRLANDS LÄN</t>
        </is>
      </c>
      <c r="E1366" t="inlineStr">
        <is>
          <t>SUNDSVALL</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11573-2026</t>
        </is>
      </c>
      <c r="B1367" s="1" t="n">
        <v>46084.38239583333</v>
      </c>
      <c r="C1367" s="1" t="n">
        <v>46181</v>
      </c>
      <c r="D1367" t="inlineStr">
        <is>
          <t>VÄSTERNORRLANDS LÄN</t>
        </is>
      </c>
      <c r="E1367" t="inlineStr">
        <is>
          <t>SUNDSVALL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55009-2025</t>
        </is>
      </c>
      <c r="B1368" s="1" t="n">
        <v>45967.61523148148</v>
      </c>
      <c r="C1368" s="1" t="n">
        <v>46181</v>
      </c>
      <c r="D1368" t="inlineStr">
        <is>
          <t>VÄSTERNORRLANDS LÄN</t>
        </is>
      </c>
      <c r="E1368" t="inlineStr">
        <is>
          <t>SUNDSVALL</t>
        </is>
      </c>
      <c r="F1368" t="inlineStr">
        <is>
          <t>SCA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13834-2024</t>
        </is>
      </c>
      <c r="B1369" s="1" t="n">
        <v>45390</v>
      </c>
      <c r="C1369" s="1" t="n">
        <v>46181</v>
      </c>
      <c r="D1369" t="inlineStr">
        <is>
          <t>VÄSTERNORRLANDS LÄN</t>
        </is>
      </c>
      <c r="E1369" t="inlineStr">
        <is>
          <t>SUNDSVALL</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11935-2026</t>
        </is>
      </c>
      <c r="B1370" s="1" t="n">
        <v>46085.58747685186</v>
      </c>
      <c r="C1370" s="1" t="n">
        <v>46181</v>
      </c>
      <c r="D1370" t="inlineStr">
        <is>
          <t>VÄSTERNORRLANDS LÄN</t>
        </is>
      </c>
      <c r="E1370" t="inlineStr">
        <is>
          <t>SUNDSVALL</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7612-2025</t>
        </is>
      </c>
      <c r="B1371" s="1" t="n">
        <v>45705.67758101852</v>
      </c>
      <c r="C1371" s="1" t="n">
        <v>46181</v>
      </c>
      <c r="D1371" t="inlineStr">
        <is>
          <t>VÄSTERNORRLANDS LÄN</t>
        </is>
      </c>
      <c r="E1371" t="inlineStr">
        <is>
          <t>SUNDSVALL</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11827-2026</t>
        </is>
      </c>
      <c r="B1372" s="1" t="n">
        <v>46085.41469907408</v>
      </c>
      <c r="C1372" s="1" t="n">
        <v>46181</v>
      </c>
      <c r="D1372" t="inlineStr">
        <is>
          <t>VÄSTERNORRLANDS LÄN</t>
        </is>
      </c>
      <c r="E1372" t="inlineStr">
        <is>
          <t>SUNDSVALL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11944-2026</t>
        </is>
      </c>
      <c r="B1373" s="1" t="n">
        <v>46085.59435185185</v>
      </c>
      <c r="C1373" s="1" t="n">
        <v>46181</v>
      </c>
      <c r="D1373" t="inlineStr">
        <is>
          <t>VÄSTERNORRLANDS LÄN</t>
        </is>
      </c>
      <c r="E1373" t="inlineStr">
        <is>
          <t>SUNDSVALL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3214-2025</t>
        </is>
      </c>
      <c r="B1374" s="1" t="n">
        <v>45679.46192129629</v>
      </c>
      <c r="C1374" s="1" t="n">
        <v>46181</v>
      </c>
      <c r="D1374" t="inlineStr">
        <is>
          <t>VÄSTERNORRLANDS LÄN</t>
        </is>
      </c>
      <c r="E1374" t="inlineStr">
        <is>
          <t>SUNDSVALL</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18819-2025</t>
        </is>
      </c>
      <c r="B1375" s="1" t="n">
        <v>45764.37483796296</v>
      </c>
      <c r="C1375" s="1" t="n">
        <v>46181</v>
      </c>
      <c r="D1375" t="inlineStr">
        <is>
          <t>VÄSTERNORRLANDS LÄN</t>
        </is>
      </c>
      <c r="E1375" t="inlineStr">
        <is>
          <t>SUNDSVALL</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55133-2025</t>
        </is>
      </c>
      <c r="B1376" s="1" t="n">
        <v>45968.41929398148</v>
      </c>
      <c r="C1376" s="1" t="n">
        <v>46181</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18467-2025</t>
        </is>
      </c>
      <c r="B1377" s="1" t="n">
        <v>45762.70768518518</v>
      </c>
      <c r="C1377" s="1" t="n">
        <v>46181</v>
      </c>
      <c r="D1377" t="inlineStr">
        <is>
          <t>VÄSTERNORRLANDS LÄN</t>
        </is>
      </c>
      <c r="E1377" t="inlineStr">
        <is>
          <t>SUNDSVALL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55101-2025</t>
        </is>
      </c>
      <c r="B1378" s="1" t="n">
        <v>45968.35240740741</v>
      </c>
      <c r="C1378" s="1" t="n">
        <v>46181</v>
      </c>
      <c r="D1378" t="inlineStr">
        <is>
          <t>VÄSTERNORRLANDS LÄN</t>
        </is>
      </c>
      <c r="E1378" t="inlineStr">
        <is>
          <t>SUNDSVALL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55134-2025</t>
        </is>
      </c>
      <c r="B1379" s="1" t="n">
        <v>45968.42226851852</v>
      </c>
      <c r="C1379" s="1" t="n">
        <v>46181</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29298-2024</t>
        </is>
      </c>
      <c r="B1380" s="1" t="n">
        <v>45483</v>
      </c>
      <c r="C1380" s="1" t="n">
        <v>46181</v>
      </c>
      <c r="D1380" t="inlineStr">
        <is>
          <t>VÄSTERNORRLANDS LÄN</t>
        </is>
      </c>
      <c r="E1380" t="inlineStr">
        <is>
          <t>SUNDSVALL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34605-2021</t>
        </is>
      </c>
      <c r="B1381" s="1" t="n">
        <v>44379</v>
      </c>
      <c r="C1381" s="1" t="n">
        <v>46181</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55769-2025</t>
        </is>
      </c>
      <c r="B1382" s="1" t="n">
        <v>45972</v>
      </c>
      <c r="C1382" s="1" t="n">
        <v>46181</v>
      </c>
      <c r="D1382" t="inlineStr">
        <is>
          <t>VÄSTERNORRLANDS LÄN</t>
        </is>
      </c>
      <c r="E1382" t="inlineStr">
        <is>
          <t>SUNDSVALL</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55563-2025</t>
        </is>
      </c>
      <c r="B1383" s="1" t="n">
        <v>45971.65373842593</v>
      </c>
      <c r="C1383" s="1" t="n">
        <v>46181</v>
      </c>
      <c r="D1383" t="inlineStr">
        <is>
          <t>VÄSTERNORRLANDS LÄN</t>
        </is>
      </c>
      <c r="E1383" t="inlineStr">
        <is>
          <t>SUNDSVALL</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3740-2025</t>
        </is>
      </c>
      <c r="B1384" s="1" t="n">
        <v>45681.57350694444</v>
      </c>
      <c r="C1384" s="1" t="n">
        <v>46181</v>
      </c>
      <c r="D1384" t="inlineStr">
        <is>
          <t>VÄSTERNORRLANDS LÄN</t>
        </is>
      </c>
      <c r="E1384" t="inlineStr">
        <is>
          <t>SUNDSVALL</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55746-2025</t>
        </is>
      </c>
      <c r="B1385" s="1" t="n">
        <v>45972.57427083333</v>
      </c>
      <c r="C1385" s="1" t="n">
        <v>46181</v>
      </c>
      <c r="D1385" t="inlineStr">
        <is>
          <t>VÄSTERNORRLANDS LÄN</t>
        </is>
      </c>
      <c r="E1385" t="inlineStr">
        <is>
          <t>SUNDSVALL</t>
        </is>
      </c>
      <c r="F1385" t="inlineStr">
        <is>
          <t>SCA</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55365-2025</t>
        </is>
      </c>
      <c r="B1386" s="1" t="n">
        <v>45971.40697916667</v>
      </c>
      <c r="C1386" s="1" t="n">
        <v>46181</v>
      </c>
      <c r="D1386" t="inlineStr">
        <is>
          <t>VÄSTERNORRLANDS LÄN</t>
        </is>
      </c>
      <c r="E1386" t="inlineStr">
        <is>
          <t>SUNDSVALL</t>
        </is>
      </c>
      <c r="F1386" t="inlineStr">
        <is>
          <t>SCA</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55803-2025</t>
        </is>
      </c>
      <c r="B1387" s="1" t="n">
        <v>45972.67751157407</v>
      </c>
      <c r="C1387" s="1" t="n">
        <v>46181</v>
      </c>
      <c r="D1387" t="inlineStr">
        <is>
          <t>VÄSTERNORRLANDS LÄN</t>
        </is>
      </c>
      <c r="E1387" t="inlineStr">
        <is>
          <t>SUNDSVALL</t>
        </is>
      </c>
      <c r="F1387" t="inlineStr">
        <is>
          <t>Naturvårdsverket</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55376-2025</t>
        </is>
      </c>
      <c r="B1388" s="1" t="n">
        <v>45971.42753472222</v>
      </c>
      <c r="C1388" s="1" t="n">
        <v>46181</v>
      </c>
      <c r="D1388" t="inlineStr">
        <is>
          <t>VÄSTERNORRLANDS LÄN</t>
        </is>
      </c>
      <c r="E1388" t="inlineStr">
        <is>
          <t>SUNDSVALL</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55565-2025</t>
        </is>
      </c>
      <c r="B1389" s="1" t="n">
        <v>45971.65561342592</v>
      </c>
      <c r="C1389" s="1" t="n">
        <v>46181</v>
      </c>
      <c r="D1389" t="inlineStr">
        <is>
          <t>VÄSTERNORRLANDS LÄN</t>
        </is>
      </c>
      <c r="E1389" t="inlineStr">
        <is>
          <t>SUNDSVALL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55771-2025</t>
        </is>
      </c>
      <c r="B1390" s="1" t="n">
        <v>45972.61542824074</v>
      </c>
      <c r="C1390" s="1" t="n">
        <v>46181</v>
      </c>
      <c r="D1390" t="inlineStr">
        <is>
          <t>VÄSTERNORRLANDS LÄN</t>
        </is>
      </c>
      <c r="E1390" t="inlineStr">
        <is>
          <t>SUNDSVALL</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55691-2025</t>
        </is>
      </c>
      <c r="B1391" s="1" t="n">
        <v>45972.4365625</v>
      </c>
      <c r="C1391" s="1" t="n">
        <v>46181</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20079-2025</t>
        </is>
      </c>
      <c r="B1392" s="1" t="n">
        <v>45772.44902777778</v>
      </c>
      <c r="C1392" s="1" t="n">
        <v>46181</v>
      </c>
      <c r="D1392" t="inlineStr">
        <is>
          <t>VÄSTERNORRLANDS LÄN</t>
        </is>
      </c>
      <c r="E1392" t="inlineStr">
        <is>
          <t>SUNDSVALL</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55916-2023</t>
        </is>
      </c>
      <c r="B1393" s="1" t="n">
        <v>45239.9684375</v>
      </c>
      <c r="C1393" s="1" t="n">
        <v>46181</v>
      </c>
      <c r="D1393" t="inlineStr">
        <is>
          <t>VÄSTERNORRLANDS LÄN</t>
        </is>
      </c>
      <c r="E1393" t="inlineStr">
        <is>
          <t>SUNDSVALL</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56195-2025</t>
        </is>
      </c>
      <c r="B1394" s="1" t="n">
        <v>45974.44819444444</v>
      </c>
      <c r="C1394" s="1" t="n">
        <v>46181</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11571-2026</t>
        </is>
      </c>
      <c r="B1395" s="1" t="n">
        <v>46084.38119212963</v>
      </c>
      <c r="C1395" s="1" t="n">
        <v>46181</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11842-2026</t>
        </is>
      </c>
      <c r="B1396" s="1" t="n">
        <v>46085.45105324074</v>
      </c>
      <c r="C1396" s="1" t="n">
        <v>46181</v>
      </c>
      <c r="D1396" t="inlineStr">
        <is>
          <t>VÄSTERNORRLANDS LÄN</t>
        </is>
      </c>
      <c r="E1396" t="inlineStr">
        <is>
          <t>SUNDSVALL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55808-2025</t>
        </is>
      </c>
      <c r="B1397" s="1" t="n">
        <v>45972.67839120371</v>
      </c>
      <c r="C1397" s="1" t="n">
        <v>46181</v>
      </c>
      <c r="D1397" t="inlineStr">
        <is>
          <t>VÄSTERNORRLANDS LÄN</t>
        </is>
      </c>
      <c r="E1397" t="inlineStr">
        <is>
          <t>SUNDSVALL</t>
        </is>
      </c>
      <c r="F1397" t="inlineStr">
        <is>
          <t>Naturvårdsverket</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12190-2025</t>
        </is>
      </c>
      <c r="B1398" s="1" t="n">
        <v>45729.46947916667</v>
      </c>
      <c r="C1398" s="1" t="n">
        <v>46181</v>
      </c>
      <c r="D1398" t="inlineStr">
        <is>
          <t>VÄSTERNORRLANDS LÄN</t>
        </is>
      </c>
      <c r="E1398" t="inlineStr">
        <is>
          <t>SUNDSVALL</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12301-2026</t>
        </is>
      </c>
      <c r="B1399" s="1" t="n">
        <v>46087.5733912037</v>
      </c>
      <c r="C1399" s="1" t="n">
        <v>46181</v>
      </c>
      <c r="D1399" t="inlineStr">
        <is>
          <t>VÄSTERNORRLANDS LÄN</t>
        </is>
      </c>
      <c r="E1399" t="inlineStr">
        <is>
          <t>SUNDSVALL</t>
        </is>
      </c>
      <c r="F1399" t="inlineStr">
        <is>
          <t>SCA</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12233-2026</t>
        </is>
      </c>
      <c r="B1400" s="1" t="n">
        <v>46087.40685185185</v>
      </c>
      <c r="C1400" s="1" t="n">
        <v>46181</v>
      </c>
      <c r="D1400" t="inlineStr">
        <is>
          <t>VÄSTERNORRLANDS LÄN</t>
        </is>
      </c>
      <c r="E1400" t="inlineStr">
        <is>
          <t>SUNDSVALL</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56020-2025</t>
        </is>
      </c>
      <c r="B1401" s="1" t="n">
        <v>45973.59460648148</v>
      </c>
      <c r="C1401" s="1" t="n">
        <v>46181</v>
      </c>
      <c r="D1401" t="inlineStr">
        <is>
          <t>VÄSTERNORRLANDS LÄN</t>
        </is>
      </c>
      <c r="E1401" t="inlineStr">
        <is>
          <t>SUNDSVALL</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55645-2025</t>
        </is>
      </c>
      <c r="B1402" s="1" t="n">
        <v>45972.36501157407</v>
      </c>
      <c r="C1402" s="1" t="n">
        <v>46181</v>
      </c>
      <c r="D1402" t="inlineStr">
        <is>
          <t>VÄSTERNORRLANDS LÄN</t>
        </is>
      </c>
      <c r="E1402" t="inlineStr">
        <is>
          <t>SUNDSVALL</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19715-2025</t>
        </is>
      </c>
      <c r="B1403" s="1" t="n">
        <v>45771</v>
      </c>
      <c r="C1403" s="1" t="n">
        <v>46181</v>
      </c>
      <c r="D1403" t="inlineStr">
        <is>
          <t>VÄSTERNORRLANDS LÄN</t>
        </is>
      </c>
      <c r="E1403" t="inlineStr">
        <is>
          <t>SUNDSVALL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19720-2025</t>
        </is>
      </c>
      <c r="B1404" s="1" t="n">
        <v>45771.35729166667</v>
      </c>
      <c r="C1404" s="1" t="n">
        <v>46181</v>
      </c>
      <c r="D1404" t="inlineStr">
        <is>
          <t>VÄSTERNORRLANDS LÄN</t>
        </is>
      </c>
      <c r="E1404" t="inlineStr">
        <is>
          <t>SUNDSVALL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19733-2025</t>
        </is>
      </c>
      <c r="B1405" s="1" t="n">
        <v>45771.36633101852</v>
      </c>
      <c r="C1405" s="1" t="n">
        <v>46181</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12315-2026</t>
        </is>
      </c>
      <c r="B1406" s="1" t="n">
        <v>46087.59430555555</v>
      </c>
      <c r="C1406" s="1" t="n">
        <v>46181</v>
      </c>
      <c r="D1406" t="inlineStr">
        <is>
          <t>VÄSTERNORRLANDS LÄN</t>
        </is>
      </c>
      <c r="E1406" t="inlineStr">
        <is>
          <t>SUNDSVALL</t>
        </is>
      </c>
      <c r="F1406" t="inlineStr">
        <is>
          <t>SCA</t>
        </is>
      </c>
      <c r="G1406" t="n">
        <v>47.5</v>
      </c>
      <c r="H1406" t="n">
        <v>0</v>
      </c>
      <c r="I1406" t="n">
        <v>0</v>
      </c>
      <c r="J1406" t="n">
        <v>0</v>
      </c>
      <c r="K1406" t="n">
        <v>0</v>
      </c>
      <c r="L1406" t="n">
        <v>0</v>
      </c>
      <c r="M1406" t="n">
        <v>0</v>
      </c>
      <c r="N1406" t="n">
        <v>0</v>
      </c>
      <c r="O1406" t="n">
        <v>0</v>
      </c>
      <c r="P1406" t="n">
        <v>0</v>
      </c>
      <c r="Q1406" t="n">
        <v>0</v>
      </c>
      <c r="R1406" s="2" t="inlineStr"/>
    </row>
    <row r="1407" ht="15" customHeight="1">
      <c r="A1407" t="inlineStr">
        <is>
          <t>A 56019-2025</t>
        </is>
      </c>
      <c r="B1407" s="1" t="n">
        <v>45973.594375</v>
      </c>
      <c r="C1407" s="1" t="n">
        <v>46181</v>
      </c>
      <c r="D1407" t="inlineStr">
        <is>
          <t>VÄSTERNORRLANDS LÄN</t>
        </is>
      </c>
      <c r="E1407" t="inlineStr">
        <is>
          <t>SUNDSVALL</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12119-2026</t>
        </is>
      </c>
      <c r="B1408" s="1" t="n">
        <v>46086</v>
      </c>
      <c r="C1408" s="1" t="n">
        <v>46181</v>
      </c>
      <c r="D1408" t="inlineStr">
        <is>
          <t>VÄSTERNORRLANDS LÄN</t>
        </is>
      </c>
      <c r="E1408" t="inlineStr">
        <is>
          <t>SUNDSVALL</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55881-2025</t>
        </is>
      </c>
      <c r="B1409" s="1" t="n">
        <v>45973.36530092593</v>
      </c>
      <c r="C1409" s="1" t="n">
        <v>46181</v>
      </c>
      <c r="D1409" t="inlineStr">
        <is>
          <t>VÄSTERNORRLANDS LÄN</t>
        </is>
      </c>
      <c r="E1409" t="inlineStr">
        <is>
          <t>SUNDSVALL</t>
        </is>
      </c>
      <c r="F1409" t="inlineStr">
        <is>
          <t>SCA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40946-2022</t>
        </is>
      </c>
      <c r="B1410" s="1" t="n">
        <v>44823</v>
      </c>
      <c r="C1410" s="1" t="n">
        <v>46181</v>
      </c>
      <c r="D1410" t="inlineStr">
        <is>
          <t>VÄSTERNORRLANDS LÄN</t>
        </is>
      </c>
      <c r="E1410" t="inlineStr">
        <is>
          <t>SUNDSVALL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19654-2023</t>
        </is>
      </c>
      <c r="B1411" s="1" t="n">
        <v>45050</v>
      </c>
      <c r="C1411" s="1" t="n">
        <v>46181</v>
      </c>
      <c r="D1411" t="inlineStr">
        <is>
          <t>VÄSTERNORRLANDS LÄN</t>
        </is>
      </c>
      <c r="E1411" t="inlineStr">
        <is>
          <t>SUNDSVALL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55898-2025</t>
        </is>
      </c>
      <c r="B1412" s="1" t="n">
        <v>45973.38623842593</v>
      </c>
      <c r="C1412" s="1" t="n">
        <v>46181</v>
      </c>
      <c r="D1412" t="inlineStr">
        <is>
          <t>VÄSTERNORRLANDS LÄN</t>
        </is>
      </c>
      <c r="E1412" t="inlineStr">
        <is>
          <t>SUNDSVALL</t>
        </is>
      </c>
      <c r="F1412" t="inlineStr">
        <is>
          <t>SCA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12470-2026</t>
        </is>
      </c>
      <c r="B1413" s="1" t="n">
        <v>46090.54167824074</v>
      </c>
      <c r="C1413" s="1" t="n">
        <v>46181</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19573-2025</t>
        </is>
      </c>
      <c r="B1414" s="1" t="n">
        <v>45770.55274305555</v>
      </c>
      <c r="C1414" s="1" t="n">
        <v>46181</v>
      </c>
      <c r="D1414" t="inlineStr">
        <is>
          <t>VÄSTERNORRLANDS LÄN</t>
        </is>
      </c>
      <c r="E1414" t="inlineStr">
        <is>
          <t>SUNDSVALL</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40763-2023</t>
        </is>
      </c>
      <c r="B1415" s="1" t="n">
        <v>45170</v>
      </c>
      <c r="C1415" s="1" t="n">
        <v>46181</v>
      </c>
      <c r="D1415" t="inlineStr">
        <is>
          <t>VÄSTERNORRLANDS LÄN</t>
        </is>
      </c>
      <c r="E1415" t="inlineStr">
        <is>
          <t>SUNDSVALL</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20557-2025</t>
        </is>
      </c>
      <c r="B1416" s="1" t="n">
        <v>45775.64427083333</v>
      </c>
      <c r="C1416" s="1" t="n">
        <v>46181</v>
      </c>
      <c r="D1416" t="inlineStr">
        <is>
          <t>VÄSTERNORRLANDS LÄN</t>
        </is>
      </c>
      <c r="E1416" t="inlineStr">
        <is>
          <t>SUNDSVALL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56752-2025</t>
        </is>
      </c>
      <c r="B1417" s="1" t="n">
        <v>45978.36547453704</v>
      </c>
      <c r="C1417" s="1" t="n">
        <v>46181</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12661-2026</t>
        </is>
      </c>
      <c r="B1418" s="1" t="n">
        <v>46091.50719907408</v>
      </c>
      <c r="C1418" s="1" t="n">
        <v>46181</v>
      </c>
      <c r="D1418" t="inlineStr">
        <is>
          <t>VÄSTERNORRLANDS LÄN</t>
        </is>
      </c>
      <c r="E1418" t="inlineStr">
        <is>
          <t>SUNDSVALL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56884-2025</t>
        </is>
      </c>
      <c r="B1419" s="1" t="n">
        <v>45978.55746527778</v>
      </c>
      <c r="C1419" s="1" t="n">
        <v>46181</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12658-2026</t>
        </is>
      </c>
      <c r="B1420" s="1" t="n">
        <v>46091.49255787037</v>
      </c>
      <c r="C1420" s="1" t="n">
        <v>46181</v>
      </c>
      <c r="D1420" t="inlineStr">
        <is>
          <t>VÄSTERNORRLANDS LÄN</t>
        </is>
      </c>
      <c r="E1420" t="inlineStr">
        <is>
          <t>SUNDSVALL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56815-2025</t>
        </is>
      </c>
      <c r="B1421" s="1" t="n">
        <v>45978.45726851852</v>
      </c>
      <c r="C1421" s="1" t="n">
        <v>46181</v>
      </c>
      <c r="D1421" t="inlineStr">
        <is>
          <t>VÄSTERNORRLANDS LÄN</t>
        </is>
      </c>
      <c r="E1421" t="inlineStr">
        <is>
          <t>SUNDSVALL</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56533-2025</t>
        </is>
      </c>
      <c r="B1422" s="1" t="n">
        <v>45975.46969907408</v>
      </c>
      <c r="C1422" s="1" t="n">
        <v>46181</v>
      </c>
      <c r="D1422" t="inlineStr">
        <is>
          <t>VÄSTERNORRLANDS LÄN</t>
        </is>
      </c>
      <c r="E1422" t="inlineStr">
        <is>
          <t>SUNDSVALL</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56559-2025</t>
        </is>
      </c>
      <c r="B1423" s="1" t="n">
        <v>45975.49059027778</v>
      </c>
      <c r="C1423" s="1" t="n">
        <v>46181</v>
      </c>
      <c r="D1423" t="inlineStr">
        <is>
          <t>VÄSTERNORRLANDS LÄN</t>
        </is>
      </c>
      <c r="E1423" t="inlineStr">
        <is>
          <t>SUNDSVALL</t>
        </is>
      </c>
      <c r="F1423" t="inlineStr">
        <is>
          <t>SCA</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15049-2025</t>
        </is>
      </c>
      <c r="B1424" s="1" t="n">
        <v>45743</v>
      </c>
      <c r="C1424" s="1" t="n">
        <v>46181</v>
      </c>
      <c r="D1424" t="inlineStr">
        <is>
          <t>VÄSTERNORRLANDS LÄN</t>
        </is>
      </c>
      <c r="E1424" t="inlineStr">
        <is>
          <t>SUNDSVALL</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56441-2025</t>
        </is>
      </c>
      <c r="B1425" s="1" t="n">
        <v>45975.34765046297</v>
      </c>
      <c r="C1425" s="1" t="n">
        <v>46181</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12365-2026</t>
        </is>
      </c>
      <c r="B1426" s="1" t="n">
        <v>46089</v>
      </c>
      <c r="C1426" s="1" t="n">
        <v>46181</v>
      </c>
      <c r="D1426" t="inlineStr">
        <is>
          <t>VÄSTERNORRLANDS LÄN</t>
        </is>
      </c>
      <c r="E1426" t="inlineStr">
        <is>
          <t>SUNDSVALL</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57775-2023</t>
        </is>
      </c>
      <c r="B1427" s="1" t="n">
        <v>45246</v>
      </c>
      <c r="C1427" s="1" t="n">
        <v>46181</v>
      </c>
      <c r="D1427" t="inlineStr">
        <is>
          <t>VÄSTERNORRLANDS LÄN</t>
        </is>
      </c>
      <c r="E1427" t="inlineStr">
        <is>
          <t>SUNDSVALL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10786-2023</t>
        </is>
      </c>
      <c r="B1428" s="1" t="n">
        <v>44988</v>
      </c>
      <c r="C1428" s="1" t="n">
        <v>46181</v>
      </c>
      <c r="D1428" t="inlineStr">
        <is>
          <t>VÄSTERNORRLANDS LÄN</t>
        </is>
      </c>
      <c r="E1428" t="inlineStr">
        <is>
          <t>SUNDSVALL</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46552-2023</t>
        </is>
      </c>
      <c r="B1429" s="1" t="n">
        <v>45197</v>
      </c>
      <c r="C1429" s="1" t="n">
        <v>46181</v>
      </c>
      <c r="D1429" t="inlineStr">
        <is>
          <t>VÄSTERNORRLANDS LÄN</t>
        </is>
      </c>
      <c r="E1429" t="inlineStr">
        <is>
          <t>SUNDSVALL</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6702-2025</t>
        </is>
      </c>
      <c r="B1430" s="1" t="n">
        <v>45700.5427199074</v>
      </c>
      <c r="C1430" s="1" t="n">
        <v>46181</v>
      </c>
      <c r="D1430" t="inlineStr">
        <is>
          <t>VÄSTERNORRLANDS LÄN</t>
        </is>
      </c>
      <c r="E1430" t="inlineStr">
        <is>
          <t>SUNDSVALL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18700-2023</t>
        </is>
      </c>
      <c r="B1431" s="1" t="n">
        <v>45042</v>
      </c>
      <c r="C1431" s="1" t="n">
        <v>46181</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12540-2026</t>
        </is>
      </c>
      <c r="B1432" s="1" t="n">
        <v>46090</v>
      </c>
      <c r="C1432" s="1" t="n">
        <v>46181</v>
      </c>
      <c r="D1432" t="inlineStr">
        <is>
          <t>VÄSTERNORRLANDS LÄN</t>
        </is>
      </c>
      <c r="E1432" t="inlineStr">
        <is>
          <t>SUNDSVALL</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46542-2023</t>
        </is>
      </c>
      <c r="B1433" s="1" t="n">
        <v>45197.92253472222</v>
      </c>
      <c r="C1433" s="1" t="n">
        <v>46181</v>
      </c>
      <c r="D1433" t="inlineStr">
        <is>
          <t>VÄSTERNORRLANDS LÄN</t>
        </is>
      </c>
      <c r="E1433" t="inlineStr">
        <is>
          <t>SUNDSVALL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57051-2025</t>
        </is>
      </c>
      <c r="B1434" s="1" t="n">
        <v>45979.34736111111</v>
      </c>
      <c r="C1434" s="1" t="n">
        <v>46181</v>
      </c>
      <c r="D1434" t="inlineStr">
        <is>
          <t>VÄSTERNORRLANDS LÄN</t>
        </is>
      </c>
      <c r="E1434" t="inlineStr">
        <is>
          <t>SUNDSVALL</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43419-2023</t>
        </is>
      </c>
      <c r="B1435" s="1" t="n">
        <v>45183.95748842593</v>
      </c>
      <c r="C1435" s="1" t="n">
        <v>46181</v>
      </c>
      <c r="D1435" t="inlineStr">
        <is>
          <t>VÄSTERNORRLANDS LÄN</t>
        </is>
      </c>
      <c r="E1435" t="inlineStr">
        <is>
          <t>SUNDSVALL</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57122-2025</t>
        </is>
      </c>
      <c r="B1436" s="1" t="n">
        <v>45979.4693287037</v>
      </c>
      <c r="C1436" s="1" t="n">
        <v>46181</v>
      </c>
      <c r="D1436" t="inlineStr">
        <is>
          <t>VÄSTERNORRLANDS LÄN</t>
        </is>
      </c>
      <c r="E1436" t="inlineStr">
        <is>
          <t>SUNDSVALL</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5022-2025</t>
        </is>
      </c>
      <c r="B1437" s="1" t="n">
        <v>45691.406875</v>
      </c>
      <c r="C1437" s="1" t="n">
        <v>46181</v>
      </c>
      <c r="D1437" t="inlineStr">
        <is>
          <t>VÄSTERNORRLANDS LÄN</t>
        </is>
      </c>
      <c r="E1437" t="inlineStr">
        <is>
          <t>SUNDSVALL</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39913-2022</t>
        </is>
      </c>
      <c r="B1438" s="1" t="n">
        <v>44819</v>
      </c>
      <c r="C1438" s="1" t="n">
        <v>46181</v>
      </c>
      <c r="D1438" t="inlineStr">
        <is>
          <t>VÄSTERNORRLANDS LÄN</t>
        </is>
      </c>
      <c r="E1438" t="inlineStr">
        <is>
          <t>SUNDSVALL</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13859-2025</t>
        </is>
      </c>
      <c r="B1439" s="1" t="n">
        <v>45737</v>
      </c>
      <c r="C1439" s="1" t="n">
        <v>46181</v>
      </c>
      <c r="D1439" t="inlineStr">
        <is>
          <t>VÄSTERNORRLANDS LÄN</t>
        </is>
      </c>
      <c r="E1439" t="inlineStr">
        <is>
          <t>SUNDSVALL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4784-2025</t>
        </is>
      </c>
      <c r="B1440" s="1" t="n">
        <v>45688.53841435185</v>
      </c>
      <c r="C1440" s="1" t="n">
        <v>46181</v>
      </c>
      <c r="D1440" t="inlineStr">
        <is>
          <t>VÄSTERNORRLANDS LÄN</t>
        </is>
      </c>
      <c r="E1440" t="inlineStr">
        <is>
          <t>SUNDSVALL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49539-2022</t>
        </is>
      </c>
      <c r="B1441" s="1" t="n">
        <v>44861.95814814815</v>
      </c>
      <c r="C1441" s="1" t="n">
        <v>46181</v>
      </c>
      <c r="D1441" t="inlineStr">
        <is>
          <t>VÄSTERNORRLANDS LÄN</t>
        </is>
      </c>
      <c r="E1441" t="inlineStr">
        <is>
          <t>SUNDSVALL</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57092-2025</t>
        </is>
      </c>
      <c r="B1442" s="1" t="n">
        <v>45979.42767361111</v>
      </c>
      <c r="C1442" s="1" t="n">
        <v>46181</v>
      </c>
      <c r="D1442" t="inlineStr">
        <is>
          <t>VÄSTERNORRLANDS LÄN</t>
        </is>
      </c>
      <c r="E1442" t="inlineStr">
        <is>
          <t>SUNDSVALL</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57145-2025</t>
        </is>
      </c>
      <c r="B1443" s="1" t="n">
        <v>45979.4903587963</v>
      </c>
      <c r="C1443" s="1" t="n">
        <v>46181</v>
      </c>
      <c r="D1443" t="inlineStr">
        <is>
          <t>VÄSTERNORRLANDS LÄN</t>
        </is>
      </c>
      <c r="E1443" t="inlineStr">
        <is>
          <t>SUNDSVALL</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57067-2023</t>
        </is>
      </c>
      <c r="B1444" s="1" t="n">
        <v>45244</v>
      </c>
      <c r="C1444" s="1" t="n">
        <v>46181</v>
      </c>
      <c r="D1444" t="inlineStr">
        <is>
          <t>VÄSTERNORRLANDS LÄN</t>
        </is>
      </c>
      <c r="E1444" t="inlineStr">
        <is>
          <t>SUNDSVALL</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57052-2025</t>
        </is>
      </c>
      <c r="B1445" s="1" t="n">
        <v>45979.34738425926</v>
      </c>
      <c r="C1445" s="1" t="n">
        <v>46181</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13190-2026</t>
        </is>
      </c>
      <c r="B1446" s="1" t="n">
        <v>46093</v>
      </c>
      <c r="C1446" s="1" t="n">
        <v>46181</v>
      </c>
      <c r="D1446" t="inlineStr">
        <is>
          <t>VÄSTERNORRLANDS LÄN</t>
        </is>
      </c>
      <c r="E1446" t="inlineStr">
        <is>
          <t>SUNDSVALL</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57144-2025</t>
        </is>
      </c>
      <c r="B1447" s="1" t="n">
        <v>45979.49015046296</v>
      </c>
      <c r="C1447" s="1" t="n">
        <v>46181</v>
      </c>
      <c r="D1447" t="inlineStr">
        <is>
          <t>VÄSTERNORRLANDS LÄN</t>
        </is>
      </c>
      <c r="E1447" t="inlineStr">
        <is>
          <t>SUNDSVALL</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13141-2026</t>
        </is>
      </c>
      <c r="B1448" s="1" t="n">
        <v>46093.51096064815</v>
      </c>
      <c r="C1448" s="1" t="n">
        <v>46181</v>
      </c>
      <c r="D1448" t="inlineStr">
        <is>
          <t>VÄSTERNORRLANDS LÄN</t>
        </is>
      </c>
      <c r="E1448" t="inlineStr">
        <is>
          <t>SUNDSVALL</t>
        </is>
      </c>
      <c r="F1448" t="inlineStr">
        <is>
          <t>SCA</t>
        </is>
      </c>
      <c r="G1448" t="n">
        <v>13.6</v>
      </c>
      <c r="H1448" t="n">
        <v>0</v>
      </c>
      <c r="I1448" t="n">
        <v>0</v>
      </c>
      <c r="J1448" t="n">
        <v>0</v>
      </c>
      <c r="K1448" t="n">
        <v>0</v>
      </c>
      <c r="L1448" t="n">
        <v>0</v>
      </c>
      <c r="M1448" t="n">
        <v>0</v>
      </c>
      <c r="N1448" t="n">
        <v>0</v>
      </c>
      <c r="O1448" t="n">
        <v>0</v>
      </c>
      <c r="P1448" t="n">
        <v>0</v>
      </c>
      <c r="Q1448" t="n">
        <v>0</v>
      </c>
      <c r="R1448" s="2" t="inlineStr"/>
    </row>
    <row r="1449" ht="15" customHeight="1">
      <c r="A1449" t="inlineStr">
        <is>
          <t>A 57396-2025</t>
        </is>
      </c>
      <c r="B1449" s="1" t="n">
        <v>45980.42802083334</v>
      </c>
      <c r="C1449" s="1" t="n">
        <v>46181</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13187-2026</t>
        </is>
      </c>
      <c r="B1450" s="1" t="n">
        <v>46093.59449074074</v>
      </c>
      <c r="C1450" s="1" t="n">
        <v>46181</v>
      </c>
      <c r="D1450" t="inlineStr">
        <is>
          <t>VÄSTERNORRLANDS LÄN</t>
        </is>
      </c>
      <c r="E1450" t="inlineStr">
        <is>
          <t>SUNDSVALL</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13081-2026</t>
        </is>
      </c>
      <c r="B1451" s="1" t="n">
        <v>46093.38622685185</v>
      </c>
      <c r="C1451" s="1" t="n">
        <v>46181</v>
      </c>
      <c r="D1451" t="inlineStr">
        <is>
          <t>VÄSTERNORRLANDS LÄN</t>
        </is>
      </c>
      <c r="E1451" t="inlineStr">
        <is>
          <t>SUNDSVALL</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13189-2026</t>
        </is>
      </c>
      <c r="B1452" s="1" t="n">
        <v>46093</v>
      </c>
      <c r="C1452" s="1" t="n">
        <v>46181</v>
      </c>
      <c r="D1452" t="inlineStr">
        <is>
          <t>VÄSTERNORRLANDS LÄN</t>
        </is>
      </c>
      <c r="E1452" t="inlineStr">
        <is>
          <t>SUNDSVALL</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19828-2025</t>
        </is>
      </c>
      <c r="B1453" s="1" t="n">
        <v>45771.46931712963</v>
      </c>
      <c r="C1453" s="1" t="n">
        <v>46181</v>
      </c>
      <c r="D1453" t="inlineStr">
        <is>
          <t>VÄSTERNORRLANDS LÄN</t>
        </is>
      </c>
      <c r="E1453" t="inlineStr">
        <is>
          <t>SUNDSVALL</t>
        </is>
      </c>
      <c r="F1453" t="inlineStr">
        <is>
          <t>Naturvårdsverket</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19830-2025</t>
        </is>
      </c>
      <c r="B1454" s="1" t="n">
        <v>45771.46956018519</v>
      </c>
      <c r="C1454" s="1" t="n">
        <v>46181</v>
      </c>
      <c r="D1454" t="inlineStr">
        <is>
          <t>VÄSTERNORRLANDS LÄN</t>
        </is>
      </c>
      <c r="E1454" t="inlineStr">
        <is>
          <t>SUNDSVALL</t>
        </is>
      </c>
      <c r="F1454" t="inlineStr">
        <is>
          <t>Naturvårdsverket</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12806-2026</t>
        </is>
      </c>
      <c r="B1455" s="1" t="n">
        <v>46092</v>
      </c>
      <c r="C1455" s="1" t="n">
        <v>46181</v>
      </c>
      <c r="D1455" t="inlineStr">
        <is>
          <t>VÄSTERNORRLANDS LÄN</t>
        </is>
      </c>
      <c r="E1455" t="inlineStr">
        <is>
          <t>SUNDSVALL</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12808-2026</t>
        </is>
      </c>
      <c r="B1456" s="1" t="n">
        <v>46092</v>
      </c>
      <c r="C1456" s="1" t="n">
        <v>46181</v>
      </c>
      <c r="D1456" t="inlineStr">
        <is>
          <t>VÄSTERNORRLANDS LÄN</t>
        </is>
      </c>
      <c r="E1456" t="inlineStr">
        <is>
          <t>SUNDSVALL</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13082-2026</t>
        </is>
      </c>
      <c r="B1457" s="1" t="n">
        <v>46093.38628472222</v>
      </c>
      <c r="C1457" s="1" t="n">
        <v>46181</v>
      </c>
      <c r="D1457" t="inlineStr">
        <is>
          <t>VÄSTERNORRLANDS LÄN</t>
        </is>
      </c>
      <c r="E1457" t="inlineStr">
        <is>
          <t>SUNDSVALL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13794-2025</t>
        </is>
      </c>
      <c r="B1458" s="1" t="n">
        <v>45737.46950231482</v>
      </c>
      <c r="C1458" s="1" t="n">
        <v>46181</v>
      </c>
      <c r="D1458" t="inlineStr">
        <is>
          <t>VÄSTERNORRLANDS LÄN</t>
        </is>
      </c>
      <c r="E1458" t="inlineStr">
        <is>
          <t>SUNDSVALL</t>
        </is>
      </c>
      <c r="F1458" t="inlineStr">
        <is>
          <t>Kommuner</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19228-2023</t>
        </is>
      </c>
      <c r="B1459" s="1" t="n">
        <v>45048</v>
      </c>
      <c r="C1459" s="1" t="n">
        <v>46181</v>
      </c>
      <c r="D1459" t="inlineStr">
        <is>
          <t>VÄSTERNORRLANDS LÄN</t>
        </is>
      </c>
      <c r="E1459" t="inlineStr">
        <is>
          <t>SUNDSVALL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58089-2025</t>
        </is>
      </c>
      <c r="B1460" s="1" t="n">
        <v>45982.57334490741</v>
      </c>
      <c r="C1460" s="1" t="n">
        <v>46181</v>
      </c>
      <c r="D1460" t="inlineStr">
        <is>
          <t>VÄSTERNORRLANDS LÄN</t>
        </is>
      </c>
      <c r="E1460" t="inlineStr">
        <is>
          <t>SUNDSVALL</t>
        </is>
      </c>
      <c r="F1460" t="inlineStr">
        <is>
          <t>SCA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58090-2025</t>
        </is>
      </c>
      <c r="B1461" s="1" t="n">
        <v>45982.57361111111</v>
      </c>
      <c r="C1461" s="1" t="n">
        <v>46181</v>
      </c>
      <c r="D1461" t="inlineStr">
        <is>
          <t>VÄSTERNORRLANDS LÄN</t>
        </is>
      </c>
      <c r="E1461" t="inlineStr">
        <is>
          <t>SUNDSVALL</t>
        </is>
      </c>
      <c r="F1461" t="inlineStr">
        <is>
          <t>SCA</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57724-2025</t>
        </is>
      </c>
      <c r="B1462" s="1" t="n">
        <v>45981.49041666667</v>
      </c>
      <c r="C1462" s="1" t="n">
        <v>46181</v>
      </c>
      <c r="D1462" t="inlineStr">
        <is>
          <t>VÄSTERNORRLANDS LÄN</t>
        </is>
      </c>
      <c r="E1462" t="inlineStr">
        <is>
          <t>SUNDSVALL</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34607-2024</t>
        </is>
      </c>
      <c r="B1463" s="1" t="n">
        <v>45526</v>
      </c>
      <c r="C1463" s="1" t="n">
        <v>46181</v>
      </c>
      <c r="D1463" t="inlineStr">
        <is>
          <t>VÄSTERNORRLANDS LÄN</t>
        </is>
      </c>
      <c r="E1463" t="inlineStr">
        <is>
          <t>SUNDSVALL</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13094-2026</t>
        </is>
      </c>
      <c r="B1464" s="1" t="n">
        <v>46093.40708333333</v>
      </c>
      <c r="C1464" s="1" t="n">
        <v>46181</v>
      </c>
      <c r="D1464" t="inlineStr">
        <is>
          <t>VÄSTERNORRLANDS LÄN</t>
        </is>
      </c>
      <c r="E1464" t="inlineStr">
        <is>
          <t>SUNDSVALL</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13186-2026</t>
        </is>
      </c>
      <c r="B1465" s="1" t="n">
        <v>46093.5943287037</v>
      </c>
      <c r="C1465" s="1" t="n">
        <v>46181</v>
      </c>
      <c r="D1465" t="inlineStr">
        <is>
          <t>VÄSTERNORRLANDS LÄN</t>
        </is>
      </c>
      <c r="E1465" t="inlineStr">
        <is>
          <t>SUNDSVALL</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13191-2026</t>
        </is>
      </c>
      <c r="B1466" s="1" t="n">
        <v>46093.59491898148</v>
      </c>
      <c r="C1466" s="1" t="n">
        <v>46181</v>
      </c>
      <c r="D1466" t="inlineStr">
        <is>
          <t>VÄSTERNORRLANDS LÄN</t>
        </is>
      </c>
      <c r="E1466" t="inlineStr">
        <is>
          <t>SUNDSVALL</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16564-2023</t>
        </is>
      </c>
      <c r="B1467" s="1" t="n">
        <v>45029.94174768519</v>
      </c>
      <c r="C1467" s="1" t="n">
        <v>46181</v>
      </c>
      <c r="D1467" t="inlineStr">
        <is>
          <t>VÄSTERNORRLANDS LÄN</t>
        </is>
      </c>
      <c r="E1467" t="inlineStr">
        <is>
          <t>SUNDSVALL</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13266-2026</t>
        </is>
      </c>
      <c r="B1468" s="1" t="n">
        <v>46093.68486111111</v>
      </c>
      <c r="C1468" s="1" t="n">
        <v>46181</v>
      </c>
      <c r="D1468" t="inlineStr">
        <is>
          <t>VÄSTERNORRLANDS LÄN</t>
        </is>
      </c>
      <c r="E1468" t="inlineStr">
        <is>
          <t>SUNDSVALL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43194-2021</t>
        </is>
      </c>
      <c r="B1469" s="1" t="n">
        <v>44431</v>
      </c>
      <c r="C1469" s="1" t="n">
        <v>46181</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12918-2026</t>
        </is>
      </c>
      <c r="B1470" s="1" t="n">
        <v>46092.59415509259</v>
      </c>
      <c r="C1470" s="1" t="n">
        <v>46181</v>
      </c>
      <c r="D1470" t="inlineStr">
        <is>
          <t>VÄSTERNORRLANDS LÄN</t>
        </is>
      </c>
      <c r="E1470" t="inlineStr">
        <is>
          <t>SUNDSVALL</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58164-2025</t>
        </is>
      </c>
      <c r="B1471" s="1" t="n">
        <v>45982</v>
      </c>
      <c r="C1471" s="1" t="n">
        <v>46181</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6704-2025</t>
        </is>
      </c>
      <c r="B1472" s="1" t="n">
        <v>45700.54395833334</v>
      </c>
      <c r="C1472" s="1" t="n">
        <v>46181</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10684-2025</t>
        </is>
      </c>
      <c r="B1473" s="1" t="n">
        <v>45721.95054398148</v>
      </c>
      <c r="C1473" s="1" t="n">
        <v>46181</v>
      </c>
      <c r="D1473" t="inlineStr">
        <is>
          <t>VÄSTERNORRLANDS LÄN</t>
        </is>
      </c>
      <c r="E1473" t="inlineStr">
        <is>
          <t>SUNDSVALL</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10686-2025</t>
        </is>
      </c>
      <c r="B1474" s="1" t="n">
        <v>45721.9587962963</v>
      </c>
      <c r="C1474" s="1" t="n">
        <v>46181</v>
      </c>
      <c r="D1474" t="inlineStr">
        <is>
          <t>VÄSTERNORRLANDS LÄN</t>
        </is>
      </c>
      <c r="E1474" t="inlineStr">
        <is>
          <t>SUNDSVALL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13742-2026</t>
        </is>
      </c>
      <c r="B1475" s="1" t="n">
        <v>46097.63606481482</v>
      </c>
      <c r="C1475" s="1" t="n">
        <v>46181</v>
      </c>
      <c r="D1475" t="inlineStr">
        <is>
          <t>VÄSTERNORRLANDS LÄN</t>
        </is>
      </c>
      <c r="E1475" t="inlineStr">
        <is>
          <t>SUNDSVALL</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13749-2026</t>
        </is>
      </c>
      <c r="B1476" s="1" t="n">
        <v>46097.63704861111</v>
      </c>
      <c r="C1476" s="1" t="n">
        <v>46181</v>
      </c>
      <c r="D1476" t="inlineStr">
        <is>
          <t>VÄSTERNORRLANDS LÄN</t>
        </is>
      </c>
      <c r="E1476" t="inlineStr">
        <is>
          <t>SUNDSVALL</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13754-2026</t>
        </is>
      </c>
      <c r="B1477" s="1" t="n">
        <v>46097.63789351852</v>
      </c>
      <c r="C1477" s="1" t="n">
        <v>46181</v>
      </c>
      <c r="D1477" t="inlineStr">
        <is>
          <t>VÄSTERNORRLANDS LÄN</t>
        </is>
      </c>
      <c r="E1477" t="inlineStr">
        <is>
          <t>SUNDSVALL</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29597-2023</t>
        </is>
      </c>
      <c r="B1478" s="1" t="n">
        <v>45106</v>
      </c>
      <c r="C1478" s="1" t="n">
        <v>46181</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13524-2026</t>
        </is>
      </c>
      <c r="B1479" s="1" t="n">
        <v>46094.63592592593</v>
      </c>
      <c r="C1479" s="1" t="n">
        <v>46181</v>
      </c>
      <c r="D1479" t="inlineStr">
        <is>
          <t>VÄSTERNORRLANDS LÄN</t>
        </is>
      </c>
      <c r="E1479" t="inlineStr">
        <is>
          <t>SUNDSVALL</t>
        </is>
      </c>
      <c r="F1479" t="inlineStr">
        <is>
          <t>SCA</t>
        </is>
      </c>
      <c r="G1479" t="n">
        <v>25.6</v>
      </c>
      <c r="H1479" t="n">
        <v>0</v>
      </c>
      <c r="I1479" t="n">
        <v>0</v>
      </c>
      <c r="J1479" t="n">
        <v>0</v>
      </c>
      <c r="K1479" t="n">
        <v>0</v>
      </c>
      <c r="L1479" t="n">
        <v>0</v>
      </c>
      <c r="M1479" t="n">
        <v>0</v>
      </c>
      <c r="N1479" t="n">
        <v>0</v>
      </c>
      <c r="O1479" t="n">
        <v>0</v>
      </c>
      <c r="P1479" t="n">
        <v>0</v>
      </c>
      <c r="Q1479" t="n">
        <v>0</v>
      </c>
      <c r="R1479" s="2" t="inlineStr"/>
    </row>
    <row r="1480" ht="15" customHeight="1">
      <c r="A1480" t="inlineStr">
        <is>
          <t>A 58552-2025</t>
        </is>
      </c>
      <c r="B1480" s="1" t="n">
        <v>45986.33105324074</v>
      </c>
      <c r="C1480" s="1" t="n">
        <v>46181</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58429-2025</t>
        </is>
      </c>
      <c r="B1481" s="1" t="n">
        <v>45985.60277777778</v>
      </c>
      <c r="C1481" s="1" t="n">
        <v>46181</v>
      </c>
      <c r="D1481" t="inlineStr">
        <is>
          <t>VÄSTERNORRLANDS LÄN</t>
        </is>
      </c>
      <c r="E1481" t="inlineStr">
        <is>
          <t>SUNDSVALL</t>
        </is>
      </c>
      <c r="F1481" t="inlineStr">
        <is>
          <t>Kommuner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58507-2025</t>
        </is>
      </c>
      <c r="B1482" s="1" t="n">
        <v>45985.69873842593</v>
      </c>
      <c r="C1482" s="1" t="n">
        <v>46181</v>
      </c>
      <c r="D1482" t="inlineStr">
        <is>
          <t>VÄSTERNORRLANDS LÄN</t>
        </is>
      </c>
      <c r="E1482" t="inlineStr">
        <is>
          <t>SUNDSVALL</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58243-2023</t>
        </is>
      </c>
      <c r="B1483" s="1" t="n">
        <v>45250</v>
      </c>
      <c r="C1483" s="1" t="n">
        <v>46181</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13371-2025</t>
        </is>
      </c>
      <c r="B1484" s="1" t="n">
        <v>45735.66290509259</v>
      </c>
      <c r="C1484" s="1" t="n">
        <v>46181</v>
      </c>
      <c r="D1484" t="inlineStr">
        <is>
          <t>VÄSTERNORRLANDS LÄN</t>
        </is>
      </c>
      <c r="E1484" t="inlineStr">
        <is>
          <t>SUNDSVALL</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58551-2025</t>
        </is>
      </c>
      <c r="B1485" s="1" t="n">
        <v>45986.32783564815</v>
      </c>
      <c r="C1485" s="1" t="n">
        <v>46181</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46716-2022</t>
        </is>
      </c>
      <c r="B1486" s="1" t="n">
        <v>44851</v>
      </c>
      <c r="C1486" s="1" t="n">
        <v>46181</v>
      </c>
      <c r="D1486" t="inlineStr">
        <is>
          <t>VÄSTERNORRLANDS LÄN</t>
        </is>
      </c>
      <c r="E1486" t="inlineStr">
        <is>
          <t>SUNDSVALL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22564-2023</t>
        </is>
      </c>
      <c r="B1487" s="1" t="n">
        <v>45071.44974537037</v>
      </c>
      <c r="C1487" s="1" t="n">
        <v>46181</v>
      </c>
      <c r="D1487" t="inlineStr">
        <is>
          <t>VÄSTERNORRLANDS LÄN</t>
        </is>
      </c>
      <c r="E1487" t="inlineStr">
        <is>
          <t>SUNDSVALL</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20073-2025</t>
        </is>
      </c>
      <c r="B1488" s="1" t="n">
        <v>45772.44826388889</v>
      </c>
      <c r="C1488" s="1" t="n">
        <v>46181</v>
      </c>
      <c r="D1488" t="inlineStr">
        <is>
          <t>VÄSTERNORRLANDS LÄN</t>
        </is>
      </c>
      <c r="E1488" t="inlineStr">
        <is>
          <t>SUNDSVALL</t>
        </is>
      </c>
      <c r="F1488" t="inlineStr">
        <is>
          <t>Naturvårdsverket</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25695-2024</t>
        </is>
      </c>
      <c r="B1489" s="1" t="n">
        <v>45463</v>
      </c>
      <c r="C1489" s="1" t="n">
        <v>46181</v>
      </c>
      <c r="D1489" t="inlineStr">
        <is>
          <t>VÄSTERNORRLANDS LÄN</t>
        </is>
      </c>
      <c r="E1489" t="inlineStr">
        <is>
          <t>SUNDSVALL</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13744-2026</t>
        </is>
      </c>
      <c r="B1490" s="1" t="n">
        <v>46097.63645833333</v>
      </c>
      <c r="C1490" s="1" t="n">
        <v>46181</v>
      </c>
      <c r="D1490" t="inlineStr">
        <is>
          <t>VÄSTERNORRLANDS LÄN</t>
        </is>
      </c>
      <c r="E1490" t="inlineStr">
        <is>
          <t>SUNDSVALL</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13745-2026</t>
        </is>
      </c>
      <c r="B1491" s="1" t="n">
        <v>46097.63662037037</v>
      </c>
      <c r="C1491" s="1" t="n">
        <v>46181</v>
      </c>
      <c r="D1491" t="inlineStr">
        <is>
          <t>VÄSTERNORRLANDS LÄN</t>
        </is>
      </c>
      <c r="E1491" t="inlineStr">
        <is>
          <t>SUNDSVALL</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58615-2025</t>
        </is>
      </c>
      <c r="B1492" s="1" t="n">
        <v>45986.46577546297</v>
      </c>
      <c r="C1492" s="1" t="n">
        <v>46181</v>
      </c>
      <c r="D1492" t="inlineStr">
        <is>
          <t>VÄSTERNORRLANDS LÄN</t>
        </is>
      </c>
      <c r="E1492" t="inlineStr">
        <is>
          <t>SUNDSVALL</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18286-2025</t>
        </is>
      </c>
      <c r="B1493" s="1" t="n">
        <v>45762.40010416666</v>
      </c>
      <c r="C1493" s="1" t="n">
        <v>46181</v>
      </c>
      <c r="D1493" t="inlineStr">
        <is>
          <t>VÄSTERNORRLANDS LÄN</t>
        </is>
      </c>
      <c r="E1493" t="inlineStr">
        <is>
          <t>SUNDSVALL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13180-2025</t>
        </is>
      </c>
      <c r="B1494" s="1" t="n">
        <v>45735.38108796296</v>
      </c>
      <c r="C1494" s="1" t="n">
        <v>46181</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13743-2026</t>
        </is>
      </c>
      <c r="B1495" s="1" t="n">
        <v>46097.63630787037</v>
      </c>
      <c r="C1495" s="1" t="n">
        <v>46181</v>
      </c>
      <c r="D1495" t="inlineStr">
        <is>
          <t>VÄSTERNORRLANDS LÄN</t>
        </is>
      </c>
      <c r="E1495" t="inlineStr">
        <is>
          <t>SUNDSVALL</t>
        </is>
      </c>
      <c r="F1495" t="inlineStr">
        <is>
          <t>SCA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13750-2026</t>
        </is>
      </c>
      <c r="B1496" s="1" t="n">
        <v>46097.6372337963</v>
      </c>
      <c r="C1496" s="1" t="n">
        <v>46181</v>
      </c>
      <c r="D1496" t="inlineStr">
        <is>
          <t>VÄSTERNORRLANDS LÄN</t>
        </is>
      </c>
      <c r="E1496" t="inlineStr">
        <is>
          <t>SUNDSVALL</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58612-2025</t>
        </is>
      </c>
      <c r="B1497" s="1" t="n">
        <v>45986.45421296296</v>
      </c>
      <c r="C1497" s="1" t="n">
        <v>46181</v>
      </c>
      <c r="D1497" t="inlineStr">
        <is>
          <t>VÄSTERNORRLANDS LÄN</t>
        </is>
      </c>
      <c r="E1497" t="inlineStr">
        <is>
          <t>SUNDSVALL</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58525-2025</t>
        </is>
      </c>
      <c r="B1498" s="1" t="n">
        <v>45985.71924768519</v>
      </c>
      <c r="C1498" s="1" t="n">
        <v>46181</v>
      </c>
      <c r="D1498" t="inlineStr">
        <is>
          <t>VÄSTERNORRLANDS LÄN</t>
        </is>
      </c>
      <c r="E1498" t="inlineStr">
        <is>
          <t>SUNDSVALL</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13747-2026</t>
        </is>
      </c>
      <c r="B1499" s="1" t="n">
        <v>46097.63690972222</v>
      </c>
      <c r="C1499" s="1" t="n">
        <v>46181</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13753-2026</t>
        </is>
      </c>
      <c r="B1500" s="1" t="n">
        <v>46097.63773148148</v>
      </c>
      <c r="C1500" s="1" t="n">
        <v>46181</v>
      </c>
      <c r="D1500" t="inlineStr">
        <is>
          <t>VÄSTERNORRLANDS LÄN</t>
        </is>
      </c>
      <c r="E1500" t="inlineStr">
        <is>
          <t>SUNDSVALL</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42507-2023</t>
        </is>
      </c>
      <c r="B1501" s="1" t="n">
        <v>45180.95899305555</v>
      </c>
      <c r="C1501" s="1" t="n">
        <v>46181</v>
      </c>
      <c r="D1501" t="inlineStr">
        <is>
          <t>VÄSTERNORRLANDS LÄN</t>
        </is>
      </c>
      <c r="E1501" t="inlineStr">
        <is>
          <t>SUNDSVALL</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56682-2023</t>
        </is>
      </c>
      <c r="B1502" s="1" t="n">
        <v>45243</v>
      </c>
      <c r="C1502" s="1" t="n">
        <v>46181</v>
      </c>
      <c r="D1502" t="inlineStr">
        <is>
          <t>VÄSTERNORRLANDS LÄN</t>
        </is>
      </c>
      <c r="E1502" t="inlineStr">
        <is>
          <t>SUNDSVALL</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54998-2022</t>
        </is>
      </c>
      <c r="B1503" s="1" t="n">
        <v>44881</v>
      </c>
      <c r="C1503" s="1" t="n">
        <v>46181</v>
      </c>
      <c r="D1503" t="inlineStr">
        <is>
          <t>VÄSTERNORRLANDS LÄN</t>
        </is>
      </c>
      <c r="E1503" t="inlineStr">
        <is>
          <t>SUNDSVALL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19036-2025</t>
        </is>
      </c>
      <c r="B1504" s="1" t="n">
        <v>45764.67304398148</v>
      </c>
      <c r="C1504" s="1" t="n">
        <v>46181</v>
      </c>
      <c r="D1504" t="inlineStr">
        <is>
          <t>VÄSTERNORRLANDS LÄN</t>
        </is>
      </c>
      <c r="E1504" t="inlineStr">
        <is>
          <t>SUNDSVALL</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59164-2025</t>
        </is>
      </c>
      <c r="B1505" s="1" t="n">
        <v>45988.55570601852</v>
      </c>
      <c r="C1505" s="1" t="n">
        <v>46181</v>
      </c>
      <c r="D1505" t="inlineStr">
        <is>
          <t>VÄSTERNORRLANDS LÄN</t>
        </is>
      </c>
      <c r="E1505" t="inlineStr">
        <is>
          <t>SUNDSVALL</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3546-2022</t>
        </is>
      </c>
      <c r="B1506" s="1" t="n">
        <v>44585</v>
      </c>
      <c r="C1506" s="1" t="n">
        <v>46181</v>
      </c>
      <c r="D1506" t="inlineStr">
        <is>
          <t>VÄSTERNORRLANDS LÄN</t>
        </is>
      </c>
      <c r="E1506" t="inlineStr">
        <is>
          <t>SUNDSVALL</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59006-2025</t>
        </is>
      </c>
      <c r="B1507" s="1" t="n">
        <v>45987</v>
      </c>
      <c r="C1507" s="1" t="n">
        <v>46181</v>
      </c>
      <c r="D1507" t="inlineStr">
        <is>
          <t>VÄSTERNORRLANDS LÄN</t>
        </is>
      </c>
      <c r="E1507" t="inlineStr">
        <is>
          <t>SUNDSVALL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58859-2025</t>
        </is>
      </c>
      <c r="B1508" s="1" t="n">
        <v>45987.42791666667</v>
      </c>
      <c r="C1508" s="1" t="n">
        <v>46181</v>
      </c>
      <c r="D1508" t="inlineStr">
        <is>
          <t>VÄSTERNORRLANDS LÄN</t>
        </is>
      </c>
      <c r="E1508" t="inlineStr">
        <is>
          <t>SUNDSVALL</t>
        </is>
      </c>
      <c r="F1508" t="inlineStr">
        <is>
          <t>SCA</t>
        </is>
      </c>
      <c r="G1508" t="n">
        <v>13.4</v>
      </c>
      <c r="H1508" t="n">
        <v>0</v>
      </c>
      <c r="I1508" t="n">
        <v>0</v>
      </c>
      <c r="J1508" t="n">
        <v>0</v>
      </c>
      <c r="K1508" t="n">
        <v>0</v>
      </c>
      <c r="L1508" t="n">
        <v>0</v>
      </c>
      <c r="M1508" t="n">
        <v>0</v>
      </c>
      <c r="N1508" t="n">
        <v>0</v>
      </c>
      <c r="O1508" t="n">
        <v>0</v>
      </c>
      <c r="P1508" t="n">
        <v>0</v>
      </c>
      <c r="Q1508" t="n">
        <v>0</v>
      </c>
      <c r="R1508" s="2" t="inlineStr"/>
    </row>
    <row r="1509" ht="15" customHeight="1">
      <c r="A1509" t="inlineStr">
        <is>
          <t>A 59341-2023</t>
        </is>
      </c>
      <c r="B1509" s="1" t="n">
        <v>45253.65173611111</v>
      </c>
      <c r="C1509" s="1" t="n">
        <v>46181</v>
      </c>
      <c r="D1509" t="inlineStr">
        <is>
          <t>VÄSTERNORRLANDS LÄN</t>
        </is>
      </c>
      <c r="E1509" t="inlineStr">
        <is>
          <t>SUNDSVALL</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58825-2025</t>
        </is>
      </c>
      <c r="B1510" s="1" t="n">
        <v>45987.34678240741</v>
      </c>
      <c r="C1510" s="1" t="n">
        <v>46181</v>
      </c>
      <c r="D1510" t="inlineStr">
        <is>
          <t>VÄSTERNORRLANDS LÄN</t>
        </is>
      </c>
      <c r="E1510" t="inlineStr">
        <is>
          <t>SUNDSVALL</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59228-2025</t>
        </is>
      </c>
      <c r="B1511" s="1" t="n">
        <v>45988.62262731481</v>
      </c>
      <c r="C1511" s="1" t="n">
        <v>46181</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51360-2022</t>
        </is>
      </c>
      <c r="B1512" s="1" t="n">
        <v>44869</v>
      </c>
      <c r="C1512" s="1" t="n">
        <v>46181</v>
      </c>
      <c r="D1512" t="inlineStr">
        <is>
          <t>VÄSTERNORRLANDS LÄN</t>
        </is>
      </c>
      <c r="E1512" t="inlineStr">
        <is>
          <t>SUNDSVALL</t>
        </is>
      </c>
      <c r="G1512" t="n">
        <v>30.9</v>
      </c>
      <c r="H1512" t="n">
        <v>0</v>
      </c>
      <c r="I1512" t="n">
        <v>0</v>
      </c>
      <c r="J1512" t="n">
        <v>0</v>
      </c>
      <c r="K1512" t="n">
        <v>0</v>
      </c>
      <c r="L1512" t="n">
        <v>0</v>
      </c>
      <c r="M1512" t="n">
        <v>0</v>
      </c>
      <c r="N1512" t="n">
        <v>0</v>
      </c>
      <c r="O1512" t="n">
        <v>0</v>
      </c>
      <c r="P1512" t="n">
        <v>0</v>
      </c>
      <c r="Q1512" t="n">
        <v>0</v>
      </c>
      <c r="R1512" s="2" t="inlineStr"/>
    </row>
    <row r="1513" ht="15" customHeight="1">
      <c r="A1513" t="inlineStr">
        <is>
          <t>A 59275-2025</t>
        </is>
      </c>
      <c r="B1513" s="1" t="n">
        <v>45988.69864583333</v>
      </c>
      <c r="C1513" s="1" t="n">
        <v>46181</v>
      </c>
      <c r="D1513" t="inlineStr">
        <is>
          <t>VÄSTERNORRLANDS LÄN</t>
        </is>
      </c>
      <c r="E1513" t="inlineStr">
        <is>
          <t>SUNDSVALL</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25988-2023</t>
        </is>
      </c>
      <c r="B1514" s="1" t="n">
        <v>45090.9250462963</v>
      </c>
      <c r="C1514" s="1" t="n">
        <v>46181</v>
      </c>
      <c r="D1514" t="inlineStr">
        <is>
          <t>VÄSTERNORRLANDS LÄN</t>
        </is>
      </c>
      <c r="E1514" t="inlineStr">
        <is>
          <t>SUNDSVALL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59180-2025</t>
        </is>
      </c>
      <c r="B1515" s="1" t="n">
        <v>45988.57369212963</v>
      </c>
      <c r="C1515" s="1" t="n">
        <v>46181</v>
      </c>
      <c r="D1515" t="inlineStr">
        <is>
          <t>VÄSTERNORRLANDS LÄN</t>
        </is>
      </c>
      <c r="E1515" t="inlineStr">
        <is>
          <t>SUNDSVALL</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59098-2025</t>
        </is>
      </c>
      <c r="B1516" s="1" t="n">
        <v>45988.45479166666</v>
      </c>
      <c r="C1516" s="1" t="n">
        <v>46181</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38665-2022</t>
        </is>
      </c>
      <c r="B1517" s="1" t="n">
        <v>44813</v>
      </c>
      <c r="C1517" s="1" t="n">
        <v>46181</v>
      </c>
      <c r="D1517" t="inlineStr">
        <is>
          <t>VÄSTERNORRLANDS LÄN</t>
        </is>
      </c>
      <c r="E1517" t="inlineStr">
        <is>
          <t>SUNDSVALL</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712-2023</t>
        </is>
      </c>
      <c r="B1518" s="1" t="n">
        <v>44930.92733796296</v>
      </c>
      <c r="C1518" s="1" t="n">
        <v>46181</v>
      </c>
      <c r="D1518" t="inlineStr">
        <is>
          <t>VÄSTERNORRLANDS LÄN</t>
        </is>
      </c>
      <c r="E1518" t="inlineStr">
        <is>
          <t>SUNDSVALL</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58831-2025</t>
        </is>
      </c>
      <c r="B1519" s="1" t="n">
        <v>45987.35292824074</v>
      </c>
      <c r="C1519" s="1" t="n">
        <v>46181</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512-2023</t>
        </is>
      </c>
      <c r="B1520" s="1" t="n">
        <v>44930</v>
      </c>
      <c r="C1520" s="1" t="n">
        <v>46181</v>
      </c>
      <c r="D1520" t="inlineStr">
        <is>
          <t>VÄSTERNORRLANDS LÄN</t>
        </is>
      </c>
      <c r="E1520" t="inlineStr">
        <is>
          <t>SUNDSVALL</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31317-2024</t>
        </is>
      </c>
      <c r="B1521" s="1" t="n">
        <v>45504</v>
      </c>
      <c r="C1521" s="1" t="n">
        <v>46181</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26427-2025</t>
        </is>
      </c>
      <c r="B1522" s="1" t="n">
        <v>45807</v>
      </c>
      <c r="C1522" s="1" t="n">
        <v>46181</v>
      </c>
      <c r="D1522" t="inlineStr">
        <is>
          <t>VÄSTERNORRLANDS LÄN</t>
        </is>
      </c>
      <c r="E1522" t="inlineStr">
        <is>
          <t>SUNDSVALL</t>
        </is>
      </c>
      <c r="F1522" t="inlineStr">
        <is>
          <t>Naturvårdsverket</t>
        </is>
      </c>
      <c r="G1522" t="n">
        <v>16.6</v>
      </c>
      <c r="H1522" t="n">
        <v>0</v>
      </c>
      <c r="I1522" t="n">
        <v>0</v>
      </c>
      <c r="J1522" t="n">
        <v>0</v>
      </c>
      <c r="K1522" t="n">
        <v>0</v>
      </c>
      <c r="L1522" t="n">
        <v>0</v>
      </c>
      <c r="M1522" t="n">
        <v>0</v>
      </c>
      <c r="N1522" t="n">
        <v>0</v>
      </c>
      <c r="O1522" t="n">
        <v>0</v>
      </c>
      <c r="P1522" t="n">
        <v>0</v>
      </c>
      <c r="Q1522" t="n">
        <v>0</v>
      </c>
      <c r="R1522" s="2" t="inlineStr"/>
    </row>
    <row r="1523" ht="15" customHeight="1">
      <c r="A1523" t="inlineStr">
        <is>
          <t>A 6673-2025</t>
        </is>
      </c>
      <c r="B1523" s="1" t="n">
        <v>45700.47215277778</v>
      </c>
      <c r="C1523" s="1" t="n">
        <v>46181</v>
      </c>
      <c r="D1523" t="inlineStr">
        <is>
          <t>VÄSTERNORRLANDS LÄN</t>
        </is>
      </c>
      <c r="E1523" t="inlineStr">
        <is>
          <t>SUNDSVALL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59212-2025</t>
        </is>
      </c>
      <c r="B1524" s="1" t="n">
        <v>45988.61541666667</v>
      </c>
      <c r="C1524" s="1" t="n">
        <v>46181</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16768-2023</t>
        </is>
      </c>
      <c r="B1525" s="1" t="n">
        <v>45030</v>
      </c>
      <c r="C1525" s="1" t="n">
        <v>46181</v>
      </c>
      <c r="D1525" t="inlineStr">
        <is>
          <t>VÄSTERNORRLANDS LÄN</t>
        </is>
      </c>
      <c r="E1525" t="inlineStr">
        <is>
          <t>SUNDSVALL</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59610-2025</t>
        </is>
      </c>
      <c r="B1526" s="1" t="n">
        <v>45992.36791666667</v>
      </c>
      <c r="C1526" s="1" t="n">
        <v>46181</v>
      </c>
      <c r="D1526" t="inlineStr">
        <is>
          <t>VÄSTERNORRLANDS LÄN</t>
        </is>
      </c>
      <c r="E1526" t="inlineStr">
        <is>
          <t>SUNDSVALL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59625-2025</t>
        </is>
      </c>
      <c r="B1527" s="1" t="n">
        <v>45992.38886574074</v>
      </c>
      <c r="C1527" s="1" t="n">
        <v>46181</v>
      </c>
      <c r="D1527" t="inlineStr">
        <is>
          <t>VÄSTERNORRLANDS LÄN</t>
        </is>
      </c>
      <c r="E1527" t="inlineStr">
        <is>
          <t>SUNDSVALL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59647-2025</t>
        </is>
      </c>
      <c r="B1528" s="1" t="n">
        <v>45992.42819444444</v>
      </c>
      <c r="C1528" s="1" t="n">
        <v>46181</v>
      </c>
      <c r="D1528" t="inlineStr">
        <is>
          <t>VÄSTERNORRLANDS LÄN</t>
        </is>
      </c>
      <c r="E1528" t="inlineStr">
        <is>
          <t>SUNDSVALL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59621-2025</t>
        </is>
      </c>
      <c r="B1529" s="1" t="n">
        <v>45992.38445601852</v>
      </c>
      <c r="C1529" s="1" t="n">
        <v>46181</v>
      </c>
      <c r="D1529" t="inlineStr">
        <is>
          <t>VÄSTERNORRLANDS LÄN</t>
        </is>
      </c>
      <c r="E1529" t="inlineStr">
        <is>
          <t>SUNDSVALL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59904-2025</t>
        </is>
      </c>
      <c r="B1530" s="1" t="n">
        <v>45992</v>
      </c>
      <c r="C1530" s="1" t="n">
        <v>46181</v>
      </c>
      <c r="D1530" t="inlineStr">
        <is>
          <t>VÄSTERNORRLANDS LÄN</t>
        </is>
      </c>
      <c r="E1530" t="inlineStr">
        <is>
          <t>SUNDSVALL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13779-2026</t>
        </is>
      </c>
      <c r="B1531" s="1" t="n">
        <v>46097.67768518518</v>
      </c>
      <c r="C1531" s="1" t="n">
        <v>46181</v>
      </c>
      <c r="D1531" t="inlineStr">
        <is>
          <t>VÄSTERNORRLANDS LÄN</t>
        </is>
      </c>
      <c r="E1531" t="inlineStr">
        <is>
          <t>SUNDSVALL</t>
        </is>
      </c>
      <c r="F1531" t="inlineStr">
        <is>
          <t>SCA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59021-2025</t>
        </is>
      </c>
      <c r="B1532" s="1" t="n">
        <v>45988.34453703704</v>
      </c>
      <c r="C1532" s="1" t="n">
        <v>46181</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48864-2021</t>
        </is>
      </c>
      <c r="B1533" s="1" t="n">
        <v>44452.94085648148</v>
      </c>
      <c r="C1533" s="1" t="n">
        <v>46181</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59898-2025</t>
        </is>
      </c>
      <c r="B1534" s="1" t="n">
        <v>45992</v>
      </c>
      <c r="C1534" s="1" t="n">
        <v>46181</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59636-2025</t>
        </is>
      </c>
      <c r="B1535" s="1" t="n">
        <v>45992.40660879629</v>
      </c>
      <c r="C1535" s="1" t="n">
        <v>46181</v>
      </c>
      <c r="D1535" t="inlineStr">
        <is>
          <t>VÄSTERNORRLANDS LÄN</t>
        </is>
      </c>
      <c r="E1535" t="inlineStr">
        <is>
          <t>SUNDSVALL</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14066-2026</t>
        </is>
      </c>
      <c r="B1536" s="1" t="n">
        <v>46099.34472222222</v>
      </c>
      <c r="C1536" s="1" t="n">
        <v>46181</v>
      </c>
      <c r="D1536" t="inlineStr">
        <is>
          <t>VÄSTERNORRLANDS LÄN</t>
        </is>
      </c>
      <c r="E1536" t="inlineStr">
        <is>
          <t>SUNDSVALL</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59720-2025</t>
        </is>
      </c>
      <c r="B1537" s="1" t="n">
        <v>45992.54521990741</v>
      </c>
      <c r="C1537" s="1" t="n">
        <v>46181</v>
      </c>
      <c r="D1537" t="inlineStr">
        <is>
          <t>VÄSTERNORRLANDS LÄN</t>
        </is>
      </c>
      <c r="E1537" t="inlineStr">
        <is>
          <t>SUNDSVALL</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20751-2026</t>
        </is>
      </c>
      <c r="B1538" s="1" t="n">
        <v>46141.59443287037</v>
      </c>
      <c r="C1538" s="1" t="n">
        <v>46181</v>
      </c>
      <c r="D1538" t="inlineStr">
        <is>
          <t>VÄSTERNORRLANDS LÄN</t>
        </is>
      </c>
      <c r="E1538" t="inlineStr">
        <is>
          <t>SUNDSVALL</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13989-2026</t>
        </is>
      </c>
      <c r="B1539" s="1" t="n">
        <v>46098.61503472222</v>
      </c>
      <c r="C1539" s="1" t="n">
        <v>46181</v>
      </c>
      <c r="D1539" t="inlineStr">
        <is>
          <t>VÄSTERNORRLANDS LÄN</t>
        </is>
      </c>
      <c r="E1539" t="inlineStr">
        <is>
          <t>SUNDSVALL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52334-2022</t>
        </is>
      </c>
      <c r="B1540" s="1" t="n">
        <v>44873</v>
      </c>
      <c r="C1540" s="1" t="n">
        <v>46181</v>
      </c>
      <c r="D1540" t="inlineStr">
        <is>
          <t>VÄSTERNORRLANDS LÄN</t>
        </is>
      </c>
      <c r="E1540" t="inlineStr">
        <is>
          <t>SUNDSVALL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13919-2026</t>
        </is>
      </c>
      <c r="B1541" s="1" t="n">
        <v>46098.49012731481</v>
      </c>
      <c r="C1541" s="1" t="n">
        <v>46181</v>
      </c>
      <c r="D1541" t="inlineStr">
        <is>
          <t>VÄSTERNORRLANDS LÄN</t>
        </is>
      </c>
      <c r="E1541" t="inlineStr">
        <is>
          <t>SUNDSVALL</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54789-2024</t>
        </is>
      </c>
      <c r="B1542" s="1" t="n">
        <v>45618.4962962963</v>
      </c>
      <c r="C1542" s="1" t="n">
        <v>46181</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13922-2026</t>
        </is>
      </c>
      <c r="B1543" s="1" t="n">
        <v>46098.49060185185</v>
      </c>
      <c r="C1543" s="1" t="n">
        <v>46181</v>
      </c>
      <c r="D1543" t="inlineStr">
        <is>
          <t>VÄSTERNORRLANDS LÄN</t>
        </is>
      </c>
      <c r="E1543" t="inlineStr">
        <is>
          <t>SUNDSVALL</t>
        </is>
      </c>
      <c r="F1543" t="inlineStr">
        <is>
          <t>SCA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21144-2023</t>
        </is>
      </c>
      <c r="B1544" s="1" t="n">
        <v>45057</v>
      </c>
      <c r="C1544" s="1" t="n">
        <v>46181</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17490-2025</t>
        </is>
      </c>
      <c r="B1545" s="1" t="n">
        <v>45757.51084490741</v>
      </c>
      <c r="C1545" s="1" t="n">
        <v>46181</v>
      </c>
      <c r="D1545" t="inlineStr">
        <is>
          <t>VÄSTERNORRLANDS LÄN</t>
        </is>
      </c>
      <c r="E1545" t="inlineStr">
        <is>
          <t>SUNDSVALL</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20795-2026</t>
        </is>
      </c>
      <c r="B1546" s="1" t="n">
        <v>46141.6577662037</v>
      </c>
      <c r="C1546" s="1" t="n">
        <v>46181</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8888-2024</t>
        </is>
      </c>
      <c r="B1547" s="1" t="n">
        <v>45357</v>
      </c>
      <c r="C1547" s="1" t="n">
        <v>46181</v>
      </c>
      <c r="D1547" t="inlineStr">
        <is>
          <t>VÄSTERNORRLANDS LÄN</t>
        </is>
      </c>
      <c r="E1547" t="inlineStr">
        <is>
          <t>SUNDSVALL</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59892-2025</t>
        </is>
      </c>
      <c r="B1548" s="1" t="n">
        <v>45993.33709490741</v>
      </c>
      <c r="C1548" s="1" t="n">
        <v>46181</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59908-2025</t>
        </is>
      </c>
      <c r="B1549" s="1" t="n">
        <v>45993</v>
      </c>
      <c r="C1549" s="1" t="n">
        <v>46181</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59911-2025</t>
        </is>
      </c>
      <c r="B1550" s="1" t="n">
        <v>45993.36211805556</v>
      </c>
      <c r="C1550" s="1" t="n">
        <v>46181</v>
      </c>
      <c r="D1550" t="inlineStr">
        <is>
          <t>VÄSTERNORRLANDS LÄN</t>
        </is>
      </c>
      <c r="E1550" t="inlineStr">
        <is>
          <t>SUNDSVALL</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3197-2024</t>
        </is>
      </c>
      <c r="B1551" s="1" t="n">
        <v>45316</v>
      </c>
      <c r="C1551" s="1" t="n">
        <v>46181</v>
      </c>
      <c r="D1551" t="inlineStr">
        <is>
          <t>VÄSTERNORRLANDS LÄN</t>
        </is>
      </c>
      <c r="E1551" t="inlineStr">
        <is>
          <t>SUNDSVALL</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60250-2025</t>
        </is>
      </c>
      <c r="B1552" s="1" t="n">
        <v>45994.59465277778</v>
      </c>
      <c r="C1552" s="1" t="n">
        <v>46181</v>
      </c>
      <c r="D1552" t="inlineStr">
        <is>
          <t>VÄSTERNORRLANDS LÄN</t>
        </is>
      </c>
      <c r="E1552" t="inlineStr">
        <is>
          <t>SUNDSVALL</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14273-2026</t>
        </is>
      </c>
      <c r="B1553" s="1" t="n">
        <v>46099.65693287037</v>
      </c>
      <c r="C1553" s="1" t="n">
        <v>46181</v>
      </c>
      <c r="D1553" t="inlineStr">
        <is>
          <t>VÄSTERNORRLANDS LÄN</t>
        </is>
      </c>
      <c r="E1553" t="inlineStr">
        <is>
          <t>SUNDSVALL</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57007-2022</t>
        </is>
      </c>
      <c r="B1554" s="1" t="n">
        <v>44894.9578125</v>
      </c>
      <c r="C1554" s="1" t="n">
        <v>46181</v>
      </c>
      <c r="D1554" t="inlineStr">
        <is>
          <t>VÄSTERNORRLANDS LÄN</t>
        </is>
      </c>
      <c r="E1554" t="inlineStr">
        <is>
          <t>SUNDSVALL</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60277-2025</t>
        </is>
      </c>
      <c r="B1555" s="1" t="n">
        <v>45994.63581018519</v>
      </c>
      <c r="C1555" s="1" t="n">
        <v>46181</v>
      </c>
      <c r="D1555" t="inlineStr">
        <is>
          <t>VÄSTERNORRLANDS LÄN</t>
        </is>
      </c>
      <c r="E1555" t="inlineStr">
        <is>
          <t>SUNDSVALL</t>
        </is>
      </c>
      <c r="F1555" t="inlineStr">
        <is>
          <t>SCA</t>
        </is>
      </c>
      <c r="G1555" t="n">
        <v>13.2</v>
      </c>
      <c r="H1555" t="n">
        <v>0</v>
      </c>
      <c r="I1555" t="n">
        <v>0</v>
      </c>
      <c r="J1555" t="n">
        <v>0</v>
      </c>
      <c r="K1555" t="n">
        <v>0</v>
      </c>
      <c r="L1555" t="n">
        <v>0</v>
      </c>
      <c r="M1555" t="n">
        <v>0</v>
      </c>
      <c r="N1555" t="n">
        <v>0</v>
      </c>
      <c r="O1555" t="n">
        <v>0</v>
      </c>
      <c r="P1555" t="n">
        <v>0</v>
      </c>
      <c r="Q1555" t="n">
        <v>0</v>
      </c>
      <c r="R1555" s="2" t="inlineStr"/>
    </row>
    <row r="1556" ht="15" customHeight="1">
      <c r="A1556" t="inlineStr">
        <is>
          <t>A 60303-2025</t>
        </is>
      </c>
      <c r="B1556" s="1" t="n">
        <v>45994.67751157407</v>
      </c>
      <c r="C1556" s="1" t="n">
        <v>46181</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13821-2026</t>
        </is>
      </c>
      <c r="B1557" s="1" t="n">
        <v>46098</v>
      </c>
      <c r="C1557" s="1" t="n">
        <v>46181</v>
      </c>
      <c r="D1557" t="inlineStr">
        <is>
          <t>VÄSTERNORRLANDS LÄN</t>
        </is>
      </c>
      <c r="E1557" t="inlineStr">
        <is>
          <t>SUNDSVALL</t>
        </is>
      </c>
      <c r="F1557" t="inlineStr">
        <is>
          <t>Holmen skog AB</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60316-2025</t>
        </is>
      </c>
      <c r="B1558" s="1" t="n">
        <v>45993</v>
      </c>
      <c r="C1558" s="1" t="n">
        <v>46181</v>
      </c>
      <c r="D1558" t="inlineStr">
        <is>
          <t>VÄSTERNORRLANDS LÄN</t>
        </is>
      </c>
      <c r="E1558" t="inlineStr">
        <is>
          <t>SUNDSVALL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59957-2025</t>
        </is>
      </c>
      <c r="B1559" s="1" t="n">
        <v>45993.46804398148</v>
      </c>
      <c r="C1559" s="1" t="n">
        <v>46181</v>
      </c>
      <c r="D1559" t="inlineStr">
        <is>
          <t>VÄSTERNORRLANDS LÄN</t>
        </is>
      </c>
      <c r="E1559" t="inlineStr">
        <is>
          <t>SUNDSVALL</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13846-2026</t>
        </is>
      </c>
      <c r="B1560" s="1" t="n">
        <v>46098.38611111111</v>
      </c>
      <c r="C1560" s="1" t="n">
        <v>46181</v>
      </c>
      <c r="D1560" t="inlineStr">
        <is>
          <t>VÄSTERNORRLANDS LÄN</t>
        </is>
      </c>
      <c r="E1560" t="inlineStr">
        <is>
          <t>SUNDSVALL</t>
        </is>
      </c>
      <c r="F1560" t="inlineStr">
        <is>
          <t>SCA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13923-2026</t>
        </is>
      </c>
      <c r="B1561" s="1" t="n">
        <v>46098.49076388889</v>
      </c>
      <c r="C1561" s="1" t="n">
        <v>46181</v>
      </c>
      <c r="D1561" t="inlineStr">
        <is>
          <t>VÄSTERNORRLANDS LÄN</t>
        </is>
      </c>
      <c r="E1561" t="inlineStr">
        <is>
          <t>SUNDSVALL</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50205-2024</t>
        </is>
      </c>
      <c r="B1562" s="1" t="n">
        <v>45600.49386574074</v>
      </c>
      <c r="C1562" s="1" t="n">
        <v>46181</v>
      </c>
      <c r="D1562" t="inlineStr">
        <is>
          <t>VÄSTERNORRLANDS LÄN</t>
        </is>
      </c>
      <c r="E1562" t="inlineStr">
        <is>
          <t>SUNDSVALL</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20708-2026</t>
        </is>
      </c>
      <c r="B1563" s="1" t="n">
        <v>46141.49025462963</v>
      </c>
      <c r="C1563" s="1" t="n">
        <v>46181</v>
      </c>
      <c r="D1563" t="inlineStr">
        <is>
          <t>VÄSTERNORRLANDS LÄN</t>
        </is>
      </c>
      <c r="E1563" t="inlineStr">
        <is>
          <t>SUNDSVALL</t>
        </is>
      </c>
      <c r="F1563" t="inlineStr">
        <is>
          <t>SCA</t>
        </is>
      </c>
      <c r="G1563" t="n">
        <v>19.4</v>
      </c>
      <c r="H1563" t="n">
        <v>0</v>
      </c>
      <c r="I1563" t="n">
        <v>0</v>
      </c>
      <c r="J1563" t="n">
        <v>0</v>
      </c>
      <c r="K1563" t="n">
        <v>0</v>
      </c>
      <c r="L1563" t="n">
        <v>0</v>
      </c>
      <c r="M1563" t="n">
        <v>0</v>
      </c>
      <c r="N1563" t="n">
        <v>0</v>
      </c>
      <c r="O1563" t="n">
        <v>0</v>
      </c>
      <c r="P1563" t="n">
        <v>0</v>
      </c>
      <c r="Q1563" t="n">
        <v>0</v>
      </c>
      <c r="R1563" s="2" t="inlineStr"/>
    </row>
    <row r="1564" ht="15" customHeight="1">
      <c r="A1564" t="inlineStr">
        <is>
          <t>A 60213-2025</t>
        </is>
      </c>
      <c r="B1564" s="1" t="n">
        <v>45994.53517361111</v>
      </c>
      <c r="C1564" s="1" t="n">
        <v>46181</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54052-2023</t>
        </is>
      </c>
      <c r="B1565" s="1" t="n">
        <v>45231.96819444445</v>
      </c>
      <c r="C1565" s="1" t="n">
        <v>46181</v>
      </c>
      <c r="D1565" t="inlineStr">
        <is>
          <t>VÄSTERNORRLANDS LÄN</t>
        </is>
      </c>
      <c r="E1565" t="inlineStr">
        <is>
          <t>SUNDSVALL</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54059-2023</t>
        </is>
      </c>
      <c r="B1566" s="1" t="n">
        <v>45231.96899305555</v>
      </c>
      <c r="C1566" s="1" t="n">
        <v>46181</v>
      </c>
      <c r="D1566" t="inlineStr">
        <is>
          <t>VÄSTERNORRLANDS LÄN</t>
        </is>
      </c>
      <c r="E1566" t="inlineStr">
        <is>
          <t>SUNDSVALL</t>
        </is>
      </c>
      <c r="F1566" t="inlineStr">
        <is>
          <t>SCA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20750-2026</t>
        </is>
      </c>
      <c r="B1567" s="1" t="n">
        <v>46141.59427083333</v>
      </c>
      <c r="C1567" s="1" t="n">
        <v>46181</v>
      </c>
      <c r="D1567" t="inlineStr">
        <is>
          <t>VÄSTERNORRLANDS LÄN</t>
        </is>
      </c>
      <c r="E1567" t="inlineStr">
        <is>
          <t>SUNDSVALL</t>
        </is>
      </c>
      <c r="F1567" t="inlineStr">
        <is>
          <t>SCA</t>
        </is>
      </c>
      <c r="G1567" t="n">
        <v>16.5</v>
      </c>
      <c r="H1567" t="n">
        <v>0</v>
      </c>
      <c r="I1567" t="n">
        <v>0</v>
      </c>
      <c r="J1567" t="n">
        <v>0</v>
      </c>
      <c r="K1567" t="n">
        <v>0</v>
      </c>
      <c r="L1567" t="n">
        <v>0</v>
      </c>
      <c r="M1567" t="n">
        <v>0</v>
      </c>
      <c r="N1567" t="n">
        <v>0</v>
      </c>
      <c r="O1567" t="n">
        <v>0</v>
      </c>
      <c r="P1567" t="n">
        <v>0</v>
      </c>
      <c r="Q1567" t="n">
        <v>0</v>
      </c>
      <c r="R1567" s="2" t="inlineStr"/>
    </row>
    <row r="1568" ht="15" customHeight="1">
      <c r="A1568" t="inlineStr">
        <is>
          <t>A 13920-2026</t>
        </is>
      </c>
      <c r="B1568" s="1" t="n">
        <v>46098.4903125</v>
      </c>
      <c r="C1568" s="1" t="n">
        <v>46181</v>
      </c>
      <c r="D1568" t="inlineStr">
        <is>
          <t>VÄSTERNORRLANDS LÄN</t>
        </is>
      </c>
      <c r="E1568" t="inlineStr">
        <is>
          <t>SUNDSVALL</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59335-2022</t>
        </is>
      </c>
      <c r="B1569" s="1" t="n">
        <v>44904.658125</v>
      </c>
      <c r="C1569" s="1" t="n">
        <v>46181</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60458-2025</t>
        </is>
      </c>
      <c r="B1570" s="1" t="n">
        <v>45995.53168981482</v>
      </c>
      <c r="C1570" s="1" t="n">
        <v>46181</v>
      </c>
      <c r="D1570" t="inlineStr">
        <is>
          <t>VÄSTERNORRLANDS LÄN</t>
        </is>
      </c>
      <c r="E1570" t="inlineStr">
        <is>
          <t>SUNDSVALL</t>
        </is>
      </c>
      <c r="F1570" t="inlineStr">
        <is>
          <t>SCA</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60612-2025</t>
        </is>
      </c>
      <c r="B1571" s="1" t="n">
        <v>45996.36546296296</v>
      </c>
      <c r="C1571" s="1" t="n">
        <v>46181</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13870-2026</t>
        </is>
      </c>
      <c r="B1572" s="1" t="n">
        <v>46098.42510416666</v>
      </c>
      <c r="C1572" s="1" t="n">
        <v>46181</v>
      </c>
      <c r="D1572" t="inlineStr">
        <is>
          <t>VÄSTERNORRLANDS LÄN</t>
        </is>
      </c>
      <c r="E1572" t="inlineStr">
        <is>
          <t>SUNDSVALL</t>
        </is>
      </c>
      <c r="F1572" t="inlineStr">
        <is>
          <t>Holmen skog AB</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26229-2024</t>
        </is>
      </c>
      <c r="B1573" s="1" t="n">
        <v>45468.6143287037</v>
      </c>
      <c r="C1573" s="1" t="n">
        <v>46181</v>
      </c>
      <c r="D1573" t="inlineStr">
        <is>
          <t>VÄSTERNORRLANDS LÄN</t>
        </is>
      </c>
      <c r="E1573" t="inlineStr">
        <is>
          <t>SUNDSVALL</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17902-2024</t>
        </is>
      </c>
      <c r="B1574" s="1" t="n">
        <v>45419</v>
      </c>
      <c r="C1574" s="1" t="n">
        <v>46181</v>
      </c>
      <c r="D1574" t="inlineStr">
        <is>
          <t>VÄSTERNORRLANDS LÄN</t>
        </is>
      </c>
      <c r="E1574" t="inlineStr">
        <is>
          <t>SUNDSVALL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60519-2025</t>
        </is>
      </c>
      <c r="B1575" s="1" t="n">
        <v>45995.6367824074</v>
      </c>
      <c r="C1575" s="1" t="n">
        <v>46181</v>
      </c>
      <c r="D1575" t="inlineStr">
        <is>
          <t>VÄSTERNORRLANDS LÄN</t>
        </is>
      </c>
      <c r="E1575" t="inlineStr">
        <is>
          <t>SUNDSVALL</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21630-2023</t>
        </is>
      </c>
      <c r="B1576" s="1" t="n">
        <v>45063</v>
      </c>
      <c r="C1576" s="1" t="n">
        <v>46181</v>
      </c>
      <c r="D1576" t="inlineStr">
        <is>
          <t>VÄSTERNORRLANDS LÄN</t>
        </is>
      </c>
      <c r="E1576" t="inlineStr">
        <is>
          <t>SUNDSVALL</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7005-2023</t>
        </is>
      </c>
      <c r="B1577" s="1" t="n">
        <v>44967.92928240741</v>
      </c>
      <c r="C1577" s="1" t="n">
        <v>46181</v>
      </c>
      <c r="D1577" t="inlineStr">
        <is>
          <t>VÄSTERNORRLANDS LÄN</t>
        </is>
      </c>
      <c r="E1577" t="inlineStr">
        <is>
          <t>SUNDSVALL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60598-2025</t>
        </is>
      </c>
      <c r="B1578" s="1" t="n">
        <v>45996.34484953704</v>
      </c>
      <c r="C1578" s="1" t="n">
        <v>46181</v>
      </c>
      <c r="D1578" t="inlineStr">
        <is>
          <t>VÄSTERNORRLANDS LÄN</t>
        </is>
      </c>
      <c r="E1578" t="inlineStr">
        <is>
          <t>SUNDSVALL</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20102-2025</t>
        </is>
      </c>
      <c r="B1579" s="1" t="n">
        <v>45772.46934027778</v>
      </c>
      <c r="C1579" s="1" t="n">
        <v>46181</v>
      </c>
      <c r="D1579" t="inlineStr">
        <is>
          <t>VÄSTERNORRLANDS LÄN</t>
        </is>
      </c>
      <c r="E1579" t="inlineStr">
        <is>
          <t>SUNDSVALL</t>
        </is>
      </c>
      <c r="F1579" t="inlineStr">
        <is>
          <t>Naturvårdsverket</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55878-2022</t>
        </is>
      </c>
      <c r="B1580" s="1" t="n">
        <v>44888</v>
      </c>
      <c r="C1580" s="1" t="n">
        <v>46181</v>
      </c>
      <c r="D1580" t="inlineStr">
        <is>
          <t>VÄSTERNORRLANDS LÄN</t>
        </is>
      </c>
      <c r="E1580" t="inlineStr">
        <is>
          <t>SUNDSVALL</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55890-2022</t>
        </is>
      </c>
      <c r="B1581" s="1" t="n">
        <v>44888</v>
      </c>
      <c r="C1581" s="1" t="n">
        <v>46181</v>
      </c>
      <c r="D1581" t="inlineStr">
        <is>
          <t>VÄSTERNORRLANDS LÄN</t>
        </is>
      </c>
      <c r="E1581" t="inlineStr">
        <is>
          <t>SUNDSVALL</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60651-2025</t>
        </is>
      </c>
      <c r="B1582" s="1" t="n">
        <v>45996.4615625</v>
      </c>
      <c r="C1582" s="1" t="n">
        <v>46181</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60497-2025</t>
        </is>
      </c>
      <c r="B1583" s="1" t="n">
        <v>45995.61512731481</v>
      </c>
      <c r="C1583" s="1" t="n">
        <v>46181</v>
      </c>
      <c r="D1583" t="inlineStr">
        <is>
          <t>VÄSTERNORRLANDS LÄN</t>
        </is>
      </c>
      <c r="E1583" t="inlineStr">
        <is>
          <t>SUNDSVALL</t>
        </is>
      </c>
      <c r="F1583" t="inlineStr">
        <is>
          <t>SCA</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30686-2024</t>
        </is>
      </c>
      <c r="B1584" s="1" t="n">
        <v>45495</v>
      </c>
      <c r="C1584" s="1" t="n">
        <v>46181</v>
      </c>
      <c r="D1584" t="inlineStr">
        <is>
          <t>VÄSTERNORRLANDS LÄN</t>
        </is>
      </c>
      <c r="E1584" t="inlineStr">
        <is>
          <t>SUNDSVALL</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60908-2025</t>
        </is>
      </c>
      <c r="B1585" s="1" t="n">
        <v>45999.59487268519</v>
      </c>
      <c r="C1585" s="1" t="n">
        <v>46181</v>
      </c>
      <c r="D1585" t="inlineStr">
        <is>
          <t>VÄSTERNORRLANDS LÄN</t>
        </is>
      </c>
      <c r="E1585" t="inlineStr">
        <is>
          <t>SUNDSVALL</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1048-2024</t>
        </is>
      </c>
      <c r="B1586" s="1" t="n">
        <v>45301</v>
      </c>
      <c r="C1586" s="1" t="n">
        <v>46181</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40473-2024</t>
        </is>
      </c>
      <c r="B1587" s="1" t="n">
        <v>45555.53165509259</v>
      </c>
      <c r="C1587" s="1" t="n">
        <v>46181</v>
      </c>
      <c r="D1587" t="inlineStr">
        <is>
          <t>VÄSTERNORRLANDS LÄN</t>
        </is>
      </c>
      <c r="E1587" t="inlineStr">
        <is>
          <t>SUNDSVALL</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14153-2024</t>
        </is>
      </c>
      <c r="B1588" s="1" t="n">
        <v>45392</v>
      </c>
      <c r="C1588" s="1" t="n">
        <v>46181</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38864-2024</t>
        </is>
      </c>
      <c r="B1589" s="1" t="n">
        <v>45547.63525462963</v>
      </c>
      <c r="C1589" s="1" t="n">
        <v>46181</v>
      </c>
      <c r="D1589" t="inlineStr">
        <is>
          <t>VÄSTERNORRLANDS LÄN</t>
        </is>
      </c>
      <c r="E1589" t="inlineStr">
        <is>
          <t>SUNDSVALL</t>
        </is>
      </c>
      <c r="F1589" t="inlineStr">
        <is>
          <t>Holmen skog AB</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11668-2025</t>
        </is>
      </c>
      <c r="B1590" s="1" t="n">
        <v>45727.51084490741</v>
      </c>
      <c r="C1590" s="1" t="n">
        <v>46181</v>
      </c>
      <c r="D1590" t="inlineStr">
        <is>
          <t>VÄSTERNORRLANDS LÄN</t>
        </is>
      </c>
      <c r="E1590" t="inlineStr">
        <is>
          <t>SUNDSVALL</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19586-2024</t>
        </is>
      </c>
      <c r="B1591" s="1" t="n">
        <v>45429</v>
      </c>
      <c r="C1591" s="1" t="n">
        <v>46181</v>
      </c>
      <c r="D1591" t="inlineStr">
        <is>
          <t>VÄSTERNORRLANDS LÄN</t>
        </is>
      </c>
      <c r="E1591" t="inlineStr">
        <is>
          <t>SUNDSVALL</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60770-2025</t>
        </is>
      </c>
      <c r="B1592" s="1" t="n">
        <v>45999.38707175926</v>
      </c>
      <c r="C1592" s="1" t="n">
        <v>46181</v>
      </c>
      <c r="D1592" t="inlineStr">
        <is>
          <t>VÄSTERNORRLANDS LÄN</t>
        </is>
      </c>
      <c r="E1592" t="inlineStr">
        <is>
          <t>SUNDSVALL</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20364-2023</t>
        </is>
      </c>
      <c r="B1593" s="1" t="n">
        <v>45054</v>
      </c>
      <c r="C1593" s="1" t="n">
        <v>46181</v>
      </c>
      <c r="D1593" t="inlineStr">
        <is>
          <t>VÄSTERNORRLANDS LÄN</t>
        </is>
      </c>
      <c r="E1593" t="inlineStr">
        <is>
          <t>SUNDSVALL</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14113-2026</t>
        </is>
      </c>
      <c r="B1594" s="1" t="n">
        <v>46099.4284837963</v>
      </c>
      <c r="C1594" s="1" t="n">
        <v>46181</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20711-2026</t>
        </is>
      </c>
      <c r="B1595" s="1" t="n">
        <v>46141.50186342592</v>
      </c>
      <c r="C1595" s="1" t="n">
        <v>46181</v>
      </c>
      <c r="D1595" t="inlineStr">
        <is>
          <t>VÄSTERNORRLANDS LÄN</t>
        </is>
      </c>
      <c r="E1595" t="inlineStr">
        <is>
          <t>SUNDSVALL</t>
        </is>
      </c>
      <c r="F1595" t="inlineStr">
        <is>
          <t>Kommuner</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20727-2026</t>
        </is>
      </c>
      <c r="B1596" s="1" t="n">
        <v>46141.55260416667</v>
      </c>
      <c r="C1596" s="1" t="n">
        <v>46181</v>
      </c>
      <c r="D1596" t="inlineStr">
        <is>
          <t>VÄSTERNORRLANDS LÄN</t>
        </is>
      </c>
      <c r="E1596" t="inlineStr">
        <is>
          <t>SUNDSVALL</t>
        </is>
      </c>
      <c r="F1596" t="inlineStr">
        <is>
          <t>SCA</t>
        </is>
      </c>
      <c r="G1596" t="n">
        <v>14.5</v>
      </c>
      <c r="H1596" t="n">
        <v>0</v>
      </c>
      <c r="I1596" t="n">
        <v>0</v>
      </c>
      <c r="J1596" t="n">
        <v>0</v>
      </c>
      <c r="K1596" t="n">
        <v>0</v>
      </c>
      <c r="L1596" t="n">
        <v>0</v>
      </c>
      <c r="M1596" t="n">
        <v>0</v>
      </c>
      <c r="N1596" t="n">
        <v>0</v>
      </c>
      <c r="O1596" t="n">
        <v>0</v>
      </c>
      <c r="P1596" t="n">
        <v>0</v>
      </c>
      <c r="Q1596" t="n">
        <v>0</v>
      </c>
      <c r="R1596" s="2" t="inlineStr"/>
    </row>
    <row r="1597" ht="15" customHeight="1">
      <c r="A1597" t="inlineStr">
        <is>
          <t>A 14067-2026</t>
        </is>
      </c>
      <c r="B1597" s="1" t="n">
        <v>46099.34478009259</v>
      </c>
      <c r="C1597" s="1" t="n">
        <v>46181</v>
      </c>
      <c r="D1597" t="inlineStr">
        <is>
          <t>VÄSTERNORRLANDS LÄN</t>
        </is>
      </c>
      <c r="E1597" t="inlineStr">
        <is>
          <t>SUNDSVALL</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14090-2026</t>
        </is>
      </c>
      <c r="B1598" s="1" t="n">
        <v>46099</v>
      </c>
      <c r="C1598" s="1" t="n">
        <v>46181</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27759-2023</t>
        </is>
      </c>
      <c r="B1599" s="1" t="n">
        <v>45093</v>
      </c>
      <c r="C1599" s="1" t="n">
        <v>46181</v>
      </c>
      <c r="D1599" t="inlineStr">
        <is>
          <t>VÄSTERNORRLANDS LÄN</t>
        </is>
      </c>
      <c r="E1599" t="inlineStr">
        <is>
          <t>SUNDSVALL</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14610-2026</t>
        </is>
      </c>
      <c r="B1600" s="1" t="n">
        <v>46101.36523148148</v>
      </c>
      <c r="C1600" s="1" t="n">
        <v>46181</v>
      </c>
      <c r="D1600" t="inlineStr">
        <is>
          <t>VÄSTERNORRLANDS LÄN</t>
        </is>
      </c>
      <c r="E1600" t="inlineStr">
        <is>
          <t>SUNDSVALL</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20885-2026</t>
        </is>
      </c>
      <c r="B1601" s="1" t="n">
        <v>46142.42805555555</v>
      </c>
      <c r="C1601" s="1" t="n">
        <v>46181</v>
      </c>
      <c r="D1601" t="inlineStr">
        <is>
          <t>VÄSTERNORRLANDS LÄN</t>
        </is>
      </c>
      <c r="E1601" t="inlineStr">
        <is>
          <t>SUNDSVALL</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61376-2025</t>
        </is>
      </c>
      <c r="B1602" s="1" t="n">
        <v>46001.44199074074</v>
      </c>
      <c r="C1602" s="1" t="n">
        <v>46181</v>
      </c>
      <c r="D1602" t="inlineStr">
        <is>
          <t>VÄSTERNORRLANDS LÄN</t>
        </is>
      </c>
      <c r="E1602" t="inlineStr">
        <is>
          <t>SUNDSVALL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61379-2025</t>
        </is>
      </c>
      <c r="B1603" s="1" t="n">
        <v>46001.44366898148</v>
      </c>
      <c r="C1603" s="1" t="n">
        <v>46181</v>
      </c>
      <c r="D1603" t="inlineStr">
        <is>
          <t>VÄSTERNORRLANDS LÄN</t>
        </is>
      </c>
      <c r="E1603" t="inlineStr">
        <is>
          <t>SUNDSVALL</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61383-2025</t>
        </is>
      </c>
      <c r="B1604" s="1" t="n">
        <v>46001.44770833333</v>
      </c>
      <c r="C1604" s="1" t="n">
        <v>46181</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14424-2026</t>
        </is>
      </c>
      <c r="B1605" s="1" t="n">
        <v>46100.46927083333</v>
      </c>
      <c r="C1605" s="1" t="n">
        <v>46181</v>
      </c>
      <c r="D1605" t="inlineStr">
        <is>
          <t>VÄSTERNORRLANDS LÄN</t>
        </is>
      </c>
      <c r="E1605" t="inlineStr">
        <is>
          <t>SUNDSVALL</t>
        </is>
      </c>
      <c r="F1605" t="inlineStr">
        <is>
          <t>SCA</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61373-2025</t>
        </is>
      </c>
      <c r="B1606" s="1" t="n">
        <v>46001.44010416666</v>
      </c>
      <c r="C1606" s="1" t="n">
        <v>46181</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61530-2025</t>
        </is>
      </c>
      <c r="B1607" s="1" t="n">
        <v>46001</v>
      </c>
      <c r="C1607" s="1" t="n">
        <v>46181</v>
      </c>
      <c r="D1607" t="inlineStr">
        <is>
          <t>VÄSTERNORRLANDS LÄN</t>
        </is>
      </c>
      <c r="E1607" t="inlineStr">
        <is>
          <t>SUNDSVALL</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14352-2026</t>
        </is>
      </c>
      <c r="B1608" s="1" t="n">
        <v>46100.34490740741</v>
      </c>
      <c r="C1608" s="1" t="n">
        <v>46181</v>
      </c>
      <c r="D1608" t="inlineStr">
        <is>
          <t>VÄSTERNORRLANDS LÄN</t>
        </is>
      </c>
      <c r="E1608" t="inlineStr">
        <is>
          <t>SUNDSVALL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61784-2025</t>
        </is>
      </c>
      <c r="B1609" s="1" t="n">
        <v>46002</v>
      </c>
      <c r="C1609" s="1" t="n">
        <v>46181</v>
      </c>
      <c r="D1609" t="inlineStr">
        <is>
          <t>VÄSTERNORRLANDS LÄN</t>
        </is>
      </c>
      <c r="E1609" t="inlineStr">
        <is>
          <t>SUNDSVALL</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14390-2026</t>
        </is>
      </c>
      <c r="B1610" s="1" t="n">
        <v>46100.38671296297</v>
      </c>
      <c r="C1610" s="1" t="n">
        <v>46181</v>
      </c>
      <c r="D1610" t="inlineStr">
        <is>
          <t>VÄSTERNORRLANDS LÄN</t>
        </is>
      </c>
      <c r="E1610" t="inlineStr">
        <is>
          <t>SUNDSVALL</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61508-2025</t>
        </is>
      </c>
      <c r="B1611" s="1" t="n">
        <v>46001.68148148148</v>
      </c>
      <c r="C1611" s="1" t="n">
        <v>46181</v>
      </c>
      <c r="D1611" t="inlineStr">
        <is>
          <t>VÄSTERNORRLANDS LÄN</t>
        </is>
      </c>
      <c r="E1611" t="inlineStr">
        <is>
          <t>SUNDSVALL</t>
        </is>
      </c>
      <c r="F1611" t="inlineStr">
        <is>
          <t>Naturvårdsverket</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61780-2025</t>
        </is>
      </c>
      <c r="B1612" s="1" t="n">
        <v>46002</v>
      </c>
      <c r="C1612" s="1" t="n">
        <v>46181</v>
      </c>
      <c r="D1612" t="inlineStr">
        <is>
          <t>VÄSTERNORRLANDS LÄN</t>
        </is>
      </c>
      <c r="E1612" t="inlineStr">
        <is>
          <t>SUNDSVALL</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1428-2024</t>
        </is>
      </c>
      <c r="B1613" s="1" t="n">
        <v>45303</v>
      </c>
      <c r="C1613" s="1" t="n">
        <v>46181</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14523-2026</t>
        </is>
      </c>
      <c r="B1614" s="1" t="n">
        <v>46100</v>
      </c>
      <c r="C1614" s="1" t="n">
        <v>46181</v>
      </c>
      <c r="D1614" t="inlineStr">
        <is>
          <t>VÄSTERNORRLANDS LÄN</t>
        </is>
      </c>
      <c r="E1614" t="inlineStr">
        <is>
          <t>SUNDSVALL</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61386-2025</t>
        </is>
      </c>
      <c r="B1615" s="1" t="n">
        <v>46001.45239583333</v>
      </c>
      <c r="C1615" s="1" t="n">
        <v>46181</v>
      </c>
      <c r="D1615" t="inlineStr">
        <is>
          <t>VÄSTERNORRLANDS LÄN</t>
        </is>
      </c>
      <c r="E1615" t="inlineStr">
        <is>
          <t>SUNDSVALL</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61381-2025</t>
        </is>
      </c>
      <c r="B1616" s="1" t="n">
        <v>46001.4452662037</v>
      </c>
      <c r="C1616" s="1" t="n">
        <v>46181</v>
      </c>
      <c r="D1616" t="inlineStr">
        <is>
          <t>VÄSTERNORRLANDS LÄN</t>
        </is>
      </c>
      <c r="E1616" t="inlineStr">
        <is>
          <t>SUNDSVALL</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60650-2022</t>
        </is>
      </c>
      <c r="B1617" s="1" t="n">
        <v>44911</v>
      </c>
      <c r="C1617" s="1" t="n">
        <v>46181</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38303-2024</t>
        </is>
      </c>
      <c r="B1618" s="1" t="n">
        <v>45545.63769675926</v>
      </c>
      <c r="C1618" s="1" t="n">
        <v>46181</v>
      </c>
      <c r="D1618" t="inlineStr">
        <is>
          <t>VÄSTERNORRLANDS LÄN</t>
        </is>
      </c>
      <c r="E1618" t="inlineStr">
        <is>
          <t>SUNDSVALL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61922-2025</t>
        </is>
      </c>
      <c r="B1619" s="1" t="n">
        <v>46003.51127314815</v>
      </c>
      <c r="C1619" s="1" t="n">
        <v>46181</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33041-2023</t>
        </is>
      </c>
      <c r="B1620" s="1" t="n">
        <v>45125</v>
      </c>
      <c r="C1620" s="1" t="n">
        <v>46181</v>
      </c>
      <c r="D1620" t="inlineStr">
        <is>
          <t>VÄSTERNORRLANDS LÄN</t>
        </is>
      </c>
      <c r="E1620" t="inlineStr">
        <is>
          <t>SUNDSVALL</t>
        </is>
      </c>
      <c r="F1620" t="inlineStr">
        <is>
          <t>SCA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33044-2023</t>
        </is>
      </c>
      <c r="B1621" s="1" t="n">
        <v>45125</v>
      </c>
      <c r="C1621" s="1" t="n">
        <v>46181</v>
      </c>
      <c r="D1621" t="inlineStr">
        <is>
          <t>VÄSTERNORRLANDS LÄN</t>
        </is>
      </c>
      <c r="E1621" t="inlineStr">
        <is>
          <t>SUNDSVALL</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62251-2025</t>
        </is>
      </c>
      <c r="B1622" s="1" t="n">
        <v>46006.60891203704</v>
      </c>
      <c r="C1622" s="1" t="n">
        <v>46181</v>
      </c>
      <c r="D1622" t="inlineStr">
        <is>
          <t>VÄSTERNORRLANDS LÄN</t>
        </is>
      </c>
      <c r="E1622" t="inlineStr">
        <is>
          <t>SUNDSVALL</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20134-2025</t>
        </is>
      </c>
      <c r="B1623" s="1" t="n">
        <v>45772.51105324074</v>
      </c>
      <c r="C1623" s="1" t="n">
        <v>46181</v>
      </c>
      <c r="D1623" t="inlineStr">
        <is>
          <t>VÄSTERNORRLANDS LÄN</t>
        </is>
      </c>
      <c r="E1623" t="inlineStr">
        <is>
          <t>SUNDSVALL</t>
        </is>
      </c>
      <c r="F1623" t="inlineStr">
        <is>
          <t>Naturvårdsverket</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44022-2023</t>
        </is>
      </c>
      <c r="B1624" s="1" t="n">
        <v>45188.34800925926</v>
      </c>
      <c r="C1624" s="1" t="n">
        <v>46181</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61828-2025</t>
        </is>
      </c>
      <c r="B1625" s="1" t="n">
        <v>46003.34099537037</v>
      </c>
      <c r="C1625" s="1" t="n">
        <v>46181</v>
      </c>
      <c r="D1625" t="inlineStr">
        <is>
          <t>VÄSTERNORRLANDS LÄN</t>
        </is>
      </c>
      <c r="E1625" t="inlineStr">
        <is>
          <t>SUNDSVALL</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62320-2025</t>
        </is>
      </c>
      <c r="B1626" s="1" t="n">
        <v>46006.69832175926</v>
      </c>
      <c r="C1626" s="1" t="n">
        <v>46181</v>
      </c>
      <c r="D1626" t="inlineStr">
        <is>
          <t>VÄSTERNORRLANDS LÄN</t>
        </is>
      </c>
      <c r="E1626" t="inlineStr">
        <is>
          <t>SUNDSVALL</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22139-2023</t>
        </is>
      </c>
      <c r="B1627" s="1" t="n">
        <v>45068</v>
      </c>
      <c r="C1627" s="1" t="n">
        <v>46181</v>
      </c>
      <c r="D1627" t="inlineStr">
        <is>
          <t>VÄSTERNORRLANDS LÄN</t>
        </is>
      </c>
      <c r="E1627" t="inlineStr">
        <is>
          <t>SUNDSVALL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61983-2025</t>
        </is>
      </c>
      <c r="B1628" s="1" t="n">
        <v>46003</v>
      </c>
      <c r="C1628" s="1" t="n">
        <v>46181</v>
      </c>
      <c r="D1628" t="inlineStr">
        <is>
          <t>VÄSTERNORRLANDS LÄN</t>
        </is>
      </c>
      <c r="E1628" t="inlineStr">
        <is>
          <t>SUNDSVALL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58290-2022</t>
        </is>
      </c>
      <c r="B1629" s="1" t="n">
        <v>44901.50284722223</v>
      </c>
      <c r="C1629" s="1" t="n">
        <v>46181</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62059-2025</t>
        </is>
      </c>
      <c r="B1630" s="1" t="n">
        <v>46006.34295138889</v>
      </c>
      <c r="C1630" s="1" t="n">
        <v>46181</v>
      </c>
      <c r="D1630" t="inlineStr">
        <is>
          <t>VÄSTERNORRLANDS LÄN</t>
        </is>
      </c>
      <c r="E1630" t="inlineStr">
        <is>
          <t>SUNDSVALL</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25407-2023</t>
        </is>
      </c>
      <c r="B1631" s="1" t="n">
        <v>45089.37394675926</v>
      </c>
      <c r="C1631" s="1" t="n">
        <v>46181</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62255-2025</t>
        </is>
      </c>
      <c r="B1632" s="1" t="n">
        <v>46006.61098379629</v>
      </c>
      <c r="C1632" s="1" t="n">
        <v>46181</v>
      </c>
      <c r="D1632" t="inlineStr">
        <is>
          <t>VÄSTERNORRLANDS LÄN</t>
        </is>
      </c>
      <c r="E1632" t="inlineStr">
        <is>
          <t>SUNDSVALL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62258-2025</t>
        </is>
      </c>
      <c r="B1633" s="1" t="n">
        <v>46006.61533564814</v>
      </c>
      <c r="C1633" s="1" t="n">
        <v>46181</v>
      </c>
      <c r="D1633" t="inlineStr">
        <is>
          <t>VÄSTERNORRLANDS LÄN</t>
        </is>
      </c>
      <c r="E1633" t="inlineStr">
        <is>
          <t>SUNDSVALL</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62083-2021</t>
        </is>
      </c>
      <c r="B1634" s="1" t="n">
        <v>44502.60898148148</v>
      </c>
      <c r="C1634" s="1" t="n">
        <v>46181</v>
      </c>
      <c r="D1634" t="inlineStr">
        <is>
          <t>VÄSTERNORRLANDS LÄN</t>
        </is>
      </c>
      <c r="E1634" t="inlineStr">
        <is>
          <t>SUNDSVALL</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61829-2025</t>
        </is>
      </c>
      <c r="B1635" s="1" t="n">
        <v>46003.34233796296</v>
      </c>
      <c r="C1635" s="1" t="n">
        <v>46181</v>
      </c>
      <c r="D1635" t="inlineStr">
        <is>
          <t>VÄSTERNORRLANDS LÄN</t>
        </is>
      </c>
      <c r="E1635" t="inlineStr">
        <is>
          <t>SUNDSVALL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62174-2025</t>
        </is>
      </c>
      <c r="B1636" s="1" t="n">
        <v>46006.51144675926</v>
      </c>
      <c r="C1636" s="1" t="n">
        <v>46181</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61969-2025</t>
        </is>
      </c>
      <c r="B1637" s="1" t="n">
        <v>46003.59466435185</v>
      </c>
      <c r="C1637" s="1" t="n">
        <v>46181</v>
      </c>
      <c r="D1637" t="inlineStr">
        <is>
          <t>VÄSTERNORRLANDS LÄN</t>
        </is>
      </c>
      <c r="E1637" t="inlineStr">
        <is>
          <t>SUNDSVALL</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61887-2025</t>
        </is>
      </c>
      <c r="B1638" s="1" t="n">
        <v>46003.43712962963</v>
      </c>
      <c r="C1638" s="1" t="n">
        <v>46181</v>
      </c>
      <c r="D1638" t="inlineStr">
        <is>
          <t>VÄSTERNORRLANDS LÄN</t>
        </is>
      </c>
      <c r="E1638" t="inlineStr">
        <is>
          <t>SUNDSVALL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62657-2025</t>
        </is>
      </c>
      <c r="B1639" s="1" t="n">
        <v>46008</v>
      </c>
      <c r="C1639" s="1" t="n">
        <v>46181</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58037-2021</t>
        </is>
      </c>
      <c r="B1640" s="1" t="n">
        <v>44487</v>
      </c>
      <c r="C1640" s="1" t="n">
        <v>46181</v>
      </c>
      <c r="D1640" t="inlineStr">
        <is>
          <t>VÄSTERNORRLANDS LÄN</t>
        </is>
      </c>
      <c r="E1640" t="inlineStr">
        <is>
          <t>SUNDSVALL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17767-2025</t>
        </is>
      </c>
      <c r="B1641" s="1" t="n">
        <v>45758</v>
      </c>
      <c r="C1641" s="1" t="n">
        <v>46181</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14368-2026</t>
        </is>
      </c>
      <c r="B1642" s="1" t="n">
        <v>46100.3662962963</v>
      </c>
      <c r="C1642" s="1" t="n">
        <v>46181</v>
      </c>
      <c r="D1642" t="inlineStr">
        <is>
          <t>VÄSTERNORRLANDS LÄN</t>
        </is>
      </c>
      <c r="E1642" t="inlineStr">
        <is>
          <t>SUNDSVALL</t>
        </is>
      </c>
      <c r="F1642" t="inlineStr">
        <is>
          <t>SCA</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62529-2025</t>
        </is>
      </c>
      <c r="B1643" s="1" t="n">
        <v>46007.63611111111</v>
      </c>
      <c r="C1643" s="1" t="n">
        <v>46181</v>
      </c>
      <c r="D1643" t="inlineStr">
        <is>
          <t>VÄSTERNORRLANDS LÄN</t>
        </is>
      </c>
      <c r="E1643" t="inlineStr">
        <is>
          <t>SUNDSVALL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15196-2026</t>
        </is>
      </c>
      <c r="B1644" s="1" t="n">
        <v>46105</v>
      </c>
      <c r="C1644" s="1" t="n">
        <v>46181</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15186-2026</t>
        </is>
      </c>
      <c r="B1645" s="1" t="n">
        <v>46105</v>
      </c>
      <c r="C1645" s="1" t="n">
        <v>46181</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59440-2021</t>
        </is>
      </c>
      <c r="B1646" s="1" t="n">
        <v>44491</v>
      </c>
      <c r="C1646" s="1" t="n">
        <v>46181</v>
      </c>
      <c r="D1646" t="inlineStr">
        <is>
          <t>VÄSTERNORRLANDS LÄN</t>
        </is>
      </c>
      <c r="E1646" t="inlineStr">
        <is>
          <t>SUNDSVALL</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15348-2026</t>
        </is>
      </c>
      <c r="B1647" s="1" t="n">
        <v>46105.6984837963</v>
      </c>
      <c r="C1647" s="1" t="n">
        <v>46181</v>
      </c>
      <c r="D1647" t="inlineStr">
        <is>
          <t>VÄSTERNORRLANDS LÄN</t>
        </is>
      </c>
      <c r="E1647" t="inlineStr">
        <is>
          <t>SUNDSVALL</t>
        </is>
      </c>
      <c r="F1647" t="inlineStr">
        <is>
          <t>SCA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14857-2026</t>
        </is>
      </c>
      <c r="B1648" s="1" t="n">
        <v>46104</v>
      </c>
      <c r="C1648" s="1" t="n">
        <v>46181</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11724-2025</t>
        </is>
      </c>
      <c r="B1649" s="1" t="n">
        <v>45727.61490740741</v>
      </c>
      <c r="C1649" s="1" t="n">
        <v>46181</v>
      </c>
      <c r="D1649" t="inlineStr">
        <is>
          <t>VÄSTERNORRLANDS LÄN</t>
        </is>
      </c>
      <c r="E1649" t="inlineStr">
        <is>
          <t>SUNDSVALL</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20694-2026</t>
        </is>
      </c>
      <c r="B1650" s="1" t="n">
        <v>46141</v>
      </c>
      <c r="C1650" s="1" t="n">
        <v>46181</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56231-2023</t>
        </is>
      </c>
      <c r="B1651" s="1" t="n">
        <v>45240.92366898148</v>
      </c>
      <c r="C1651" s="1" t="n">
        <v>46181</v>
      </c>
      <c r="D1651" t="inlineStr">
        <is>
          <t>VÄSTERNORRLANDS LÄN</t>
        </is>
      </c>
      <c r="E1651" t="inlineStr">
        <is>
          <t>SUNDSVALL</t>
        </is>
      </c>
      <c r="G1651" t="n">
        <v>18.4</v>
      </c>
      <c r="H1651" t="n">
        <v>0</v>
      </c>
      <c r="I1651" t="n">
        <v>0</v>
      </c>
      <c r="J1651" t="n">
        <v>0</v>
      </c>
      <c r="K1651" t="n">
        <v>0</v>
      </c>
      <c r="L1651" t="n">
        <v>0</v>
      </c>
      <c r="M1651" t="n">
        <v>0</v>
      </c>
      <c r="N1651" t="n">
        <v>0</v>
      </c>
      <c r="O1651" t="n">
        <v>0</v>
      </c>
      <c r="P1651" t="n">
        <v>0</v>
      </c>
      <c r="Q1651" t="n">
        <v>0</v>
      </c>
      <c r="R1651" s="2" t="inlineStr"/>
    </row>
    <row r="1652" ht="15" customHeight="1">
      <c r="A1652" t="inlineStr">
        <is>
          <t>A 14942-2026</t>
        </is>
      </c>
      <c r="B1652" s="1" t="n">
        <v>46104</v>
      </c>
      <c r="C1652" s="1" t="n">
        <v>46181</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62421-2025</t>
        </is>
      </c>
      <c r="B1653" s="1" t="n">
        <v>46007.44850694444</v>
      </c>
      <c r="C1653" s="1" t="n">
        <v>46181</v>
      </c>
      <c r="D1653" t="inlineStr">
        <is>
          <t>VÄSTERNORRLANDS LÄN</t>
        </is>
      </c>
      <c r="E1653" t="inlineStr">
        <is>
          <t>SUNDSVALL</t>
        </is>
      </c>
      <c r="F1653" t="inlineStr">
        <is>
          <t>SCA</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20439-2026</t>
        </is>
      </c>
      <c r="B1654" s="1" t="n">
        <v>46140</v>
      </c>
      <c r="C1654" s="1" t="n">
        <v>46181</v>
      </c>
      <c r="D1654" t="inlineStr">
        <is>
          <t>VÄSTERNORRLANDS LÄN</t>
        </is>
      </c>
      <c r="E1654" t="inlineStr">
        <is>
          <t>SUNDSVALL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21283-2026</t>
        </is>
      </c>
      <c r="B1655" s="1" t="n">
        <v>46147.44880787037</v>
      </c>
      <c r="C1655" s="1" t="n">
        <v>46181</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58185-2022</t>
        </is>
      </c>
      <c r="B1656" s="1" t="n">
        <v>44900</v>
      </c>
      <c r="C1656" s="1" t="n">
        <v>46181</v>
      </c>
      <c r="D1656" t="inlineStr">
        <is>
          <t>VÄSTERNORRLANDS LÄN</t>
        </is>
      </c>
      <c r="E1656" t="inlineStr">
        <is>
          <t>SUNDSVALL</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15271-2026</t>
        </is>
      </c>
      <c r="B1657" s="1" t="n">
        <v>46105.5997337963</v>
      </c>
      <c r="C1657" s="1" t="n">
        <v>46181</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15273-2026</t>
        </is>
      </c>
      <c r="B1658" s="1" t="n">
        <v>46105.60079861111</v>
      </c>
      <c r="C1658" s="1" t="n">
        <v>46181</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15008-2026</t>
        </is>
      </c>
      <c r="B1659" s="1" t="n">
        <v>46104.61503472222</v>
      </c>
      <c r="C1659" s="1" t="n">
        <v>46181</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62527-2025</t>
        </is>
      </c>
      <c r="B1660" s="1" t="n">
        <v>46007.63597222222</v>
      </c>
      <c r="C1660" s="1" t="n">
        <v>46181</v>
      </c>
      <c r="D1660" t="inlineStr">
        <is>
          <t>VÄSTERNORRLANDS LÄN</t>
        </is>
      </c>
      <c r="E1660" t="inlineStr">
        <is>
          <t>SUNDSVALL</t>
        </is>
      </c>
      <c r="G1660" t="n">
        <v>16.3</v>
      </c>
      <c r="H1660" t="n">
        <v>0</v>
      </c>
      <c r="I1660" t="n">
        <v>0</v>
      </c>
      <c r="J1660" t="n">
        <v>0</v>
      </c>
      <c r="K1660" t="n">
        <v>0</v>
      </c>
      <c r="L1660" t="n">
        <v>0</v>
      </c>
      <c r="M1660" t="n">
        <v>0</v>
      </c>
      <c r="N1660" t="n">
        <v>0</v>
      </c>
      <c r="O1660" t="n">
        <v>0</v>
      </c>
      <c r="P1660" t="n">
        <v>0</v>
      </c>
      <c r="Q1660" t="n">
        <v>0</v>
      </c>
      <c r="R1660" s="2" t="inlineStr"/>
    </row>
    <row r="1661" ht="15" customHeight="1">
      <c r="A1661" t="inlineStr">
        <is>
          <t>A 62379-2025</t>
        </is>
      </c>
      <c r="B1661" s="1" t="n">
        <v>46007.36493055556</v>
      </c>
      <c r="C1661" s="1" t="n">
        <v>46181</v>
      </c>
      <c r="D1661" t="inlineStr">
        <is>
          <t>VÄSTERNORRLANDS LÄN</t>
        </is>
      </c>
      <c r="E1661" t="inlineStr">
        <is>
          <t>SUNDSVALL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10201-2024</t>
        </is>
      </c>
      <c r="B1662" s="1" t="n">
        <v>45364.92842592593</v>
      </c>
      <c r="C1662" s="1" t="n">
        <v>46181</v>
      </c>
      <c r="D1662" t="inlineStr">
        <is>
          <t>VÄSTERNORRLANDS LÄN</t>
        </is>
      </c>
      <c r="E1662" t="inlineStr">
        <is>
          <t>SUNDSVALL</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62637-2025</t>
        </is>
      </c>
      <c r="B1663" s="1" t="n">
        <v>46008.36550925926</v>
      </c>
      <c r="C1663" s="1" t="n">
        <v>46181</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45150-2023</t>
        </is>
      </c>
      <c r="B1664" s="1" t="n">
        <v>45191</v>
      </c>
      <c r="C1664" s="1" t="n">
        <v>46181</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52939-2023</t>
        </is>
      </c>
      <c r="B1665" s="1" t="n">
        <v>45222</v>
      </c>
      <c r="C1665" s="1" t="n">
        <v>46181</v>
      </c>
      <c r="D1665" t="inlineStr">
        <is>
          <t>VÄSTERNORRLANDS LÄN</t>
        </is>
      </c>
      <c r="E1665" t="inlineStr">
        <is>
          <t>SUNDSVALL</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9310-2024</t>
        </is>
      </c>
      <c r="B1666" s="1" t="n">
        <v>45358</v>
      </c>
      <c r="C1666" s="1" t="n">
        <v>46181</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14154-2024</t>
        </is>
      </c>
      <c r="B1667" s="1" t="n">
        <v>45392.92877314815</v>
      </c>
      <c r="C1667" s="1" t="n">
        <v>46181</v>
      </c>
      <c r="D1667" t="inlineStr">
        <is>
          <t>VÄSTERNORRLANDS LÄN</t>
        </is>
      </c>
      <c r="E1667" t="inlineStr">
        <is>
          <t>SUNDSVALL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21016-2026</t>
        </is>
      </c>
      <c r="B1668" s="1" t="n">
        <v>46143</v>
      </c>
      <c r="C1668" s="1" t="n">
        <v>46181</v>
      </c>
      <c r="D1668" t="inlineStr">
        <is>
          <t>VÄSTERNORRLANDS LÄN</t>
        </is>
      </c>
      <c r="E1668" t="inlineStr">
        <is>
          <t>SUNDSVALL</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63328-2025</t>
        </is>
      </c>
      <c r="B1669" s="1" t="n">
        <v>46010.63916666667</v>
      </c>
      <c r="C1669" s="1" t="n">
        <v>46181</v>
      </c>
      <c r="D1669" t="inlineStr">
        <is>
          <t>VÄSTERNORRLANDS LÄN</t>
        </is>
      </c>
      <c r="E1669" t="inlineStr">
        <is>
          <t>SUNDSVALL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14826-2026</t>
        </is>
      </c>
      <c r="B1670" s="1" t="n">
        <v>46104</v>
      </c>
      <c r="C1670" s="1" t="n">
        <v>46181</v>
      </c>
      <c r="D1670" t="inlineStr">
        <is>
          <t>VÄSTERNORRLANDS LÄN</t>
        </is>
      </c>
      <c r="E1670" t="inlineStr">
        <is>
          <t>SUNDSVALL</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55528-2022</t>
        </is>
      </c>
      <c r="B1671" s="1" t="n">
        <v>44887</v>
      </c>
      <c r="C1671" s="1" t="n">
        <v>46181</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59928-2023</t>
        </is>
      </c>
      <c r="B1672" s="1" t="n">
        <v>45254</v>
      </c>
      <c r="C1672" s="1" t="n">
        <v>46181</v>
      </c>
      <c r="D1672" t="inlineStr">
        <is>
          <t>VÄSTERNORRLANDS LÄN</t>
        </is>
      </c>
      <c r="E1672" t="inlineStr">
        <is>
          <t>SUNDSVALL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19724-2025</t>
        </is>
      </c>
      <c r="B1673" s="1" t="n">
        <v>45771.3650462963</v>
      </c>
      <c r="C1673" s="1" t="n">
        <v>46181</v>
      </c>
      <c r="D1673" t="inlineStr">
        <is>
          <t>VÄSTERNORRLANDS LÄN</t>
        </is>
      </c>
      <c r="E1673" t="inlineStr">
        <is>
          <t>SUNDSVALL</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15269-2026</t>
        </is>
      </c>
      <c r="B1674" s="1" t="n">
        <v>46105.59862268518</v>
      </c>
      <c r="C1674" s="1" t="n">
        <v>46181</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15352-2026</t>
        </is>
      </c>
      <c r="B1675" s="1" t="n">
        <v>46105.69912037037</v>
      </c>
      <c r="C1675" s="1" t="n">
        <v>46181</v>
      </c>
      <c r="D1675" t="inlineStr">
        <is>
          <t>VÄSTERNORRLANDS LÄN</t>
        </is>
      </c>
      <c r="E1675" t="inlineStr">
        <is>
          <t>SUNDSVALL</t>
        </is>
      </c>
      <c r="F1675" t="inlineStr">
        <is>
          <t>SCA</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63176-2025</t>
        </is>
      </c>
      <c r="B1676" s="1" t="n">
        <v>46010.41207175926</v>
      </c>
      <c r="C1676" s="1" t="n">
        <v>46181</v>
      </c>
      <c r="D1676" t="inlineStr">
        <is>
          <t>VÄSTERNORRLANDS LÄN</t>
        </is>
      </c>
      <c r="E1676" t="inlineStr">
        <is>
          <t>SUNDSVALL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63316-2025</t>
        </is>
      </c>
      <c r="B1677" s="1" t="n">
        <v>46010.63252314815</v>
      </c>
      <c r="C1677" s="1" t="n">
        <v>46181</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59576-2023</t>
        </is>
      </c>
      <c r="B1678" s="1" t="n">
        <v>45253</v>
      </c>
      <c r="C1678" s="1" t="n">
        <v>46181</v>
      </c>
      <c r="D1678" t="inlineStr">
        <is>
          <t>VÄSTERNORRLANDS LÄN</t>
        </is>
      </c>
      <c r="E1678" t="inlineStr">
        <is>
          <t>SUNDSVALL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60613-2022</t>
        </is>
      </c>
      <c r="B1679" s="1" t="n">
        <v>44911</v>
      </c>
      <c r="C1679" s="1" t="n">
        <v>46181</v>
      </c>
      <c r="D1679" t="inlineStr">
        <is>
          <t>VÄSTERNORRLANDS LÄN</t>
        </is>
      </c>
      <c r="E1679" t="inlineStr">
        <is>
          <t>SUNDSVALL</t>
        </is>
      </c>
      <c r="F1679" t="inlineStr">
        <is>
          <t>Kyrkan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14040-2024</t>
        </is>
      </c>
      <c r="B1680" s="1" t="n">
        <v>45392.53799768518</v>
      </c>
      <c r="C1680" s="1" t="n">
        <v>46181</v>
      </c>
      <c r="D1680" t="inlineStr">
        <is>
          <t>VÄSTERNORRLANDS LÄN</t>
        </is>
      </c>
      <c r="E1680" t="inlineStr">
        <is>
          <t>SUNDSVALL</t>
        </is>
      </c>
      <c r="F1680" t="inlineStr">
        <is>
          <t>Holmen skog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32128-2023</t>
        </is>
      </c>
      <c r="B1681" s="1" t="n">
        <v>45107</v>
      </c>
      <c r="C1681" s="1" t="n">
        <v>46181</v>
      </c>
      <c r="D1681" t="inlineStr">
        <is>
          <t>VÄSTERNORRLANDS LÄN</t>
        </is>
      </c>
      <c r="E1681" t="inlineStr">
        <is>
          <t>SUNDSVALL</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15287-2026</t>
        </is>
      </c>
      <c r="B1682" s="1" t="n">
        <v>46105.62003472223</v>
      </c>
      <c r="C1682" s="1" t="n">
        <v>46181</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15116-2026</t>
        </is>
      </c>
      <c r="B1683" s="1" t="n">
        <v>46105</v>
      </c>
      <c r="C1683" s="1" t="n">
        <v>46181</v>
      </c>
      <c r="D1683" t="inlineStr">
        <is>
          <t>VÄSTERNORRLANDS LÄN</t>
        </is>
      </c>
      <c r="E1683" t="inlineStr">
        <is>
          <t>SUNDSVALL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15117-2026</t>
        </is>
      </c>
      <c r="B1684" s="1" t="n">
        <v>46105.3650462963</v>
      </c>
      <c r="C1684" s="1" t="n">
        <v>46181</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21383-2026</t>
        </is>
      </c>
      <c r="B1685" s="1" t="n">
        <v>46147.70134259259</v>
      </c>
      <c r="C1685" s="1" t="n">
        <v>46181</v>
      </c>
      <c r="D1685" t="inlineStr">
        <is>
          <t>VÄSTERNORRLANDS LÄN</t>
        </is>
      </c>
      <c r="E1685" t="inlineStr">
        <is>
          <t>SUNDSVALL</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15354-2026</t>
        </is>
      </c>
      <c r="B1686" s="1" t="n">
        <v>46105.69952546297</v>
      </c>
      <c r="C1686" s="1" t="n">
        <v>46181</v>
      </c>
      <c r="D1686" t="inlineStr">
        <is>
          <t>VÄSTERNORRLANDS LÄN</t>
        </is>
      </c>
      <c r="E1686" t="inlineStr">
        <is>
          <t>SUNDSVALL</t>
        </is>
      </c>
      <c r="F1686" t="inlineStr">
        <is>
          <t>SCA</t>
        </is>
      </c>
      <c r="G1686" t="n">
        <v>15.2</v>
      </c>
      <c r="H1686" t="n">
        <v>0</v>
      </c>
      <c r="I1686" t="n">
        <v>0</v>
      </c>
      <c r="J1686" t="n">
        <v>0</v>
      </c>
      <c r="K1686" t="n">
        <v>0</v>
      </c>
      <c r="L1686" t="n">
        <v>0</v>
      </c>
      <c r="M1686" t="n">
        <v>0</v>
      </c>
      <c r="N1686" t="n">
        <v>0</v>
      </c>
      <c r="O1686" t="n">
        <v>0</v>
      </c>
      <c r="P1686" t="n">
        <v>0</v>
      </c>
      <c r="Q1686" t="n">
        <v>0</v>
      </c>
      <c r="R1686" s="2" t="inlineStr"/>
    </row>
    <row r="1687" ht="15" customHeight="1">
      <c r="A1687" t="inlineStr">
        <is>
          <t>A 62972-2025</t>
        </is>
      </c>
      <c r="B1687" s="1" t="n">
        <v>46009.46590277777</v>
      </c>
      <c r="C1687" s="1" t="n">
        <v>46181</v>
      </c>
      <c r="D1687" t="inlineStr">
        <is>
          <t>VÄSTERNORRLANDS LÄN</t>
        </is>
      </c>
      <c r="E1687" t="inlineStr">
        <is>
          <t>SUNDSVALL</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21259-2026</t>
        </is>
      </c>
      <c r="B1688" s="1" t="n">
        <v>46147.39489583333</v>
      </c>
      <c r="C1688" s="1" t="n">
        <v>46181</v>
      </c>
      <c r="D1688" t="inlineStr">
        <is>
          <t>VÄSTERNORRLANDS LÄN</t>
        </is>
      </c>
      <c r="E1688" t="inlineStr">
        <is>
          <t>SUNDSVALL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21282-2026</t>
        </is>
      </c>
      <c r="B1689" s="1" t="n">
        <v>46147.44866898148</v>
      </c>
      <c r="C1689" s="1" t="n">
        <v>46181</v>
      </c>
      <c r="D1689" t="inlineStr">
        <is>
          <t>VÄSTERNORRLANDS LÄN</t>
        </is>
      </c>
      <c r="E1689" t="inlineStr">
        <is>
          <t>SUNDSVALL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14791-2026</t>
        </is>
      </c>
      <c r="B1690" s="1" t="n">
        <v>46101.76064814815</v>
      </c>
      <c r="C1690" s="1" t="n">
        <v>46181</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62937-2025</t>
        </is>
      </c>
      <c r="B1691" s="1" t="n">
        <v>46009.41844907407</v>
      </c>
      <c r="C1691" s="1" t="n">
        <v>46181</v>
      </c>
      <c r="D1691" t="inlineStr">
        <is>
          <t>VÄSTERNORRLANDS LÄN</t>
        </is>
      </c>
      <c r="E1691" t="inlineStr">
        <is>
          <t>SUNDSVALL</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23558-2024</t>
        </is>
      </c>
      <c r="B1692" s="1" t="n">
        <v>45453.95451388889</v>
      </c>
      <c r="C1692" s="1" t="n">
        <v>46181</v>
      </c>
      <c r="D1692" t="inlineStr">
        <is>
          <t>VÄSTERNORRLANDS LÄN</t>
        </is>
      </c>
      <c r="E1692" t="inlineStr">
        <is>
          <t>SUNDSVALL</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21297-2026</t>
        </is>
      </c>
      <c r="B1693" s="1" t="n">
        <v>46147.49040509259</v>
      </c>
      <c r="C1693" s="1" t="n">
        <v>46181</v>
      </c>
      <c r="D1693" t="inlineStr">
        <is>
          <t>VÄSTERNORRLANDS LÄN</t>
        </is>
      </c>
      <c r="E1693" t="inlineStr">
        <is>
          <t>SUNDSVALL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532-2025</t>
        </is>
      </c>
      <c r="B1694" s="1" t="n">
        <v>45664</v>
      </c>
      <c r="C1694" s="1" t="n">
        <v>46181</v>
      </c>
      <c r="D1694" t="inlineStr">
        <is>
          <t>VÄSTERNORRLANDS LÄN</t>
        </is>
      </c>
      <c r="E1694" t="inlineStr">
        <is>
          <t>SUNDSVALL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14825-2026</t>
        </is>
      </c>
      <c r="B1695" s="1" t="n">
        <v>46104</v>
      </c>
      <c r="C1695" s="1" t="n">
        <v>46181</v>
      </c>
      <c r="D1695" t="inlineStr">
        <is>
          <t>VÄSTERNORRLANDS LÄN</t>
        </is>
      </c>
      <c r="E1695" t="inlineStr">
        <is>
          <t>SUNDSVALL</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63594-2025</t>
        </is>
      </c>
      <c r="B1696" s="1" t="n">
        <v>46013</v>
      </c>
      <c r="C1696" s="1" t="n">
        <v>46181</v>
      </c>
      <c r="D1696" t="inlineStr">
        <is>
          <t>VÄSTERNORRLANDS LÄN</t>
        </is>
      </c>
      <c r="E1696" t="inlineStr">
        <is>
          <t>SUNDSVALL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63446-2025</t>
        </is>
      </c>
      <c r="B1697" s="1" t="n">
        <v>46013.40040509259</v>
      </c>
      <c r="C1697" s="1" t="n">
        <v>46181</v>
      </c>
      <c r="D1697" t="inlineStr">
        <is>
          <t>VÄSTERNORRLANDS LÄN</t>
        </is>
      </c>
      <c r="E1697" t="inlineStr">
        <is>
          <t>SUNDSVALL</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21196-2023</t>
        </is>
      </c>
      <c r="B1698" s="1" t="n">
        <v>45062.48819444444</v>
      </c>
      <c r="C1698" s="1" t="n">
        <v>46181</v>
      </c>
      <c r="D1698" t="inlineStr">
        <is>
          <t>VÄSTERNORRLANDS LÄN</t>
        </is>
      </c>
      <c r="E1698" t="inlineStr">
        <is>
          <t>SUNDSVALL</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63680-2025</t>
        </is>
      </c>
      <c r="B1699" s="1" t="n">
        <v>46014.51070601852</v>
      </c>
      <c r="C1699" s="1" t="n">
        <v>46181</v>
      </c>
      <c r="D1699" t="inlineStr">
        <is>
          <t>VÄSTERNORRLANDS LÄN</t>
        </is>
      </c>
      <c r="E1699" t="inlineStr">
        <is>
          <t>SUNDSVALL</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63112-2025</t>
        </is>
      </c>
      <c r="B1700" s="1" t="n">
        <v>46009</v>
      </c>
      <c r="C1700" s="1" t="n">
        <v>46181</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70879-2021</t>
        </is>
      </c>
      <c r="B1701" s="1" t="n">
        <v>44538</v>
      </c>
      <c r="C1701" s="1" t="n">
        <v>46181</v>
      </c>
      <c r="D1701" t="inlineStr">
        <is>
          <t>VÄSTERNORRLANDS LÄN</t>
        </is>
      </c>
      <c r="E1701" t="inlineStr">
        <is>
          <t>SUNDSVALL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63682-2025</t>
        </is>
      </c>
      <c r="B1702" s="1" t="n">
        <v>46014.51082175926</v>
      </c>
      <c r="C1702" s="1" t="n">
        <v>46181</v>
      </c>
      <c r="D1702" t="inlineStr">
        <is>
          <t>VÄSTERNORRLANDS LÄN</t>
        </is>
      </c>
      <c r="E1702" t="inlineStr">
        <is>
          <t>SUNDSVALL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63491-2025</t>
        </is>
      </c>
      <c r="B1703" s="1" t="n">
        <v>46013.47121527778</v>
      </c>
      <c r="C1703" s="1" t="n">
        <v>46181</v>
      </c>
      <c r="D1703" t="inlineStr">
        <is>
          <t>VÄSTERNORRLANDS LÄN</t>
        </is>
      </c>
      <c r="E1703" t="inlineStr">
        <is>
          <t>SUNDSVALL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63681-2025</t>
        </is>
      </c>
      <c r="B1704" s="1" t="n">
        <v>46014.51079861111</v>
      </c>
      <c r="C1704" s="1" t="n">
        <v>46181</v>
      </c>
      <c r="D1704" t="inlineStr">
        <is>
          <t>VÄSTERNORRLANDS LÄN</t>
        </is>
      </c>
      <c r="E1704" t="inlineStr">
        <is>
          <t>SUNDSVALL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70174-2021</t>
        </is>
      </c>
      <c r="B1705" s="1" t="n">
        <v>44533</v>
      </c>
      <c r="C1705" s="1" t="n">
        <v>46181</v>
      </c>
      <c r="D1705" t="inlineStr">
        <is>
          <t>VÄSTERNORRLANDS LÄN</t>
        </is>
      </c>
      <c r="E1705" t="inlineStr">
        <is>
          <t>SUNDSVALL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63582-2025</t>
        </is>
      </c>
      <c r="B1706" s="1" t="n">
        <v>46013.75100694445</v>
      </c>
      <c r="C1706" s="1" t="n">
        <v>46181</v>
      </c>
      <c r="D1706" t="inlineStr">
        <is>
          <t>VÄSTERNORRLANDS LÄN</t>
        </is>
      </c>
      <c r="E1706" t="inlineStr">
        <is>
          <t>SUNDSVALL</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15780-2024</t>
        </is>
      </c>
      <c r="B1707" s="1" t="n">
        <v>45404</v>
      </c>
      <c r="C1707" s="1" t="n">
        <v>46181</v>
      </c>
      <c r="D1707" t="inlineStr">
        <is>
          <t>VÄSTERNORRLANDS LÄN</t>
        </is>
      </c>
      <c r="E1707" t="inlineStr">
        <is>
          <t>SUNDSVALL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27640-2023</t>
        </is>
      </c>
      <c r="B1708" s="1" t="n">
        <v>45097</v>
      </c>
      <c r="C1708" s="1" t="n">
        <v>46181</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63580-2025</t>
        </is>
      </c>
      <c r="B1709" s="1" t="n">
        <v>46013.69832175926</v>
      </c>
      <c r="C1709" s="1" t="n">
        <v>46181</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63581-2025</t>
        </is>
      </c>
      <c r="B1710" s="1" t="n">
        <v>46013.74611111111</v>
      </c>
      <c r="C1710" s="1" t="n">
        <v>46181</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63485-2025</t>
        </is>
      </c>
      <c r="B1711" s="1" t="n">
        <v>46013.46825231481</v>
      </c>
      <c r="C1711" s="1" t="n">
        <v>46181</v>
      </c>
      <c r="D1711" t="inlineStr">
        <is>
          <t>VÄSTERNORRLANDS LÄN</t>
        </is>
      </c>
      <c r="E1711" t="inlineStr">
        <is>
          <t>SUNDSVALL</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63489-2025</t>
        </is>
      </c>
      <c r="B1712" s="1" t="n">
        <v>46013.469375</v>
      </c>
      <c r="C1712" s="1" t="n">
        <v>46181</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52898-2024</t>
        </is>
      </c>
      <c r="B1713" s="1" t="n">
        <v>45610.67748842593</v>
      </c>
      <c r="C1713" s="1" t="n">
        <v>46181</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15756-2026</t>
        </is>
      </c>
      <c r="B1714" s="1" t="n">
        <v>46107.43133101852</v>
      </c>
      <c r="C1714" s="1" t="n">
        <v>46181</v>
      </c>
      <c r="D1714" t="inlineStr">
        <is>
          <t>VÄSTERNORRLANDS LÄN</t>
        </is>
      </c>
      <c r="E1714" t="inlineStr">
        <is>
          <t>SUNDSVALL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15464-2026</t>
        </is>
      </c>
      <c r="B1715" s="1" t="n">
        <v>46106.42756944444</v>
      </c>
      <c r="C1715" s="1" t="n">
        <v>46181</v>
      </c>
      <c r="D1715" t="inlineStr">
        <is>
          <t>VÄSTERNORRLANDS LÄN</t>
        </is>
      </c>
      <c r="E1715" t="inlineStr">
        <is>
          <t>SUNDSVALL</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27690-2025</t>
        </is>
      </c>
      <c r="B1716" s="1" t="n">
        <v>45813.65657407408</v>
      </c>
      <c r="C1716" s="1" t="n">
        <v>46181</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63799-2025</t>
        </is>
      </c>
      <c r="B1717" s="1" t="n">
        <v>46019</v>
      </c>
      <c r="C1717" s="1" t="n">
        <v>46181</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21421-2026</t>
        </is>
      </c>
      <c r="B1718" s="1" t="n">
        <v>46148.36518518518</v>
      </c>
      <c r="C1718" s="1" t="n">
        <v>46181</v>
      </c>
      <c r="D1718" t="inlineStr">
        <is>
          <t>VÄSTERNORRLANDS LÄN</t>
        </is>
      </c>
      <c r="E1718" t="inlineStr">
        <is>
          <t>SUNDSVALL</t>
        </is>
      </c>
      <c r="F1718" t="inlineStr">
        <is>
          <t>Naturvårdsverket</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21531-2026</t>
        </is>
      </c>
      <c r="B1719" s="1" t="n">
        <v>46148</v>
      </c>
      <c r="C1719" s="1" t="n">
        <v>46181</v>
      </c>
      <c r="D1719" t="inlineStr">
        <is>
          <t>VÄSTERNORRLANDS LÄN</t>
        </is>
      </c>
      <c r="E1719" t="inlineStr">
        <is>
          <t>SUNDSVALL</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21587-2026</t>
        </is>
      </c>
      <c r="B1720" s="1" t="n">
        <v>46149.3449537037</v>
      </c>
      <c r="C1720" s="1" t="n">
        <v>46181</v>
      </c>
      <c r="D1720" t="inlineStr">
        <is>
          <t>VÄSTERNORRLANDS LÄN</t>
        </is>
      </c>
      <c r="E1720" t="inlineStr">
        <is>
          <t>SUNDSVALL</t>
        </is>
      </c>
      <c r="F1720" t="inlineStr">
        <is>
          <t>SCA</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15771-2026</t>
        </is>
      </c>
      <c r="B1721" s="1" t="n">
        <v>46107.44846064815</v>
      </c>
      <c r="C1721" s="1" t="n">
        <v>46181</v>
      </c>
      <c r="D1721" t="inlineStr">
        <is>
          <t>VÄSTERNORRLANDS LÄN</t>
        </is>
      </c>
      <c r="E1721" t="inlineStr">
        <is>
          <t>SUNDSVALL</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44278-2025</t>
        </is>
      </c>
      <c r="B1722" s="1" t="n">
        <v>45916.34482638889</v>
      </c>
      <c r="C1722" s="1" t="n">
        <v>46181</v>
      </c>
      <c r="D1722" t="inlineStr">
        <is>
          <t>VÄSTERNORRLANDS LÄN</t>
        </is>
      </c>
      <c r="E1722" t="inlineStr">
        <is>
          <t>SUNDSVALL</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44283-2025</t>
        </is>
      </c>
      <c r="B1723" s="1" t="n">
        <v>45916.34541666666</v>
      </c>
      <c r="C1723" s="1" t="n">
        <v>46181</v>
      </c>
      <c r="D1723" t="inlineStr">
        <is>
          <t>VÄSTERNORRLANDS LÄN</t>
        </is>
      </c>
      <c r="E1723" t="inlineStr">
        <is>
          <t>SUNDSVALL</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33433-2025</t>
        </is>
      </c>
      <c r="B1724" s="1" t="n">
        <v>45841.4485300926</v>
      </c>
      <c r="C1724" s="1" t="n">
        <v>46181</v>
      </c>
      <c r="D1724" t="inlineStr">
        <is>
          <t>VÄSTERNORRLANDS LÄN</t>
        </is>
      </c>
      <c r="E1724" t="inlineStr">
        <is>
          <t>SUNDSVALL</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30213-2025</t>
        </is>
      </c>
      <c r="B1725" s="1" t="n">
        <v>45827</v>
      </c>
      <c r="C1725" s="1" t="n">
        <v>46181</v>
      </c>
      <c r="D1725" t="inlineStr">
        <is>
          <t>VÄSTERNORRLANDS LÄN</t>
        </is>
      </c>
      <c r="E1725" t="inlineStr">
        <is>
          <t>SUNDSVALL</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41658-2025</t>
        </is>
      </c>
      <c r="B1726" s="1" t="n">
        <v>45902.34451388889</v>
      </c>
      <c r="C1726" s="1" t="n">
        <v>46181</v>
      </c>
      <c r="D1726" t="inlineStr">
        <is>
          <t>VÄSTERNORRLANDS LÄN</t>
        </is>
      </c>
      <c r="E1726" t="inlineStr">
        <is>
          <t>SUNDSVALL</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16056-2024</t>
        </is>
      </c>
      <c r="B1727" s="1" t="n">
        <v>45406.04898148148</v>
      </c>
      <c r="C1727" s="1" t="n">
        <v>46181</v>
      </c>
      <c r="D1727" t="inlineStr">
        <is>
          <t>VÄSTERNORRLANDS LÄN</t>
        </is>
      </c>
      <c r="E1727" t="inlineStr">
        <is>
          <t>SUNDSVALL</t>
        </is>
      </c>
      <c r="F1727" t="inlineStr">
        <is>
          <t>Naturvårdsverket</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16251-2024</t>
        </is>
      </c>
      <c r="B1728" s="1" t="n">
        <v>45407</v>
      </c>
      <c r="C1728" s="1" t="n">
        <v>46181</v>
      </c>
      <c r="D1728" t="inlineStr">
        <is>
          <t>VÄSTERNORRLANDS LÄN</t>
        </is>
      </c>
      <c r="E1728" t="inlineStr">
        <is>
          <t>SUNDSVALL</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15544-2026</t>
        </is>
      </c>
      <c r="B1729" s="1" t="n">
        <v>46106.52372685185</v>
      </c>
      <c r="C1729" s="1" t="n">
        <v>46181</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15546-2026</t>
        </is>
      </c>
      <c r="B1730" s="1" t="n">
        <v>46106.52609953703</v>
      </c>
      <c r="C1730" s="1" t="n">
        <v>46181</v>
      </c>
      <c r="D1730" t="inlineStr">
        <is>
          <t>VÄSTERNORRLANDS LÄN</t>
        </is>
      </c>
      <c r="E1730" t="inlineStr">
        <is>
          <t>SUNDSVALL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15445-2026</t>
        </is>
      </c>
      <c r="B1731" s="1" t="n">
        <v>46106.40689814815</v>
      </c>
      <c r="C1731" s="1" t="n">
        <v>46181</v>
      </c>
      <c r="D1731" t="inlineStr">
        <is>
          <t>VÄSTERNORRLANDS LÄN</t>
        </is>
      </c>
      <c r="E1731" t="inlineStr">
        <is>
          <t>SUNDSVALL</t>
        </is>
      </c>
      <c r="F1731" t="inlineStr">
        <is>
          <t>SCA</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15736-2026</t>
        </is>
      </c>
      <c r="B1732" s="1" t="n">
        <v>46107.40721064815</v>
      </c>
      <c r="C1732" s="1" t="n">
        <v>46181</v>
      </c>
      <c r="D1732" t="inlineStr">
        <is>
          <t>VÄSTERNORRLANDS LÄN</t>
        </is>
      </c>
      <c r="E1732" t="inlineStr">
        <is>
          <t>SUNDSVALL</t>
        </is>
      </c>
      <c r="F1732" t="inlineStr">
        <is>
          <t>SCA</t>
        </is>
      </c>
      <c r="G1732" t="n">
        <v>9.5</v>
      </c>
      <c r="H1732" t="n">
        <v>0</v>
      </c>
      <c r="I1732" t="n">
        <v>0</v>
      </c>
      <c r="J1732" t="n">
        <v>0</v>
      </c>
      <c r="K1732" t="n">
        <v>0</v>
      </c>
      <c r="L1732" t="n">
        <v>0</v>
      </c>
      <c r="M1732" t="n">
        <v>0</v>
      </c>
      <c r="N1732" t="n">
        <v>0</v>
      </c>
      <c r="O1732" t="n">
        <v>0</v>
      </c>
      <c r="P1732" t="n">
        <v>0</v>
      </c>
      <c r="Q1732" t="n">
        <v>0</v>
      </c>
      <c r="R1732" s="2" t="inlineStr"/>
    </row>
    <row r="1733" ht="15" customHeight="1">
      <c r="A1733" t="inlineStr">
        <is>
          <t>A 62380-2025</t>
        </is>
      </c>
      <c r="B1733" s="1" t="n">
        <v>46007.365</v>
      </c>
      <c r="C1733" s="1" t="n">
        <v>46181</v>
      </c>
      <c r="D1733" t="inlineStr">
        <is>
          <t>VÄSTERNORRLANDS LÄN</t>
        </is>
      </c>
      <c r="E1733" t="inlineStr">
        <is>
          <t>SUNDSVALL</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57185-2025</t>
        </is>
      </c>
      <c r="B1734" s="1" t="n">
        <v>45979.57387731481</v>
      </c>
      <c r="C1734" s="1" t="n">
        <v>46181</v>
      </c>
      <c r="D1734" t="inlineStr">
        <is>
          <t>VÄSTERNORRLANDS LÄN</t>
        </is>
      </c>
      <c r="E1734" t="inlineStr">
        <is>
          <t>SUNDSVALL</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22249-2022</t>
        </is>
      </c>
      <c r="B1735" s="1" t="n">
        <v>44712.60636574074</v>
      </c>
      <c r="C1735" s="1" t="n">
        <v>46181</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55011-2025</t>
        </is>
      </c>
      <c r="B1736" s="1" t="n">
        <v>45967.61542824074</v>
      </c>
      <c r="C1736" s="1" t="n">
        <v>46181</v>
      </c>
      <c r="D1736" t="inlineStr">
        <is>
          <t>VÄSTERNORRLANDS LÄN</t>
        </is>
      </c>
      <c r="E1736" t="inlineStr">
        <is>
          <t>SUNDSVALL</t>
        </is>
      </c>
      <c r="F1736" t="inlineStr">
        <is>
          <t>SCA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16558-2023</t>
        </is>
      </c>
      <c r="B1737" s="1" t="n">
        <v>45029</v>
      </c>
      <c r="C1737" s="1" t="n">
        <v>46181</v>
      </c>
      <c r="D1737" t="inlineStr">
        <is>
          <t>VÄSTERNORRLANDS LÄN</t>
        </is>
      </c>
      <c r="E1737" t="inlineStr">
        <is>
          <t>SUNDSVALL</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40769-2025</t>
        </is>
      </c>
      <c r="B1738" s="1" t="n">
        <v>45897.40708333333</v>
      </c>
      <c r="C1738" s="1" t="n">
        <v>46181</v>
      </c>
      <c r="D1738" t="inlineStr">
        <is>
          <t>VÄSTERNORRLANDS LÄN</t>
        </is>
      </c>
      <c r="E1738" t="inlineStr">
        <is>
          <t>SUNDSVALL</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41660-2025</t>
        </is>
      </c>
      <c r="B1739" s="1" t="n">
        <v>45902.34475694445</v>
      </c>
      <c r="C1739" s="1" t="n">
        <v>46181</v>
      </c>
      <c r="D1739" t="inlineStr">
        <is>
          <t>VÄSTERNORRLANDS LÄN</t>
        </is>
      </c>
      <c r="E1739" t="inlineStr">
        <is>
          <t>SUNDSVALL</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27928-2024</t>
        </is>
      </c>
      <c r="B1740" s="1" t="n">
        <v>45475</v>
      </c>
      <c r="C1740" s="1" t="n">
        <v>46181</v>
      </c>
      <c r="D1740" t="inlineStr">
        <is>
          <t>VÄSTERNORRLANDS LÄN</t>
        </is>
      </c>
      <c r="E1740" t="inlineStr">
        <is>
          <t>SUNDSVALL</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64140-2025</t>
        </is>
      </c>
      <c r="B1741" s="1" t="n">
        <v>46022.40658564815</v>
      </c>
      <c r="C1741" s="1" t="n">
        <v>46181</v>
      </c>
      <c r="D1741" t="inlineStr">
        <is>
          <t>VÄSTERNORRLANDS LÄN</t>
        </is>
      </c>
      <c r="E1741" t="inlineStr">
        <is>
          <t>SUNDSVALL</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44578-2024</t>
        </is>
      </c>
      <c r="B1742" s="1" t="n">
        <v>45574.48479166667</v>
      </c>
      <c r="C1742" s="1" t="n">
        <v>46181</v>
      </c>
      <c r="D1742" t="inlineStr">
        <is>
          <t>VÄSTERNORRLANDS LÄN</t>
        </is>
      </c>
      <c r="E1742" t="inlineStr">
        <is>
          <t>SUNDSVALL</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39922-2024</t>
        </is>
      </c>
      <c r="B1743" s="1" t="n">
        <v>45553</v>
      </c>
      <c r="C1743" s="1" t="n">
        <v>46181</v>
      </c>
      <c r="D1743" t="inlineStr">
        <is>
          <t>VÄSTERNORRLANDS LÄN</t>
        </is>
      </c>
      <c r="E1743" t="inlineStr">
        <is>
          <t>SUNDSVALL</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3348-2024</t>
        </is>
      </c>
      <c r="B1744" s="1" t="n">
        <v>45317</v>
      </c>
      <c r="C1744" s="1" t="n">
        <v>46181</v>
      </c>
      <c r="D1744" t="inlineStr">
        <is>
          <t>VÄSTERNORRLANDS LÄN</t>
        </is>
      </c>
      <c r="E1744" t="inlineStr">
        <is>
          <t>SUNDSVALL</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37887-2024</t>
        </is>
      </c>
      <c r="B1745" s="1" t="n">
        <v>45544</v>
      </c>
      <c r="C1745" s="1" t="n">
        <v>46181</v>
      </c>
      <c r="D1745" t="inlineStr">
        <is>
          <t>VÄSTERNORRLANDS LÄN</t>
        </is>
      </c>
      <c r="E1745" t="inlineStr">
        <is>
          <t>SUNDSVALL</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15426-2026</t>
        </is>
      </c>
      <c r="B1746" s="1" t="n">
        <v>46106.38596064815</v>
      </c>
      <c r="C1746" s="1" t="n">
        <v>46181</v>
      </c>
      <c r="D1746" t="inlineStr">
        <is>
          <t>VÄSTERNORRLANDS LÄN</t>
        </is>
      </c>
      <c r="E1746" t="inlineStr">
        <is>
          <t>SUNDSVALL</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37408-2023</t>
        </is>
      </c>
      <c r="B1747" s="1" t="n">
        <v>45156</v>
      </c>
      <c r="C1747" s="1" t="n">
        <v>46181</v>
      </c>
      <c r="D1747" t="inlineStr">
        <is>
          <t>VÄSTERNORRLANDS LÄN</t>
        </is>
      </c>
      <c r="E1747" t="inlineStr">
        <is>
          <t>SUNDSVALL</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152-2026</t>
        </is>
      </c>
      <c r="B1748" s="1" t="n">
        <v>46021</v>
      </c>
      <c r="C1748" s="1" t="n">
        <v>46181</v>
      </c>
      <c r="D1748" t="inlineStr">
        <is>
          <t>VÄSTERNORRLANDS LÄN</t>
        </is>
      </c>
      <c r="E1748" t="inlineStr">
        <is>
          <t>SUNDSVALL</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64046-2025</t>
        </is>
      </c>
      <c r="B1749" s="1" t="n">
        <v>46021.57615740741</v>
      </c>
      <c r="C1749" s="1" t="n">
        <v>46181</v>
      </c>
      <c r="D1749" t="inlineStr">
        <is>
          <t>VÄSTERNORRLANDS LÄN</t>
        </is>
      </c>
      <c r="E1749" t="inlineStr">
        <is>
          <t>SUNDSVALL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36971-2023</t>
        </is>
      </c>
      <c r="B1750" s="1" t="n">
        <v>45154</v>
      </c>
      <c r="C1750" s="1" t="n">
        <v>46181</v>
      </c>
      <c r="D1750" t="inlineStr">
        <is>
          <t>VÄSTERNORRLANDS LÄN</t>
        </is>
      </c>
      <c r="E1750" t="inlineStr">
        <is>
          <t>SUNDSVALL</t>
        </is>
      </c>
      <c r="F1750" t="inlineStr">
        <is>
          <t>SCA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15885-2026</t>
        </is>
      </c>
      <c r="B1751" s="1" t="n">
        <v>46107.60821759259</v>
      </c>
      <c r="C1751" s="1" t="n">
        <v>46181</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21707-2026</t>
        </is>
      </c>
      <c r="B1752" s="1" t="n">
        <v>46149.57381944444</v>
      </c>
      <c r="C1752" s="1" t="n">
        <v>46181</v>
      </c>
      <c r="D1752" t="inlineStr">
        <is>
          <t>VÄSTERNORRLANDS LÄN</t>
        </is>
      </c>
      <c r="E1752" t="inlineStr">
        <is>
          <t>SUNDSVALL</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28497-2024</t>
        </is>
      </c>
      <c r="B1753" s="1" t="n">
        <v>45477.9271875</v>
      </c>
      <c r="C1753" s="1" t="n">
        <v>46181</v>
      </c>
      <c r="D1753" t="inlineStr">
        <is>
          <t>VÄSTERNORRLANDS LÄN</t>
        </is>
      </c>
      <c r="E1753" t="inlineStr">
        <is>
          <t>SUNDSVALL</t>
        </is>
      </c>
      <c r="G1753" t="n">
        <v>13.9</v>
      </c>
      <c r="H1753" t="n">
        <v>0</v>
      </c>
      <c r="I1753" t="n">
        <v>0</v>
      </c>
      <c r="J1753" t="n">
        <v>0</v>
      </c>
      <c r="K1753" t="n">
        <v>0</v>
      </c>
      <c r="L1753" t="n">
        <v>0</v>
      </c>
      <c r="M1753" t="n">
        <v>0</v>
      </c>
      <c r="N1753" t="n">
        <v>0</v>
      </c>
      <c r="O1753" t="n">
        <v>0</v>
      </c>
      <c r="P1753" t="n">
        <v>0</v>
      </c>
      <c r="Q1753" t="n">
        <v>0</v>
      </c>
      <c r="R1753" s="2" t="inlineStr"/>
    </row>
    <row r="1754" ht="15" customHeight="1">
      <c r="A1754" t="inlineStr">
        <is>
          <t>A 59579-2021</t>
        </is>
      </c>
      <c r="B1754" s="1" t="n">
        <v>44491</v>
      </c>
      <c r="C1754" s="1" t="n">
        <v>46181</v>
      </c>
      <c r="D1754" t="inlineStr">
        <is>
          <t>VÄSTERNORRLANDS LÄN</t>
        </is>
      </c>
      <c r="E1754" t="inlineStr">
        <is>
          <t>SUNDSVALL</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21395-2026</t>
        </is>
      </c>
      <c r="B1755" s="1" t="n">
        <v>46148.29836805556</v>
      </c>
      <c r="C1755" s="1" t="n">
        <v>46181</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43728-2025</t>
        </is>
      </c>
      <c r="B1756" s="1" t="n">
        <v>45912</v>
      </c>
      <c r="C1756" s="1" t="n">
        <v>46181</v>
      </c>
      <c r="D1756" t="inlineStr">
        <is>
          <t>VÄSTERNORRLANDS LÄN</t>
        </is>
      </c>
      <c r="E1756" t="inlineStr">
        <is>
          <t>SUNDSVALL</t>
        </is>
      </c>
      <c r="G1756" t="n">
        <v>24.2</v>
      </c>
      <c r="H1756" t="n">
        <v>0</v>
      </c>
      <c r="I1756" t="n">
        <v>0</v>
      </c>
      <c r="J1756" t="n">
        <v>0</v>
      </c>
      <c r="K1756" t="n">
        <v>0</v>
      </c>
      <c r="L1756" t="n">
        <v>0</v>
      </c>
      <c r="M1756" t="n">
        <v>0</v>
      </c>
      <c r="N1756" t="n">
        <v>0</v>
      </c>
      <c r="O1756" t="n">
        <v>0</v>
      </c>
      <c r="P1756" t="n">
        <v>0</v>
      </c>
      <c r="Q1756" t="n">
        <v>0</v>
      </c>
      <c r="R1756" s="2" t="inlineStr"/>
    </row>
    <row r="1757" ht="15" customHeight="1">
      <c r="A1757" t="inlineStr">
        <is>
          <t>A 15440-2026</t>
        </is>
      </c>
      <c r="B1757" s="1" t="n">
        <v>46106.40006944445</v>
      </c>
      <c r="C1757" s="1" t="n">
        <v>46181</v>
      </c>
      <c r="D1757" t="inlineStr">
        <is>
          <t>VÄSTERNORRLANDS LÄN</t>
        </is>
      </c>
      <c r="E1757" t="inlineStr">
        <is>
          <t>SUNDSVALL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28611-2024</t>
        </is>
      </c>
      <c r="B1758" s="1" t="n">
        <v>45478</v>
      </c>
      <c r="C1758" s="1" t="n">
        <v>46181</v>
      </c>
      <c r="D1758" t="inlineStr">
        <is>
          <t>VÄSTERNORRLANDS LÄN</t>
        </is>
      </c>
      <c r="E1758" t="inlineStr">
        <is>
          <t>SUNDSVALL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32562-2023</t>
        </is>
      </c>
      <c r="B1759" s="1" t="n">
        <v>45111</v>
      </c>
      <c r="C1759" s="1" t="n">
        <v>46181</v>
      </c>
      <c r="D1759" t="inlineStr">
        <is>
          <t>VÄSTERNORRLANDS LÄN</t>
        </is>
      </c>
      <c r="E1759" t="inlineStr">
        <is>
          <t>SUNDSVALL</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65192-2023</t>
        </is>
      </c>
      <c r="B1760" s="1" t="n">
        <v>45288</v>
      </c>
      <c r="C1760" s="1" t="n">
        <v>46181</v>
      </c>
      <c r="D1760" t="inlineStr">
        <is>
          <t>VÄSTERNORRLANDS LÄN</t>
        </is>
      </c>
      <c r="E1760" t="inlineStr">
        <is>
          <t>SUNDSVALL</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65193-2023</t>
        </is>
      </c>
      <c r="B1761" s="1" t="n">
        <v>45288</v>
      </c>
      <c r="C1761" s="1" t="n">
        <v>46181</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47714-2024</t>
        </is>
      </c>
      <c r="B1762" s="1" t="n">
        <v>45588.48163194444</v>
      </c>
      <c r="C1762" s="1" t="n">
        <v>46181</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26234-2024</t>
        </is>
      </c>
      <c r="B1763" s="1" t="n">
        <v>45468</v>
      </c>
      <c r="C1763" s="1" t="n">
        <v>46181</v>
      </c>
      <c r="D1763" t="inlineStr">
        <is>
          <t>VÄSTERNORRLANDS LÄN</t>
        </is>
      </c>
      <c r="E1763" t="inlineStr">
        <is>
          <t>SUNDSVALL</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43001-2024</t>
        </is>
      </c>
      <c r="B1764" s="1" t="n">
        <v>45567.37609953704</v>
      </c>
      <c r="C1764" s="1" t="n">
        <v>46181</v>
      </c>
      <c r="D1764" t="inlineStr">
        <is>
          <t>VÄSTERNORRLANDS LÄN</t>
        </is>
      </c>
      <c r="E1764" t="inlineStr">
        <is>
          <t>SUNDSVALL</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27673-2024</t>
        </is>
      </c>
      <c r="B1765" s="1" t="n">
        <v>45474.9560300926</v>
      </c>
      <c r="C1765" s="1" t="n">
        <v>46181</v>
      </c>
      <c r="D1765" t="inlineStr">
        <is>
          <t>VÄSTERNORRLANDS LÄN</t>
        </is>
      </c>
      <c r="E1765" t="inlineStr">
        <is>
          <t>SUNDSVALL</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58781-2022</t>
        </is>
      </c>
      <c r="B1766" s="1" t="n">
        <v>44903</v>
      </c>
      <c r="C1766" s="1" t="n">
        <v>46181</v>
      </c>
      <c r="D1766" t="inlineStr">
        <is>
          <t>VÄSTERNORRLANDS LÄN</t>
        </is>
      </c>
      <c r="E1766" t="inlineStr">
        <is>
          <t>SUNDSVALL</t>
        </is>
      </c>
      <c r="F1766" t="inlineStr">
        <is>
          <t>Holmen skog AB</t>
        </is>
      </c>
      <c r="G1766" t="n">
        <v>16.3</v>
      </c>
      <c r="H1766" t="n">
        <v>0</v>
      </c>
      <c r="I1766" t="n">
        <v>0</v>
      </c>
      <c r="J1766" t="n">
        <v>0</v>
      </c>
      <c r="K1766" t="n">
        <v>0</v>
      </c>
      <c r="L1766" t="n">
        <v>0</v>
      </c>
      <c r="M1766" t="n">
        <v>0</v>
      </c>
      <c r="N1766" t="n">
        <v>0</v>
      </c>
      <c r="O1766" t="n">
        <v>0</v>
      </c>
      <c r="P1766" t="n">
        <v>0</v>
      </c>
      <c r="Q1766" t="n">
        <v>0</v>
      </c>
      <c r="R1766" s="2" t="inlineStr"/>
    </row>
    <row r="1767" ht="15" customHeight="1">
      <c r="A1767" t="inlineStr">
        <is>
          <t>A 73980-2021</t>
        </is>
      </c>
      <c r="B1767" s="1" t="n">
        <v>44554</v>
      </c>
      <c r="C1767" s="1" t="n">
        <v>46181</v>
      </c>
      <c r="D1767" t="inlineStr">
        <is>
          <t>VÄSTERNORRLANDS LÄN</t>
        </is>
      </c>
      <c r="E1767" t="inlineStr">
        <is>
          <t>SUNDSVALL</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59973-2021</t>
        </is>
      </c>
      <c r="B1768" s="1" t="n">
        <v>44494.93664351852</v>
      </c>
      <c r="C1768" s="1" t="n">
        <v>46181</v>
      </c>
      <c r="D1768" t="inlineStr">
        <is>
          <t>VÄSTERNORRLANDS LÄN</t>
        </is>
      </c>
      <c r="E1768" t="inlineStr">
        <is>
          <t>SUNDSVALL</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23404-2023</t>
        </is>
      </c>
      <c r="B1769" s="1" t="n">
        <v>45076.48101851852</v>
      </c>
      <c r="C1769" s="1" t="n">
        <v>46181</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21809-2026</t>
        </is>
      </c>
      <c r="B1770" s="1" t="n">
        <v>46150</v>
      </c>
      <c r="C1770" s="1" t="n">
        <v>46181</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47886-2024</t>
        </is>
      </c>
      <c r="B1771" s="1" t="n">
        <v>45588.82175925926</v>
      </c>
      <c r="C1771" s="1" t="n">
        <v>46181</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43571-2024</t>
        </is>
      </c>
      <c r="B1772" s="1" t="n">
        <v>45569</v>
      </c>
      <c r="C1772" s="1" t="n">
        <v>46181</v>
      </c>
      <c r="D1772" t="inlineStr">
        <is>
          <t>VÄSTERNORRLANDS LÄN</t>
        </is>
      </c>
      <c r="E1772" t="inlineStr">
        <is>
          <t>SUNDSVALL</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15786-2026</t>
        </is>
      </c>
      <c r="B1773" s="1" t="n">
        <v>46107.47047453704</v>
      </c>
      <c r="C1773" s="1" t="n">
        <v>46181</v>
      </c>
      <c r="D1773" t="inlineStr">
        <is>
          <t>VÄSTERNORRLANDS LÄN</t>
        </is>
      </c>
      <c r="E1773" t="inlineStr">
        <is>
          <t>SUNDSVALL</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9393-2022</t>
        </is>
      </c>
      <c r="B1774" s="1" t="n">
        <v>44616.64576388889</v>
      </c>
      <c r="C1774" s="1" t="n">
        <v>46181</v>
      </c>
      <c r="D1774" t="inlineStr">
        <is>
          <t>VÄSTERNORRLANDS LÄN</t>
        </is>
      </c>
      <c r="E1774" t="inlineStr">
        <is>
          <t>SUNDSVALL</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24152-2023</t>
        </is>
      </c>
      <c r="B1775" s="1" t="n">
        <v>45076</v>
      </c>
      <c r="C1775" s="1" t="n">
        <v>46181</v>
      </c>
      <c r="D1775" t="inlineStr">
        <is>
          <t>VÄSTERNORRLANDS LÄN</t>
        </is>
      </c>
      <c r="E1775" t="inlineStr">
        <is>
          <t>SUNDSVALL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13674-2024</t>
        </is>
      </c>
      <c r="B1776" s="1" t="n">
        <v>45390</v>
      </c>
      <c r="C1776" s="1" t="n">
        <v>46181</v>
      </c>
      <c r="D1776" t="inlineStr">
        <is>
          <t>VÄSTERNORRLANDS LÄN</t>
        </is>
      </c>
      <c r="E1776" t="inlineStr">
        <is>
          <t>SUNDSVALL</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47172-2024</t>
        </is>
      </c>
      <c r="B1777" s="1" t="n">
        <v>45586.61501157407</v>
      </c>
      <c r="C1777" s="1" t="n">
        <v>46181</v>
      </c>
      <c r="D1777" t="inlineStr">
        <is>
          <t>VÄSTERNORRLANDS LÄN</t>
        </is>
      </c>
      <c r="E1777" t="inlineStr">
        <is>
          <t>SUNDSVALL</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15520-2024</t>
        </is>
      </c>
      <c r="B1778" s="1" t="n">
        <v>45400</v>
      </c>
      <c r="C1778" s="1" t="n">
        <v>46181</v>
      </c>
      <c r="D1778" t="inlineStr">
        <is>
          <t>VÄSTERNORRLANDS LÄN</t>
        </is>
      </c>
      <c r="E1778" t="inlineStr">
        <is>
          <t>SUNDSVALL</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22047-2026</t>
        </is>
      </c>
      <c r="B1779" s="1" t="n">
        <v>46153.46972222222</v>
      </c>
      <c r="C1779" s="1" t="n">
        <v>46181</v>
      </c>
      <c r="D1779" t="inlineStr">
        <is>
          <t>VÄSTERNORRLANDS LÄN</t>
        </is>
      </c>
      <c r="E1779" t="inlineStr">
        <is>
          <t>SUNDSVALL</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63048-2023</t>
        </is>
      </c>
      <c r="B1780" s="1" t="n">
        <v>45272</v>
      </c>
      <c r="C1780" s="1" t="n">
        <v>46181</v>
      </c>
      <c r="D1780" t="inlineStr">
        <is>
          <t>VÄSTERNORRLANDS LÄN</t>
        </is>
      </c>
      <c r="E1780" t="inlineStr">
        <is>
          <t>SUNDSVALL</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58606-2023</t>
        </is>
      </c>
      <c r="B1781" s="1" t="n">
        <v>45251.49158564815</v>
      </c>
      <c r="C1781" s="1" t="n">
        <v>46181</v>
      </c>
      <c r="D1781" t="inlineStr">
        <is>
          <t>VÄSTERNORRLANDS LÄN</t>
        </is>
      </c>
      <c r="E1781" t="inlineStr">
        <is>
          <t>SUNDSVALL</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22161-2026</t>
        </is>
      </c>
      <c r="B1782" s="1" t="n">
        <v>46153.63600694444</v>
      </c>
      <c r="C1782" s="1" t="n">
        <v>46181</v>
      </c>
      <c r="D1782" t="inlineStr">
        <is>
          <t>VÄSTERNORRLANDS LÄN</t>
        </is>
      </c>
      <c r="E1782" t="inlineStr">
        <is>
          <t>SUNDSVALL</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16258-2026</t>
        </is>
      </c>
      <c r="B1783" s="1" t="n">
        <v>46111.4737037037</v>
      </c>
      <c r="C1783" s="1" t="n">
        <v>46181</v>
      </c>
      <c r="D1783" t="inlineStr">
        <is>
          <t>VÄSTERNORRLANDS LÄN</t>
        </is>
      </c>
      <c r="E1783" t="inlineStr">
        <is>
          <t>SUNDSVALL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21930-2026</t>
        </is>
      </c>
      <c r="B1784" s="1" t="n">
        <v>46150.71923611111</v>
      </c>
      <c r="C1784" s="1" t="n">
        <v>46181</v>
      </c>
      <c r="D1784" t="inlineStr">
        <is>
          <t>VÄSTERNORRLANDS LÄN</t>
        </is>
      </c>
      <c r="E1784" t="inlineStr">
        <is>
          <t>SUNDSVALL</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44602-2024</t>
        </is>
      </c>
      <c r="B1785" s="1" t="n">
        <v>45574.51142361111</v>
      </c>
      <c r="C1785" s="1" t="n">
        <v>46181</v>
      </c>
      <c r="D1785" t="inlineStr">
        <is>
          <t>VÄSTERNORRLANDS LÄN</t>
        </is>
      </c>
      <c r="E1785" t="inlineStr">
        <is>
          <t>SUNDSVALL</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2881-2025</t>
        </is>
      </c>
      <c r="B1786" s="1" t="n">
        <v>45677.69859953703</v>
      </c>
      <c r="C1786" s="1" t="n">
        <v>46181</v>
      </c>
      <c r="D1786" t="inlineStr">
        <is>
          <t>VÄSTERNORRLANDS LÄN</t>
        </is>
      </c>
      <c r="E1786" t="inlineStr">
        <is>
          <t>SUNDSVALL</t>
        </is>
      </c>
      <c r="F1786" t="inlineStr">
        <is>
          <t>SCA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18563-2023</t>
        </is>
      </c>
      <c r="B1787" s="1" t="n">
        <v>45042</v>
      </c>
      <c r="C1787" s="1" t="n">
        <v>46181</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54580-2024</t>
        </is>
      </c>
      <c r="B1788" s="1" t="n">
        <v>45617.65657407408</v>
      </c>
      <c r="C1788" s="1" t="n">
        <v>46181</v>
      </c>
      <c r="D1788" t="inlineStr">
        <is>
          <t>VÄSTERNORRLANDS LÄN</t>
        </is>
      </c>
      <c r="E1788" t="inlineStr">
        <is>
          <t>SUNDSVALL</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50012-2024</t>
        </is>
      </c>
      <c r="B1789" s="1" t="n">
        <v>45598.8578125</v>
      </c>
      <c r="C1789" s="1" t="n">
        <v>46181</v>
      </c>
      <c r="D1789" t="inlineStr">
        <is>
          <t>VÄSTERNORRLANDS LÄN</t>
        </is>
      </c>
      <c r="E1789" t="inlineStr">
        <is>
          <t>SUNDSVALL</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16662-2026</t>
        </is>
      </c>
      <c r="B1790" s="1" t="n">
        <v>46112.65679398148</v>
      </c>
      <c r="C1790" s="1" t="n">
        <v>46181</v>
      </c>
      <c r="D1790" t="inlineStr">
        <is>
          <t>VÄSTERNORRLANDS LÄN</t>
        </is>
      </c>
      <c r="E1790" t="inlineStr">
        <is>
          <t>SUNDSVALL</t>
        </is>
      </c>
      <c r="F1790" t="inlineStr">
        <is>
          <t>SCA</t>
        </is>
      </c>
      <c r="G1790" t="n">
        <v>24.3</v>
      </c>
      <c r="H1790" t="n">
        <v>0</v>
      </c>
      <c r="I1790" t="n">
        <v>0</v>
      </c>
      <c r="J1790" t="n">
        <v>0</v>
      </c>
      <c r="K1790" t="n">
        <v>0</v>
      </c>
      <c r="L1790" t="n">
        <v>0</v>
      </c>
      <c r="M1790" t="n">
        <v>0</v>
      </c>
      <c r="N1790" t="n">
        <v>0</v>
      </c>
      <c r="O1790" t="n">
        <v>0</v>
      </c>
      <c r="P1790" t="n">
        <v>0</v>
      </c>
      <c r="Q1790" t="n">
        <v>0</v>
      </c>
      <c r="R1790" s="2" t="inlineStr"/>
    </row>
    <row r="1791" ht="15" customHeight="1">
      <c r="A1791" t="inlineStr">
        <is>
          <t>A 16559-2026</t>
        </is>
      </c>
      <c r="B1791" s="1" t="n">
        <v>46112.55283564814</v>
      </c>
      <c r="C1791" s="1" t="n">
        <v>46181</v>
      </c>
      <c r="D1791" t="inlineStr">
        <is>
          <t>VÄSTERNORRLANDS LÄN</t>
        </is>
      </c>
      <c r="E1791" t="inlineStr">
        <is>
          <t>SUNDSVALL</t>
        </is>
      </c>
      <c r="F1791" t="inlineStr">
        <is>
          <t>SCA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16556-2026</t>
        </is>
      </c>
      <c r="B1792" s="1" t="n">
        <v>46112</v>
      </c>
      <c r="C1792" s="1" t="n">
        <v>46181</v>
      </c>
      <c r="D1792" t="inlineStr">
        <is>
          <t>VÄSTERNORRLANDS LÄN</t>
        </is>
      </c>
      <c r="E1792" t="inlineStr">
        <is>
          <t>SUNDSVALL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16553-2026</t>
        </is>
      </c>
      <c r="B1793" s="1" t="n">
        <v>46112</v>
      </c>
      <c r="C1793" s="1" t="n">
        <v>46181</v>
      </c>
      <c r="D1793" t="inlineStr">
        <is>
          <t>VÄSTERNORRLANDS LÄN</t>
        </is>
      </c>
      <c r="E1793" t="inlineStr">
        <is>
          <t>SUNDSVALL</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16493-2026</t>
        </is>
      </c>
      <c r="B1794" s="1" t="n">
        <v>46112.42765046296</v>
      </c>
      <c r="C1794" s="1" t="n">
        <v>46181</v>
      </c>
      <c r="D1794" t="inlineStr">
        <is>
          <t>VÄSTERNORRLANDS LÄN</t>
        </is>
      </c>
      <c r="E1794" t="inlineStr">
        <is>
          <t>SUNDSVALL</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16570-2026</t>
        </is>
      </c>
      <c r="B1795" s="1" t="n">
        <v>46112</v>
      </c>
      <c r="C1795" s="1" t="n">
        <v>46181</v>
      </c>
      <c r="D1795" t="inlineStr">
        <is>
          <t>VÄSTERNORRLANDS LÄN</t>
        </is>
      </c>
      <c r="E1795" t="inlineStr">
        <is>
          <t>SUNDSVALL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2274-2026</t>
        </is>
      </c>
      <c r="B1796" s="1" t="n">
        <v>46036.57377314815</v>
      </c>
      <c r="C1796" s="1" t="n">
        <v>46181</v>
      </c>
      <c r="D1796" t="inlineStr">
        <is>
          <t>VÄSTERNORRLANDS LÄN</t>
        </is>
      </c>
      <c r="E1796" t="inlineStr">
        <is>
          <t>SUNDSVALL</t>
        </is>
      </c>
      <c r="G1796" t="n">
        <v>17.2</v>
      </c>
      <c r="H1796" t="n">
        <v>0</v>
      </c>
      <c r="I1796" t="n">
        <v>0</v>
      </c>
      <c r="J1796" t="n">
        <v>0</v>
      </c>
      <c r="K1796" t="n">
        <v>0</v>
      </c>
      <c r="L1796" t="n">
        <v>0</v>
      </c>
      <c r="M1796" t="n">
        <v>0</v>
      </c>
      <c r="N1796" t="n">
        <v>0</v>
      </c>
      <c r="O1796" t="n">
        <v>0</v>
      </c>
      <c r="P1796" t="n">
        <v>0</v>
      </c>
      <c r="Q1796" t="n">
        <v>0</v>
      </c>
      <c r="R1796" s="2" t="inlineStr"/>
    </row>
    <row r="1797" ht="15" customHeight="1">
      <c r="A1797" t="inlineStr">
        <is>
          <t>A 22529-2026</t>
        </is>
      </c>
      <c r="B1797" s="1" t="n">
        <v>46155.46956018519</v>
      </c>
      <c r="C1797" s="1" t="n">
        <v>46181</v>
      </c>
      <c r="D1797" t="inlineStr">
        <is>
          <t>VÄSTERNORRLANDS LÄN</t>
        </is>
      </c>
      <c r="E1797" t="inlineStr">
        <is>
          <t>SUNDSVALL</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42517-2023</t>
        </is>
      </c>
      <c r="B1798" s="1" t="n">
        <v>45180</v>
      </c>
      <c r="C1798" s="1" t="n">
        <v>46181</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16468-2026</t>
        </is>
      </c>
      <c r="B1799" s="1" t="n">
        <v>46112.36506944444</v>
      </c>
      <c r="C1799" s="1" t="n">
        <v>46181</v>
      </c>
      <c r="D1799" t="inlineStr">
        <is>
          <t>VÄSTERNORRLANDS LÄN</t>
        </is>
      </c>
      <c r="E1799" t="inlineStr">
        <is>
          <t>SUNDSVALL</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16551-2026</t>
        </is>
      </c>
      <c r="B1800" s="1" t="n">
        <v>46112.53172453704</v>
      </c>
      <c r="C1800" s="1" t="n">
        <v>46181</v>
      </c>
      <c r="D1800" t="inlineStr">
        <is>
          <t>VÄSTERNORRLANDS LÄN</t>
        </is>
      </c>
      <c r="E1800" t="inlineStr">
        <is>
          <t>SUNDSVALL</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16837-2026</t>
        </is>
      </c>
      <c r="B1801" s="1" t="n">
        <v>46113.53158564815</v>
      </c>
      <c r="C1801" s="1" t="n">
        <v>46181</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42114-2024</t>
        </is>
      </c>
      <c r="B1802" s="1" t="n">
        <v>45562</v>
      </c>
      <c r="C1802" s="1" t="n">
        <v>46181</v>
      </c>
      <c r="D1802" t="inlineStr">
        <is>
          <t>VÄSTERNORRLANDS LÄN</t>
        </is>
      </c>
      <c r="E1802" t="inlineStr">
        <is>
          <t>SUNDSVALL</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16839-2026</t>
        </is>
      </c>
      <c r="B1803" s="1" t="n">
        <v>46113.53362268519</v>
      </c>
      <c r="C1803" s="1" t="n">
        <v>46181</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16840-2026</t>
        </is>
      </c>
      <c r="B1804" s="1" t="n">
        <v>46113.53590277778</v>
      </c>
      <c r="C1804" s="1" t="n">
        <v>46181</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22333-2026</t>
        </is>
      </c>
      <c r="B1805" s="1" t="n">
        <v>46154.56728009259</v>
      </c>
      <c r="C1805" s="1" t="n">
        <v>46181</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47788-2024</t>
        </is>
      </c>
      <c r="B1806" s="1" t="n">
        <v>45588.59452546296</v>
      </c>
      <c r="C1806" s="1" t="n">
        <v>46181</v>
      </c>
      <c r="D1806" t="inlineStr">
        <is>
          <t>VÄSTERNORRLANDS LÄN</t>
        </is>
      </c>
      <c r="E1806" t="inlineStr">
        <is>
          <t>SUNDSVALL</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22298-2026</t>
        </is>
      </c>
      <c r="B1807" s="1" t="n">
        <v>46154.44831018519</v>
      </c>
      <c r="C1807" s="1" t="n">
        <v>46181</v>
      </c>
      <c r="D1807" t="inlineStr">
        <is>
          <t>VÄSTERNORRLANDS LÄN</t>
        </is>
      </c>
      <c r="E1807" t="inlineStr">
        <is>
          <t>SUNDSVALL</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22309-2026</t>
        </is>
      </c>
      <c r="B1808" s="1" t="n">
        <v>46154.46949074074</v>
      </c>
      <c r="C1808" s="1" t="n">
        <v>46181</v>
      </c>
      <c r="D1808" t="inlineStr">
        <is>
          <t>VÄSTERNORRLANDS LÄN</t>
        </is>
      </c>
      <c r="E1808" t="inlineStr">
        <is>
          <t>SUNDSVALL</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22483-2026</t>
        </is>
      </c>
      <c r="B1809" s="1" t="n">
        <v>46154</v>
      </c>
      <c r="C1809" s="1" t="n">
        <v>46181</v>
      </c>
      <c r="D1809" t="inlineStr">
        <is>
          <t>VÄSTERNORRLANDS LÄN</t>
        </is>
      </c>
      <c r="E1809" t="inlineStr">
        <is>
          <t>SUNDSVALL</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22524-2026</t>
        </is>
      </c>
      <c r="B1810" s="1" t="n">
        <v>46155.46799768518</v>
      </c>
      <c r="C1810" s="1" t="n">
        <v>46181</v>
      </c>
      <c r="D1810" t="inlineStr">
        <is>
          <t>VÄSTERNORRLANDS LÄN</t>
        </is>
      </c>
      <c r="E1810" t="inlineStr">
        <is>
          <t>SUNDSVALL</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16650-2026</t>
        </is>
      </c>
      <c r="B1811" s="1" t="n">
        <v>46112</v>
      </c>
      <c r="C1811" s="1" t="n">
        <v>46181</v>
      </c>
      <c r="D1811" t="inlineStr">
        <is>
          <t>VÄSTERNORRLANDS LÄN</t>
        </is>
      </c>
      <c r="E1811" t="inlineStr">
        <is>
          <t>SUNDSVALL</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13507-2023</t>
        </is>
      </c>
      <c r="B1812" s="1" t="n">
        <v>45006</v>
      </c>
      <c r="C1812" s="1" t="n">
        <v>46181</v>
      </c>
      <c r="D1812" t="inlineStr">
        <is>
          <t>VÄSTERNORRLANDS LÄN</t>
        </is>
      </c>
      <c r="E1812" t="inlineStr">
        <is>
          <t>SUNDSVALL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16593-2026</t>
        </is>
      </c>
      <c r="B1813" s="1" t="n">
        <v>46112</v>
      </c>
      <c r="C1813" s="1" t="n">
        <v>46181</v>
      </c>
      <c r="D1813" t="inlineStr">
        <is>
          <t>VÄSTERNORRLANDS LÄN</t>
        </is>
      </c>
      <c r="E1813" t="inlineStr">
        <is>
          <t>SUNDSVALL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13033-2025</t>
        </is>
      </c>
      <c r="B1814" s="1" t="n">
        <v>45734.57334490741</v>
      </c>
      <c r="C1814" s="1" t="n">
        <v>46181</v>
      </c>
      <c r="D1814" t="inlineStr">
        <is>
          <t>VÄSTERNORRLANDS LÄN</t>
        </is>
      </c>
      <c r="E1814" t="inlineStr">
        <is>
          <t>SUNDSVALL</t>
        </is>
      </c>
      <c r="F1814" t="inlineStr">
        <is>
          <t>SCA</t>
        </is>
      </c>
      <c r="G1814" t="n">
        <v>2.4</v>
      </c>
      <c r="H1814" t="n">
        <v>0</v>
      </c>
      <c r="I1814" t="n">
        <v>0</v>
      </c>
      <c r="J1814" t="n">
        <v>0</v>
      </c>
      <c r="K1814" t="n">
        <v>0</v>
      </c>
      <c r="L1814" t="n">
        <v>0</v>
      </c>
      <c r="M1814" t="n">
        <v>0</v>
      </c>
      <c r="N1814" t="n">
        <v>0</v>
      </c>
      <c r="O1814" t="n">
        <v>0</v>
      </c>
      <c r="P1814" t="n">
        <v>0</v>
      </c>
      <c r="Q1814" t="n">
        <v>0</v>
      </c>
      <c r="R1814" s="2" t="inlineStr"/>
      <c r="U1814">
        <f>HYPERLINK("https://klasma.github.io/Logging_2281/knärot/A 13033-2025 karta knärot.png", "A 13033-2025")</f>
        <v/>
      </c>
      <c r="V1814">
        <f>HYPERLINK("https://klasma.github.io/Logging_2281/klagomål/A 13033-2025 FSC-klagomål.docx", "A 13033-2025")</f>
        <v/>
      </c>
      <c r="W1814">
        <f>HYPERLINK("https://klasma.github.io/Logging_2281/klagomålsmail/A 13033-2025 FSC-klagomål mail.docx", "A 13033-2025")</f>
        <v/>
      </c>
      <c r="X1814">
        <f>HYPERLINK("https://klasma.github.io/Logging_2281/tillsyn/A 13033-2025 tillsynsbegäran.docx", "A 13033-2025")</f>
        <v/>
      </c>
      <c r="Y1814">
        <f>HYPERLINK("https://klasma.github.io/Logging_2281/tillsynsmail/A 13033-2025 tillsynsbegäran mail.docx", "A 13033-2025")</f>
        <v/>
      </c>
    </row>
    <row r="1815" ht="15" customHeight="1">
      <c r="A1815" t="inlineStr">
        <is>
          <t>A 38365-2023</t>
        </is>
      </c>
      <c r="B1815" s="1" t="n">
        <v>45161.94349537037</v>
      </c>
      <c r="C1815" s="1" t="n">
        <v>46181</v>
      </c>
      <c r="D1815" t="inlineStr">
        <is>
          <t>VÄSTERNORRLANDS LÄN</t>
        </is>
      </c>
      <c r="E1815" t="inlineStr">
        <is>
          <t>SUNDSVALL</t>
        </is>
      </c>
      <c r="F1815" t="inlineStr">
        <is>
          <t>SCA</t>
        </is>
      </c>
      <c r="G1815" t="n">
        <v>21.8</v>
      </c>
      <c r="H1815" t="n">
        <v>0</v>
      </c>
      <c r="I1815" t="n">
        <v>0</v>
      </c>
      <c r="J1815" t="n">
        <v>0</v>
      </c>
      <c r="K1815" t="n">
        <v>0</v>
      </c>
      <c r="L1815" t="n">
        <v>0</v>
      </c>
      <c r="M1815" t="n">
        <v>0</v>
      </c>
      <c r="N1815" t="n">
        <v>0</v>
      </c>
      <c r="O1815" t="n">
        <v>0</v>
      </c>
      <c r="P1815" t="n">
        <v>0</v>
      </c>
      <c r="Q1815" t="n">
        <v>0</v>
      </c>
      <c r="R1815" s="2" t="inlineStr"/>
    </row>
    <row r="1816" ht="15" customHeight="1">
      <c r="A1816" t="inlineStr">
        <is>
          <t>A 17052-2026</t>
        </is>
      </c>
      <c r="B1816" s="1" t="n">
        <v>46114.49002314815</v>
      </c>
      <c r="C1816" s="1" t="n">
        <v>46181</v>
      </c>
      <c r="D1816" t="inlineStr">
        <is>
          <t>VÄSTERNORRLANDS LÄN</t>
        </is>
      </c>
      <c r="E1816" t="inlineStr">
        <is>
          <t>SUNDSVALL</t>
        </is>
      </c>
      <c r="F1816" t="inlineStr">
        <is>
          <t>SCA</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50220-2024</t>
        </is>
      </c>
      <c r="B1817" s="1" t="n">
        <v>45600.53408564815</v>
      </c>
      <c r="C1817" s="1" t="n">
        <v>46181</v>
      </c>
      <c r="D1817" t="inlineStr">
        <is>
          <t>VÄSTERNORRLANDS LÄN</t>
        </is>
      </c>
      <c r="E1817" t="inlineStr">
        <is>
          <t>SUNDSVALL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52404-2024</t>
        </is>
      </c>
      <c r="B1818" s="1" t="n">
        <v>45609</v>
      </c>
      <c r="C1818" s="1" t="n">
        <v>46181</v>
      </c>
      <c r="D1818" t="inlineStr">
        <is>
          <t>VÄSTERNORRLANDS LÄN</t>
        </is>
      </c>
      <c r="E1818" t="inlineStr">
        <is>
          <t>SUNDSVALL</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8491-2024</t>
        </is>
      </c>
      <c r="B1819" s="1" t="n">
        <v>45355</v>
      </c>
      <c r="C1819" s="1" t="n">
        <v>46181</v>
      </c>
      <c r="D1819" t="inlineStr">
        <is>
          <t>VÄSTERNORRLANDS LÄN</t>
        </is>
      </c>
      <c r="E1819" t="inlineStr">
        <is>
          <t>SUNDSVALL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32904-2023</t>
        </is>
      </c>
      <c r="B1820" s="1" t="n">
        <v>45124.95121527778</v>
      </c>
      <c r="C1820" s="1" t="n">
        <v>46181</v>
      </c>
      <c r="D1820" t="inlineStr">
        <is>
          <t>VÄSTERNORRLANDS LÄN</t>
        </is>
      </c>
      <c r="E1820" t="inlineStr">
        <is>
          <t>SUNDSVALL</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32953-2023</t>
        </is>
      </c>
      <c r="B1821" s="1" t="n">
        <v>45113</v>
      </c>
      <c r="C1821" s="1" t="n">
        <v>46181</v>
      </c>
      <c r="D1821" t="inlineStr">
        <is>
          <t>VÄSTERNORRLANDS LÄN</t>
        </is>
      </c>
      <c r="E1821" t="inlineStr">
        <is>
          <t>SUNDSVALL</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32970-2023</t>
        </is>
      </c>
      <c r="B1822" s="1" t="n">
        <v>45113</v>
      </c>
      <c r="C1822" s="1" t="n">
        <v>46181</v>
      </c>
      <c r="D1822" t="inlineStr">
        <is>
          <t>VÄSTERNORRLANDS LÄN</t>
        </is>
      </c>
      <c r="E1822" t="inlineStr">
        <is>
          <t>SUNDSVALL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54460-2024</t>
        </is>
      </c>
      <c r="B1823" s="1" t="n">
        <v>45617.5328125</v>
      </c>
      <c r="C1823" s="1" t="n">
        <v>46181</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49862-2023</t>
        </is>
      </c>
      <c r="B1824" s="1" t="n">
        <v>45212</v>
      </c>
      <c r="C1824" s="1" t="n">
        <v>46181</v>
      </c>
      <c r="D1824" t="inlineStr">
        <is>
          <t>VÄSTERNORRLANDS LÄN</t>
        </is>
      </c>
      <c r="E1824" t="inlineStr">
        <is>
          <t>SUNDSVALL</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7925-2025</t>
        </is>
      </c>
      <c r="B1825" s="1" t="n">
        <v>45707.36540509259</v>
      </c>
      <c r="C1825" s="1" t="n">
        <v>46181</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51834-2023</t>
        </is>
      </c>
      <c r="B1826" s="1" t="n">
        <v>45222.96862268518</v>
      </c>
      <c r="C1826" s="1" t="n">
        <v>46181</v>
      </c>
      <c r="D1826" t="inlineStr">
        <is>
          <t>VÄSTERNORRLANDS LÄN</t>
        </is>
      </c>
      <c r="E1826" t="inlineStr">
        <is>
          <t>SUNDSVALL</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73979-2021</t>
        </is>
      </c>
      <c r="B1827" s="1" t="n">
        <v>44554</v>
      </c>
      <c r="C1827" s="1" t="n">
        <v>46181</v>
      </c>
      <c r="D1827" t="inlineStr">
        <is>
          <t>VÄSTERNORRLANDS LÄN</t>
        </is>
      </c>
      <c r="E1827" t="inlineStr">
        <is>
          <t>SUNDSVALL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29465-2024</t>
        </is>
      </c>
      <c r="B1828" s="1" t="n">
        <v>45483.97027777778</v>
      </c>
      <c r="C1828" s="1" t="n">
        <v>46181</v>
      </c>
      <c r="D1828" t="inlineStr">
        <is>
          <t>VÄSTERNORRLANDS LÄN</t>
        </is>
      </c>
      <c r="E1828" t="inlineStr">
        <is>
          <t>SUNDSVALL</t>
        </is>
      </c>
      <c r="F1828" t="inlineStr">
        <is>
          <t>Naturvårdsverket</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8708-2025</t>
        </is>
      </c>
      <c r="B1829" s="1" t="n">
        <v>45712.490625</v>
      </c>
      <c r="C1829" s="1" t="n">
        <v>46181</v>
      </c>
      <c r="D1829" t="inlineStr">
        <is>
          <t>VÄSTERNORRLANDS LÄN</t>
        </is>
      </c>
      <c r="E1829" t="inlineStr">
        <is>
          <t>SUNDSVALL</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10986-2022</t>
        </is>
      </c>
      <c r="B1830" s="1" t="n">
        <v>44628</v>
      </c>
      <c r="C1830" s="1" t="n">
        <v>46181</v>
      </c>
      <c r="D1830" t="inlineStr">
        <is>
          <t>VÄSTERNORRLANDS LÄN</t>
        </is>
      </c>
      <c r="E1830" t="inlineStr">
        <is>
          <t>SUNDSVALL</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42833-2024</t>
        </is>
      </c>
      <c r="B1831" s="1" t="n">
        <v>45566.6171875</v>
      </c>
      <c r="C1831" s="1" t="n">
        <v>46181</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7365-2024</t>
        </is>
      </c>
      <c r="B1832" s="1" t="n">
        <v>45345</v>
      </c>
      <c r="C1832" s="1" t="n">
        <v>46181</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41600-2023</t>
        </is>
      </c>
      <c r="B1833" s="1" t="n">
        <v>45175</v>
      </c>
      <c r="C1833" s="1" t="n">
        <v>46181</v>
      </c>
      <c r="D1833" t="inlineStr">
        <is>
          <t>VÄSTERNORRLANDS LÄN</t>
        </is>
      </c>
      <c r="E1833" t="inlineStr">
        <is>
          <t>SUNDSVALL</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21088-2024</t>
        </is>
      </c>
      <c r="B1834" s="1" t="n">
        <v>45439</v>
      </c>
      <c r="C1834" s="1" t="n">
        <v>46181</v>
      </c>
      <c r="D1834" t="inlineStr">
        <is>
          <t>VÄSTERNORRLANDS LÄN</t>
        </is>
      </c>
      <c r="E1834" t="inlineStr">
        <is>
          <t>SUNDSVALL</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13291-2022</t>
        </is>
      </c>
      <c r="B1835" s="1" t="n">
        <v>44644.92293981482</v>
      </c>
      <c r="C1835" s="1" t="n">
        <v>46181</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381-2025</t>
        </is>
      </c>
      <c r="B1836" s="1" t="n">
        <v>45662.4591087963</v>
      </c>
      <c r="C1836" s="1" t="n">
        <v>46181</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382-2025</t>
        </is>
      </c>
      <c r="B1837" s="1" t="n">
        <v>45662.46572916667</v>
      </c>
      <c r="C1837" s="1" t="n">
        <v>46181</v>
      </c>
      <c r="D1837" t="inlineStr">
        <is>
          <t>VÄSTERNORRLANDS LÄN</t>
        </is>
      </c>
      <c r="E1837" t="inlineStr">
        <is>
          <t>SUNDSVALL</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27319-2024</t>
        </is>
      </c>
      <c r="B1838" s="1" t="n">
        <v>45471</v>
      </c>
      <c r="C1838" s="1" t="n">
        <v>46181</v>
      </c>
      <c r="D1838" t="inlineStr">
        <is>
          <t>VÄSTERNORRLANDS LÄN</t>
        </is>
      </c>
      <c r="E1838" t="inlineStr">
        <is>
          <t>SUNDSVALL</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49789-2024</t>
        </is>
      </c>
      <c r="B1839" s="1" t="n">
        <v>45597.36646990741</v>
      </c>
      <c r="C1839" s="1" t="n">
        <v>46181</v>
      </c>
      <c r="D1839" t="inlineStr">
        <is>
          <t>VÄSTERNORRLANDS LÄN</t>
        </is>
      </c>
      <c r="E1839" t="inlineStr">
        <is>
          <t>SUNDSVALL</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22642-2023</t>
        </is>
      </c>
      <c r="B1840" s="1" t="n">
        <v>45071</v>
      </c>
      <c r="C1840" s="1" t="n">
        <v>46181</v>
      </c>
      <c r="D1840" t="inlineStr">
        <is>
          <t>VÄSTERNORRLANDS LÄN</t>
        </is>
      </c>
      <c r="E1840" t="inlineStr">
        <is>
          <t>SUNDSVALL</t>
        </is>
      </c>
      <c r="F1840" t="inlineStr">
        <is>
          <t>Holmen skog AB</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57499-2024</t>
        </is>
      </c>
      <c r="B1841" s="1" t="n">
        <v>45630.37629629629</v>
      </c>
      <c r="C1841" s="1" t="n">
        <v>46181</v>
      </c>
      <c r="D1841" t="inlineStr">
        <is>
          <t>VÄSTERNORRLANDS LÄN</t>
        </is>
      </c>
      <c r="E1841" t="inlineStr">
        <is>
          <t>SUNDSVALL</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4116-2024</t>
        </is>
      </c>
      <c r="B1842" s="1" t="n">
        <v>45323</v>
      </c>
      <c r="C1842" s="1" t="n">
        <v>46181</v>
      </c>
      <c r="D1842" t="inlineStr">
        <is>
          <t>VÄSTERNORRLANDS LÄN</t>
        </is>
      </c>
      <c r="E1842" t="inlineStr">
        <is>
          <t>SUNDSVALL</t>
        </is>
      </c>
      <c r="F1842" t="inlineStr">
        <is>
          <t>Kommuner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52035-2024</t>
        </is>
      </c>
      <c r="B1843" s="1" t="n">
        <v>45608.30585648148</v>
      </c>
      <c r="C1843" s="1" t="n">
        <v>46181</v>
      </c>
      <c r="D1843" t="inlineStr">
        <is>
          <t>VÄSTERNORRLANDS LÄN</t>
        </is>
      </c>
      <c r="E1843" t="inlineStr">
        <is>
          <t>SUNDSVALL</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24514-2022</t>
        </is>
      </c>
      <c r="B1844" s="1" t="n">
        <v>44726</v>
      </c>
      <c r="C1844" s="1" t="n">
        <v>46181</v>
      </c>
      <c r="D1844" t="inlineStr">
        <is>
          <t>VÄSTERNORRLANDS LÄN</t>
        </is>
      </c>
      <c r="E1844" t="inlineStr">
        <is>
          <t>SUNDSVALL</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40384-2024</t>
        </is>
      </c>
      <c r="B1845" s="1" t="n">
        <v>45555.4275462963</v>
      </c>
      <c r="C1845" s="1" t="n">
        <v>46181</v>
      </c>
      <c r="D1845" t="inlineStr">
        <is>
          <t>VÄSTERNORRLANDS LÄN</t>
        </is>
      </c>
      <c r="E1845" t="inlineStr">
        <is>
          <t>SUNDSVALL</t>
        </is>
      </c>
      <c r="F1845" t="inlineStr">
        <is>
          <t>SCA</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17042-2026</t>
        </is>
      </c>
      <c r="B1846" s="1" t="n">
        <v>46114.47802083333</v>
      </c>
      <c r="C1846" s="1" t="n">
        <v>46181</v>
      </c>
      <c r="D1846" t="inlineStr">
        <is>
          <t>VÄSTERNORRLANDS LÄN</t>
        </is>
      </c>
      <c r="E1846" t="inlineStr">
        <is>
          <t>SUNDSVALL</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40828-2022</t>
        </is>
      </c>
      <c r="B1847" s="1" t="n">
        <v>44824.92512731482</v>
      </c>
      <c r="C1847" s="1" t="n">
        <v>46181</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35254-2023</t>
        </is>
      </c>
      <c r="B1848" s="1" t="n">
        <v>45145</v>
      </c>
      <c r="C1848" s="1" t="n">
        <v>46181</v>
      </c>
      <c r="D1848" t="inlineStr">
        <is>
          <t>VÄSTERNORRLANDS LÄN</t>
        </is>
      </c>
      <c r="E1848" t="inlineStr">
        <is>
          <t>SUNDSVALL</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51084-2024</t>
        </is>
      </c>
      <c r="B1849" s="1" t="n">
        <v>45603.46280092592</v>
      </c>
      <c r="C1849" s="1" t="n">
        <v>46181</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17316-2026</t>
        </is>
      </c>
      <c r="B1850" s="1" t="n">
        <v>46119</v>
      </c>
      <c r="C1850" s="1" t="n">
        <v>46181</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17341-2026</t>
        </is>
      </c>
      <c r="B1851" s="1" t="n">
        <v>46119.63667824074</v>
      </c>
      <c r="C1851" s="1" t="n">
        <v>46181</v>
      </c>
      <c r="D1851" t="inlineStr">
        <is>
          <t>VÄSTERNORRLANDS LÄN</t>
        </is>
      </c>
      <c r="E1851" t="inlineStr">
        <is>
          <t>SUNDSVALL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23514-2023</t>
        </is>
      </c>
      <c r="B1852" s="1" t="n">
        <v>45076</v>
      </c>
      <c r="C1852" s="1" t="n">
        <v>46181</v>
      </c>
      <c r="D1852" t="inlineStr">
        <is>
          <t>VÄSTERNORRLANDS LÄN</t>
        </is>
      </c>
      <c r="E1852" t="inlineStr">
        <is>
          <t>SUNDSVALL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46902-2023</t>
        </is>
      </c>
      <c r="B1853" s="1" t="n">
        <v>45201</v>
      </c>
      <c r="C1853" s="1" t="n">
        <v>46181</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227-2022</t>
        </is>
      </c>
      <c r="B1854" s="1" t="n">
        <v>44564</v>
      </c>
      <c r="C1854" s="1" t="n">
        <v>46181</v>
      </c>
      <c r="D1854" t="inlineStr">
        <is>
          <t>VÄSTERNORRLANDS LÄN</t>
        </is>
      </c>
      <c r="E1854" t="inlineStr">
        <is>
          <t>SUNDSVALL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1398-2025</t>
        </is>
      </c>
      <c r="B1855" s="1" t="n">
        <v>45667</v>
      </c>
      <c r="C1855" s="1" t="n">
        <v>46181</v>
      </c>
      <c r="D1855" t="inlineStr">
        <is>
          <t>VÄSTERNORRLANDS LÄN</t>
        </is>
      </c>
      <c r="E1855" t="inlineStr">
        <is>
          <t>SUNDSVALL</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18874-2024</t>
        </is>
      </c>
      <c r="B1856" s="1" t="n">
        <v>45426.98122685185</v>
      </c>
      <c r="C1856" s="1" t="n">
        <v>46181</v>
      </c>
      <c r="D1856" t="inlineStr">
        <is>
          <t>VÄSTERNORRLANDS LÄN</t>
        </is>
      </c>
      <c r="E1856" t="inlineStr">
        <is>
          <t>SUNDSVALL</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7245-2024</t>
        </is>
      </c>
      <c r="B1857" s="1" t="n">
        <v>45344</v>
      </c>
      <c r="C1857" s="1" t="n">
        <v>46181</v>
      </c>
      <c r="D1857" t="inlineStr">
        <is>
          <t>VÄSTERNORRLANDS LÄN</t>
        </is>
      </c>
      <c r="E1857" t="inlineStr">
        <is>
          <t>SUNDSVALL</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29951-2023</t>
        </is>
      </c>
      <c r="B1858" s="1" t="n">
        <v>45107.93866898148</v>
      </c>
      <c r="C1858" s="1" t="n">
        <v>46181</v>
      </c>
      <c r="D1858" t="inlineStr">
        <is>
          <t>VÄSTERNORRLANDS LÄN</t>
        </is>
      </c>
      <c r="E1858" t="inlineStr">
        <is>
          <t>SUNDSVALL</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41028-2023</t>
        </is>
      </c>
      <c r="B1859" s="1" t="n">
        <v>45169</v>
      </c>
      <c r="C1859" s="1" t="n">
        <v>46181</v>
      </c>
      <c r="D1859" t="inlineStr">
        <is>
          <t>VÄSTERNORRLANDS LÄN</t>
        </is>
      </c>
      <c r="E1859" t="inlineStr">
        <is>
          <t>SUNDSVALL</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1080-2022</t>
        </is>
      </c>
      <c r="B1860" s="1" t="n">
        <v>44571.92100694445</v>
      </c>
      <c r="C1860" s="1" t="n">
        <v>46181</v>
      </c>
      <c r="D1860" t="inlineStr">
        <is>
          <t>VÄSTERNORRLANDS LÄN</t>
        </is>
      </c>
      <c r="E1860" t="inlineStr">
        <is>
          <t>SUNDSVALL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43128-2024</t>
        </is>
      </c>
      <c r="B1861" s="1" t="n">
        <v>45567</v>
      </c>
      <c r="C1861" s="1" t="n">
        <v>46181</v>
      </c>
      <c r="D1861" t="inlineStr">
        <is>
          <t>VÄSTERNORRLANDS LÄN</t>
        </is>
      </c>
      <c r="E1861" t="inlineStr">
        <is>
          <t>SUNDSVALL</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51790-2023</t>
        </is>
      </c>
      <c r="B1862" s="1" t="n">
        <v>45222</v>
      </c>
      <c r="C1862" s="1" t="n">
        <v>46181</v>
      </c>
      <c r="D1862" t="inlineStr">
        <is>
          <t>VÄSTERNORRLANDS LÄN</t>
        </is>
      </c>
      <c r="E1862" t="inlineStr">
        <is>
          <t>SUNDSVALL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51791-2023</t>
        </is>
      </c>
      <c r="B1863" s="1" t="n">
        <v>45222</v>
      </c>
      <c r="C1863" s="1" t="n">
        <v>46181</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5314-2025</t>
        </is>
      </c>
      <c r="B1864" s="1" t="n">
        <v>45692.51083333333</v>
      </c>
      <c r="C1864" s="1" t="n">
        <v>46181</v>
      </c>
      <c r="D1864" t="inlineStr">
        <is>
          <t>VÄSTERNORRLANDS LÄN</t>
        </is>
      </c>
      <c r="E1864" t="inlineStr">
        <is>
          <t>SUNDSVALL</t>
        </is>
      </c>
      <c r="F1864" t="inlineStr">
        <is>
          <t>SCA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55790-2024</t>
        </is>
      </c>
      <c r="B1865" s="1" t="n">
        <v>45623.42818287037</v>
      </c>
      <c r="C1865" s="1" t="n">
        <v>46181</v>
      </c>
      <c r="D1865" t="inlineStr">
        <is>
          <t>VÄSTERNORRLANDS LÄN</t>
        </is>
      </c>
      <c r="E1865" t="inlineStr">
        <is>
          <t>SUNDSVALL</t>
        </is>
      </c>
      <c r="F1865" t="inlineStr">
        <is>
          <t>Naturvårdsverket</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3962-2025</t>
        </is>
      </c>
      <c r="B1866" s="1" t="n">
        <v>45684.50478009259</v>
      </c>
      <c r="C1866" s="1" t="n">
        <v>46181</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11414-2024</t>
        </is>
      </c>
      <c r="B1867" s="1" t="n">
        <v>45372.47179398148</v>
      </c>
      <c r="C1867" s="1" t="n">
        <v>46181</v>
      </c>
      <c r="D1867" t="inlineStr">
        <is>
          <t>VÄSTERNORRLANDS LÄN</t>
        </is>
      </c>
      <c r="E1867" t="inlineStr">
        <is>
          <t>SUNDSVALL</t>
        </is>
      </c>
      <c r="F1867" t="inlineStr">
        <is>
          <t>Kommuner</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45024-2023</t>
        </is>
      </c>
      <c r="B1868" s="1" t="n">
        <v>45190.96283564815</v>
      </c>
      <c r="C1868" s="1" t="n">
        <v>46181</v>
      </c>
      <c r="D1868" t="inlineStr">
        <is>
          <t>VÄSTERNORRLANDS LÄN</t>
        </is>
      </c>
      <c r="E1868" t="inlineStr">
        <is>
          <t>SUNDSVALL</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20057-2023</t>
        </is>
      </c>
      <c r="B1869" s="1" t="n">
        <v>45051</v>
      </c>
      <c r="C1869" s="1" t="n">
        <v>46181</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31274-2023</t>
        </is>
      </c>
      <c r="B1870" s="1" t="n">
        <v>45114.3946412037</v>
      </c>
      <c r="C1870" s="1" t="n">
        <v>46181</v>
      </c>
      <c r="D1870" t="inlineStr">
        <is>
          <t>VÄSTERNORRLANDS LÄN</t>
        </is>
      </c>
      <c r="E1870" t="inlineStr">
        <is>
          <t>SUNDSVALL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31278-2023</t>
        </is>
      </c>
      <c r="B1871" s="1" t="n">
        <v>45114.39721064815</v>
      </c>
      <c r="C1871" s="1" t="n">
        <v>46181</v>
      </c>
      <c r="D1871" t="inlineStr">
        <is>
          <t>VÄSTERNORRLANDS LÄN</t>
        </is>
      </c>
      <c r="E1871" t="inlineStr">
        <is>
          <t>SUNDSVALL</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46497-2023</t>
        </is>
      </c>
      <c r="B1872" s="1" t="n">
        <v>45197.65950231482</v>
      </c>
      <c r="C1872" s="1" t="n">
        <v>46181</v>
      </c>
      <c r="D1872" t="inlineStr">
        <is>
          <t>VÄSTERNORRLANDS LÄN</t>
        </is>
      </c>
      <c r="E1872" t="inlineStr">
        <is>
          <t>SUNDSVALL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48333-2024</t>
        </is>
      </c>
      <c r="B1873" s="1" t="n">
        <v>45590.53158564815</v>
      </c>
      <c r="C1873" s="1" t="n">
        <v>46181</v>
      </c>
      <c r="D1873" t="inlineStr">
        <is>
          <t>VÄSTERNORRLANDS LÄN</t>
        </is>
      </c>
      <c r="E1873" t="inlineStr">
        <is>
          <t>SUNDSVALL</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52706-2024</t>
        </is>
      </c>
      <c r="B1874" s="1" t="n">
        <v>45610.4243287037</v>
      </c>
      <c r="C1874" s="1" t="n">
        <v>46181</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62120-2024</t>
        </is>
      </c>
      <c r="B1875" s="1" t="n">
        <v>45646</v>
      </c>
      <c r="C1875" s="1" t="n">
        <v>46181</v>
      </c>
      <c r="D1875" t="inlineStr">
        <is>
          <t>VÄSTERNORRLANDS LÄN</t>
        </is>
      </c>
      <c r="E1875" t="inlineStr">
        <is>
          <t>SUNDSVALL</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13360-2024</t>
        </is>
      </c>
      <c r="B1876" s="1" t="n">
        <v>45387.35157407408</v>
      </c>
      <c r="C1876" s="1" t="n">
        <v>46181</v>
      </c>
      <c r="D1876" t="inlineStr">
        <is>
          <t>VÄSTERNORRLANDS LÄN</t>
        </is>
      </c>
      <c r="E1876" t="inlineStr">
        <is>
          <t>SUNDSVALL</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39506-2023</t>
        </is>
      </c>
      <c r="B1877" s="1" t="n">
        <v>45166.95797453704</v>
      </c>
      <c r="C1877" s="1" t="n">
        <v>46181</v>
      </c>
      <c r="D1877" t="inlineStr">
        <is>
          <t>VÄSTERNORRLANDS LÄN</t>
        </is>
      </c>
      <c r="E1877" t="inlineStr">
        <is>
          <t>SUNDSVALL</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44551-2023</t>
        </is>
      </c>
      <c r="B1878" s="1" t="n">
        <v>45183</v>
      </c>
      <c r="C1878" s="1" t="n">
        <v>46181</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11989-2024</t>
        </is>
      </c>
      <c r="B1879" s="1" t="n">
        <v>45376.95318287037</v>
      </c>
      <c r="C1879" s="1" t="n">
        <v>46181</v>
      </c>
      <c r="D1879" t="inlineStr">
        <is>
          <t>VÄSTERNORRLANDS LÄN</t>
        </is>
      </c>
      <c r="E1879" t="inlineStr">
        <is>
          <t>SUNDSVALL</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9616-2025</t>
        </is>
      </c>
      <c r="B1880" s="1" t="n">
        <v>45715.66296296296</v>
      </c>
      <c r="C1880" s="1" t="n">
        <v>46181</v>
      </c>
      <c r="D1880" t="inlineStr">
        <is>
          <t>VÄSTERNORRLANDS LÄN</t>
        </is>
      </c>
      <c r="E1880" t="inlineStr">
        <is>
          <t>SUNDSVALL</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21181-2023</t>
        </is>
      </c>
      <c r="B1881" s="1" t="n">
        <v>45062.45761574074</v>
      </c>
      <c r="C1881" s="1" t="n">
        <v>46181</v>
      </c>
      <c r="D1881" t="inlineStr">
        <is>
          <t>VÄSTERNORRLANDS LÄN</t>
        </is>
      </c>
      <c r="E1881" t="inlineStr">
        <is>
          <t>SUNDSVALL</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52231-2023</t>
        </is>
      </c>
      <c r="B1882" s="1" t="n">
        <v>45217</v>
      </c>
      <c r="C1882" s="1" t="n">
        <v>46181</v>
      </c>
      <c r="D1882" t="inlineStr">
        <is>
          <t>VÄSTERNORRLANDS LÄN</t>
        </is>
      </c>
      <c r="E1882" t="inlineStr">
        <is>
          <t>SUNDSVALL</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59761-2024</t>
        </is>
      </c>
      <c r="B1883" s="1" t="n">
        <v>45639.55269675926</v>
      </c>
      <c r="C1883" s="1" t="n">
        <v>46181</v>
      </c>
      <c r="D1883" t="inlineStr">
        <is>
          <t>VÄSTERNORRLANDS LÄN</t>
        </is>
      </c>
      <c r="E1883" t="inlineStr">
        <is>
          <t>SUNDSVALL</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16313-2025</t>
        </is>
      </c>
      <c r="B1884" s="1" t="n">
        <v>45751.34751157407</v>
      </c>
      <c r="C1884" s="1" t="n">
        <v>46181</v>
      </c>
      <c r="D1884" t="inlineStr">
        <is>
          <t>VÄSTERNORRLANDS LÄN</t>
        </is>
      </c>
      <c r="E1884" t="inlineStr">
        <is>
          <t>SUNDSVALL</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14464-2022</t>
        </is>
      </c>
      <c r="B1885" s="1" t="n">
        <v>44654</v>
      </c>
      <c r="C1885" s="1" t="n">
        <v>46181</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14466-2022</t>
        </is>
      </c>
      <c r="B1886" s="1" t="n">
        <v>44654</v>
      </c>
      <c r="C1886" s="1" t="n">
        <v>46181</v>
      </c>
      <c r="D1886" t="inlineStr">
        <is>
          <t>VÄSTERNORRLANDS LÄN</t>
        </is>
      </c>
      <c r="E1886" t="inlineStr">
        <is>
          <t>SUNDSVALL</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51823-2023</t>
        </is>
      </c>
      <c r="B1887" s="1" t="n">
        <v>45222.96744212963</v>
      </c>
      <c r="C1887" s="1" t="n">
        <v>46181</v>
      </c>
      <c r="D1887" t="inlineStr">
        <is>
          <t>VÄSTERNORRLANDS LÄN</t>
        </is>
      </c>
      <c r="E1887" t="inlineStr">
        <is>
          <t>SUNDSVALL</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27875-2023</t>
        </is>
      </c>
      <c r="B1888" s="1" t="n">
        <v>45098.59216435185</v>
      </c>
      <c r="C1888" s="1" t="n">
        <v>46181</v>
      </c>
      <c r="D1888" t="inlineStr">
        <is>
          <t>VÄSTERNORRLANDS LÄN</t>
        </is>
      </c>
      <c r="E1888" t="inlineStr">
        <is>
          <t>SUNDSVALL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53272-2022</t>
        </is>
      </c>
      <c r="B1889" s="1" t="n">
        <v>44876</v>
      </c>
      <c r="C1889" s="1" t="n">
        <v>46181</v>
      </c>
      <c r="D1889" t="inlineStr">
        <is>
          <t>VÄSTERNORRLANDS LÄN</t>
        </is>
      </c>
      <c r="E1889" t="inlineStr">
        <is>
          <t>SUNDSVALL</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55188-2024</t>
        </is>
      </c>
      <c r="B1890" s="1" t="n">
        <v>45621.5429050926</v>
      </c>
      <c r="C1890" s="1" t="n">
        <v>46181</v>
      </c>
      <c r="D1890" t="inlineStr">
        <is>
          <t>VÄSTERNORRLANDS LÄN</t>
        </is>
      </c>
      <c r="E1890" t="inlineStr">
        <is>
          <t>SUNDSVALL</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3326-2025</t>
        </is>
      </c>
      <c r="B1891" s="1" t="n">
        <v>45679.69952546297</v>
      </c>
      <c r="C1891" s="1" t="n">
        <v>46181</v>
      </c>
      <c r="D1891" t="inlineStr">
        <is>
          <t>VÄSTERNORRLANDS LÄN</t>
        </is>
      </c>
      <c r="E1891" t="inlineStr">
        <is>
          <t>SUNDSVALL</t>
        </is>
      </c>
      <c r="F1891" t="inlineStr">
        <is>
          <t>SCA</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22563-2022</t>
        </is>
      </c>
      <c r="B1892" s="1" t="n">
        <v>44713.9384375</v>
      </c>
      <c r="C1892" s="1" t="n">
        <v>46181</v>
      </c>
      <c r="D1892" t="inlineStr">
        <is>
          <t>VÄSTERNORRLANDS LÄN</t>
        </is>
      </c>
      <c r="E1892" t="inlineStr">
        <is>
          <t>SUNDSVALL</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48778-2023</t>
        </is>
      </c>
      <c r="B1893" s="1" t="n">
        <v>45208</v>
      </c>
      <c r="C1893" s="1" t="n">
        <v>46181</v>
      </c>
      <c r="D1893" t="inlineStr">
        <is>
          <t>VÄSTERNORRLANDS LÄN</t>
        </is>
      </c>
      <c r="E1893" t="inlineStr">
        <is>
          <t>SUNDSVALL</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23178-2026</t>
        </is>
      </c>
      <c r="B1894" s="1" t="n">
        <v>46161.67763888889</v>
      </c>
      <c r="C1894" s="1" t="n">
        <v>46181</v>
      </c>
      <c r="D1894" t="inlineStr">
        <is>
          <t>VÄSTERNORRLANDS LÄN</t>
        </is>
      </c>
      <c r="E1894" t="inlineStr">
        <is>
          <t>SUNDSVALL</t>
        </is>
      </c>
      <c r="F1894" t="inlineStr">
        <is>
          <t>Naturvårdsverket</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12494-2022</t>
        </is>
      </c>
      <c r="B1895" s="1" t="n">
        <v>44638.50601851852</v>
      </c>
      <c r="C1895" s="1" t="n">
        <v>46181</v>
      </c>
      <c r="D1895" t="inlineStr">
        <is>
          <t>VÄSTERNORRLANDS LÄN</t>
        </is>
      </c>
      <c r="E1895" t="inlineStr">
        <is>
          <t>SUNDSVALL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21389-2022</t>
        </is>
      </c>
      <c r="B1896" s="1" t="n">
        <v>44705</v>
      </c>
      <c r="C1896" s="1" t="n">
        <v>46181</v>
      </c>
      <c r="D1896" t="inlineStr">
        <is>
          <t>VÄSTERNORRLANDS LÄN</t>
        </is>
      </c>
      <c r="E1896" t="inlineStr">
        <is>
          <t>SUNDSVALL</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9435-2024</t>
        </is>
      </c>
      <c r="B1897" s="1" t="n">
        <v>45359</v>
      </c>
      <c r="C1897" s="1" t="n">
        <v>46181</v>
      </c>
      <c r="D1897" t="inlineStr">
        <is>
          <t>VÄSTERNORRLANDS LÄN</t>
        </is>
      </c>
      <c r="E1897" t="inlineStr">
        <is>
          <t>SUNDSVALL</t>
        </is>
      </c>
      <c r="F1897" t="inlineStr">
        <is>
          <t>Holmen skog AB</t>
        </is>
      </c>
      <c r="G1897" t="n">
        <v>24.7</v>
      </c>
      <c r="H1897" t="n">
        <v>0</v>
      </c>
      <c r="I1897" t="n">
        <v>0</v>
      </c>
      <c r="J1897" t="n">
        <v>0</v>
      </c>
      <c r="K1897" t="n">
        <v>0</v>
      </c>
      <c r="L1897" t="n">
        <v>0</v>
      </c>
      <c r="M1897" t="n">
        <v>0</v>
      </c>
      <c r="N1897" t="n">
        <v>0</v>
      </c>
      <c r="O1897" t="n">
        <v>0</v>
      </c>
      <c r="P1897" t="n">
        <v>0</v>
      </c>
      <c r="Q1897" t="n">
        <v>0</v>
      </c>
      <c r="R1897" s="2" t="inlineStr"/>
    </row>
    <row r="1898" ht="15" customHeight="1">
      <c r="A1898" t="inlineStr">
        <is>
          <t>A 11813-2022</t>
        </is>
      </c>
      <c r="B1898" s="1" t="n">
        <v>44634.68443287037</v>
      </c>
      <c r="C1898" s="1" t="n">
        <v>46181</v>
      </c>
      <c r="D1898" t="inlineStr">
        <is>
          <t>VÄSTERNORRLANDS LÄN</t>
        </is>
      </c>
      <c r="E1898" t="inlineStr">
        <is>
          <t>SUNDSVALL</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7431-2022</t>
        </is>
      </c>
      <c r="B1899" s="1" t="n">
        <v>44606.93319444444</v>
      </c>
      <c r="C1899" s="1" t="n">
        <v>46181</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18816-2025</t>
        </is>
      </c>
      <c r="B1900" s="1" t="n">
        <v>45764.37059027778</v>
      </c>
      <c r="C1900" s="1" t="n">
        <v>46181</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52252-2025</t>
        </is>
      </c>
      <c r="B1901" s="1" t="n">
        <v>45953.49189814815</v>
      </c>
      <c r="C1901" s="1" t="n">
        <v>46181</v>
      </c>
      <c r="D1901" t="inlineStr">
        <is>
          <t>VÄSTERNORRLANDS LÄN</t>
        </is>
      </c>
      <c r="E1901" t="inlineStr">
        <is>
          <t>SUNDSVALL</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35923-2022</t>
        </is>
      </c>
      <c r="B1902" s="1" t="n">
        <v>44802</v>
      </c>
      <c r="C1902" s="1" t="n">
        <v>46181</v>
      </c>
      <c r="D1902" t="inlineStr">
        <is>
          <t>VÄSTERNORRLANDS LÄN</t>
        </is>
      </c>
      <c r="E1902" t="inlineStr">
        <is>
          <t>SUNDSVALL</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1116-2025</t>
        </is>
      </c>
      <c r="B1903" s="1" t="n">
        <v>45666</v>
      </c>
      <c r="C1903" s="1" t="n">
        <v>46181</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56232-2023</t>
        </is>
      </c>
      <c r="B1904" s="1" t="n">
        <v>45240.92402777778</v>
      </c>
      <c r="C1904" s="1" t="n">
        <v>46181</v>
      </c>
      <c r="D1904" t="inlineStr">
        <is>
          <t>VÄSTERNORRLANDS LÄN</t>
        </is>
      </c>
      <c r="E1904" t="inlineStr">
        <is>
          <t>SUNDSVALL</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56233-2023</t>
        </is>
      </c>
      <c r="B1905" s="1" t="n">
        <v>45240.9240625</v>
      </c>
      <c r="C1905" s="1" t="n">
        <v>46181</v>
      </c>
      <c r="D1905" t="inlineStr">
        <is>
          <t>VÄSTERNORRLANDS LÄN</t>
        </is>
      </c>
      <c r="E1905" t="inlineStr">
        <is>
          <t>SUNDSVALL</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56250-2023</t>
        </is>
      </c>
      <c r="B1906" s="1" t="n">
        <v>45240</v>
      </c>
      <c r="C1906" s="1" t="n">
        <v>46181</v>
      </c>
      <c r="D1906" t="inlineStr">
        <is>
          <t>VÄSTERNORRLANDS LÄN</t>
        </is>
      </c>
      <c r="E1906" t="inlineStr">
        <is>
          <t>SUNDSVALL</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10557-2024</t>
        </is>
      </c>
      <c r="B1907" s="1" t="n">
        <v>45366</v>
      </c>
      <c r="C1907" s="1" t="n">
        <v>46181</v>
      </c>
      <c r="D1907" t="inlineStr">
        <is>
          <t>VÄSTERNORRLANDS LÄN</t>
        </is>
      </c>
      <c r="E1907" t="inlineStr">
        <is>
          <t>SUNDSVALL</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33040-2023</t>
        </is>
      </c>
      <c r="B1908" s="1" t="n">
        <v>45125.95086805556</v>
      </c>
      <c r="C1908" s="1" t="n">
        <v>46181</v>
      </c>
      <c r="D1908" t="inlineStr">
        <is>
          <t>VÄSTERNORRLANDS LÄN</t>
        </is>
      </c>
      <c r="E1908" t="inlineStr">
        <is>
          <t>SUNDSVALL</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24298-2023</t>
        </is>
      </c>
      <c r="B1909" s="1" t="n">
        <v>45079</v>
      </c>
      <c r="C1909" s="1" t="n">
        <v>46181</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10984-2022</t>
        </is>
      </c>
      <c r="B1910" s="1" t="n">
        <v>44628</v>
      </c>
      <c r="C1910" s="1" t="n">
        <v>46181</v>
      </c>
      <c r="D1910" t="inlineStr">
        <is>
          <t>VÄSTERNORRLANDS LÄN</t>
        </is>
      </c>
      <c r="E1910" t="inlineStr">
        <is>
          <t>SUNDSVALL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10988-2022</t>
        </is>
      </c>
      <c r="B1911" s="1" t="n">
        <v>44628</v>
      </c>
      <c r="C1911" s="1" t="n">
        <v>46181</v>
      </c>
      <c r="D1911" t="inlineStr">
        <is>
          <t>VÄSTERNORRLANDS LÄN</t>
        </is>
      </c>
      <c r="E1911" t="inlineStr">
        <is>
          <t>SUNDSVALL</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19338-2024</t>
        </is>
      </c>
      <c r="B1912" s="1" t="n">
        <v>45428</v>
      </c>
      <c r="C1912" s="1" t="n">
        <v>46181</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31522-2024</t>
        </is>
      </c>
      <c r="B1913" s="1" t="n">
        <v>45505</v>
      </c>
      <c r="C1913" s="1" t="n">
        <v>46181</v>
      </c>
      <c r="D1913" t="inlineStr">
        <is>
          <t>VÄSTERNORRLANDS LÄN</t>
        </is>
      </c>
      <c r="E1913" t="inlineStr">
        <is>
          <t>SUNDSVALL</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60576-2023</t>
        </is>
      </c>
      <c r="B1914" s="1" t="n">
        <v>45259</v>
      </c>
      <c r="C1914" s="1" t="n">
        <v>46181</v>
      </c>
      <c r="D1914" t="inlineStr">
        <is>
          <t>VÄSTERNORRLANDS LÄN</t>
        </is>
      </c>
      <c r="E1914" t="inlineStr">
        <is>
          <t>SUNDSVALL</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7091-2025</t>
        </is>
      </c>
      <c r="B1915" s="1" t="n">
        <v>45701.75440972222</v>
      </c>
      <c r="C1915" s="1" t="n">
        <v>46181</v>
      </c>
      <c r="D1915" t="inlineStr">
        <is>
          <t>VÄSTERNORRLANDS LÄN</t>
        </is>
      </c>
      <c r="E1915" t="inlineStr">
        <is>
          <t>SUNDSVALL</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32201-2023</t>
        </is>
      </c>
      <c r="B1916" s="1" t="n">
        <v>45119</v>
      </c>
      <c r="C1916" s="1" t="n">
        <v>46181</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18522-2025</t>
        </is>
      </c>
      <c r="B1917" s="1" t="n">
        <v>45763.39638888889</v>
      </c>
      <c r="C1917" s="1" t="n">
        <v>46181</v>
      </c>
      <c r="D1917" t="inlineStr">
        <is>
          <t>VÄSTERNORRLANDS LÄN</t>
        </is>
      </c>
      <c r="E1917" t="inlineStr">
        <is>
          <t>SUNDSVALL</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48411-2023</t>
        </is>
      </c>
      <c r="B1918" s="1" t="n">
        <v>45205.92331018519</v>
      </c>
      <c r="C1918" s="1" t="n">
        <v>46181</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28961-2022</t>
        </is>
      </c>
      <c r="B1919" s="1" t="n">
        <v>44749</v>
      </c>
      <c r="C1919" s="1" t="n">
        <v>46181</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23423-2022</t>
        </is>
      </c>
      <c r="B1920" s="1" t="n">
        <v>44720</v>
      </c>
      <c r="C1920" s="1" t="n">
        <v>46181</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59213-2023</t>
        </is>
      </c>
      <c r="B1921" s="1" t="n">
        <v>45253.4800462963</v>
      </c>
      <c r="C1921" s="1" t="n">
        <v>46181</v>
      </c>
      <c r="D1921" t="inlineStr">
        <is>
          <t>VÄSTERNORRLANDS LÄN</t>
        </is>
      </c>
      <c r="E1921" t="inlineStr">
        <is>
          <t>SUNDSVALL</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21396-2022</t>
        </is>
      </c>
      <c r="B1922" s="1" t="n">
        <v>44705</v>
      </c>
      <c r="C1922" s="1" t="n">
        <v>46181</v>
      </c>
      <c r="D1922" t="inlineStr">
        <is>
          <t>VÄSTERNORRLANDS LÄN</t>
        </is>
      </c>
      <c r="E1922" t="inlineStr">
        <is>
          <t>SUNDSVALL</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36874-2023</t>
        </is>
      </c>
      <c r="B1923" s="1" t="n">
        <v>45154</v>
      </c>
      <c r="C1923" s="1" t="n">
        <v>46181</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23300-2022</t>
        </is>
      </c>
      <c r="B1924" s="1" t="n">
        <v>44720.4637962963</v>
      </c>
      <c r="C1924" s="1" t="n">
        <v>46181</v>
      </c>
      <c r="D1924" t="inlineStr">
        <is>
          <t>VÄSTERNORRLANDS LÄN</t>
        </is>
      </c>
      <c r="E1924" t="inlineStr">
        <is>
          <t>SUNDSVALL</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55768-2023</t>
        </is>
      </c>
      <c r="B1925" s="1" t="n">
        <v>45239.479375</v>
      </c>
      <c r="C1925" s="1" t="n">
        <v>46181</v>
      </c>
      <c r="D1925" t="inlineStr">
        <is>
          <t>VÄSTERNORRLANDS LÄN</t>
        </is>
      </c>
      <c r="E1925" t="inlineStr">
        <is>
          <t>SUNDSVALL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3293-2025</t>
        </is>
      </c>
      <c r="B1926" s="1" t="n">
        <v>45679</v>
      </c>
      <c r="C1926" s="1" t="n">
        <v>46181</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21183-2022</t>
        </is>
      </c>
      <c r="B1927" s="1" t="n">
        <v>44704</v>
      </c>
      <c r="C1927" s="1" t="n">
        <v>46181</v>
      </c>
      <c r="D1927" t="inlineStr">
        <is>
          <t>VÄSTERNORRLANDS LÄN</t>
        </is>
      </c>
      <c r="E1927" t="inlineStr">
        <is>
          <t>SUNDSVALL</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3713-2025</t>
        </is>
      </c>
      <c r="B1928" s="1" t="n">
        <v>45681.51127314815</v>
      </c>
      <c r="C1928" s="1" t="n">
        <v>46181</v>
      </c>
      <c r="D1928" t="inlineStr">
        <is>
          <t>VÄSTERNORRLANDS LÄN</t>
        </is>
      </c>
      <c r="E1928" t="inlineStr">
        <is>
          <t>SUNDSVALL</t>
        </is>
      </c>
      <c r="F1928" t="inlineStr">
        <is>
          <t>SCA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40798-2023</t>
        </is>
      </c>
      <c r="B1929" s="1" t="n">
        <v>45170</v>
      </c>
      <c r="C1929" s="1" t="n">
        <v>46181</v>
      </c>
      <c r="D1929" t="inlineStr">
        <is>
          <t>VÄSTERNORRLANDS LÄN</t>
        </is>
      </c>
      <c r="E1929" t="inlineStr">
        <is>
          <t>SUNDSVALL</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18245-2024</t>
        </is>
      </c>
      <c r="B1930" s="1" t="n">
        <v>45421</v>
      </c>
      <c r="C1930" s="1" t="n">
        <v>46181</v>
      </c>
      <c r="D1930" t="inlineStr">
        <is>
          <t>VÄSTERNORRLANDS LÄN</t>
        </is>
      </c>
      <c r="E1930" t="inlineStr">
        <is>
          <t>SUNDSVALL</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974-2025</t>
        </is>
      </c>
      <c r="B1931" s="1" t="n">
        <v>45666.40663194445</v>
      </c>
      <c r="C1931" s="1" t="n">
        <v>46181</v>
      </c>
      <c r="D1931" t="inlineStr">
        <is>
          <t>VÄSTERNORRLANDS LÄN</t>
        </is>
      </c>
      <c r="E1931" t="inlineStr">
        <is>
          <t>SUNDSVALL</t>
        </is>
      </c>
      <c r="F1931" t="inlineStr">
        <is>
          <t>SCA</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44272-2023</t>
        </is>
      </c>
      <c r="B1932" s="1" t="n">
        <v>45188</v>
      </c>
      <c r="C1932" s="1" t="n">
        <v>46181</v>
      </c>
      <c r="D1932" t="inlineStr">
        <is>
          <t>VÄSTERNORRLANDS LÄN</t>
        </is>
      </c>
      <c r="E1932" t="inlineStr">
        <is>
          <t>SUNDSVALL</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46159-2024</t>
        </is>
      </c>
      <c r="B1933" s="1" t="n">
        <v>45581</v>
      </c>
      <c r="C1933" s="1" t="n">
        <v>46181</v>
      </c>
      <c r="D1933" t="inlineStr">
        <is>
          <t>VÄSTERNORRLANDS LÄN</t>
        </is>
      </c>
      <c r="E1933" t="inlineStr">
        <is>
          <t>SUNDSVALL</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20734-2022</t>
        </is>
      </c>
      <c r="B1934" s="1" t="n">
        <v>44700.94622685185</v>
      </c>
      <c r="C1934" s="1" t="n">
        <v>46181</v>
      </c>
      <c r="D1934" t="inlineStr">
        <is>
          <t>VÄSTERNORRLANDS LÄN</t>
        </is>
      </c>
      <c r="E1934" t="inlineStr">
        <is>
          <t>SUNDSVALL</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51103-2023</t>
        </is>
      </c>
      <c r="B1935" s="1" t="n">
        <v>45218.92510416666</v>
      </c>
      <c r="C1935" s="1" t="n">
        <v>46181</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51104-2023</t>
        </is>
      </c>
      <c r="B1936" s="1" t="n">
        <v>45218</v>
      </c>
      <c r="C1936" s="1" t="n">
        <v>46181</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3696-2025</t>
        </is>
      </c>
      <c r="B1937" s="1" t="n">
        <v>45681</v>
      </c>
      <c r="C1937" s="1" t="n">
        <v>46181</v>
      </c>
      <c r="D1937" t="inlineStr">
        <is>
          <t>VÄSTERNORRLANDS LÄN</t>
        </is>
      </c>
      <c r="E1937" t="inlineStr">
        <is>
          <t>SUNDSVALL</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17243-2026</t>
        </is>
      </c>
      <c r="B1938" s="1" t="n">
        <v>46119.42773148148</v>
      </c>
      <c r="C1938" s="1" t="n">
        <v>46181</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41804-2022</t>
        </is>
      </c>
      <c r="B1939" s="1" t="n">
        <v>44827</v>
      </c>
      <c r="C1939" s="1" t="n">
        <v>46181</v>
      </c>
      <c r="D1939" t="inlineStr">
        <is>
          <t>VÄSTERNORRLANDS LÄN</t>
        </is>
      </c>
      <c r="E1939" t="inlineStr">
        <is>
          <t>SUNDSVALL</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39276-2023</t>
        </is>
      </c>
      <c r="B1940" s="1" t="n">
        <v>45166.50868055555</v>
      </c>
      <c r="C1940" s="1" t="n">
        <v>46181</v>
      </c>
      <c r="D1940" t="inlineStr">
        <is>
          <t>VÄSTERNORRLANDS LÄN</t>
        </is>
      </c>
      <c r="E1940" t="inlineStr">
        <is>
          <t>SUNDSVALL</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21182-2022</t>
        </is>
      </c>
      <c r="B1941" s="1" t="n">
        <v>44704</v>
      </c>
      <c r="C1941" s="1" t="n">
        <v>46181</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40428-2023</t>
        </is>
      </c>
      <c r="B1942" s="1" t="n">
        <v>45169</v>
      </c>
      <c r="C1942" s="1" t="n">
        <v>46181</v>
      </c>
      <c r="D1942" t="inlineStr">
        <is>
          <t>VÄSTERNORRLANDS LÄN</t>
        </is>
      </c>
      <c r="E1942" t="inlineStr">
        <is>
          <t>SUNDSVALL</t>
        </is>
      </c>
      <c r="F1942" t="inlineStr">
        <is>
          <t>SCA</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17340-2026</t>
        </is>
      </c>
      <c r="B1943" s="1" t="n">
        <v>46119.63625</v>
      </c>
      <c r="C1943" s="1" t="n">
        <v>46181</v>
      </c>
      <c r="D1943" t="inlineStr">
        <is>
          <t>VÄSTERNORRLANDS LÄN</t>
        </is>
      </c>
      <c r="E1943" t="inlineStr">
        <is>
          <t>SUNDSVALL</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23157-2026</t>
        </is>
      </c>
      <c r="B1944" s="1" t="n">
        <v>46161.64462962963</v>
      </c>
      <c r="C1944" s="1" t="n">
        <v>46181</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22706-2026</t>
        </is>
      </c>
      <c r="B1945" s="1" t="n">
        <v>46156</v>
      </c>
      <c r="C1945" s="1" t="n">
        <v>46181</v>
      </c>
      <c r="D1945" t="inlineStr">
        <is>
          <t>VÄSTERNORRLANDS LÄN</t>
        </is>
      </c>
      <c r="E1945" t="inlineStr">
        <is>
          <t>SUNDSVALL</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54639-2023</t>
        </is>
      </c>
      <c r="B1946" s="1" t="n">
        <v>45234.92658564815</v>
      </c>
      <c r="C1946" s="1" t="n">
        <v>46181</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35484-2022</t>
        </is>
      </c>
      <c r="B1947" s="1" t="n">
        <v>44798.92724537037</v>
      </c>
      <c r="C1947" s="1" t="n">
        <v>46181</v>
      </c>
      <c r="D1947" t="inlineStr">
        <is>
          <t>VÄSTERNORRLANDS LÄN</t>
        </is>
      </c>
      <c r="E1947" t="inlineStr">
        <is>
          <t>SUNDSVALL</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41586-2023</t>
        </is>
      </c>
      <c r="B1948" s="1" t="n">
        <v>45175</v>
      </c>
      <c r="C1948" s="1" t="n">
        <v>46181</v>
      </c>
      <c r="D1948" t="inlineStr">
        <is>
          <t>VÄSTERNORRLANDS LÄN</t>
        </is>
      </c>
      <c r="E1948" t="inlineStr">
        <is>
          <t>SUNDSVALL</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13296-2025</t>
        </is>
      </c>
      <c r="B1949" s="1" t="n">
        <v>45735.57365740741</v>
      </c>
      <c r="C1949" s="1" t="n">
        <v>46181</v>
      </c>
      <c r="D1949" t="inlineStr">
        <is>
          <t>VÄSTERNORRLANDS LÄN</t>
        </is>
      </c>
      <c r="E1949" t="inlineStr">
        <is>
          <t>SUNDSVALL</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54989-2023</t>
        </is>
      </c>
      <c r="B1950" s="1" t="n">
        <v>45236</v>
      </c>
      <c r="C1950" s="1" t="n">
        <v>46181</v>
      </c>
      <c r="D1950" t="inlineStr">
        <is>
          <t>VÄSTERNORRLANDS LÄN</t>
        </is>
      </c>
      <c r="E1950" t="inlineStr">
        <is>
          <t>SUNDSVALL</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7427-2025</t>
        </is>
      </c>
      <c r="B1951" s="1" t="n">
        <v>45705</v>
      </c>
      <c r="C1951" s="1" t="n">
        <v>46181</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8796-2025</t>
        </is>
      </c>
      <c r="B1952" s="1" t="n">
        <v>45712.64783564815</v>
      </c>
      <c r="C1952" s="1" t="n">
        <v>46181</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38888-2022</t>
        </is>
      </c>
      <c r="B1953" s="1" t="n">
        <v>44816</v>
      </c>
      <c r="C1953" s="1" t="n">
        <v>46181</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255-2024</t>
        </is>
      </c>
      <c r="B1954" s="1" t="n">
        <v>45294.97679398148</v>
      </c>
      <c r="C1954" s="1" t="n">
        <v>46181</v>
      </c>
      <c r="D1954" t="inlineStr">
        <is>
          <t>VÄSTERNORRLANDS LÄN</t>
        </is>
      </c>
      <c r="E1954" t="inlineStr">
        <is>
          <t>SUNDSVALL</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54477-2024</t>
        </is>
      </c>
      <c r="B1955" s="1" t="n">
        <v>45617.55256944444</v>
      </c>
      <c r="C1955" s="1" t="n">
        <v>46181</v>
      </c>
      <c r="D1955" t="inlineStr">
        <is>
          <t>VÄSTERNORRLANDS LÄN</t>
        </is>
      </c>
      <c r="E1955" t="inlineStr">
        <is>
          <t>SUNDSVALL</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59296-2022</t>
        </is>
      </c>
      <c r="B1956" s="1" t="n">
        <v>44904.61346064815</v>
      </c>
      <c r="C1956" s="1" t="n">
        <v>46181</v>
      </c>
      <c r="D1956" t="inlineStr">
        <is>
          <t>VÄSTERNORRLANDS LÄN</t>
        </is>
      </c>
      <c r="E1956" t="inlineStr">
        <is>
          <t>SUNDSVALL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53674-2023</t>
        </is>
      </c>
      <c r="B1957" s="1" t="n">
        <v>45224</v>
      </c>
      <c r="C1957" s="1" t="n">
        <v>46181</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35318-2021</t>
        </is>
      </c>
      <c r="B1958" s="1" t="n">
        <v>44384</v>
      </c>
      <c r="C1958" s="1" t="n">
        <v>46181</v>
      </c>
      <c r="D1958" t="inlineStr">
        <is>
          <t>VÄSTERNORRLANDS LÄN</t>
        </is>
      </c>
      <c r="E1958" t="inlineStr">
        <is>
          <t>SUNDSVALL</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51108-2023</t>
        </is>
      </c>
      <c r="B1959" s="1" t="n">
        <v>45218</v>
      </c>
      <c r="C1959" s="1" t="n">
        <v>46181</v>
      </c>
      <c r="D1959" t="inlineStr">
        <is>
          <t>VÄSTERNORRLANDS LÄN</t>
        </is>
      </c>
      <c r="E1959" t="inlineStr">
        <is>
          <t>SUNDSVALL</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51109-2023</t>
        </is>
      </c>
      <c r="B1960" s="1" t="n">
        <v>45218.96215277778</v>
      </c>
      <c r="C1960" s="1" t="n">
        <v>46181</v>
      </c>
      <c r="D1960" t="inlineStr">
        <is>
          <t>VÄSTERNORRLANDS LÄN</t>
        </is>
      </c>
      <c r="E1960" t="inlineStr">
        <is>
          <t>SUNDSVALL</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58773-2023</t>
        </is>
      </c>
      <c r="B1961" s="1" t="n">
        <v>45251.9671875</v>
      </c>
      <c r="C1961" s="1" t="n">
        <v>46181</v>
      </c>
      <c r="D1961" t="inlineStr">
        <is>
          <t>VÄSTERNORRLANDS LÄN</t>
        </is>
      </c>
      <c r="E1961" t="inlineStr">
        <is>
          <t>SUNDSVALL</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26250-2024</t>
        </is>
      </c>
      <c r="B1962" s="1" t="n">
        <v>45468.64174768519</v>
      </c>
      <c r="C1962" s="1" t="n">
        <v>46181</v>
      </c>
      <c r="D1962" t="inlineStr">
        <is>
          <t>VÄSTERNORRLANDS LÄN</t>
        </is>
      </c>
      <c r="E1962" t="inlineStr">
        <is>
          <t>SUNDSVALL</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11263-2025</t>
        </is>
      </c>
      <c r="B1963" s="1" t="n">
        <v>45726</v>
      </c>
      <c r="C1963" s="1" t="n">
        <v>46181</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4635-2024</t>
        </is>
      </c>
      <c r="B1964" s="1" t="n">
        <v>45328</v>
      </c>
      <c r="C1964" s="1" t="n">
        <v>46181</v>
      </c>
      <c r="D1964" t="inlineStr">
        <is>
          <t>VÄSTERNORRLANDS LÄN</t>
        </is>
      </c>
      <c r="E1964" t="inlineStr">
        <is>
          <t>SUNDSVALL</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19184-2025</t>
        </is>
      </c>
      <c r="B1965" s="1" t="n">
        <v>45769</v>
      </c>
      <c r="C1965" s="1" t="n">
        <v>46181</v>
      </c>
      <c r="D1965" t="inlineStr">
        <is>
          <t>VÄSTERNORRLANDS LÄN</t>
        </is>
      </c>
      <c r="E1965" t="inlineStr">
        <is>
          <t>SUNDSVALL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45000-2023</t>
        </is>
      </c>
      <c r="B1966" s="1" t="n">
        <v>45190.95990740741</v>
      </c>
      <c r="C1966" s="1" t="n">
        <v>46181</v>
      </c>
      <c r="D1966" t="inlineStr">
        <is>
          <t>VÄSTERNORRLANDS LÄN</t>
        </is>
      </c>
      <c r="E1966" t="inlineStr">
        <is>
          <t>SUNDSVALL</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45001-2023</t>
        </is>
      </c>
      <c r="B1967" s="1" t="n">
        <v>45190.95998842592</v>
      </c>
      <c r="C1967" s="1" t="n">
        <v>46181</v>
      </c>
      <c r="D1967" t="inlineStr">
        <is>
          <t>VÄSTERNORRLANDS LÄN</t>
        </is>
      </c>
      <c r="E1967" t="inlineStr">
        <is>
          <t>SUNDSVALL</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17592-2025</t>
        </is>
      </c>
      <c r="B1968" s="1" t="n">
        <v>45757.69828703703</v>
      </c>
      <c r="C1968" s="1" t="n">
        <v>46181</v>
      </c>
      <c r="D1968" t="inlineStr">
        <is>
          <t>VÄSTERNORRLANDS LÄN</t>
        </is>
      </c>
      <c r="E1968" t="inlineStr">
        <is>
          <t>SUNDSVALL</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18113-2025</t>
        </is>
      </c>
      <c r="B1969" s="1" t="n">
        <v>45761.57361111111</v>
      </c>
      <c r="C1969" s="1" t="n">
        <v>46181</v>
      </c>
      <c r="D1969" t="inlineStr">
        <is>
          <t>VÄSTERNORRLANDS LÄN</t>
        </is>
      </c>
      <c r="E1969" t="inlineStr">
        <is>
          <t>SUNDSVALL</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57875-2024</t>
        </is>
      </c>
      <c r="B1970" s="1" t="n">
        <v>45631.44851851852</v>
      </c>
      <c r="C1970" s="1" t="n">
        <v>46181</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50763-2023</t>
        </is>
      </c>
      <c r="B1971" s="1" t="n">
        <v>45210</v>
      </c>
      <c r="C1971" s="1" t="n">
        <v>46181</v>
      </c>
      <c r="D1971" t="inlineStr">
        <is>
          <t>VÄSTERNORRLANDS LÄN</t>
        </is>
      </c>
      <c r="E1971" t="inlineStr">
        <is>
          <t>SUNDSVALL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18212-2025</t>
        </is>
      </c>
      <c r="B1972" s="1" t="n">
        <v>45761.69392361111</v>
      </c>
      <c r="C1972" s="1" t="n">
        <v>46181</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7005-2024</t>
        </is>
      </c>
      <c r="B1973" s="1" t="n">
        <v>45343</v>
      </c>
      <c r="C1973" s="1" t="n">
        <v>46181</v>
      </c>
      <c r="D1973" t="inlineStr">
        <is>
          <t>VÄSTERNORRLANDS LÄN</t>
        </is>
      </c>
      <c r="E1973" t="inlineStr">
        <is>
          <t>SUNDSVALL</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123-2024</t>
        </is>
      </c>
      <c r="B1974" s="1" t="n">
        <v>45294.3955324074</v>
      </c>
      <c r="C1974" s="1" t="n">
        <v>46181</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19902-2023</t>
        </is>
      </c>
      <c r="B1975" s="1" t="n">
        <v>45054</v>
      </c>
      <c r="C1975" s="1" t="n">
        <v>46181</v>
      </c>
      <c r="D1975" t="inlineStr">
        <is>
          <t>VÄSTERNORRLANDS LÄN</t>
        </is>
      </c>
      <c r="E1975" t="inlineStr">
        <is>
          <t>SUNDSVALL</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28726-2022</t>
        </is>
      </c>
      <c r="B1976" s="1" t="n">
        <v>44748</v>
      </c>
      <c r="C1976" s="1" t="n">
        <v>46181</v>
      </c>
      <c r="D1976" t="inlineStr">
        <is>
          <t>VÄSTERNORRLANDS LÄN</t>
        </is>
      </c>
      <c r="E1976" t="inlineStr">
        <is>
          <t>SUNDSVALL</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53038-2023</t>
        </is>
      </c>
      <c r="B1977" s="1" t="n">
        <v>45226.96298611111</v>
      </c>
      <c r="C1977" s="1" t="n">
        <v>46181</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15712-2022</t>
        </is>
      </c>
      <c r="B1978" s="1" t="n">
        <v>44663</v>
      </c>
      <c r="C1978" s="1" t="n">
        <v>46181</v>
      </c>
      <c r="D1978" t="inlineStr">
        <is>
          <t>VÄSTERNORRLANDS LÄN</t>
        </is>
      </c>
      <c r="E1978" t="inlineStr">
        <is>
          <t>SUNDSVALL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65019-2023</t>
        </is>
      </c>
      <c r="B1979" s="1" t="n">
        <v>45282</v>
      </c>
      <c r="C1979" s="1" t="n">
        <v>46181</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9514-2025</t>
        </is>
      </c>
      <c r="B1980" s="1" t="n">
        <v>45715.54472222222</v>
      </c>
      <c r="C1980" s="1" t="n">
        <v>46181</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15871-2025</t>
        </is>
      </c>
      <c r="B1981" s="1" t="n">
        <v>45749</v>
      </c>
      <c r="C1981" s="1" t="n">
        <v>46181</v>
      </c>
      <c r="D1981" t="inlineStr">
        <is>
          <t>VÄSTERNORRLANDS LÄN</t>
        </is>
      </c>
      <c r="E1981" t="inlineStr">
        <is>
          <t>SUNDSVALL</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4052-2024</t>
        </is>
      </c>
      <c r="B1982" s="1" t="n">
        <v>45323</v>
      </c>
      <c r="C1982" s="1" t="n">
        <v>46181</v>
      </c>
      <c r="D1982" t="inlineStr">
        <is>
          <t>VÄSTERNORRLANDS LÄN</t>
        </is>
      </c>
      <c r="E1982" t="inlineStr">
        <is>
          <t>SUNDSVALL</t>
        </is>
      </c>
      <c r="F1982" t="inlineStr">
        <is>
          <t>Kommuner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62219-2023</t>
        </is>
      </c>
      <c r="B1983" s="1" t="n">
        <v>45267</v>
      </c>
      <c r="C1983" s="1" t="n">
        <v>46181</v>
      </c>
      <c r="D1983" t="inlineStr">
        <is>
          <t>VÄSTERNORRLANDS LÄN</t>
        </is>
      </c>
      <c r="E1983" t="inlineStr">
        <is>
          <t>SUNDSVALL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8518-2024</t>
        </is>
      </c>
      <c r="B1984" s="1" t="n">
        <v>45351</v>
      </c>
      <c r="C1984" s="1" t="n">
        <v>46181</v>
      </c>
      <c r="D1984" t="inlineStr">
        <is>
          <t>VÄSTERNORRLANDS LÄN</t>
        </is>
      </c>
      <c r="E1984" t="inlineStr">
        <is>
          <t>SUNDSVALL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18246-2024</t>
        </is>
      </c>
      <c r="B1985" s="1" t="n">
        <v>45421</v>
      </c>
      <c r="C1985" s="1" t="n">
        <v>46181</v>
      </c>
      <c r="D1985" t="inlineStr">
        <is>
          <t>VÄSTERNORRLANDS LÄN</t>
        </is>
      </c>
      <c r="E1985" t="inlineStr">
        <is>
          <t>SUNDSVALL</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13440-2025</t>
        </is>
      </c>
      <c r="B1986" s="1" t="n">
        <v>45736</v>
      </c>
      <c r="C1986" s="1" t="n">
        <v>46181</v>
      </c>
      <c r="D1986" t="inlineStr">
        <is>
          <t>VÄSTERNORRLANDS LÄN</t>
        </is>
      </c>
      <c r="E1986" t="inlineStr">
        <is>
          <t>SUNDSVALL</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41805-2022</t>
        </is>
      </c>
      <c r="B1987" s="1" t="n">
        <v>44827</v>
      </c>
      <c r="C1987" s="1" t="n">
        <v>46181</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15735-2025</t>
        </is>
      </c>
      <c r="B1988" s="1" t="n">
        <v>45748.53971064815</v>
      </c>
      <c r="C1988" s="1" t="n">
        <v>46181</v>
      </c>
      <c r="D1988" t="inlineStr">
        <is>
          <t>VÄSTERNORRLANDS LÄN</t>
        </is>
      </c>
      <c r="E1988" t="inlineStr">
        <is>
          <t>SUNDSVALL</t>
        </is>
      </c>
      <c r="F1988" t="inlineStr">
        <is>
          <t>SCA</t>
        </is>
      </c>
      <c r="G1988" t="n">
        <v>14.1</v>
      </c>
      <c r="H1988" t="n">
        <v>0</v>
      </c>
      <c r="I1988" t="n">
        <v>0</v>
      </c>
      <c r="J1988" t="n">
        <v>0</v>
      </c>
      <c r="K1988" t="n">
        <v>0</v>
      </c>
      <c r="L1988" t="n">
        <v>0</v>
      </c>
      <c r="M1988" t="n">
        <v>0</v>
      </c>
      <c r="N1988" t="n">
        <v>0</v>
      </c>
      <c r="O1988" t="n">
        <v>0</v>
      </c>
      <c r="P1988" t="n">
        <v>0</v>
      </c>
      <c r="Q1988" t="n">
        <v>0</v>
      </c>
      <c r="R1988" s="2" t="inlineStr"/>
    </row>
    <row r="1989" ht="15" customHeight="1">
      <c r="A1989" t="inlineStr">
        <is>
          <t>A 64642-2021</t>
        </is>
      </c>
      <c r="B1989" s="1" t="n">
        <v>44511</v>
      </c>
      <c r="C1989" s="1" t="n">
        <v>46181</v>
      </c>
      <c r="D1989" t="inlineStr">
        <is>
          <t>VÄSTERNORRLANDS LÄN</t>
        </is>
      </c>
      <c r="E1989" t="inlineStr">
        <is>
          <t>SUNDSVALL</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5569-2025</t>
        </is>
      </c>
      <c r="B1990" s="1" t="n">
        <v>45693</v>
      </c>
      <c r="C1990" s="1" t="n">
        <v>46181</v>
      </c>
      <c r="D1990" t="inlineStr">
        <is>
          <t>VÄSTERNORRLANDS LÄN</t>
        </is>
      </c>
      <c r="E1990" t="inlineStr">
        <is>
          <t>SUNDSVALL</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7404-2024</t>
        </is>
      </c>
      <c r="B1991" s="1" t="n">
        <v>45345</v>
      </c>
      <c r="C1991" s="1" t="n">
        <v>46181</v>
      </c>
      <c r="D1991" t="inlineStr">
        <is>
          <t>VÄSTERNORRLANDS LÄN</t>
        </is>
      </c>
      <c r="E1991" t="inlineStr">
        <is>
          <t>SUNDSVALL</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7412-2024</t>
        </is>
      </c>
      <c r="B1992" s="1" t="n">
        <v>45345</v>
      </c>
      <c r="C1992" s="1" t="n">
        <v>46181</v>
      </c>
      <c r="D1992" t="inlineStr">
        <is>
          <t>VÄSTERNORRLANDS LÄN</t>
        </is>
      </c>
      <c r="E1992" t="inlineStr">
        <is>
          <t>SUNDSVALL</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61490-2023</t>
        </is>
      </c>
      <c r="B1993" s="1" t="n">
        <v>45264</v>
      </c>
      <c r="C1993" s="1" t="n">
        <v>46181</v>
      </c>
      <c r="D1993" t="inlineStr">
        <is>
          <t>VÄSTERNORRLANDS LÄN</t>
        </is>
      </c>
      <c r="E1993" t="inlineStr">
        <is>
          <t>SUNDSVALL</t>
        </is>
      </c>
      <c r="F1993" t="inlineStr">
        <is>
          <t>SCA</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8418-2024</t>
        </is>
      </c>
      <c r="B1994" s="1" t="n">
        <v>45352.98878472222</v>
      </c>
      <c r="C1994" s="1" t="n">
        <v>46181</v>
      </c>
      <c r="D1994" t="inlineStr">
        <is>
          <t>VÄSTERNORRLANDS LÄN</t>
        </is>
      </c>
      <c r="E1994" t="inlineStr">
        <is>
          <t>SUNDSVALL</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15617-2025</t>
        </is>
      </c>
      <c r="B1995" s="1" t="n">
        <v>45748.35231481482</v>
      </c>
      <c r="C1995" s="1" t="n">
        <v>46181</v>
      </c>
      <c r="D1995" t="inlineStr">
        <is>
          <t>VÄSTERNORRLANDS LÄN</t>
        </is>
      </c>
      <c r="E1995" t="inlineStr">
        <is>
          <t>SUNDSVALL</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55152-2024</t>
        </is>
      </c>
      <c r="B1996" s="1" t="n">
        <v>45621.49590277778</v>
      </c>
      <c r="C1996" s="1" t="n">
        <v>46181</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31525-2022</t>
        </is>
      </c>
      <c r="B1997" s="1" t="n">
        <v>44775.25996527778</v>
      </c>
      <c r="C1997" s="1" t="n">
        <v>46181</v>
      </c>
      <c r="D1997" t="inlineStr">
        <is>
          <t>VÄSTERNORRLANDS LÄN</t>
        </is>
      </c>
      <c r="E1997" t="inlineStr">
        <is>
          <t>SUNDSVALL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39796-2023</t>
        </is>
      </c>
      <c r="B1998" s="1" t="n">
        <v>45167</v>
      </c>
      <c r="C1998" s="1" t="n">
        <v>46181</v>
      </c>
      <c r="D1998" t="inlineStr">
        <is>
          <t>VÄSTERNORRLANDS LÄN</t>
        </is>
      </c>
      <c r="E1998" t="inlineStr">
        <is>
          <t>SUNDSVALL</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43168-2024</t>
        </is>
      </c>
      <c r="B1999" s="1" t="n">
        <v>45567.656875</v>
      </c>
      <c r="C1999" s="1" t="n">
        <v>46181</v>
      </c>
      <c r="D1999" t="inlineStr">
        <is>
          <t>VÄSTERNORRLANDS LÄN</t>
        </is>
      </c>
      <c r="E1999" t="inlineStr">
        <is>
          <t>SUNDSVALL</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23832-2024</t>
        </is>
      </c>
      <c r="B2000" s="1" t="n">
        <v>45455.4840625</v>
      </c>
      <c r="C2000" s="1" t="n">
        <v>46181</v>
      </c>
      <c r="D2000" t="inlineStr">
        <is>
          <t>VÄSTERNORRLANDS LÄN</t>
        </is>
      </c>
      <c r="E2000" t="inlineStr">
        <is>
          <t>SUNDSVALL</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46735-2022</t>
        </is>
      </c>
      <c r="B2001" s="1" t="n">
        <v>44851</v>
      </c>
      <c r="C2001" s="1" t="n">
        <v>46181</v>
      </c>
      <c r="D2001" t="inlineStr">
        <is>
          <t>VÄSTERNORRLANDS LÄN</t>
        </is>
      </c>
      <c r="E2001" t="inlineStr">
        <is>
          <t>SUNDSVALL</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32203-2023</t>
        </is>
      </c>
      <c r="B2002" s="1" t="n">
        <v>45119.92622685185</v>
      </c>
      <c r="C2002" s="1" t="n">
        <v>46181</v>
      </c>
      <c r="D2002" t="inlineStr">
        <is>
          <t>VÄSTERNORRLANDS LÄN</t>
        </is>
      </c>
      <c r="E2002" t="inlineStr">
        <is>
          <t>SUNDSVALL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50272-2023</t>
        </is>
      </c>
      <c r="B2003" s="1" t="n">
        <v>45216</v>
      </c>
      <c r="C2003" s="1" t="n">
        <v>46181</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33735-2024</t>
        </is>
      </c>
      <c r="B2004" s="1" t="n">
        <v>45520</v>
      </c>
      <c r="C2004" s="1" t="n">
        <v>46181</v>
      </c>
      <c r="D2004" t="inlineStr">
        <is>
          <t>VÄSTERNORRLANDS LÄN</t>
        </is>
      </c>
      <c r="E2004" t="inlineStr">
        <is>
          <t>SUNDSVALL</t>
        </is>
      </c>
      <c r="F2004" t="inlineStr">
        <is>
          <t>SCA</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23189-2026</t>
        </is>
      </c>
      <c r="B2005" s="1" t="n">
        <v>46161</v>
      </c>
      <c r="C2005" s="1" t="n">
        <v>46181</v>
      </c>
      <c r="D2005" t="inlineStr">
        <is>
          <t>VÄSTERNORRLANDS LÄN</t>
        </is>
      </c>
      <c r="E2005" t="inlineStr">
        <is>
          <t>SUNDSVALL</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63814-2023</t>
        </is>
      </c>
      <c r="B2006" s="1" t="n">
        <v>45278</v>
      </c>
      <c r="C2006" s="1" t="n">
        <v>46181</v>
      </c>
      <c r="D2006" t="inlineStr">
        <is>
          <t>VÄSTERNORRLANDS LÄN</t>
        </is>
      </c>
      <c r="E2006" t="inlineStr">
        <is>
          <t>SUNDSVALL</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22704-2026</t>
        </is>
      </c>
      <c r="B2007" s="1" t="n">
        <v>46156</v>
      </c>
      <c r="C2007" s="1" t="n">
        <v>46181</v>
      </c>
      <c r="D2007" t="inlineStr">
        <is>
          <t>VÄSTERNORRLANDS LÄN</t>
        </is>
      </c>
      <c r="E2007" t="inlineStr">
        <is>
          <t>SUNDSVALL</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47246-2024</t>
        </is>
      </c>
      <c r="B2008" s="1" t="n">
        <v>45586.69940972222</v>
      </c>
      <c r="C2008" s="1" t="n">
        <v>46181</v>
      </c>
      <c r="D2008" t="inlineStr">
        <is>
          <t>VÄSTERNORRLANDS LÄN</t>
        </is>
      </c>
      <c r="E2008" t="inlineStr">
        <is>
          <t>SUNDSVALL</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49360-2024</t>
        </is>
      </c>
      <c r="B2009" s="1" t="n">
        <v>45595.626875</v>
      </c>
      <c r="C2009" s="1" t="n">
        <v>46181</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53921-2022</t>
        </is>
      </c>
      <c r="B2010" s="1" t="n">
        <v>44880</v>
      </c>
      <c r="C2010" s="1" t="n">
        <v>46181</v>
      </c>
      <c r="D2010" t="inlineStr">
        <is>
          <t>VÄSTERNORRLANDS LÄN</t>
        </is>
      </c>
      <c r="E2010" t="inlineStr">
        <is>
          <t>SUNDSVALL</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53939-2022</t>
        </is>
      </c>
      <c r="B2011" s="1" t="n">
        <v>44880.95625</v>
      </c>
      <c r="C2011" s="1" t="n">
        <v>46181</v>
      </c>
      <c r="D2011" t="inlineStr">
        <is>
          <t>VÄSTERNORRLANDS LÄN</t>
        </is>
      </c>
      <c r="E2011" t="inlineStr">
        <is>
          <t>SUNDSVALL</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53943-2022</t>
        </is>
      </c>
      <c r="B2012" s="1" t="n">
        <v>44880</v>
      </c>
      <c r="C2012" s="1" t="n">
        <v>46181</v>
      </c>
      <c r="D2012" t="inlineStr">
        <is>
          <t>VÄSTERNORRLANDS LÄN</t>
        </is>
      </c>
      <c r="E2012" t="inlineStr">
        <is>
          <t>SUNDSVALL</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21247-2024</t>
        </is>
      </c>
      <c r="B2013" s="1" t="n">
        <v>45440</v>
      </c>
      <c r="C2013" s="1" t="n">
        <v>46181</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57288-2024</t>
        </is>
      </c>
      <c r="B2014" s="1" t="n">
        <v>45629.58568287037</v>
      </c>
      <c r="C2014" s="1" t="n">
        <v>46181</v>
      </c>
      <c r="D2014" t="inlineStr">
        <is>
          <t>VÄSTERNORRLANDS LÄN</t>
        </is>
      </c>
      <c r="E2014" t="inlineStr">
        <is>
          <t>SUNDSVALL</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31204-2023</t>
        </is>
      </c>
      <c r="B2015" s="1" t="n">
        <v>45113.95047453704</v>
      </c>
      <c r="C2015" s="1" t="n">
        <v>46181</v>
      </c>
      <c r="D2015" t="inlineStr">
        <is>
          <t>VÄSTERNORRLANDS LÄN</t>
        </is>
      </c>
      <c r="E2015" t="inlineStr">
        <is>
          <t>SUNDSVALL</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68880-2021</t>
        </is>
      </c>
      <c r="B2016" s="1" t="n">
        <v>44529</v>
      </c>
      <c r="C2016" s="1" t="n">
        <v>46181</v>
      </c>
      <c r="D2016" t="inlineStr">
        <is>
          <t>VÄSTERNORRLANDS LÄN</t>
        </is>
      </c>
      <c r="E2016" t="inlineStr">
        <is>
          <t>SUNDSVALL</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3161-2022</t>
        </is>
      </c>
      <c r="B2017" s="1" t="n">
        <v>44582.58618055555</v>
      </c>
      <c r="C2017" s="1" t="n">
        <v>46181</v>
      </c>
      <c r="D2017" t="inlineStr">
        <is>
          <t>VÄSTERNORRLANDS LÄN</t>
        </is>
      </c>
      <c r="E2017" t="inlineStr">
        <is>
          <t>SUNDSVALL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41200-2024</t>
        </is>
      </c>
      <c r="B2018" s="1" t="n">
        <v>45559.51616898148</v>
      </c>
      <c r="C2018" s="1" t="n">
        <v>46181</v>
      </c>
      <c r="D2018" t="inlineStr">
        <is>
          <t>VÄSTERNORRLANDS LÄN</t>
        </is>
      </c>
      <c r="E2018" t="inlineStr">
        <is>
          <t>SUNDSVALL</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23388-2026</t>
        </is>
      </c>
      <c r="B2019" s="1" t="n">
        <v>46162</v>
      </c>
      <c r="C2019" s="1" t="n">
        <v>46181</v>
      </c>
      <c r="D2019" t="inlineStr">
        <is>
          <t>VÄSTERNORRLANDS LÄN</t>
        </is>
      </c>
      <c r="E2019" t="inlineStr">
        <is>
          <t>SUNDSVALL</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34931-2021</t>
        </is>
      </c>
      <c r="B2020" s="1" t="n">
        <v>44379</v>
      </c>
      <c r="C2020" s="1" t="n">
        <v>46181</v>
      </c>
      <c r="D2020" t="inlineStr">
        <is>
          <t>VÄSTERNORRLANDS LÄN</t>
        </is>
      </c>
      <c r="E2020" t="inlineStr">
        <is>
          <t>SUNDSVALL</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10890-2022</t>
        </is>
      </c>
      <c r="B2021" s="1" t="n">
        <v>44627</v>
      </c>
      <c r="C2021" s="1" t="n">
        <v>46181</v>
      </c>
      <c r="D2021" t="inlineStr">
        <is>
          <t>VÄSTERNORRLANDS LÄN</t>
        </is>
      </c>
      <c r="E2021" t="inlineStr">
        <is>
          <t>SUNDSVALL</t>
        </is>
      </c>
      <c r="F2021" t="inlineStr">
        <is>
          <t>Kommuner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59770-2022</t>
        </is>
      </c>
      <c r="B2022" s="1" t="n">
        <v>44908</v>
      </c>
      <c r="C2022" s="1" t="n">
        <v>46181</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16223-2024</t>
        </is>
      </c>
      <c r="B2023" s="1" t="n">
        <v>45406.96440972222</v>
      </c>
      <c r="C2023" s="1" t="n">
        <v>46181</v>
      </c>
      <c r="D2023" t="inlineStr">
        <is>
          <t>VÄSTERNORRLANDS LÄN</t>
        </is>
      </c>
      <c r="E2023" t="inlineStr">
        <is>
          <t>SUNDSVALL</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14732-2025</t>
        </is>
      </c>
      <c r="B2024" s="1" t="n">
        <v>45742.63611111111</v>
      </c>
      <c r="C2024" s="1" t="n">
        <v>46181</v>
      </c>
      <c r="D2024" t="inlineStr">
        <is>
          <t>VÄSTERNORRLANDS LÄN</t>
        </is>
      </c>
      <c r="E2024" t="inlineStr">
        <is>
          <t>SUNDSVALL</t>
        </is>
      </c>
      <c r="F2024" t="inlineStr">
        <is>
          <t>Kommuner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2591-2025</t>
        </is>
      </c>
      <c r="B2025" s="1" t="n">
        <v>45674.69960648148</v>
      </c>
      <c r="C2025" s="1" t="n">
        <v>46181</v>
      </c>
      <c r="D2025" t="inlineStr">
        <is>
          <t>VÄSTERNORRLANDS LÄN</t>
        </is>
      </c>
      <c r="E2025" t="inlineStr">
        <is>
          <t>SUNDSVALL</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2595-2025</t>
        </is>
      </c>
      <c r="B2026" s="1" t="n">
        <v>45674.70722222222</v>
      </c>
      <c r="C2026" s="1" t="n">
        <v>46181</v>
      </c>
      <c r="D2026" t="inlineStr">
        <is>
          <t>VÄSTERNORRLANDS LÄN</t>
        </is>
      </c>
      <c r="E2026" t="inlineStr">
        <is>
          <t>SUNDSVALL</t>
        </is>
      </c>
      <c r="F2026" t="inlineStr">
        <is>
          <t>Kommuner</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18171-2023</t>
        </is>
      </c>
      <c r="B2027" s="1" t="n">
        <v>45040.94369212963</v>
      </c>
      <c r="C2027" s="1" t="n">
        <v>46181</v>
      </c>
      <c r="D2027" t="inlineStr">
        <is>
          <t>VÄSTERNORRLANDS LÄN</t>
        </is>
      </c>
      <c r="E2027" t="inlineStr">
        <is>
          <t>SUNDSVALL</t>
        </is>
      </c>
      <c r="F2027" t="inlineStr">
        <is>
          <t>SCA</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4332-2022</t>
        </is>
      </c>
      <c r="B2028" s="1" t="n">
        <v>44588</v>
      </c>
      <c r="C2028" s="1" t="n">
        <v>46181</v>
      </c>
      <c r="D2028" t="inlineStr">
        <is>
          <t>VÄSTERNORRLANDS LÄN</t>
        </is>
      </c>
      <c r="E2028" t="inlineStr">
        <is>
          <t>SUNDSVALL</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18987-2022</t>
        </is>
      </c>
      <c r="B2029" s="1" t="n">
        <v>44690.92653935185</v>
      </c>
      <c r="C2029" s="1" t="n">
        <v>46181</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26337-2022</t>
        </is>
      </c>
      <c r="B2030" s="1" t="n">
        <v>44735</v>
      </c>
      <c r="C2030" s="1" t="n">
        <v>46181</v>
      </c>
      <c r="D2030" t="inlineStr">
        <is>
          <t>VÄSTERNORRLANDS LÄN</t>
        </is>
      </c>
      <c r="E2030" t="inlineStr">
        <is>
          <t>SUNDSVALL</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5918-2024</t>
        </is>
      </c>
      <c r="B2031" s="1" t="n">
        <v>45335</v>
      </c>
      <c r="C2031" s="1" t="n">
        <v>46181</v>
      </c>
      <c r="D2031" t="inlineStr">
        <is>
          <t>VÄSTERNORRLANDS LÄN</t>
        </is>
      </c>
      <c r="E2031" t="inlineStr">
        <is>
          <t>SUNDSVALL</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58285-2022</t>
        </is>
      </c>
      <c r="B2032" s="1" t="n">
        <v>44901.49482638889</v>
      </c>
      <c r="C2032" s="1" t="n">
        <v>46181</v>
      </c>
      <c r="D2032" t="inlineStr">
        <is>
          <t>VÄSTERNORRLANDS LÄN</t>
        </is>
      </c>
      <c r="E2032" t="inlineStr">
        <is>
          <t>SUNDSVALL</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23605-2026</t>
        </is>
      </c>
      <c r="B2033" s="1" t="n">
        <v>46163.65674768519</v>
      </c>
      <c r="C2033" s="1" t="n">
        <v>46181</v>
      </c>
      <c r="D2033" t="inlineStr">
        <is>
          <t>VÄSTERNORRLANDS LÄN</t>
        </is>
      </c>
      <c r="E2033" t="inlineStr">
        <is>
          <t>SUNDSVALL</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22730-2026</t>
        </is>
      </c>
      <c r="B2034" s="1" t="n">
        <v>46157</v>
      </c>
      <c r="C2034" s="1" t="n">
        <v>46181</v>
      </c>
      <c r="D2034" t="inlineStr">
        <is>
          <t>VÄSTERNORRLANDS LÄN</t>
        </is>
      </c>
      <c r="E2034" t="inlineStr">
        <is>
          <t>SUNDSVALL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1100-2022</t>
        </is>
      </c>
      <c r="B2035" s="1" t="n">
        <v>44571</v>
      </c>
      <c r="C2035" s="1" t="n">
        <v>46181</v>
      </c>
      <c r="D2035" t="inlineStr">
        <is>
          <t>VÄSTERNORRLANDS LÄN</t>
        </is>
      </c>
      <c r="E2035" t="inlineStr">
        <is>
          <t>SUNDSVALL</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17965-2026</t>
        </is>
      </c>
      <c r="B2036" s="1" t="n">
        <v>46123.34453703704</v>
      </c>
      <c r="C2036" s="1" t="n">
        <v>46181</v>
      </c>
      <c r="D2036" t="inlineStr">
        <is>
          <t>VÄSTERNORRLANDS LÄN</t>
        </is>
      </c>
      <c r="E2036" t="inlineStr">
        <is>
          <t>SUNDSVALL</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18066-2026</t>
        </is>
      </c>
      <c r="B2037" s="1" t="n">
        <v>46125.47700231482</v>
      </c>
      <c r="C2037" s="1" t="n">
        <v>46181</v>
      </c>
      <c r="D2037" t="inlineStr">
        <is>
          <t>VÄSTERNORRLANDS LÄN</t>
        </is>
      </c>
      <c r="E2037" t="inlineStr">
        <is>
          <t>SUNDSVALL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61596-2024</t>
        </is>
      </c>
      <c r="B2038" s="1" t="n">
        <v>45646</v>
      </c>
      <c r="C2038" s="1" t="n">
        <v>46181</v>
      </c>
      <c r="D2038" t="inlineStr">
        <is>
          <t>VÄSTERNORRLANDS LÄN</t>
        </is>
      </c>
      <c r="E2038" t="inlineStr">
        <is>
          <t>SUNDSVALL</t>
        </is>
      </c>
      <c r="F2038" t="inlineStr">
        <is>
          <t>SCA</t>
        </is>
      </c>
      <c r="G2038" t="n">
        <v>19.2</v>
      </c>
      <c r="H2038" t="n">
        <v>0</v>
      </c>
      <c r="I2038" t="n">
        <v>0</v>
      </c>
      <c r="J2038" t="n">
        <v>0</v>
      </c>
      <c r="K2038" t="n">
        <v>0</v>
      </c>
      <c r="L2038" t="n">
        <v>0</v>
      </c>
      <c r="M2038" t="n">
        <v>0</v>
      </c>
      <c r="N2038" t="n">
        <v>0</v>
      </c>
      <c r="O2038" t="n">
        <v>0</v>
      </c>
      <c r="P2038" t="n">
        <v>0</v>
      </c>
      <c r="Q2038" t="n">
        <v>0</v>
      </c>
      <c r="R2038" s="2" t="inlineStr"/>
    </row>
    <row r="2039" ht="15" customHeight="1">
      <c r="A2039" t="inlineStr">
        <is>
          <t>A 20264-2023</t>
        </is>
      </c>
      <c r="B2039" s="1" t="n">
        <v>45055</v>
      </c>
      <c r="C2039" s="1" t="n">
        <v>46181</v>
      </c>
      <c r="D2039" t="inlineStr">
        <is>
          <t>VÄSTERNORRLANDS LÄN</t>
        </is>
      </c>
      <c r="E2039" t="inlineStr">
        <is>
          <t>SUNDSVALL</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23803-2026</t>
        </is>
      </c>
      <c r="B2040" s="1" t="n">
        <v>46164.63174768518</v>
      </c>
      <c r="C2040" s="1" t="n">
        <v>46181</v>
      </c>
      <c r="D2040" t="inlineStr">
        <is>
          <t>VÄSTERNORRLANDS LÄN</t>
        </is>
      </c>
      <c r="E2040" t="inlineStr">
        <is>
          <t>SUNDSVALL</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18231-2026</t>
        </is>
      </c>
      <c r="B2041" s="1" t="n">
        <v>46126</v>
      </c>
      <c r="C2041" s="1" t="n">
        <v>46181</v>
      </c>
      <c r="D2041" t="inlineStr">
        <is>
          <t>VÄSTERNORRLANDS LÄN</t>
        </is>
      </c>
      <c r="E2041" t="inlineStr">
        <is>
          <t>SUNDSVALL</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24155-2023</t>
        </is>
      </c>
      <c r="B2042" s="1" t="n">
        <v>45076</v>
      </c>
      <c r="C2042" s="1" t="n">
        <v>46181</v>
      </c>
      <c r="D2042" t="inlineStr">
        <is>
          <t>VÄSTERNORRLANDS LÄN</t>
        </is>
      </c>
      <c r="E2042" t="inlineStr">
        <is>
          <t>SUNDSVALL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21639-2023</t>
        </is>
      </c>
      <c r="B2043" s="1" t="n">
        <v>45063</v>
      </c>
      <c r="C2043" s="1" t="n">
        <v>46181</v>
      </c>
      <c r="D2043" t="inlineStr">
        <is>
          <t>VÄSTERNORRLANDS LÄN</t>
        </is>
      </c>
      <c r="E2043" t="inlineStr">
        <is>
          <t>SUNDSVALL</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23802-2026</t>
        </is>
      </c>
      <c r="B2044" s="1" t="n">
        <v>46164.62810185185</v>
      </c>
      <c r="C2044" s="1" t="n">
        <v>46181</v>
      </c>
      <c r="D2044" t="inlineStr">
        <is>
          <t>VÄSTERNORRLANDS LÄN</t>
        </is>
      </c>
      <c r="E2044" t="inlineStr">
        <is>
          <t>SUNDSVALL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23805-2026</t>
        </is>
      </c>
      <c r="B2045" s="1" t="n">
        <v>46164.63591435185</v>
      </c>
      <c r="C2045" s="1" t="n">
        <v>46181</v>
      </c>
      <c r="D2045" t="inlineStr">
        <is>
          <t>VÄSTERNORRLANDS LÄN</t>
        </is>
      </c>
      <c r="E2045" t="inlineStr">
        <is>
          <t>SUNDSVALL</t>
        </is>
      </c>
      <c r="F2045" t="inlineStr">
        <is>
          <t>SCA</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17964-2026</t>
        </is>
      </c>
      <c r="B2046" s="1" t="n">
        <v>46123.34440972222</v>
      </c>
      <c r="C2046" s="1" t="n">
        <v>46181</v>
      </c>
      <c r="D2046" t="inlineStr">
        <is>
          <t>VÄSTERNORRLANDS LÄN</t>
        </is>
      </c>
      <c r="E2046" t="inlineStr">
        <is>
          <t>SUNDSVALL</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42201-2021</t>
        </is>
      </c>
      <c r="B2047" s="1" t="n">
        <v>44426</v>
      </c>
      <c r="C2047" s="1" t="n">
        <v>46181</v>
      </c>
      <c r="D2047" t="inlineStr">
        <is>
          <t>VÄSTERNORRLANDS LÄN</t>
        </is>
      </c>
      <c r="E2047" t="inlineStr">
        <is>
          <t>SUNDSVALL</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2108-2023</t>
        </is>
      </c>
      <c r="B2048" s="1" t="n">
        <v>44939.92412037037</v>
      </c>
      <c r="C2048" s="1" t="n">
        <v>46181</v>
      </c>
      <c r="D2048" t="inlineStr">
        <is>
          <t>VÄSTERNORRLANDS LÄN</t>
        </is>
      </c>
      <c r="E2048" t="inlineStr">
        <is>
          <t>SUNDSVALL</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23799-2026</t>
        </is>
      </c>
      <c r="B2049" s="1" t="n">
        <v>46164.61543981481</v>
      </c>
      <c r="C2049" s="1" t="n">
        <v>46181</v>
      </c>
      <c r="D2049" t="inlineStr">
        <is>
          <t>VÄSTERNORRLANDS LÄN</t>
        </is>
      </c>
      <c r="E2049" t="inlineStr">
        <is>
          <t>SUNDSVALL</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18064-2026</t>
        </is>
      </c>
      <c r="B2050" s="1" t="n">
        <v>46125.46353009259</v>
      </c>
      <c r="C2050" s="1" t="n">
        <v>46181</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17821-2023</t>
        </is>
      </c>
      <c r="B2051" s="1" t="n">
        <v>45037</v>
      </c>
      <c r="C2051" s="1" t="n">
        <v>46181</v>
      </c>
      <c r="D2051" t="inlineStr">
        <is>
          <t>VÄSTERNORRLANDS LÄN</t>
        </is>
      </c>
      <c r="E2051" t="inlineStr">
        <is>
          <t>SUNDSVALL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39037-2024</t>
        </is>
      </c>
      <c r="B2052" s="1" t="n">
        <v>45548.47015046296</v>
      </c>
      <c r="C2052" s="1" t="n">
        <v>46181</v>
      </c>
      <c r="D2052" t="inlineStr">
        <is>
          <t>VÄSTERNORRLANDS LÄN</t>
        </is>
      </c>
      <c r="E2052" t="inlineStr">
        <is>
          <t>SUNDSVALL</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33206-2021</t>
        </is>
      </c>
      <c r="B2053" s="1" t="n">
        <v>44376.93366898148</v>
      </c>
      <c r="C2053" s="1" t="n">
        <v>46181</v>
      </c>
      <c r="D2053" t="inlineStr">
        <is>
          <t>VÄSTERNORRLANDS LÄN</t>
        </is>
      </c>
      <c r="E2053" t="inlineStr">
        <is>
          <t>SUNDSVALL</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45062-2023</t>
        </is>
      </c>
      <c r="B2054" s="1" t="n">
        <v>45191</v>
      </c>
      <c r="C2054" s="1" t="n">
        <v>46181</v>
      </c>
      <c r="D2054" t="inlineStr">
        <is>
          <t>VÄSTERNORRLANDS LÄN</t>
        </is>
      </c>
      <c r="E2054" t="inlineStr">
        <is>
          <t>SUNDSVALL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18570-2026</t>
        </is>
      </c>
      <c r="B2055" s="1" t="n">
        <v>46127.59449074074</v>
      </c>
      <c r="C2055" s="1" t="n">
        <v>46181</v>
      </c>
      <c r="D2055" t="inlineStr">
        <is>
          <t>VÄSTERNORRLANDS LÄN</t>
        </is>
      </c>
      <c r="E2055" t="inlineStr">
        <is>
          <t>SUNDSVALL</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14462-2022</t>
        </is>
      </c>
      <c r="B2056" s="1" t="n">
        <v>44654.62800925926</v>
      </c>
      <c r="C2056" s="1" t="n">
        <v>46181</v>
      </c>
      <c r="D2056" t="inlineStr">
        <is>
          <t>VÄSTERNORRLANDS LÄN</t>
        </is>
      </c>
      <c r="E2056" t="inlineStr">
        <is>
          <t>SUNDSVALL</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44966-2023</t>
        </is>
      </c>
      <c r="B2057" s="1" t="n">
        <v>45190.92496527778</v>
      </c>
      <c r="C2057" s="1" t="n">
        <v>46181</v>
      </c>
      <c r="D2057" t="inlineStr">
        <is>
          <t>VÄSTERNORRLANDS LÄN</t>
        </is>
      </c>
      <c r="E2057" t="inlineStr">
        <is>
          <t>SUNDSVALL</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49631-2024</t>
        </is>
      </c>
      <c r="B2058" s="1" t="n">
        <v>45596.59438657408</v>
      </c>
      <c r="C2058" s="1" t="n">
        <v>46181</v>
      </c>
      <c r="D2058" t="inlineStr">
        <is>
          <t>VÄSTERNORRLANDS LÄN</t>
        </is>
      </c>
      <c r="E2058" t="inlineStr">
        <is>
          <t>SUNDSVALL</t>
        </is>
      </c>
      <c r="F2058" t="inlineStr">
        <is>
          <t>Holmen skog AB</t>
        </is>
      </c>
      <c r="G2058" t="n">
        <v>13.3</v>
      </c>
      <c r="H2058" t="n">
        <v>0</v>
      </c>
      <c r="I2058" t="n">
        <v>0</v>
      </c>
      <c r="J2058" t="n">
        <v>0</v>
      </c>
      <c r="K2058" t="n">
        <v>0</v>
      </c>
      <c r="L2058" t="n">
        <v>0</v>
      </c>
      <c r="M2058" t="n">
        <v>0</v>
      </c>
      <c r="N2058" t="n">
        <v>0</v>
      </c>
      <c r="O2058" t="n">
        <v>0</v>
      </c>
      <c r="P2058" t="n">
        <v>0</v>
      </c>
      <c r="Q2058" t="n">
        <v>0</v>
      </c>
      <c r="R2058" s="2" t="inlineStr"/>
    </row>
    <row r="2059" ht="15" customHeight="1">
      <c r="A2059" t="inlineStr">
        <is>
          <t>A 18571-2026</t>
        </is>
      </c>
      <c r="B2059" s="1" t="n">
        <v>46127.59474537037</v>
      </c>
      <c r="C2059" s="1" t="n">
        <v>46181</v>
      </c>
      <c r="D2059" t="inlineStr">
        <is>
          <t>VÄSTERNORRLANDS LÄN</t>
        </is>
      </c>
      <c r="E2059" t="inlineStr">
        <is>
          <t>SUNDSVALL</t>
        </is>
      </c>
      <c r="F2059" t="inlineStr">
        <is>
          <t>SCA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1573-2023</t>
        </is>
      </c>
      <c r="B2060" s="1" t="n">
        <v>44937.61605324074</v>
      </c>
      <c r="C2060" s="1" t="n">
        <v>46181</v>
      </c>
      <c r="D2060" t="inlineStr">
        <is>
          <t>VÄSTERNORRLANDS LÄN</t>
        </is>
      </c>
      <c r="E2060" t="inlineStr">
        <is>
          <t>SUNDSVALL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9744-2023</t>
        </is>
      </c>
      <c r="B2061" s="1" t="n">
        <v>44984</v>
      </c>
      <c r="C2061" s="1" t="n">
        <v>46181</v>
      </c>
      <c r="D2061" t="inlineStr">
        <is>
          <t>VÄSTERNORRLANDS LÄN</t>
        </is>
      </c>
      <c r="E2061" t="inlineStr">
        <is>
          <t>SUNDSVALL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64491-2023</t>
        </is>
      </c>
      <c r="B2062" s="1" t="n">
        <v>45280</v>
      </c>
      <c r="C2062" s="1" t="n">
        <v>46181</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16479-2025</t>
        </is>
      </c>
      <c r="B2063" s="1" t="n">
        <v>45751</v>
      </c>
      <c r="C2063" s="1" t="n">
        <v>46181</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62184-2021</t>
        </is>
      </c>
      <c r="B2064" s="1" t="n">
        <v>44502</v>
      </c>
      <c r="C2064" s="1" t="n">
        <v>46181</v>
      </c>
      <c r="D2064" t="inlineStr">
        <is>
          <t>VÄSTERNORRLANDS LÄN</t>
        </is>
      </c>
      <c r="E2064" t="inlineStr">
        <is>
          <t>SUNDSVALL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63055-2023</t>
        </is>
      </c>
      <c r="B2065" s="1" t="n">
        <v>45272</v>
      </c>
      <c r="C2065" s="1" t="n">
        <v>46181</v>
      </c>
      <c r="D2065" t="inlineStr">
        <is>
          <t>VÄSTERNORRLANDS LÄN</t>
        </is>
      </c>
      <c r="E2065" t="inlineStr">
        <is>
          <t>SUNDSVALL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18450-2026</t>
        </is>
      </c>
      <c r="B2066" s="1" t="n">
        <v>46127.38667824074</v>
      </c>
      <c r="C2066" s="1" t="n">
        <v>46181</v>
      </c>
      <c r="D2066" t="inlineStr">
        <is>
          <t>VÄSTERNORRLANDS LÄN</t>
        </is>
      </c>
      <c r="E2066" t="inlineStr">
        <is>
          <t>SUNDSVALL</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25996-2023</t>
        </is>
      </c>
      <c r="B2067" s="1" t="n">
        <v>45090.92568287037</v>
      </c>
      <c r="C2067" s="1" t="n">
        <v>46181</v>
      </c>
      <c r="D2067" t="inlineStr">
        <is>
          <t>VÄSTERNORRLANDS LÄN</t>
        </is>
      </c>
      <c r="E2067" t="inlineStr">
        <is>
          <t>SUNDSVALL</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18454-2026</t>
        </is>
      </c>
      <c r="B2068" s="1" t="n">
        <v>46127.38815972222</v>
      </c>
      <c r="C2068" s="1" t="n">
        <v>46181</v>
      </c>
      <c r="D2068" t="inlineStr">
        <is>
          <t>VÄSTERNORRLANDS LÄN</t>
        </is>
      </c>
      <c r="E2068" t="inlineStr">
        <is>
          <t>SUNDSVALL</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18607-2026</t>
        </is>
      </c>
      <c r="B2069" s="1" t="n">
        <v>46127.65846064815</v>
      </c>
      <c r="C2069" s="1" t="n">
        <v>46181</v>
      </c>
      <c r="D2069" t="inlineStr">
        <is>
          <t>VÄSTERNORRLANDS LÄN</t>
        </is>
      </c>
      <c r="E2069" t="inlineStr">
        <is>
          <t>SUNDSVALL</t>
        </is>
      </c>
      <c r="F2069" t="inlineStr">
        <is>
          <t>SCA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18315-2026</t>
        </is>
      </c>
      <c r="B2070" s="1" t="n">
        <v>46126</v>
      </c>
      <c r="C2070" s="1" t="n">
        <v>46181</v>
      </c>
      <c r="D2070" t="inlineStr">
        <is>
          <t>VÄSTERNORRLANDS LÄN</t>
        </is>
      </c>
      <c r="E2070" t="inlineStr">
        <is>
          <t>SUNDSVALL</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26200-2024</t>
        </is>
      </c>
      <c r="B2071" s="1" t="n">
        <v>45468</v>
      </c>
      <c r="C2071" s="1" t="n">
        <v>46181</v>
      </c>
      <c r="D2071" t="inlineStr">
        <is>
          <t>VÄSTERNORRLANDS LÄN</t>
        </is>
      </c>
      <c r="E2071" t="inlineStr">
        <is>
          <t>SUNDSVALL</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24327-2026</t>
        </is>
      </c>
      <c r="B2072" s="1" t="n">
        <v>46169.51112268519</v>
      </c>
      <c r="C2072" s="1" t="n">
        <v>46181</v>
      </c>
      <c r="D2072" t="inlineStr">
        <is>
          <t>VÄSTERNORRLANDS LÄN</t>
        </is>
      </c>
      <c r="E2072" t="inlineStr">
        <is>
          <t>SUNDSVALL</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23734-2026</t>
        </is>
      </c>
      <c r="B2073" s="1" t="n">
        <v>46164</v>
      </c>
      <c r="C2073" s="1" t="n">
        <v>46181</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24865-2026</t>
        </is>
      </c>
      <c r="B2074" s="1" t="n">
        <v>46174.40719907408</v>
      </c>
      <c r="C2074" s="1" t="n">
        <v>46181</v>
      </c>
      <c r="D2074" t="inlineStr">
        <is>
          <t>VÄSTERNORRLANDS LÄN</t>
        </is>
      </c>
      <c r="E2074" t="inlineStr">
        <is>
          <t>SUNDSVALL</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50213-2024</t>
        </is>
      </c>
      <c r="B2075" s="1" t="n">
        <v>45600.51435185185</v>
      </c>
      <c r="C2075" s="1" t="n">
        <v>46181</v>
      </c>
      <c r="D2075" t="inlineStr">
        <is>
          <t>VÄSTERNORRLANDS LÄN</t>
        </is>
      </c>
      <c r="E2075" t="inlineStr">
        <is>
          <t>SUNDSVALL</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50221-2024</t>
        </is>
      </c>
      <c r="B2076" s="1" t="n">
        <v>45600.53409722223</v>
      </c>
      <c r="C2076" s="1" t="n">
        <v>46181</v>
      </c>
      <c r="D2076" t="inlineStr">
        <is>
          <t>VÄSTERNORRLANDS LÄN</t>
        </is>
      </c>
      <c r="E2076" t="inlineStr">
        <is>
          <t>SUNDSVALL</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54314-2024</t>
        </is>
      </c>
      <c r="B2077" s="1" t="n">
        <v>45617.34430555555</v>
      </c>
      <c r="C2077" s="1" t="n">
        <v>46181</v>
      </c>
      <c r="D2077" t="inlineStr">
        <is>
          <t>VÄSTERNORRLANDS LÄN</t>
        </is>
      </c>
      <c r="E2077" t="inlineStr">
        <is>
          <t>SUNDSVALL</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51476-2024</t>
        </is>
      </c>
      <c r="B2078" s="1" t="n">
        <v>45604</v>
      </c>
      <c r="C2078" s="1" t="n">
        <v>46181</v>
      </c>
      <c r="D2078" t="inlineStr">
        <is>
          <t>VÄSTERNORRLANDS LÄN</t>
        </is>
      </c>
      <c r="E2078" t="inlineStr">
        <is>
          <t>SUNDSVALL</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43195-2021</t>
        </is>
      </c>
      <c r="B2079" s="1" t="n">
        <v>44431</v>
      </c>
      <c r="C2079" s="1" t="n">
        <v>46181</v>
      </c>
      <c r="D2079" t="inlineStr">
        <is>
          <t>VÄSTERNORRLANDS LÄN</t>
        </is>
      </c>
      <c r="E2079" t="inlineStr">
        <is>
          <t>SUNDSVALL</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52119-2023</t>
        </is>
      </c>
      <c r="B2080" s="1" t="n">
        <v>45223</v>
      </c>
      <c r="C2080" s="1" t="n">
        <v>46181</v>
      </c>
      <c r="D2080" t="inlineStr">
        <is>
          <t>VÄSTERNORRLANDS LÄN</t>
        </is>
      </c>
      <c r="E2080" t="inlineStr">
        <is>
          <t>SUNDSVALL</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23802-2024</t>
        </is>
      </c>
      <c r="B2081" s="1" t="n">
        <v>45455.43813657408</v>
      </c>
      <c r="C2081" s="1" t="n">
        <v>46181</v>
      </c>
      <c r="D2081" t="inlineStr">
        <is>
          <t>VÄSTERNORRLANDS LÄN</t>
        </is>
      </c>
      <c r="E2081" t="inlineStr">
        <is>
          <t>SUNDSVALL</t>
        </is>
      </c>
      <c r="F2081" t="inlineStr">
        <is>
          <t>Holmen skog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10530-2023</t>
        </is>
      </c>
      <c r="B2082" s="1" t="n">
        <v>44987.92324074074</v>
      </c>
      <c r="C2082" s="1" t="n">
        <v>46181</v>
      </c>
      <c r="D2082" t="inlineStr">
        <is>
          <t>VÄSTERNORRLANDS LÄN</t>
        </is>
      </c>
      <c r="E2082" t="inlineStr">
        <is>
          <t>SUNDSVALL</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13691-2023</t>
        </is>
      </c>
      <c r="B2083" s="1" t="n">
        <v>45006</v>
      </c>
      <c r="C2083" s="1" t="n">
        <v>46181</v>
      </c>
      <c r="D2083" t="inlineStr">
        <is>
          <t>VÄSTERNORRLANDS LÄN</t>
        </is>
      </c>
      <c r="E2083" t="inlineStr">
        <is>
          <t>SUNDSVALL</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44663-2024</t>
        </is>
      </c>
      <c r="B2084" s="1" t="n">
        <v>45574.53215277778</v>
      </c>
      <c r="C2084" s="1" t="n">
        <v>46181</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18933-2024</t>
        </is>
      </c>
      <c r="B2085" s="1" t="n">
        <v>45427.44076388889</v>
      </c>
      <c r="C2085" s="1" t="n">
        <v>46181</v>
      </c>
      <c r="D2085" t="inlineStr">
        <is>
          <t>VÄSTERNORRLANDS LÄN</t>
        </is>
      </c>
      <c r="E2085" t="inlineStr">
        <is>
          <t>SUNDSVALL</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39370-2024</t>
        </is>
      </c>
      <c r="B2086" s="1" t="n">
        <v>45551</v>
      </c>
      <c r="C2086" s="1" t="n">
        <v>46181</v>
      </c>
      <c r="D2086" t="inlineStr">
        <is>
          <t>VÄSTERNORRLANDS LÄN</t>
        </is>
      </c>
      <c r="E2086" t="inlineStr">
        <is>
          <t>SUNDSVALL</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55158-2021</t>
        </is>
      </c>
      <c r="B2087" s="1" t="n">
        <v>44474</v>
      </c>
      <c r="C2087" s="1" t="n">
        <v>46181</v>
      </c>
      <c r="D2087" t="inlineStr">
        <is>
          <t>VÄSTERNORRLANDS LÄN</t>
        </is>
      </c>
      <c r="E2087" t="inlineStr">
        <is>
          <t>SUNDSVALL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29598-2023</t>
        </is>
      </c>
      <c r="B2088" s="1" t="n">
        <v>45106</v>
      </c>
      <c r="C2088" s="1" t="n">
        <v>46181</v>
      </c>
      <c r="D2088" t="inlineStr">
        <is>
          <t>VÄSTERNORRLANDS LÄN</t>
        </is>
      </c>
      <c r="E2088" t="inlineStr">
        <is>
          <t>SUNDSVALL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3618-2024</t>
        </is>
      </c>
      <c r="B2089" s="1" t="n">
        <v>45320.95255787037</v>
      </c>
      <c r="C2089" s="1" t="n">
        <v>46181</v>
      </c>
      <c r="D2089" t="inlineStr">
        <is>
          <t>VÄSTERNORRLANDS LÄN</t>
        </is>
      </c>
      <c r="E2089" t="inlineStr">
        <is>
          <t>SUNDSVALL</t>
        </is>
      </c>
      <c r="F2089" t="inlineStr">
        <is>
          <t>Kyrkan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60911-2021</t>
        </is>
      </c>
      <c r="B2090" s="1" t="n">
        <v>44497</v>
      </c>
      <c r="C2090" s="1" t="n">
        <v>46181</v>
      </c>
      <c r="D2090" t="inlineStr">
        <is>
          <t>VÄSTERNORRLANDS LÄN</t>
        </is>
      </c>
      <c r="E2090" t="inlineStr">
        <is>
          <t>SUNDSVALL</t>
        </is>
      </c>
      <c r="F2090" t="inlineStr">
        <is>
          <t>Kommuner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2129-2023</t>
        </is>
      </c>
      <c r="B2091" s="1" t="n">
        <v>44939.93967592593</v>
      </c>
      <c r="C2091" s="1" t="n">
        <v>46181</v>
      </c>
      <c r="D2091" t="inlineStr">
        <is>
          <t>VÄSTERNORRLANDS LÄN</t>
        </is>
      </c>
      <c r="E2091" t="inlineStr">
        <is>
          <t>SUNDSVALL</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13570-2025</t>
        </is>
      </c>
      <c r="B2092" s="1" t="n">
        <v>45736.57355324074</v>
      </c>
      <c r="C2092" s="1" t="n">
        <v>46181</v>
      </c>
      <c r="D2092" t="inlineStr">
        <is>
          <t>VÄSTERNORRLANDS LÄN</t>
        </is>
      </c>
      <c r="E2092" t="inlineStr">
        <is>
          <t>SUNDSVALL</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22628-2024</t>
        </is>
      </c>
      <c r="B2093" s="1" t="n">
        <v>45447.66850694444</v>
      </c>
      <c r="C2093" s="1" t="n">
        <v>46181</v>
      </c>
      <c r="D2093" t="inlineStr">
        <is>
          <t>VÄSTERNORRLANDS LÄN</t>
        </is>
      </c>
      <c r="E2093" t="inlineStr">
        <is>
          <t>SUNDSVALL</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18582-2024</t>
        </is>
      </c>
      <c r="B2094" s="1" t="n">
        <v>45425</v>
      </c>
      <c r="C2094" s="1" t="n">
        <v>46181</v>
      </c>
      <c r="D2094" t="inlineStr">
        <is>
          <t>VÄSTERNORRLANDS LÄN</t>
        </is>
      </c>
      <c r="E2094" t="inlineStr">
        <is>
          <t>SUNDSVALL</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13353-2024</t>
        </is>
      </c>
      <c r="B2095" s="1" t="n">
        <v>45387.33446759259</v>
      </c>
      <c r="C2095" s="1" t="n">
        <v>46181</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47032-2023</t>
        </is>
      </c>
      <c r="B2096" s="1" t="n">
        <v>45196</v>
      </c>
      <c r="C2096" s="1" t="n">
        <v>46181</v>
      </c>
      <c r="D2096" t="inlineStr">
        <is>
          <t>VÄSTERNORRLANDS LÄN</t>
        </is>
      </c>
      <c r="E2096" t="inlineStr">
        <is>
          <t>SUNDSVALL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62301-2023</t>
        </is>
      </c>
      <c r="B2097" s="1" t="n">
        <v>45267</v>
      </c>
      <c r="C2097" s="1" t="n">
        <v>46181</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10993-2022</t>
        </is>
      </c>
      <c r="B2098" s="1" t="n">
        <v>44628.46541666667</v>
      </c>
      <c r="C2098" s="1" t="n">
        <v>46181</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18809-2026</t>
        </is>
      </c>
      <c r="B2099" s="1" t="n">
        <v>46128</v>
      </c>
      <c r="C2099" s="1" t="n">
        <v>46181</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18838-2022</t>
        </is>
      </c>
      <c r="B2100" s="1" t="n">
        <v>44690</v>
      </c>
      <c r="C2100" s="1" t="n">
        <v>46181</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7943-2022</t>
        </is>
      </c>
      <c r="B2101" s="1" t="n">
        <v>44608</v>
      </c>
      <c r="C2101" s="1" t="n">
        <v>46181</v>
      </c>
      <c r="D2101" t="inlineStr">
        <is>
          <t>VÄSTERNORRLANDS LÄN</t>
        </is>
      </c>
      <c r="E2101" t="inlineStr">
        <is>
          <t>SUNDSVALL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56420-2022</t>
        </is>
      </c>
      <c r="B2102" s="1" t="n">
        <v>44890.95302083333</v>
      </c>
      <c r="C2102" s="1" t="n">
        <v>46181</v>
      </c>
      <c r="D2102" t="inlineStr">
        <is>
          <t>VÄSTERNORRLANDS LÄN</t>
        </is>
      </c>
      <c r="E2102" t="inlineStr">
        <is>
          <t>SUNDSVALL</t>
        </is>
      </c>
      <c r="F2102" t="inlineStr">
        <is>
          <t>SCA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18941-2026</t>
        </is>
      </c>
      <c r="B2103" s="1" t="n">
        <v>46129.57335648148</v>
      </c>
      <c r="C2103" s="1" t="n">
        <v>46181</v>
      </c>
      <c r="D2103" t="inlineStr">
        <is>
          <t>VÄSTERNORRLANDS LÄN</t>
        </is>
      </c>
      <c r="E2103" t="inlineStr">
        <is>
          <t>SUNDSVALL</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50013-2024</t>
        </is>
      </c>
      <c r="B2104" s="1" t="n">
        <v>45598.85898148148</v>
      </c>
      <c r="C2104" s="1" t="n">
        <v>46181</v>
      </c>
      <c r="D2104" t="inlineStr">
        <is>
          <t>VÄSTERNORRLANDS LÄN</t>
        </is>
      </c>
      <c r="E2104" t="inlineStr">
        <is>
          <t>SUNDSVALL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36844-2023</t>
        </is>
      </c>
      <c r="B2105" s="1" t="n">
        <v>45154</v>
      </c>
      <c r="C2105" s="1" t="n">
        <v>46181</v>
      </c>
      <c r="D2105" t="inlineStr">
        <is>
          <t>VÄSTERNORRLANDS LÄN</t>
        </is>
      </c>
      <c r="E2105" t="inlineStr">
        <is>
          <t>SUNDSVALL</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24555-2026</t>
        </is>
      </c>
      <c r="B2106" s="1" t="n">
        <v>46170.59833333334</v>
      </c>
      <c r="C2106" s="1" t="n">
        <v>46181</v>
      </c>
      <c r="D2106" t="inlineStr">
        <is>
          <t>VÄSTERNORRLANDS LÄN</t>
        </is>
      </c>
      <c r="E2106" t="inlineStr">
        <is>
          <t>SUNDSVALL</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38353-2023</t>
        </is>
      </c>
      <c r="B2107" s="1" t="n">
        <v>45161</v>
      </c>
      <c r="C2107" s="1" t="n">
        <v>46181</v>
      </c>
      <c r="D2107" t="inlineStr">
        <is>
          <t>VÄSTERNORRLANDS LÄN</t>
        </is>
      </c>
      <c r="E2107" t="inlineStr">
        <is>
          <t>SUNDSVALL</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38357-2023</t>
        </is>
      </c>
      <c r="B2108" s="1" t="n">
        <v>45161</v>
      </c>
      <c r="C2108" s="1" t="n">
        <v>46181</v>
      </c>
      <c r="D2108" t="inlineStr">
        <is>
          <t>VÄSTERNORRLANDS LÄN</t>
        </is>
      </c>
      <c r="E2108" t="inlineStr">
        <is>
          <t>SUNDSVALL</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59901-2024</t>
        </is>
      </c>
      <c r="B2109" s="1" t="n">
        <v>45641.59461805555</v>
      </c>
      <c r="C2109" s="1" t="n">
        <v>46181</v>
      </c>
      <c r="D2109" t="inlineStr">
        <is>
          <t>VÄSTERNORRLANDS LÄN</t>
        </is>
      </c>
      <c r="E2109" t="inlineStr">
        <is>
          <t>SUNDSVALL</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8463-2025</t>
        </is>
      </c>
      <c r="B2110" s="1" t="n">
        <v>45709.46928240741</v>
      </c>
      <c r="C2110" s="1" t="n">
        <v>46181</v>
      </c>
      <c r="D2110" t="inlineStr">
        <is>
          <t>VÄSTERNORRLANDS LÄN</t>
        </is>
      </c>
      <c r="E2110" t="inlineStr">
        <is>
          <t>SUNDSVALL</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8479-2025</t>
        </is>
      </c>
      <c r="B2111" s="1" t="n">
        <v>45709.4887962963</v>
      </c>
      <c r="C2111" s="1" t="n">
        <v>46181</v>
      </c>
      <c r="D2111" t="inlineStr">
        <is>
          <t>VÄSTERNORRLANDS LÄN</t>
        </is>
      </c>
      <c r="E2111" t="inlineStr">
        <is>
          <t>SUNDSVALL</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35500-2023</t>
        </is>
      </c>
      <c r="B2112" s="1" t="n">
        <v>45146.9228125</v>
      </c>
      <c r="C2112" s="1" t="n">
        <v>46181</v>
      </c>
      <c r="D2112" t="inlineStr">
        <is>
          <t>VÄSTERNORRLANDS LÄN</t>
        </is>
      </c>
      <c r="E2112" t="inlineStr">
        <is>
          <t>SUNDSVALL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13818-2024</t>
        </is>
      </c>
      <c r="B2113" s="1" t="n">
        <v>45391</v>
      </c>
      <c r="C2113" s="1" t="n">
        <v>46181</v>
      </c>
      <c r="D2113" t="inlineStr">
        <is>
          <t>VÄSTERNORRLANDS LÄN</t>
        </is>
      </c>
      <c r="E2113" t="inlineStr">
        <is>
          <t>SUNDSVALL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63655-2021</t>
        </is>
      </c>
      <c r="B2114" s="1" t="n">
        <v>44508</v>
      </c>
      <c r="C2114" s="1" t="n">
        <v>46181</v>
      </c>
      <c r="D2114" t="inlineStr">
        <is>
          <t>VÄSTERNORRLANDS LÄN</t>
        </is>
      </c>
      <c r="E2114" t="inlineStr">
        <is>
          <t>SUNDSVALL</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63661-2021</t>
        </is>
      </c>
      <c r="B2115" s="1" t="n">
        <v>44508</v>
      </c>
      <c r="C2115" s="1" t="n">
        <v>46181</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47565-2021</t>
        </is>
      </c>
      <c r="B2116" s="1" t="n">
        <v>44447</v>
      </c>
      <c r="C2116" s="1" t="n">
        <v>46181</v>
      </c>
      <c r="D2116" t="inlineStr">
        <is>
          <t>VÄSTERNORRLANDS LÄN</t>
        </is>
      </c>
      <c r="E2116" t="inlineStr">
        <is>
          <t>SUNDSVALL</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34192-2023</t>
        </is>
      </c>
      <c r="B2117" s="1" t="n">
        <v>45138</v>
      </c>
      <c r="C2117" s="1" t="n">
        <v>46181</v>
      </c>
      <c r="D2117" t="inlineStr">
        <is>
          <t>VÄSTERNORRLANDS LÄN</t>
        </is>
      </c>
      <c r="E2117" t="inlineStr">
        <is>
          <t>SUNDSVALL</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48752-2023</t>
        </is>
      </c>
      <c r="B2118" s="1" t="n">
        <v>45208.89585648148</v>
      </c>
      <c r="C2118" s="1" t="n">
        <v>46181</v>
      </c>
      <c r="D2118" t="inlineStr">
        <is>
          <t>VÄSTERNORRLANDS LÄN</t>
        </is>
      </c>
      <c r="E2118" t="inlineStr">
        <is>
          <t>SUNDSVALL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28186-2024</t>
        </is>
      </c>
      <c r="B2119" s="1" t="n">
        <v>45477</v>
      </c>
      <c r="C2119" s="1" t="n">
        <v>46181</v>
      </c>
      <c r="D2119" t="inlineStr">
        <is>
          <t>VÄSTERNORRLANDS LÄN</t>
        </is>
      </c>
      <c r="E2119" t="inlineStr">
        <is>
          <t>SUNDSVALL</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2373-2024</t>
        </is>
      </c>
      <c r="B2120" s="1" t="n">
        <v>45310</v>
      </c>
      <c r="C2120" s="1" t="n">
        <v>46181</v>
      </c>
      <c r="D2120" t="inlineStr">
        <is>
          <t>VÄSTERNORRLANDS LÄN</t>
        </is>
      </c>
      <c r="E2120" t="inlineStr">
        <is>
          <t>SUNDSVALL</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23990-2022</t>
        </is>
      </c>
      <c r="B2121" s="1" t="n">
        <v>44722</v>
      </c>
      <c r="C2121" s="1" t="n">
        <v>46181</v>
      </c>
      <c r="D2121" t="inlineStr">
        <is>
          <t>VÄSTERNORRLANDS LÄN</t>
        </is>
      </c>
      <c r="E2121" t="inlineStr">
        <is>
          <t>SUNDSVALL</t>
        </is>
      </c>
      <c r="F2121" t="inlineStr">
        <is>
          <t>SCA</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64313-2023</t>
        </is>
      </c>
      <c r="B2122" s="1" t="n">
        <v>45279</v>
      </c>
      <c r="C2122" s="1" t="n">
        <v>46181</v>
      </c>
      <c r="D2122" t="inlineStr">
        <is>
          <t>VÄSTERNORRLANDS LÄN</t>
        </is>
      </c>
      <c r="E2122" t="inlineStr">
        <is>
          <t>SUNDSVALL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63987-2023</t>
        </is>
      </c>
      <c r="B2123" s="1" t="n">
        <v>45278</v>
      </c>
      <c r="C2123" s="1" t="n">
        <v>46181</v>
      </c>
      <c r="D2123" t="inlineStr">
        <is>
          <t>VÄSTERNORRLANDS LÄN</t>
        </is>
      </c>
      <c r="E2123" t="inlineStr">
        <is>
          <t>SUNDSVALL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63989-2023</t>
        </is>
      </c>
      <c r="B2124" s="1" t="n">
        <v>45278</v>
      </c>
      <c r="C2124" s="1" t="n">
        <v>46181</v>
      </c>
      <c r="D2124" t="inlineStr">
        <is>
          <t>VÄSTERNORRLANDS LÄN</t>
        </is>
      </c>
      <c r="E2124" t="inlineStr">
        <is>
          <t>SUNDSVALL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13488-2025</t>
        </is>
      </c>
      <c r="B2125" s="1" t="n">
        <v>45736</v>
      </c>
      <c r="C2125" s="1" t="n">
        <v>46181</v>
      </c>
      <c r="D2125" t="inlineStr">
        <is>
          <t>VÄSTERNORRLANDS LÄN</t>
        </is>
      </c>
      <c r="E2125" t="inlineStr">
        <is>
          <t>SUNDSVALL</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34744-2022</t>
        </is>
      </c>
      <c r="B2126" s="1" t="n">
        <v>44795.62546296296</v>
      </c>
      <c r="C2126" s="1" t="n">
        <v>46181</v>
      </c>
      <c r="D2126" t="inlineStr">
        <is>
          <t>VÄSTERNORRLANDS LÄN</t>
        </is>
      </c>
      <c r="E2126" t="inlineStr">
        <is>
          <t>SUNDSVALL</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59723-2021</t>
        </is>
      </c>
      <c r="B2127" s="1" t="n">
        <v>44494.42824074074</v>
      </c>
      <c r="C2127" s="1" t="n">
        <v>46181</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32653-2024</t>
        </is>
      </c>
      <c r="B2128" s="1" t="n">
        <v>45513.9644675926</v>
      </c>
      <c r="C2128" s="1" t="n">
        <v>46181</v>
      </c>
      <c r="D2128" t="inlineStr">
        <is>
          <t>VÄSTERNORRLANDS LÄN</t>
        </is>
      </c>
      <c r="E2128" t="inlineStr">
        <is>
          <t>SUNDSVALL</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35504-2023</t>
        </is>
      </c>
      <c r="B2129" s="1" t="n">
        <v>45146.94744212963</v>
      </c>
      <c r="C2129" s="1" t="n">
        <v>46181</v>
      </c>
      <c r="D2129" t="inlineStr">
        <is>
          <t>VÄSTERNORRLANDS LÄN</t>
        </is>
      </c>
      <c r="E2129" t="inlineStr">
        <is>
          <t>SUNDSVALL</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28480-2022</t>
        </is>
      </c>
      <c r="B2130" s="1" t="n">
        <v>44747</v>
      </c>
      <c r="C2130" s="1" t="n">
        <v>46181</v>
      </c>
      <c r="D2130" t="inlineStr">
        <is>
          <t>VÄSTERNORRLANDS LÄN</t>
        </is>
      </c>
      <c r="E2130" t="inlineStr">
        <is>
          <t>SUNDSVALL</t>
        </is>
      </c>
      <c r="G2130" t="n">
        <v>11.6</v>
      </c>
      <c r="H2130" t="n">
        <v>0</v>
      </c>
      <c r="I2130" t="n">
        <v>0</v>
      </c>
      <c r="J2130" t="n">
        <v>0</v>
      </c>
      <c r="K2130" t="n">
        <v>0</v>
      </c>
      <c r="L2130" t="n">
        <v>0</v>
      </c>
      <c r="M2130" t="n">
        <v>0</v>
      </c>
      <c r="N2130" t="n">
        <v>0</v>
      </c>
      <c r="O2130" t="n">
        <v>0</v>
      </c>
      <c r="P2130" t="n">
        <v>0</v>
      </c>
      <c r="Q2130" t="n">
        <v>0</v>
      </c>
      <c r="R2130" s="2" t="inlineStr"/>
    </row>
    <row r="2131" ht="15" customHeight="1">
      <c r="A2131" t="inlineStr">
        <is>
          <t>A 3948-2025</t>
        </is>
      </c>
      <c r="B2131" s="1" t="n">
        <v>45684.49009259259</v>
      </c>
      <c r="C2131" s="1" t="n">
        <v>46181</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52502-2023</t>
        </is>
      </c>
      <c r="B2132" s="1" t="n">
        <v>45225</v>
      </c>
      <c r="C2132" s="1" t="n">
        <v>46181</v>
      </c>
      <c r="D2132" t="inlineStr">
        <is>
          <t>VÄSTERNORRLANDS LÄN</t>
        </is>
      </c>
      <c r="E2132" t="inlineStr">
        <is>
          <t>SUNDSVALL</t>
        </is>
      </c>
      <c r="F2132" t="inlineStr">
        <is>
          <t>Kommuner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50652-2022</t>
        </is>
      </c>
      <c r="B2133" s="1" t="n">
        <v>44866</v>
      </c>
      <c r="C2133" s="1" t="n">
        <v>46181</v>
      </c>
      <c r="D2133" t="inlineStr">
        <is>
          <t>VÄSTERNORRLANDS LÄN</t>
        </is>
      </c>
      <c r="E2133" t="inlineStr">
        <is>
          <t>SUNDSVALL</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34423-2023</t>
        </is>
      </c>
      <c r="B2134" s="1" t="n">
        <v>45139.60361111111</v>
      </c>
      <c r="C2134" s="1" t="n">
        <v>46181</v>
      </c>
      <c r="D2134" t="inlineStr">
        <is>
          <t>VÄSTERNORRLANDS LÄN</t>
        </is>
      </c>
      <c r="E2134" t="inlineStr">
        <is>
          <t>SUNDSVALL</t>
        </is>
      </c>
      <c r="F2134" t="inlineStr">
        <is>
          <t>Holmen skog AB</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13506-2023</t>
        </is>
      </c>
      <c r="B2135" s="1" t="n">
        <v>45006</v>
      </c>
      <c r="C2135" s="1" t="n">
        <v>46181</v>
      </c>
      <c r="D2135" t="inlineStr">
        <is>
          <t>VÄSTERNORRLANDS LÄN</t>
        </is>
      </c>
      <c r="E2135" t="inlineStr">
        <is>
          <t>SUNDSVALL</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199-2024</t>
        </is>
      </c>
      <c r="B2136" s="1" t="n">
        <v>45294.63547453703</v>
      </c>
      <c r="C2136" s="1" t="n">
        <v>46181</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32380-2023</t>
        </is>
      </c>
      <c r="B2137" s="1" t="n">
        <v>45120.58898148148</v>
      </c>
      <c r="C2137" s="1" t="n">
        <v>46181</v>
      </c>
      <c r="D2137" t="inlineStr">
        <is>
          <t>VÄSTERNORRLANDS LÄN</t>
        </is>
      </c>
      <c r="E2137" t="inlineStr">
        <is>
          <t>SUNDSVALL</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5296-2025</t>
        </is>
      </c>
      <c r="B2138" s="1" t="n">
        <v>45692.45554398148</v>
      </c>
      <c r="C2138" s="1" t="n">
        <v>46181</v>
      </c>
      <c r="D2138" t="inlineStr">
        <is>
          <t>VÄSTERNORRLANDS LÄN</t>
        </is>
      </c>
      <c r="E2138" t="inlineStr">
        <is>
          <t>SUNDSVALL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27693-2023</t>
        </is>
      </c>
      <c r="B2139" s="1" t="n">
        <v>45097.9384375</v>
      </c>
      <c r="C2139" s="1" t="n">
        <v>46181</v>
      </c>
      <c r="D2139" t="inlineStr">
        <is>
          <t>VÄSTERNORRLANDS LÄN</t>
        </is>
      </c>
      <c r="E2139" t="inlineStr">
        <is>
          <t>SUNDSVALL</t>
        </is>
      </c>
      <c r="F2139" t="inlineStr">
        <is>
          <t>SCA</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12743-2023</t>
        </is>
      </c>
      <c r="B2140" s="1" t="n">
        <v>45000.94775462963</v>
      </c>
      <c r="C2140" s="1" t="n">
        <v>46181</v>
      </c>
      <c r="D2140" t="inlineStr">
        <is>
          <t>VÄSTERNORRLANDS LÄN</t>
        </is>
      </c>
      <c r="E2140" t="inlineStr">
        <is>
          <t>SUNDSVALL</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7003-2023</t>
        </is>
      </c>
      <c r="B2141" s="1" t="n">
        <v>44967.92920138889</v>
      </c>
      <c r="C2141" s="1" t="n">
        <v>46181</v>
      </c>
      <c r="D2141" t="inlineStr">
        <is>
          <t>VÄSTERNORRLANDS LÄN</t>
        </is>
      </c>
      <c r="E2141" t="inlineStr">
        <is>
          <t>SUNDSVALL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51050-2024</t>
        </is>
      </c>
      <c r="B2142" s="1" t="n">
        <v>45603.4465625</v>
      </c>
      <c r="C2142" s="1" t="n">
        <v>46181</v>
      </c>
      <c r="D2142" t="inlineStr">
        <is>
          <t>VÄSTERNORRLANDS LÄN</t>
        </is>
      </c>
      <c r="E2142" t="inlineStr">
        <is>
          <t>SUNDSVALL</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31440-2024</t>
        </is>
      </c>
      <c r="B2143" s="1" t="n">
        <v>45505</v>
      </c>
      <c r="C2143" s="1" t="n">
        <v>46181</v>
      </c>
      <c r="D2143" t="inlineStr">
        <is>
          <t>VÄSTERNORRLANDS LÄN</t>
        </is>
      </c>
      <c r="E2143" t="inlineStr">
        <is>
          <t>SUNDSVALL</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35010-2023</t>
        </is>
      </c>
      <c r="B2144" s="1" t="n">
        <v>45142</v>
      </c>
      <c r="C2144" s="1" t="n">
        <v>46181</v>
      </c>
      <c r="D2144" t="inlineStr">
        <is>
          <t>VÄSTERNORRLANDS LÄN</t>
        </is>
      </c>
      <c r="E2144" t="inlineStr">
        <is>
          <t>SUNDSVALL</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59910-2023</t>
        </is>
      </c>
      <c r="B2145" s="1" t="n">
        <v>45257.63450231482</v>
      </c>
      <c r="C2145" s="1" t="n">
        <v>46181</v>
      </c>
      <c r="D2145" t="inlineStr">
        <is>
          <t>VÄSTERNORRLANDS LÄN</t>
        </is>
      </c>
      <c r="E2145" t="inlineStr">
        <is>
          <t>SUNDSVALL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25011-2022</t>
        </is>
      </c>
      <c r="B2146" s="1" t="n">
        <v>44728.92876157408</v>
      </c>
      <c r="C2146" s="1" t="n">
        <v>46181</v>
      </c>
      <c r="D2146" t="inlineStr">
        <is>
          <t>VÄSTERNORRLANDS LÄN</t>
        </is>
      </c>
      <c r="E2146" t="inlineStr">
        <is>
          <t>SUNDSVALL</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13302-2025</t>
        </is>
      </c>
      <c r="B2147" s="1" t="n">
        <v>45735.5747337963</v>
      </c>
      <c r="C2147" s="1" t="n">
        <v>46181</v>
      </c>
      <c r="D2147" t="inlineStr">
        <is>
          <t>VÄSTERNORRLANDS LÄN</t>
        </is>
      </c>
      <c r="E2147" t="inlineStr">
        <is>
          <t>SUNDSVALL</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27959-2021</t>
        </is>
      </c>
      <c r="B2148" s="1" t="n">
        <v>44354</v>
      </c>
      <c r="C2148" s="1" t="n">
        <v>46181</v>
      </c>
      <c r="D2148" t="inlineStr">
        <is>
          <t>VÄSTERNORRLANDS LÄN</t>
        </is>
      </c>
      <c r="E2148" t="inlineStr">
        <is>
          <t>SUNDSVALL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50203-2024</t>
        </is>
      </c>
      <c r="B2149" s="1" t="n">
        <v>45600.49369212963</v>
      </c>
      <c r="C2149" s="1" t="n">
        <v>46181</v>
      </c>
      <c r="D2149" t="inlineStr">
        <is>
          <t>VÄSTERNORRLANDS LÄN</t>
        </is>
      </c>
      <c r="E2149" t="inlineStr">
        <is>
          <t>SUNDSVALL</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29035-2023</t>
        </is>
      </c>
      <c r="B2150" s="1" t="n">
        <v>45104</v>
      </c>
      <c r="C2150" s="1" t="n">
        <v>46181</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7229-2024</t>
        </is>
      </c>
      <c r="B2151" s="1" t="n">
        <v>45344</v>
      </c>
      <c r="C2151" s="1" t="n">
        <v>46181</v>
      </c>
      <c r="D2151" t="inlineStr">
        <is>
          <t>VÄSTERNORRLANDS LÄN</t>
        </is>
      </c>
      <c r="E2151" t="inlineStr">
        <is>
          <t>SUNDSVALL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50405-2022</t>
        </is>
      </c>
      <c r="B2152" s="1" t="n">
        <v>44861</v>
      </c>
      <c r="C2152" s="1" t="n">
        <v>46181</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231-2024</t>
        </is>
      </c>
      <c r="B2153" s="1" t="n">
        <v>45294</v>
      </c>
      <c r="C2153" s="1" t="n">
        <v>46181</v>
      </c>
      <c r="D2153" t="inlineStr">
        <is>
          <t>VÄSTERNORRLANDS LÄN</t>
        </is>
      </c>
      <c r="E2153" t="inlineStr">
        <is>
          <t>SUNDSVALL</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37927-2023</t>
        </is>
      </c>
      <c r="B2154" s="1" t="n">
        <v>45160.50259259259</v>
      </c>
      <c r="C2154" s="1" t="n">
        <v>46181</v>
      </c>
      <c r="D2154" t="inlineStr">
        <is>
          <t>VÄSTERNORRLANDS LÄN</t>
        </is>
      </c>
      <c r="E2154" t="inlineStr">
        <is>
          <t>SUNDSVALL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2585-2025</t>
        </is>
      </c>
      <c r="B2155" s="1" t="n">
        <v>45674.68055555555</v>
      </c>
      <c r="C2155" s="1" t="n">
        <v>46181</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12015-2022</t>
        </is>
      </c>
      <c r="B2156" s="1" t="n">
        <v>44635.94351851852</v>
      </c>
      <c r="C2156" s="1" t="n">
        <v>46181</v>
      </c>
      <c r="D2156" t="inlineStr">
        <is>
          <t>VÄSTERNORRLANDS LÄN</t>
        </is>
      </c>
      <c r="E2156" t="inlineStr">
        <is>
          <t>SUNDSVALL</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23557-2024</t>
        </is>
      </c>
      <c r="B2157" s="1" t="n">
        <v>45453.95444444445</v>
      </c>
      <c r="C2157" s="1" t="n">
        <v>46181</v>
      </c>
      <c r="D2157" t="inlineStr">
        <is>
          <t>VÄSTERNORRLANDS LÄN</t>
        </is>
      </c>
      <c r="E2157" t="inlineStr">
        <is>
          <t>SUNDSVALL</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47030-2023</t>
        </is>
      </c>
      <c r="B2158" s="1" t="n">
        <v>45196</v>
      </c>
      <c r="C2158" s="1" t="n">
        <v>46181</v>
      </c>
      <c r="D2158" t="inlineStr">
        <is>
          <t>VÄSTERNORRLANDS LÄN</t>
        </is>
      </c>
      <c r="E2158" t="inlineStr">
        <is>
          <t>SUNDSVALL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20754-2024</t>
        </is>
      </c>
      <c r="B2159" s="1" t="n">
        <v>45436</v>
      </c>
      <c r="C2159" s="1" t="n">
        <v>46181</v>
      </c>
      <c r="D2159" t="inlineStr">
        <is>
          <t>VÄSTERNORRLANDS LÄN</t>
        </is>
      </c>
      <c r="E2159" t="inlineStr">
        <is>
          <t>SUNDSVALL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58757-2024</t>
        </is>
      </c>
      <c r="B2160" s="1" t="n">
        <v>45635.71940972222</v>
      </c>
      <c r="C2160" s="1" t="n">
        <v>46181</v>
      </c>
      <c r="D2160" t="inlineStr">
        <is>
          <t>VÄSTERNORRLANDS LÄN</t>
        </is>
      </c>
      <c r="E2160" t="inlineStr">
        <is>
          <t>SUNDSVALL</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11028-2025</t>
        </is>
      </c>
      <c r="B2161" s="1" t="n">
        <v>45723.46983796296</v>
      </c>
      <c r="C2161" s="1" t="n">
        <v>46181</v>
      </c>
      <c r="D2161" t="inlineStr">
        <is>
          <t>VÄSTERNORRLANDS LÄN</t>
        </is>
      </c>
      <c r="E2161" t="inlineStr">
        <is>
          <t>SUNDSVALL</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58967-2023</t>
        </is>
      </c>
      <c r="B2162" s="1" t="n">
        <v>45250</v>
      </c>
      <c r="C2162" s="1" t="n">
        <v>46181</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57521-2024</t>
        </is>
      </c>
      <c r="B2163" s="1" t="n">
        <v>45629</v>
      </c>
      <c r="C2163" s="1" t="n">
        <v>46181</v>
      </c>
      <c r="D2163" t="inlineStr">
        <is>
          <t>VÄSTERNORRLANDS LÄN</t>
        </is>
      </c>
      <c r="E2163" t="inlineStr">
        <is>
          <t>SUNDSVALL</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2785-2025</t>
        </is>
      </c>
      <c r="B2164" s="1" t="n">
        <v>45677</v>
      </c>
      <c r="C2164" s="1" t="n">
        <v>46181</v>
      </c>
      <c r="D2164" t="inlineStr">
        <is>
          <t>VÄSTERNORRLANDS LÄN</t>
        </is>
      </c>
      <c r="E2164" t="inlineStr">
        <is>
          <t>SUNDSVALL</t>
        </is>
      </c>
      <c r="F2164" t="inlineStr">
        <is>
          <t>SCA</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18732-2026</t>
        </is>
      </c>
      <c r="B2165" s="1" t="n">
        <v>46128.49086805555</v>
      </c>
      <c r="C2165" s="1" t="n">
        <v>46181</v>
      </c>
      <c r="D2165" t="inlineStr">
        <is>
          <t>VÄSTERNORRLANDS LÄN</t>
        </is>
      </c>
      <c r="E2165" t="inlineStr">
        <is>
          <t>SUNDSVALL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3944-2024</t>
        </is>
      </c>
      <c r="B2166" s="1" t="n">
        <v>45322</v>
      </c>
      <c r="C2166" s="1" t="n">
        <v>46181</v>
      </c>
      <c r="D2166" t="inlineStr">
        <is>
          <t>VÄSTERNORRLANDS LÄN</t>
        </is>
      </c>
      <c r="E2166" t="inlineStr">
        <is>
          <t>SUNDSVALL</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47280-2023</t>
        </is>
      </c>
      <c r="B2167" s="1" t="n">
        <v>45196</v>
      </c>
      <c r="C2167" s="1" t="n">
        <v>46181</v>
      </c>
      <c r="D2167" t="inlineStr">
        <is>
          <t>VÄSTERNORRLANDS LÄN</t>
        </is>
      </c>
      <c r="E2167" t="inlineStr">
        <is>
          <t>SUNDSVALL</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15551-2025</t>
        </is>
      </c>
      <c r="B2168" s="1" t="n">
        <v>45747.67410879629</v>
      </c>
      <c r="C2168" s="1" t="n">
        <v>46181</v>
      </c>
      <c r="D2168" t="inlineStr">
        <is>
          <t>VÄSTERNORRLANDS LÄN</t>
        </is>
      </c>
      <c r="E2168" t="inlineStr">
        <is>
          <t>SUNDSVALL</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19091-2025</t>
        </is>
      </c>
      <c r="B2169" s="1" t="n">
        <v>45767.47315972222</v>
      </c>
      <c r="C2169" s="1" t="n">
        <v>46181</v>
      </c>
      <c r="D2169" t="inlineStr">
        <is>
          <t>VÄSTERNORRLANDS LÄN</t>
        </is>
      </c>
      <c r="E2169" t="inlineStr">
        <is>
          <t>SUNDSVALL</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7939-2025</t>
        </is>
      </c>
      <c r="B2170" s="1" t="n">
        <v>45707.40217592593</v>
      </c>
      <c r="C2170" s="1" t="n">
        <v>46181</v>
      </c>
      <c r="D2170" t="inlineStr">
        <is>
          <t>VÄSTERNORRLANDS LÄN</t>
        </is>
      </c>
      <c r="E2170" t="inlineStr">
        <is>
          <t>SUNDSVALL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7960-2025</t>
        </is>
      </c>
      <c r="B2171" s="1" t="n">
        <v>45707.44020833333</v>
      </c>
      <c r="C2171" s="1" t="n">
        <v>46181</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7962-2025</t>
        </is>
      </c>
      <c r="B2172" s="1" t="n">
        <v>45707.44831018519</v>
      </c>
      <c r="C2172" s="1" t="n">
        <v>46181</v>
      </c>
      <c r="D2172" t="inlineStr">
        <is>
          <t>VÄSTERNORRLANDS LÄN</t>
        </is>
      </c>
      <c r="E2172" t="inlineStr">
        <is>
          <t>SUNDSVALL</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7967-2025</t>
        </is>
      </c>
      <c r="B2173" s="1" t="n">
        <v>45707.45425925926</v>
      </c>
      <c r="C2173" s="1" t="n">
        <v>46181</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19060-2026</t>
        </is>
      </c>
      <c r="B2174" s="1" t="n">
        <v>46132.36563657408</v>
      </c>
      <c r="C2174" s="1" t="n">
        <v>46181</v>
      </c>
      <c r="D2174" t="inlineStr">
        <is>
          <t>VÄSTERNORRLANDS LÄN</t>
        </is>
      </c>
      <c r="E2174" t="inlineStr">
        <is>
          <t>SUNDSVALL</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32204-2023</t>
        </is>
      </c>
      <c r="B2175" s="1" t="n">
        <v>45119.92628472222</v>
      </c>
      <c r="C2175" s="1" t="n">
        <v>46181</v>
      </c>
      <c r="D2175" t="inlineStr">
        <is>
          <t>VÄSTERNORRLANDS LÄN</t>
        </is>
      </c>
      <c r="E2175" t="inlineStr">
        <is>
          <t>SUNDSVALL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10716-2023</t>
        </is>
      </c>
      <c r="B2176" s="1" t="n">
        <v>44988.64170138889</v>
      </c>
      <c r="C2176" s="1" t="n">
        <v>46181</v>
      </c>
      <c r="D2176" t="inlineStr">
        <is>
          <t>VÄSTERNORRLANDS LÄN</t>
        </is>
      </c>
      <c r="E2176" t="inlineStr">
        <is>
          <t>SUNDSVALL</t>
        </is>
      </c>
      <c r="F2176" t="inlineStr">
        <is>
          <t>Holmen skog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24750-2026</t>
        </is>
      </c>
      <c r="B2177" s="1" t="n">
        <v>46171.59932870371</v>
      </c>
      <c r="C2177" s="1" t="n">
        <v>46181</v>
      </c>
      <c r="D2177" t="inlineStr">
        <is>
          <t>VÄSTERNORRLANDS LÄN</t>
        </is>
      </c>
      <c r="E2177" t="inlineStr">
        <is>
          <t>SUNDSVALL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45048-2023</t>
        </is>
      </c>
      <c r="B2178" s="1" t="n">
        <v>45187</v>
      </c>
      <c r="C2178" s="1" t="n">
        <v>46181</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45057-2023</t>
        </is>
      </c>
      <c r="B2179" s="1" t="n">
        <v>45187</v>
      </c>
      <c r="C2179" s="1" t="n">
        <v>46181</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52196-2024</t>
        </is>
      </c>
      <c r="B2180" s="1" t="n">
        <v>45607</v>
      </c>
      <c r="C2180" s="1" t="n">
        <v>46181</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13335-2023</t>
        </is>
      </c>
      <c r="B2181" s="1" t="n">
        <v>45005.4337037037</v>
      </c>
      <c r="C2181" s="1" t="n">
        <v>46181</v>
      </c>
      <c r="D2181" t="inlineStr">
        <is>
          <t>VÄSTERNORRLANDS LÄN</t>
        </is>
      </c>
      <c r="E2181" t="inlineStr">
        <is>
          <t>SUNDSVALL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18352-2023</t>
        </is>
      </c>
      <c r="B2182" s="1" t="n">
        <v>45040</v>
      </c>
      <c r="C2182" s="1" t="n">
        <v>46181</v>
      </c>
      <c r="D2182" t="inlineStr">
        <is>
          <t>VÄSTERNORRLANDS LÄN</t>
        </is>
      </c>
      <c r="E2182" t="inlineStr">
        <is>
          <t>SUNDSVALL</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13551-2024</t>
        </is>
      </c>
      <c r="B2183" s="1" t="n">
        <v>45387.95395833333</v>
      </c>
      <c r="C2183" s="1" t="n">
        <v>46181</v>
      </c>
      <c r="D2183" t="inlineStr">
        <is>
          <t>VÄSTERNORRLANDS LÄN</t>
        </is>
      </c>
      <c r="E2183" t="inlineStr">
        <is>
          <t>SUNDSVALL</t>
        </is>
      </c>
      <c r="F2183" t="inlineStr">
        <is>
          <t>SCA</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29127-2022</t>
        </is>
      </c>
      <c r="B2184" s="1" t="n">
        <v>44750.45601851852</v>
      </c>
      <c r="C2184" s="1" t="n">
        <v>46181</v>
      </c>
      <c r="D2184" t="inlineStr">
        <is>
          <t>VÄSTERNORRLANDS LÄN</t>
        </is>
      </c>
      <c r="E2184" t="inlineStr">
        <is>
          <t>SUNDSVALL</t>
        </is>
      </c>
      <c r="G2184" t="n">
        <v>7.4</v>
      </c>
      <c r="H2184" t="n">
        <v>0</v>
      </c>
      <c r="I2184" t="n">
        <v>0</v>
      </c>
      <c r="J2184" t="n">
        <v>0</v>
      </c>
      <c r="K2184" t="n">
        <v>0</v>
      </c>
      <c r="L2184" t="n">
        <v>0</v>
      </c>
      <c r="M2184" t="n">
        <v>0</v>
      </c>
      <c r="N2184" t="n">
        <v>0</v>
      </c>
      <c r="O2184" t="n">
        <v>0</v>
      </c>
      <c r="P2184" t="n">
        <v>0</v>
      </c>
      <c r="Q2184" t="n">
        <v>0</v>
      </c>
      <c r="R2184" s="2" t="inlineStr"/>
      <c r="U2184">
        <f>HYPERLINK("https://klasma.github.io/Logging_2281/knärot/A 29127-2022 karta knärot.png", "A 29127-2022")</f>
        <v/>
      </c>
      <c r="V2184">
        <f>HYPERLINK("https://klasma.github.io/Logging_2281/klagomål/A 29127-2022 FSC-klagomål.docx", "A 29127-2022")</f>
        <v/>
      </c>
      <c r="W2184">
        <f>HYPERLINK("https://klasma.github.io/Logging_2281/klagomålsmail/A 29127-2022 FSC-klagomål mail.docx", "A 29127-2022")</f>
        <v/>
      </c>
      <c r="X2184">
        <f>HYPERLINK("https://klasma.github.io/Logging_2281/tillsyn/A 29127-2022 tillsynsbegäran.docx", "A 29127-2022")</f>
        <v/>
      </c>
      <c r="Y2184">
        <f>HYPERLINK("https://klasma.github.io/Logging_2281/tillsynsmail/A 29127-2022 tillsynsbegäran mail.docx", "A 29127-2022")</f>
        <v/>
      </c>
    </row>
    <row r="2185" ht="15" customHeight="1">
      <c r="A2185" t="inlineStr">
        <is>
          <t>A 28794-2024</t>
        </is>
      </c>
      <c r="B2185" s="1" t="n">
        <v>45478.61696759259</v>
      </c>
      <c r="C2185" s="1" t="n">
        <v>46181</v>
      </c>
      <c r="D2185" t="inlineStr">
        <is>
          <t>VÄSTERNORRLANDS LÄN</t>
        </is>
      </c>
      <c r="E2185" t="inlineStr">
        <is>
          <t>SUNDSVALL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43946-2023</t>
        </is>
      </c>
      <c r="B2186" s="1" t="n">
        <v>45187</v>
      </c>
      <c r="C2186" s="1" t="n">
        <v>46181</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60165-2022</t>
        </is>
      </c>
      <c r="B2187" s="1" t="n">
        <v>44909</v>
      </c>
      <c r="C2187" s="1" t="n">
        <v>46181</v>
      </c>
      <c r="D2187" t="inlineStr">
        <is>
          <t>VÄSTERNORRLANDS LÄN</t>
        </is>
      </c>
      <c r="E2187" t="inlineStr">
        <is>
          <t>SUNDSVALL</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24910-2026</t>
        </is>
      </c>
      <c r="B2188" s="1" t="n">
        <v>46174.49</v>
      </c>
      <c r="C2188" s="1" t="n">
        <v>46181</v>
      </c>
      <c r="D2188" t="inlineStr">
        <is>
          <t>VÄSTERNORRLANDS LÄN</t>
        </is>
      </c>
      <c r="E2188" t="inlineStr">
        <is>
          <t>SUNDSVALL</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63068-2023</t>
        </is>
      </c>
      <c r="B2189" s="1" t="n">
        <v>45272</v>
      </c>
      <c r="C2189" s="1" t="n">
        <v>46181</v>
      </c>
      <c r="D2189" t="inlineStr">
        <is>
          <t>VÄSTERNORRLANDS LÄN</t>
        </is>
      </c>
      <c r="E2189" t="inlineStr">
        <is>
          <t>SUNDSVALL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47769-2024</t>
        </is>
      </c>
      <c r="B2190" s="1" t="n">
        <v>45588.56342592592</v>
      </c>
      <c r="C2190" s="1" t="n">
        <v>46181</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59660-2023</t>
        </is>
      </c>
      <c r="B2191" s="1" t="n">
        <v>45254</v>
      </c>
      <c r="C2191" s="1" t="n">
        <v>46181</v>
      </c>
      <c r="D2191" t="inlineStr">
        <is>
          <t>VÄSTERNORRLANDS LÄN</t>
        </is>
      </c>
      <c r="E2191" t="inlineStr">
        <is>
          <t>SUNDSVALL</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59661-2023</t>
        </is>
      </c>
      <c r="B2192" s="1" t="n">
        <v>45254</v>
      </c>
      <c r="C2192" s="1" t="n">
        <v>46181</v>
      </c>
      <c r="D2192" t="inlineStr">
        <is>
          <t>VÄSTERNORRLANDS LÄN</t>
        </is>
      </c>
      <c r="E2192" t="inlineStr">
        <is>
          <t>SUNDSVALL</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61474-2023</t>
        </is>
      </c>
      <c r="B2193" s="1" t="n">
        <v>45264.92684027777</v>
      </c>
      <c r="C2193" s="1" t="n">
        <v>46181</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61475-2023</t>
        </is>
      </c>
      <c r="B2194" s="1" t="n">
        <v>45264.92688657407</v>
      </c>
      <c r="C2194" s="1" t="n">
        <v>46181</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10200-2024</t>
        </is>
      </c>
      <c r="B2195" s="1" t="n">
        <v>45364.92836805555</v>
      </c>
      <c r="C2195" s="1" t="n">
        <v>46181</v>
      </c>
      <c r="D2195" t="inlineStr">
        <is>
          <t>VÄSTERNORRLANDS LÄN</t>
        </is>
      </c>
      <c r="E2195" t="inlineStr">
        <is>
          <t>SUNDSVALL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13445-2025</t>
        </is>
      </c>
      <c r="B2196" s="1" t="n">
        <v>45736.34521990741</v>
      </c>
      <c r="C2196" s="1" t="n">
        <v>46181</v>
      </c>
      <c r="D2196" t="inlineStr">
        <is>
          <t>VÄSTERNORRLANDS LÄN</t>
        </is>
      </c>
      <c r="E2196" t="inlineStr">
        <is>
          <t>SUNDSVALL</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13479-2025</t>
        </is>
      </c>
      <c r="B2197" s="1" t="n">
        <v>45736.41797453703</v>
      </c>
      <c r="C2197" s="1" t="n">
        <v>46181</v>
      </c>
      <c r="D2197" t="inlineStr">
        <is>
          <t>VÄSTERNORRLANDS LÄN</t>
        </is>
      </c>
      <c r="E2197" t="inlineStr">
        <is>
          <t>SUNDSVALL</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5421-2024</t>
        </is>
      </c>
      <c r="B2198" s="1" t="n">
        <v>45331</v>
      </c>
      <c r="C2198" s="1" t="n">
        <v>46181</v>
      </c>
      <c r="D2198" t="inlineStr">
        <is>
          <t>VÄSTERNORRLANDS LÄN</t>
        </is>
      </c>
      <c r="E2198" t="inlineStr">
        <is>
          <t>SUNDSVALL</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61267-2023</t>
        </is>
      </c>
      <c r="B2199" s="1" t="n">
        <v>45264</v>
      </c>
      <c r="C2199" s="1" t="n">
        <v>46181</v>
      </c>
      <c r="D2199" t="inlineStr">
        <is>
          <t>VÄSTERNORRLANDS LÄN</t>
        </is>
      </c>
      <c r="E2199" t="inlineStr">
        <is>
          <t>SUNDSVALL</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965-2025</t>
        </is>
      </c>
      <c r="B2200" s="1" t="n">
        <v>45666.38577546296</v>
      </c>
      <c r="C2200" s="1" t="n">
        <v>46181</v>
      </c>
      <c r="D2200" t="inlineStr">
        <is>
          <t>VÄSTERNORRLANDS LÄN</t>
        </is>
      </c>
      <c r="E2200" t="inlineStr">
        <is>
          <t>SUNDSVALL</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61021-2023</t>
        </is>
      </c>
      <c r="B2201" s="1" t="n">
        <v>45261</v>
      </c>
      <c r="C2201" s="1" t="n">
        <v>46181</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61476-2023</t>
        </is>
      </c>
      <c r="B2202" s="1" t="n">
        <v>45264.92694444444</v>
      </c>
      <c r="C2202" s="1" t="n">
        <v>46181</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24864-2026</t>
        </is>
      </c>
      <c r="B2203" s="1" t="n">
        <v>46174.40700231482</v>
      </c>
      <c r="C2203" s="1" t="n">
        <v>46181</v>
      </c>
      <c r="D2203" t="inlineStr">
        <is>
          <t>VÄSTERNORRLANDS LÄN</t>
        </is>
      </c>
      <c r="E2203" t="inlineStr">
        <is>
          <t>SUNDSVALL</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24655-2026</t>
        </is>
      </c>
      <c r="B2204" s="1" t="n">
        <v>46171</v>
      </c>
      <c r="C2204" s="1" t="n">
        <v>46181</v>
      </c>
      <c r="D2204" t="inlineStr">
        <is>
          <t>VÄSTERNORRLANDS LÄN</t>
        </is>
      </c>
      <c r="E2204" t="inlineStr">
        <is>
          <t>SUNDSVALL</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6777-2025</t>
        </is>
      </c>
      <c r="B2205" s="1" t="n">
        <v>45700</v>
      </c>
      <c r="C2205" s="1" t="n">
        <v>46181</v>
      </c>
      <c r="D2205" t="inlineStr">
        <is>
          <t>VÄSTERNORRLANDS LÄN</t>
        </is>
      </c>
      <c r="E2205" t="inlineStr">
        <is>
          <t>SUNDSVALL</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18693-2026</t>
        </is>
      </c>
      <c r="B2206" s="1" t="n">
        <v>46128.40671296296</v>
      </c>
      <c r="C2206" s="1" t="n">
        <v>46181</v>
      </c>
      <c r="D2206" t="inlineStr">
        <is>
          <t>VÄSTERNORRLANDS LÄN</t>
        </is>
      </c>
      <c r="E2206" t="inlineStr">
        <is>
          <t>SUNDSVALL</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18796-2026</t>
        </is>
      </c>
      <c r="B2207" s="1" t="n">
        <v>46128.61502314815</v>
      </c>
      <c r="C2207" s="1" t="n">
        <v>46181</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18807-2026</t>
        </is>
      </c>
      <c r="B2208" s="1" t="n">
        <v>46128.63599537037</v>
      </c>
      <c r="C2208" s="1" t="n">
        <v>46181</v>
      </c>
      <c r="D2208" t="inlineStr">
        <is>
          <t>VÄSTERNORRLANDS LÄN</t>
        </is>
      </c>
      <c r="E2208" t="inlineStr">
        <is>
          <t>SUNDSVALL</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19020-2026</t>
        </is>
      </c>
      <c r="B2209" s="1" t="n">
        <v>46130</v>
      </c>
      <c r="C2209" s="1" t="n">
        <v>46181</v>
      </c>
      <c r="D2209" t="inlineStr">
        <is>
          <t>VÄSTERNORRLANDS LÄN</t>
        </is>
      </c>
      <c r="E2209" t="inlineStr">
        <is>
          <t>SUNDSVALL</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43002-2024</t>
        </is>
      </c>
      <c r="B2210" s="1" t="n">
        <v>45567.37609953704</v>
      </c>
      <c r="C2210" s="1" t="n">
        <v>46181</v>
      </c>
      <c r="D2210" t="inlineStr">
        <is>
          <t>VÄSTERNORRLANDS LÄN</t>
        </is>
      </c>
      <c r="E2210" t="inlineStr">
        <is>
          <t>SUNDSVALL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64318-2023</t>
        </is>
      </c>
      <c r="B2211" s="1" t="n">
        <v>45279</v>
      </c>
      <c r="C2211" s="1" t="n">
        <v>46181</v>
      </c>
      <c r="D2211" t="inlineStr">
        <is>
          <t>VÄSTERNORRLANDS LÄN</t>
        </is>
      </c>
      <c r="E2211" t="inlineStr">
        <is>
          <t>SUNDSVALL</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50824-2022</t>
        </is>
      </c>
      <c r="B2212" s="1" t="n">
        <v>44862</v>
      </c>
      <c r="C2212" s="1" t="n">
        <v>46181</v>
      </c>
      <c r="D2212" t="inlineStr">
        <is>
          <t>VÄSTERNORRLANDS LÄN</t>
        </is>
      </c>
      <c r="E2212" t="inlineStr">
        <is>
          <t>SUNDSVALL</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19061-2026</t>
        </is>
      </c>
      <c r="B2213" s="1" t="n">
        <v>46132.36570601852</v>
      </c>
      <c r="C2213" s="1" t="n">
        <v>46181</v>
      </c>
      <c r="D2213" t="inlineStr">
        <is>
          <t>VÄSTERNORRLANDS LÄN</t>
        </is>
      </c>
      <c r="E2213" t="inlineStr">
        <is>
          <t>SUNDSVALL</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39754-2024</t>
        </is>
      </c>
      <c r="B2214" s="1" t="n">
        <v>45552.67739583334</v>
      </c>
      <c r="C2214" s="1" t="n">
        <v>46181</v>
      </c>
      <c r="D2214" t="inlineStr">
        <is>
          <t>VÄSTERNORRLANDS LÄN</t>
        </is>
      </c>
      <c r="E2214" t="inlineStr">
        <is>
          <t>SUNDSVALL</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54578-2022</t>
        </is>
      </c>
      <c r="B2215" s="1" t="n">
        <v>44882</v>
      </c>
      <c r="C2215" s="1" t="n">
        <v>46181</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10528-2022</t>
        </is>
      </c>
      <c r="B2216" s="1" t="n">
        <v>44623.92115740741</v>
      </c>
      <c r="C2216" s="1" t="n">
        <v>46181</v>
      </c>
      <c r="D2216" t="inlineStr">
        <is>
          <t>VÄSTERNORRLANDS LÄN</t>
        </is>
      </c>
      <c r="E2216" t="inlineStr">
        <is>
          <t>SUNDSVALL</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64254-2023</t>
        </is>
      </c>
      <c r="B2217" s="1" t="n">
        <v>45279</v>
      </c>
      <c r="C2217" s="1" t="n">
        <v>46181</v>
      </c>
      <c r="D2217" t="inlineStr">
        <is>
          <t>VÄSTERNORRLANDS LÄN</t>
        </is>
      </c>
      <c r="E2217" t="inlineStr">
        <is>
          <t>SUNDSVALL</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31436-2024</t>
        </is>
      </c>
      <c r="B2218" s="1" t="n">
        <v>45505</v>
      </c>
      <c r="C2218" s="1" t="n">
        <v>46181</v>
      </c>
      <c r="D2218" t="inlineStr">
        <is>
          <t>VÄSTERNORRLANDS LÄN</t>
        </is>
      </c>
      <c r="E2218" t="inlineStr">
        <is>
          <t>SUNDSVALL</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24012-2026</t>
        </is>
      </c>
      <c r="B2219" s="1" t="n">
        <v>46167.65738425926</v>
      </c>
      <c r="C2219" s="1" t="n">
        <v>46181</v>
      </c>
      <c r="D2219" t="inlineStr">
        <is>
          <t>VÄSTERNORRLANDS LÄN</t>
        </is>
      </c>
      <c r="E2219" t="inlineStr">
        <is>
          <t>SUNDSVALL</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25243-2026</t>
        </is>
      </c>
      <c r="B2220" s="1" t="n">
        <v>46175.67784722222</v>
      </c>
      <c r="C2220" s="1" t="n">
        <v>46181</v>
      </c>
      <c r="D2220" t="inlineStr">
        <is>
          <t>VÄSTERNORRLANDS LÄN</t>
        </is>
      </c>
      <c r="E2220" t="inlineStr">
        <is>
          <t>SUNDSVALL</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19497-2026</t>
        </is>
      </c>
      <c r="B2221" s="1" t="n">
        <v>46134</v>
      </c>
      <c r="C2221" s="1" t="n">
        <v>46181</v>
      </c>
      <c r="D2221" t="inlineStr">
        <is>
          <t>VÄSTERNORRLANDS LÄN</t>
        </is>
      </c>
      <c r="E2221" t="inlineStr">
        <is>
          <t>SUNDSVALL</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24013-2026</t>
        </is>
      </c>
      <c r="B2222" s="1" t="n">
        <v>46167.65746527778</v>
      </c>
      <c r="C2222" s="1" t="n">
        <v>46181</v>
      </c>
      <c r="D2222" t="inlineStr">
        <is>
          <t>VÄSTERNORRLANDS LÄN</t>
        </is>
      </c>
      <c r="E2222" t="inlineStr">
        <is>
          <t>SUNDSVALL</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44506-2022</t>
        </is>
      </c>
      <c r="B2223" s="1" t="n">
        <v>44840</v>
      </c>
      <c r="C2223" s="1" t="n">
        <v>46181</v>
      </c>
      <c r="D2223" t="inlineStr">
        <is>
          <t>VÄSTERNORRLANDS LÄN</t>
        </is>
      </c>
      <c r="E2223" t="inlineStr">
        <is>
          <t>SUNDSVALL</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10525-2023</t>
        </is>
      </c>
      <c r="B2224" s="1" t="n">
        <v>44987.92320601852</v>
      </c>
      <c r="C2224" s="1" t="n">
        <v>46181</v>
      </c>
      <c r="D2224" t="inlineStr">
        <is>
          <t>VÄSTERNORRLANDS LÄN</t>
        </is>
      </c>
      <c r="E2224" t="inlineStr">
        <is>
          <t>SUNDSVALL</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32032-2024</t>
        </is>
      </c>
      <c r="B2225" s="1" t="n">
        <v>45510</v>
      </c>
      <c r="C2225" s="1" t="n">
        <v>46181</v>
      </c>
      <c r="D2225" t="inlineStr">
        <is>
          <t>VÄSTERNORRLANDS LÄN</t>
        </is>
      </c>
      <c r="E2225" t="inlineStr">
        <is>
          <t>SUNDSVALL</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418-2026</t>
        </is>
      </c>
      <c r="B2226" s="1" t="n">
        <v>46028</v>
      </c>
      <c r="C2226" s="1" t="n">
        <v>46181</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c r="T2226">
        <f>HYPERLINK("https://klasma.github.io/Logging_2281/kartor/A 418-2026 karta.png", "A 418-2026")</f>
        <v/>
      </c>
      <c r="U2226">
        <f>HYPERLINK("https://klasma.github.io/Logging_2281/knärot/A 418-2026 karta knärot.png", "A 418-2026")</f>
        <v/>
      </c>
      <c r="V2226">
        <f>HYPERLINK("https://klasma.github.io/Logging_2281/klagomål/A 418-2026 FSC-klagomål.docx", "A 418-2026")</f>
        <v/>
      </c>
      <c r="W2226">
        <f>HYPERLINK("https://klasma.github.io/Logging_2281/klagomålsmail/A 418-2026 FSC-klagomål mail.docx", "A 418-2026")</f>
        <v/>
      </c>
      <c r="X2226">
        <f>HYPERLINK("https://klasma.github.io/Logging_2281/tillsyn/A 418-2026 tillsynsbegäran.docx", "A 418-2026")</f>
        <v/>
      </c>
      <c r="Y2226">
        <f>HYPERLINK("https://klasma.github.io/Logging_2281/tillsynsmail/A 418-2026 tillsynsbegäran mail.docx", "A 418-2026")</f>
        <v/>
      </c>
      <c r="Z2226">
        <f>HYPERLINK("https://klasma.github.io/Logging_2281/fåglar/A 418-2026 prioriterade fågelarter.docx", "A 418-2026")</f>
        <v/>
      </c>
    </row>
    <row r="2227" ht="15" customHeight="1">
      <c r="A2227" t="inlineStr">
        <is>
          <t>A 19427-2026</t>
        </is>
      </c>
      <c r="B2227" s="1" t="n">
        <v>46133.61581018518</v>
      </c>
      <c r="C2227" s="1" t="n">
        <v>46181</v>
      </c>
      <c r="D2227" t="inlineStr">
        <is>
          <t>VÄSTERNORRLANDS LÄN</t>
        </is>
      </c>
      <c r="E2227" t="inlineStr">
        <is>
          <t>SUNDSVALL</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25178-2026</t>
        </is>
      </c>
      <c r="B2228" s="1" t="n">
        <v>46175.5525</v>
      </c>
      <c r="C2228" s="1" t="n">
        <v>46181</v>
      </c>
      <c r="D2228" t="inlineStr">
        <is>
          <t>VÄSTERNORRLANDS LÄN</t>
        </is>
      </c>
      <c r="E2228" t="inlineStr">
        <is>
          <t>SUNDSVALL</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9598-2025</t>
        </is>
      </c>
      <c r="B2229" s="1" t="n">
        <v>45715</v>
      </c>
      <c r="C2229" s="1" t="n">
        <v>46181</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13638-2025</t>
        </is>
      </c>
      <c r="B2230" s="1" t="n">
        <v>45736.65696759259</v>
      </c>
      <c r="C2230" s="1" t="n">
        <v>46181</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24784-2026</t>
        </is>
      </c>
      <c r="B2231" s="1" t="n">
        <v>46170</v>
      </c>
      <c r="C2231" s="1" t="n">
        <v>46181</v>
      </c>
      <c r="D2231" t="inlineStr">
        <is>
          <t>VÄSTERNORRLANDS LÄN</t>
        </is>
      </c>
      <c r="E2231" t="inlineStr">
        <is>
          <t>SUNDSVALL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19629-2026</t>
        </is>
      </c>
      <c r="B2232" s="1" t="n">
        <v>46134.55251157407</v>
      </c>
      <c r="C2232" s="1" t="n">
        <v>46181</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22624-2024</t>
        </is>
      </c>
      <c r="B2233" s="1" t="n">
        <v>45447</v>
      </c>
      <c r="C2233" s="1" t="n">
        <v>46181</v>
      </c>
      <c r="D2233" t="inlineStr">
        <is>
          <t>VÄSTERNORRLANDS LÄN</t>
        </is>
      </c>
      <c r="E2233" t="inlineStr">
        <is>
          <t>SUNDSVALL</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22627-2024</t>
        </is>
      </c>
      <c r="B2234" s="1" t="n">
        <v>45447.6671412037</v>
      </c>
      <c r="C2234" s="1" t="n">
        <v>46181</v>
      </c>
      <c r="D2234" t="inlineStr">
        <is>
          <t>VÄSTERNORRLANDS LÄN</t>
        </is>
      </c>
      <c r="E2234" t="inlineStr">
        <is>
          <t>SUNDSVALL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28229-2024</t>
        </is>
      </c>
      <c r="B2235" s="1" t="n">
        <v>45477.3791087963</v>
      </c>
      <c r="C2235" s="1" t="n">
        <v>46181</v>
      </c>
      <c r="D2235" t="inlineStr">
        <is>
          <t>VÄSTERNORRLANDS LÄN</t>
        </is>
      </c>
      <c r="E2235" t="inlineStr">
        <is>
          <t>SUNDSVALL</t>
        </is>
      </c>
      <c r="F2235" t="inlineStr">
        <is>
          <t>Holmen skog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28244-2024</t>
        </is>
      </c>
      <c r="B2236" s="1" t="n">
        <v>45477.40596064815</v>
      </c>
      <c r="C2236" s="1" t="n">
        <v>46181</v>
      </c>
      <c r="D2236" t="inlineStr">
        <is>
          <t>VÄSTERNORRLANDS LÄN</t>
        </is>
      </c>
      <c r="E2236" t="inlineStr">
        <is>
          <t>SUNDSVALL</t>
        </is>
      </c>
      <c r="F2236" t="inlineStr">
        <is>
          <t>Holmen skog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64641-2021</t>
        </is>
      </c>
      <c r="B2237" s="1" t="n">
        <v>44511</v>
      </c>
      <c r="C2237" s="1" t="n">
        <v>46181</v>
      </c>
      <c r="D2237" t="inlineStr">
        <is>
          <t>VÄSTERNORRLANDS LÄN</t>
        </is>
      </c>
      <c r="E2237" t="inlineStr">
        <is>
          <t>SUNDSVALL</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21377-2023</t>
        </is>
      </c>
      <c r="B2238" s="1" t="n">
        <v>45063</v>
      </c>
      <c r="C2238" s="1" t="n">
        <v>46181</v>
      </c>
      <c r="D2238" t="inlineStr">
        <is>
          <t>VÄSTERNORRLANDS LÄN</t>
        </is>
      </c>
      <c r="E2238" t="inlineStr">
        <is>
          <t>SUNDSVALL</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25223-2026</t>
        </is>
      </c>
      <c r="B2239" s="1" t="n">
        <v>46175.63614583333</v>
      </c>
      <c r="C2239" s="1" t="n">
        <v>46181</v>
      </c>
      <c r="D2239" t="inlineStr">
        <is>
          <t>VÄSTERNORRLANDS LÄN</t>
        </is>
      </c>
      <c r="E2239" t="inlineStr">
        <is>
          <t>SUNDSVALL</t>
        </is>
      </c>
      <c r="F2239" t="inlineStr">
        <is>
          <t>SCA</t>
        </is>
      </c>
      <c r="G2239" t="n">
        <v>8.9</v>
      </c>
      <c r="H2239" t="n">
        <v>0</v>
      </c>
      <c r="I2239" t="n">
        <v>0</v>
      </c>
      <c r="J2239" t="n">
        <v>0</v>
      </c>
      <c r="K2239" t="n">
        <v>0</v>
      </c>
      <c r="L2239" t="n">
        <v>0</v>
      </c>
      <c r="M2239" t="n">
        <v>0</v>
      </c>
      <c r="N2239" t="n">
        <v>0</v>
      </c>
      <c r="O2239" t="n">
        <v>0</v>
      </c>
      <c r="P2239" t="n">
        <v>0</v>
      </c>
      <c r="Q2239" t="n">
        <v>0</v>
      </c>
      <c r="R2239" s="2" t="inlineStr"/>
      <c r="U2239">
        <f>HYPERLINK("https://klasma.github.io/Logging_2281/knärot/A 25223-2026 karta knärot.png", "A 25223-2026")</f>
        <v/>
      </c>
      <c r="V2239">
        <f>HYPERLINK("https://klasma.github.io/Logging_2281/klagomål/A 25223-2026 FSC-klagomål.docx", "A 25223-2026")</f>
        <v/>
      </c>
      <c r="W2239">
        <f>HYPERLINK("https://klasma.github.io/Logging_2281/klagomålsmail/A 25223-2026 FSC-klagomål mail.docx", "A 25223-2026")</f>
        <v/>
      </c>
      <c r="X2239">
        <f>HYPERLINK("https://klasma.github.io/Logging_2281/tillsyn/A 25223-2026 tillsynsbegäran.docx", "A 25223-2026")</f>
        <v/>
      </c>
      <c r="Y2239">
        <f>HYPERLINK("https://klasma.github.io/Logging_2281/tillsynsmail/A 25223-2026 tillsynsbegäran mail.docx", "A 25223-2026")</f>
        <v/>
      </c>
    </row>
    <row r="2240" ht="15" customHeight="1">
      <c r="A2240" t="inlineStr">
        <is>
          <t>A 21600-2023</t>
        </is>
      </c>
      <c r="B2240" s="1" t="n">
        <v>45062</v>
      </c>
      <c r="C2240" s="1" t="n">
        <v>46181</v>
      </c>
      <c r="D2240" t="inlineStr">
        <is>
          <t>VÄSTERNORRLANDS LÄN</t>
        </is>
      </c>
      <c r="E2240" t="inlineStr">
        <is>
          <t>SUNDSVALL</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19347-2026</t>
        </is>
      </c>
      <c r="B2241" s="1" t="n">
        <v>46133.44836805556</v>
      </c>
      <c r="C2241" s="1" t="n">
        <v>46181</v>
      </c>
      <c r="D2241" t="inlineStr">
        <is>
          <t>VÄSTERNORRLANDS LÄN</t>
        </is>
      </c>
      <c r="E2241" t="inlineStr">
        <is>
          <t>SUNDSVALL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19659-2026</t>
        </is>
      </c>
      <c r="B2242" s="1" t="n">
        <v>46134.6056712963</v>
      </c>
      <c r="C2242" s="1" t="n">
        <v>46181</v>
      </c>
      <c r="D2242" t="inlineStr">
        <is>
          <t>VÄSTERNORRLANDS LÄN</t>
        </is>
      </c>
      <c r="E2242" t="inlineStr">
        <is>
          <t>SUNDSVALL</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27844-2023</t>
        </is>
      </c>
      <c r="B2243" s="1" t="n">
        <v>45098.55303240741</v>
      </c>
      <c r="C2243" s="1" t="n">
        <v>46181</v>
      </c>
      <c r="D2243" t="inlineStr">
        <is>
          <t>VÄSTERNORRLANDS LÄN</t>
        </is>
      </c>
      <c r="E2243" t="inlineStr">
        <is>
          <t>SUNDSVALL</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2589-2025</t>
        </is>
      </c>
      <c r="B2244" s="1" t="n">
        <v>45674.6950462963</v>
      </c>
      <c r="C2244" s="1" t="n">
        <v>46181</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50737-2024</t>
        </is>
      </c>
      <c r="B2245" s="1" t="n">
        <v>45602.39856481482</v>
      </c>
      <c r="C2245" s="1" t="n">
        <v>46181</v>
      </c>
      <c r="D2245" t="inlineStr">
        <is>
          <t>VÄSTERNORRLANDS LÄN</t>
        </is>
      </c>
      <c r="E2245" t="inlineStr">
        <is>
          <t>SUNDSVALL</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50205-2023</t>
        </is>
      </c>
      <c r="B2246" s="1" t="n">
        <v>45215.92600694444</v>
      </c>
      <c r="C2246" s="1" t="n">
        <v>46181</v>
      </c>
      <c r="D2246" t="inlineStr">
        <is>
          <t>VÄSTERNORRLANDS LÄN</t>
        </is>
      </c>
      <c r="E2246" t="inlineStr">
        <is>
          <t>SUNDSVALL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62282-2025</t>
        </is>
      </c>
      <c r="B2247" s="1" t="n">
        <v>46006.6366087963</v>
      </c>
      <c r="C2247" s="1" t="n">
        <v>46181</v>
      </c>
      <c r="D2247" t="inlineStr">
        <is>
          <t>VÄSTERNORRLANDS LÄN</t>
        </is>
      </c>
      <c r="E2247" t="inlineStr">
        <is>
          <t>SUNDSVALL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47158-2023</t>
        </is>
      </c>
      <c r="B2248" s="1" t="n">
        <v>45201</v>
      </c>
      <c r="C2248" s="1" t="n">
        <v>46181</v>
      </c>
      <c r="D2248" t="inlineStr">
        <is>
          <t>VÄSTERNORRLANDS LÄN</t>
        </is>
      </c>
      <c r="E2248" t="inlineStr">
        <is>
          <t>SUNDSVALL</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7384-2024</t>
        </is>
      </c>
      <c r="B2249" s="1" t="n">
        <v>45345</v>
      </c>
      <c r="C2249" s="1" t="n">
        <v>46181</v>
      </c>
      <c r="D2249" t="inlineStr">
        <is>
          <t>VÄSTERNORRLANDS LÄN</t>
        </is>
      </c>
      <c r="E2249" t="inlineStr">
        <is>
          <t>SUNDSVALL</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27960-2023</t>
        </is>
      </c>
      <c r="B2250" s="1" t="n">
        <v>45098.68864583333</v>
      </c>
      <c r="C2250" s="1" t="n">
        <v>46181</v>
      </c>
      <c r="D2250" t="inlineStr">
        <is>
          <t>VÄSTERNORRLANDS LÄN</t>
        </is>
      </c>
      <c r="E2250" t="inlineStr">
        <is>
          <t>SUNDSVALL</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266-2026</t>
        </is>
      </c>
      <c r="B2251" s="1" t="n">
        <v>46027.45084490741</v>
      </c>
      <c r="C2251" s="1" t="n">
        <v>46181</v>
      </c>
      <c r="D2251" t="inlineStr">
        <is>
          <t>VÄSTERNORRLANDS LÄN</t>
        </is>
      </c>
      <c r="E2251" t="inlineStr">
        <is>
          <t>SUNDSVALL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16204-2026</t>
        </is>
      </c>
      <c r="B2252" s="1" t="n">
        <v>46111</v>
      </c>
      <c r="C2252" s="1" t="n">
        <v>46181</v>
      </c>
      <c r="D2252" t="inlineStr">
        <is>
          <t>VÄSTERNORRLANDS LÄN</t>
        </is>
      </c>
      <c r="E2252" t="inlineStr">
        <is>
          <t>SUNDSVALL</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35218-2024</t>
        </is>
      </c>
      <c r="B2253" s="1" t="n">
        <v>45530.49400462963</v>
      </c>
      <c r="C2253" s="1" t="n">
        <v>46181</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30944-2024</t>
        </is>
      </c>
      <c r="B2254" s="1" t="n">
        <v>45499.35756944444</v>
      </c>
      <c r="C2254" s="1" t="n">
        <v>46181</v>
      </c>
      <c r="D2254" t="inlineStr">
        <is>
          <t>VÄSTERNORRLANDS LÄN</t>
        </is>
      </c>
      <c r="E2254" t="inlineStr">
        <is>
          <t>SUNDSVALL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37416-2024</t>
        </is>
      </c>
      <c r="B2255" s="1" t="n">
        <v>45540.63575231482</v>
      </c>
      <c r="C2255" s="1" t="n">
        <v>46181</v>
      </c>
      <c r="D2255" t="inlineStr">
        <is>
          <t>VÄSTERNORRLANDS LÄN</t>
        </is>
      </c>
      <c r="E2255" t="inlineStr">
        <is>
          <t>SUNDSVALL</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62530-2023</t>
        </is>
      </c>
      <c r="B2256" s="1" t="n">
        <v>45268</v>
      </c>
      <c r="C2256" s="1" t="n">
        <v>46181</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47518-2023</t>
        </is>
      </c>
      <c r="B2257" s="1" t="n">
        <v>45203.32945601852</v>
      </c>
      <c r="C2257" s="1" t="n">
        <v>46181</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57830-2022</t>
        </is>
      </c>
      <c r="B2258" s="1" t="n">
        <v>44897</v>
      </c>
      <c r="C2258" s="1" t="n">
        <v>46181</v>
      </c>
      <c r="D2258" t="inlineStr">
        <is>
          <t>VÄSTERNORRLANDS LÄN</t>
        </is>
      </c>
      <c r="E2258" t="inlineStr">
        <is>
          <t>SUNDSVALL</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20044-2026</t>
        </is>
      </c>
      <c r="B2259" s="1" t="n">
        <v>46136.56400462963</v>
      </c>
      <c r="C2259" s="1" t="n">
        <v>46181</v>
      </c>
      <c r="D2259" t="inlineStr">
        <is>
          <t>VÄSTERNORRLANDS LÄN</t>
        </is>
      </c>
      <c r="E2259" t="inlineStr">
        <is>
          <t>SUNDSVALL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44610-2024</t>
        </is>
      </c>
      <c r="B2260" s="1" t="n">
        <v>45574.5122337963</v>
      </c>
      <c r="C2260" s="1" t="n">
        <v>46181</v>
      </c>
      <c r="D2260" t="inlineStr">
        <is>
          <t>VÄSTERNORRLANDS LÄN</t>
        </is>
      </c>
      <c r="E2260" t="inlineStr">
        <is>
          <t>SUNDSVALL</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30180-2024</t>
        </is>
      </c>
      <c r="B2261" s="1" t="n">
        <v>45489.92724537037</v>
      </c>
      <c r="C2261" s="1" t="n">
        <v>46181</v>
      </c>
      <c r="D2261" t="inlineStr">
        <is>
          <t>VÄSTERNORRLANDS LÄN</t>
        </is>
      </c>
      <c r="E2261" t="inlineStr">
        <is>
          <t>SUNDSVALL</t>
        </is>
      </c>
      <c r="F2261" t="inlineStr">
        <is>
          <t>Kyrkan</t>
        </is>
      </c>
      <c r="G2261" t="n">
        <v>52.1</v>
      </c>
      <c r="H2261" t="n">
        <v>0</v>
      </c>
      <c r="I2261" t="n">
        <v>0</v>
      </c>
      <c r="J2261" t="n">
        <v>0</v>
      </c>
      <c r="K2261" t="n">
        <v>0</v>
      </c>
      <c r="L2261" t="n">
        <v>0</v>
      </c>
      <c r="M2261" t="n">
        <v>0</v>
      </c>
      <c r="N2261" t="n">
        <v>0</v>
      </c>
      <c r="O2261" t="n">
        <v>0</v>
      </c>
      <c r="P2261" t="n">
        <v>0</v>
      </c>
      <c r="Q2261" t="n">
        <v>0</v>
      </c>
      <c r="R2261" s="2" t="inlineStr"/>
    </row>
    <row r="2262" ht="15" customHeight="1">
      <c r="A2262" t="inlineStr">
        <is>
          <t>A 5362-2025</t>
        </is>
      </c>
      <c r="B2262" s="1" t="n">
        <v>45692.57824074074</v>
      </c>
      <c r="C2262" s="1" t="n">
        <v>46181</v>
      </c>
      <c r="D2262" t="inlineStr">
        <is>
          <t>VÄSTERNORRLANDS LÄN</t>
        </is>
      </c>
      <c r="E2262" t="inlineStr">
        <is>
          <t>SUNDSVALL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19713-2025</t>
        </is>
      </c>
      <c r="B2263" s="1" t="n">
        <v>45771.34842592593</v>
      </c>
      <c r="C2263" s="1" t="n">
        <v>46181</v>
      </c>
      <c r="D2263" t="inlineStr">
        <is>
          <t>VÄSTERNORRLANDS LÄN</t>
        </is>
      </c>
      <c r="E2263" t="inlineStr">
        <is>
          <t>SUNDSVALL</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46181</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27735-2024</t>
        </is>
      </c>
      <c r="B2265" s="1" t="n">
        <v>45475</v>
      </c>
      <c r="C2265" s="1" t="n">
        <v>46181</v>
      </c>
      <c r="D2265" t="inlineStr">
        <is>
          <t>VÄSTERNORRLANDS LÄN</t>
        </is>
      </c>
      <c r="E2265" t="inlineStr">
        <is>
          <t>SUNDSVALL</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59896-2024</t>
        </is>
      </c>
      <c r="B2266" s="1" t="n">
        <v>45641</v>
      </c>
      <c r="C2266" s="1" t="n">
        <v>46181</v>
      </c>
      <c r="D2266" t="inlineStr">
        <is>
          <t>VÄSTERNORRLANDS LÄN</t>
        </is>
      </c>
      <c r="E2266" t="inlineStr">
        <is>
          <t>SUNDSVALL</t>
        </is>
      </c>
      <c r="F2266" t="inlineStr">
        <is>
          <t>SCA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58583-2024</t>
        </is>
      </c>
      <c r="B2267" s="1" t="n">
        <v>45635</v>
      </c>
      <c r="C2267" s="1" t="n">
        <v>46181</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61995-2024</t>
        </is>
      </c>
      <c r="B2268" s="1" t="n">
        <v>45653.73643518519</v>
      </c>
      <c r="C2268" s="1" t="n">
        <v>46181</v>
      </c>
      <c r="D2268" t="inlineStr">
        <is>
          <t>VÄSTERNORRLANDS LÄN</t>
        </is>
      </c>
      <c r="E2268" t="inlineStr">
        <is>
          <t>SUNDSVALL</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57079-2024</t>
        </is>
      </c>
      <c r="B2269" s="1" t="n">
        <v>45629</v>
      </c>
      <c r="C2269" s="1" t="n">
        <v>46181</v>
      </c>
      <c r="D2269" t="inlineStr">
        <is>
          <t>VÄSTERNORRLANDS LÄN</t>
        </is>
      </c>
      <c r="E2269" t="inlineStr">
        <is>
          <t>SUNDSVALL</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26468-2023</t>
        </is>
      </c>
      <c r="B2270" s="1" t="n">
        <v>45089</v>
      </c>
      <c r="C2270" s="1" t="n">
        <v>46181</v>
      </c>
      <c r="D2270" t="inlineStr">
        <is>
          <t>VÄSTERNORRLANDS LÄN</t>
        </is>
      </c>
      <c r="E2270" t="inlineStr">
        <is>
          <t>SUNDSVALL</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39713-2024</t>
        </is>
      </c>
      <c r="B2271" s="1" t="n">
        <v>45552</v>
      </c>
      <c r="C2271" s="1" t="n">
        <v>46181</v>
      </c>
      <c r="D2271" t="inlineStr">
        <is>
          <t>VÄSTERNORRLANDS LÄN</t>
        </is>
      </c>
      <c r="E2271" t="inlineStr">
        <is>
          <t>SUNDSVALL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18859-2024</t>
        </is>
      </c>
      <c r="B2272" s="1" t="n">
        <v>45426</v>
      </c>
      <c r="C2272" s="1" t="n">
        <v>46181</v>
      </c>
      <c r="D2272" t="inlineStr">
        <is>
          <t>VÄSTERNORRLANDS LÄN</t>
        </is>
      </c>
      <c r="E2272" t="inlineStr">
        <is>
          <t>SUNDSVALL</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60611-2024</t>
        </is>
      </c>
      <c r="B2273" s="1" t="n">
        <v>45644.38586805556</v>
      </c>
      <c r="C2273" s="1" t="n">
        <v>46181</v>
      </c>
      <c r="D2273" t="inlineStr">
        <is>
          <t>VÄSTERNORRLANDS LÄN</t>
        </is>
      </c>
      <c r="E2273" t="inlineStr">
        <is>
          <t>SUNDSVALL</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13152-2025</t>
        </is>
      </c>
      <c r="B2274" s="1" t="n">
        <v>45735</v>
      </c>
      <c r="C2274" s="1" t="n">
        <v>46181</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51327-2024</t>
        </is>
      </c>
      <c r="B2275" s="1" t="n">
        <v>45604.33793981482</v>
      </c>
      <c r="C2275" s="1" t="n">
        <v>46181</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3232-2025</t>
        </is>
      </c>
      <c r="B2276" s="1" t="n">
        <v>45679.49</v>
      </c>
      <c r="C2276" s="1" t="n">
        <v>46181</v>
      </c>
      <c r="D2276" t="inlineStr">
        <is>
          <t>VÄSTERNORRLANDS LÄN</t>
        </is>
      </c>
      <c r="E2276" t="inlineStr">
        <is>
          <t>SUNDSVALL</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20105-2025</t>
        </is>
      </c>
      <c r="B2277" s="1" t="n">
        <v>45772.46976851852</v>
      </c>
      <c r="C2277" s="1" t="n">
        <v>46181</v>
      </c>
      <c r="D2277" t="inlineStr">
        <is>
          <t>VÄSTERNORRLANDS LÄN</t>
        </is>
      </c>
      <c r="E2277" t="inlineStr">
        <is>
          <t>SUNDSVALL</t>
        </is>
      </c>
      <c r="F2277" t="inlineStr">
        <is>
          <t>Naturvårdsverket</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54313-2024</t>
        </is>
      </c>
      <c r="B2278" s="1" t="n">
        <v>45617.34414351852</v>
      </c>
      <c r="C2278" s="1" t="n">
        <v>46181</v>
      </c>
      <c r="D2278" t="inlineStr">
        <is>
          <t>VÄSTERNORRLANDS LÄN</t>
        </is>
      </c>
      <c r="E2278" t="inlineStr">
        <is>
          <t>SUNDSVALL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12803-2024</t>
        </is>
      </c>
      <c r="B2279" s="1" t="n">
        <v>45384</v>
      </c>
      <c r="C2279" s="1" t="n">
        <v>46181</v>
      </c>
      <c r="D2279" t="inlineStr">
        <is>
          <t>VÄSTERNORRLANDS LÄN</t>
        </is>
      </c>
      <c r="E2279" t="inlineStr">
        <is>
          <t>SUNDSVALL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2587-2024</t>
        </is>
      </c>
      <c r="B2280" s="1" t="n">
        <v>45313</v>
      </c>
      <c r="C2280" s="1" t="n">
        <v>46181</v>
      </c>
      <c r="D2280" t="inlineStr">
        <is>
          <t>VÄSTERNORRLANDS LÄN</t>
        </is>
      </c>
      <c r="E2280" t="inlineStr">
        <is>
          <t>SUNDSVALL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47682-2024</t>
        </is>
      </c>
      <c r="B2281" s="1" t="n">
        <v>45588.42511574074</v>
      </c>
      <c r="C2281" s="1" t="n">
        <v>46181</v>
      </c>
      <c r="D2281" t="inlineStr">
        <is>
          <t>VÄSTERNORRLANDS LÄN</t>
        </is>
      </c>
      <c r="E2281" t="inlineStr">
        <is>
          <t>SUNDSVALL</t>
        </is>
      </c>
      <c r="F2281" t="inlineStr">
        <is>
          <t>Holmen skog AB</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45816-2024</t>
        </is>
      </c>
      <c r="B2282" s="1" t="n">
        <v>45579.72534722222</v>
      </c>
      <c r="C2282" s="1" t="n">
        <v>46181</v>
      </c>
      <c r="D2282" t="inlineStr">
        <is>
          <t>VÄSTERNORRLANDS LÄN</t>
        </is>
      </c>
      <c r="E2282" t="inlineStr">
        <is>
          <t>SUNDSVALL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25733-2026</t>
        </is>
      </c>
      <c r="B2283" s="1" t="n">
        <v>46178.40715277778</v>
      </c>
      <c r="C2283" s="1" t="n">
        <v>46181</v>
      </c>
      <c r="D2283" t="inlineStr">
        <is>
          <t>VÄSTERNORRLANDS LÄN</t>
        </is>
      </c>
      <c r="E2283" t="inlineStr">
        <is>
          <t>SUNDSVALL</t>
        </is>
      </c>
      <c r="F2283" t="inlineStr">
        <is>
          <t>SCA</t>
        </is>
      </c>
      <c r="G2283" t="n">
        <v>16.3</v>
      </c>
      <c r="H2283" t="n">
        <v>0</v>
      </c>
      <c r="I2283" t="n">
        <v>0</v>
      </c>
      <c r="J2283" t="n">
        <v>0</v>
      </c>
      <c r="K2283" t="n">
        <v>0</v>
      </c>
      <c r="L2283" t="n">
        <v>0</v>
      </c>
      <c r="M2283" t="n">
        <v>0</v>
      </c>
      <c r="N2283" t="n">
        <v>0</v>
      </c>
      <c r="O2283" t="n">
        <v>0</v>
      </c>
      <c r="P2283" t="n">
        <v>0</v>
      </c>
      <c r="Q2283" t="n">
        <v>0</v>
      </c>
      <c r="R2283" s="2" t="inlineStr"/>
    </row>
    <row r="2284" ht="15" customHeight="1">
      <c r="A2284" t="inlineStr">
        <is>
          <t>A 3772-2025</t>
        </is>
      </c>
      <c r="B2284" s="1" t="n">
        <v>45681</v>
      </c>
      <c r="C2284" s="1" t="n">
        <v>46181</v>
      </c>
      <c r="D2284" t="inlineStr">
        <is>
          <t>VÄSTERNORRLANDS LÄN</t>
        </is>
      </c>
      <c r="E2284" t="inlineStr">
        <is>
          <t>SUNDSVALL</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4346-2024</t>
        </is>
      </c>
      <c r="B2285" s="1" t="n">
        <v>45324</v>
      </c>
      <c r="C2285" s="1" t="n">
        <v>46181</v>
      </c>
      <c r="D2285" t="inlineStr">
        <is>
          <t>VÄSTERNORRLANDS LÄN</t>
        </is>
      </c>
      <c r="E2285" t="inlineStr">
        <is>
          <t>SUNDSVALL</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12280-2025</t>
        </is>
      </c>
      <c r="B2286" s="1" t="n">
        <v>45729.6537962963</v>
      </c>
      <c r="C2286" s="1" t="n">
        <v>46181</v>
      </c>
      <c r="D2286" t="inlineStr">
        <is>
          <t>VÄSTERNORRLANDS LÄN</t>
        </is>
      </c>
      <c r="E2286" t="inlineStr">
        <is>
          <t>SUNDSVALL</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2104-2025</t>
        </is>
      </c>
      <c r="B2287" s="1" t="n">
        <v>45672</v>
      </c>
      <c r="C2287" s="1" t="n">
        <v>46181</v>
      </c>
      <c r="D2287" t="inlineStr">
        <is>
          <t>VÄSTERNORRLANDS LÄN</t>
        </is>
      </c>
      <c r="E2287" t="inlineStr">
        <is>
          <t>SUNDSVALL</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3235-2024</t>
        </is>
      </c>
      <c r="B2288" s="1" t="n">
        <v>45316</v>
      </c>
      <c r="C2288" s="1" t="n">
        <v>46181</v>
      </c>
      <c r="D2288" t="inlineStr">
        <is>
          <t>VÄSTERNORRLANDS LÄN</t>
        </is>
      </c>
      <c r="E2288" t="inlineStr">
        <is>
          <t>SUNDSVALL</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52758-2023</t>
        </is>
      </c>
      <c r="B2289" s="1" t="n">
        <v>45225</v>
      </c>
      <c r="C2289" s="1" t="n">
        <v>46181</v>
      </c>
      <c r="D2289" t="inlineStr">
        <is>
          <t>VÄSTERNORRLANDS LÄN</t>
        </is>
      </c>
      <c r="E2289" t="inlineStr">
        <is>
          <t>SUNDSVALL</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20626-2025</t>
        </is>
      </c>
      <c r="B2290" s="1" t="n">
        <v>45776</v>
      </c>
      <c r="C2290" s="1" t="n">
        <v>46181</v>
      </c>
      <c r="D2290" t="inlineStr">
        <is>
          <t>VÄSTERNORRLANDS LÄN</t>
        </is>
      </c>
      <c r="E2290" t="inlineStr">
        <is>
          <t>SUNDSVALL</t>
        </is>
      </c>
      <c r="F2290" t="inlineStr">
        <is>
          <t>Naturvårdsverket</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20629-2025</t>
        </is>
      </c>
      <c r="B2291" s="1" t="n">
        <v>45776</v>
      </c>
      <c r="C2291" s="1" t="n">
        <v>46181</v>
      </c>
      <c r="D2291" t="inlineStr">
        <is>
          <t>VÄSTERNORRLANDS LÄN</t>
        </is>
      </c>
      <c r="E2291" t="inlineStr">
        <is>
          <t>SUNDSVALL</t>
        </is>
      </c>
      <c r="F2291" t="inlineStr">
        <is>
          <t>SCA</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20630-2025</t>
        </is>
      </c>
      <c r="B2292" s="1" t="n">
        <v>45776.34467592592</v>
      </c>
      <c r="C2292" s="1" t="n">
        <v>46181</v>
      </c>
      <c r="D2292" t="inlineStr">
        <is>
          <t>VÄSTERNORRLANDS LÄN</t>
        </is>
      </c>
      <c r="E2292" t="inlineStr">
        <is>
          <t>SUNDSVALL</t>
        </is>
      </c>
      <c r="F2292" t="inlineStr">
        <is>
          <t>Naturvårdsverket</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20694-2025</t>
        </is>
      </c>
      <c r="B2293" s="1" t="n">
        <v>45776.46938657408</v>
      </c>
      <c r="C2293" s="1" t="n">
        <v>46181</v>
      </c>
      <c r="D2293" t="inlineStr">
        <is>
          <t>VÄSTERNORRLANDS LÄN</t>
        </is>
      </c>
      <c r="E2293" t="inlineStr">
        <is>
          <t>SUNDSVALL</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20627-2025</t>
        </is>
      </c>
      <c r="B2294" s="1" t="n">
        <v>45776.34429398148</v>
      </c>
      <c r="C2294" s="1" t="n">
        <v>46181</v>
      </c>
      <c r="D2294" t="inlineStr">
        <is>
          <t>VÄSTERNORRLANDS LÄN</t>
        </is>
      </c>
      <c r="E2294" t="inlineStr">
        <is>
          <t>SUNDSVALL</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57403-2023</t>
        </is>
      </c>
      <c r="B2295" s="1" t="n">
        <v>45245</v>
      </c>
      <c r="C2295" s="1" t="n">
        <v>46181</v>
      </c>
      <c r="D2295" t="inlineStr">
        <is>
          <t>VÄSTERNORRLANDS LÄN</t>
        </is>
      </c>
      <c r="E2295" t="inlineStr">
        <is>
          <t>SUNDSVALL</t>
        </is>
      </c>
      <c r="F2295" t="inlineStr">
        <is>
          <t>SCA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21554-2025</t>
        </is>
      </c>
      <c r="B2296" s="1" t="n">
        <v>45782.67815972222</v>
      </c>
      <c r="C2296" s="1" t="n">
        <v>46181</v>
      </c>
      <c r="D2296" t="inlineStr">
        <is>
          <t>VÄSTERNORRLANDS LÄN</t>
        </is>
      </c>
      <c r="E2296" t="inlineStr">
        <is>
          <t>SUNDSVALL</t>
        </is>
      </c>
      <c r="F2296" t="inlineStr">
        <is>
          <t>SCA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21319-2025</t>
        </is>
      </c>
      <c r="B2297" s="1" t="n">
        <v>45782.34487268519</v>
      </c>
      <c r="C2297" s="1" t="n">
        <v>46181</v>
      </c>
      <c r="D2297" t="inlineStr">
        <is>
          <t>VÄSTERNORRLANDS LÄN</t>
        </is>
      </c>
      <c r="E2297" t="inlineStr">
        <is>
          <t>SUNDSVALL</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21488-2025</t>
        </is>
      </c>
      <c r="B2298" s="1" t="n">
        <v>45782.59545138889</v>
      </c>
      <c r="C2298" s="1" t="n">
        <v>46181</v>
      </c>
      <c r="D2298" t="inlineStr">
        <is>
          <t>VÄSTERNORRLANDS LÄN</t>
        </is>
      </c>
      <c r="E2298" t="inlineStr">
        <is>
          <t>SUNDSVALL</t>
        </is>
      </c>
      <c r="F2298" t="inlineStr">
        <is>
          <t>SCA</t>
        </is>
      </c>
      <c r="G2298" t="n">
        <v>19.2</v>
      </c>
      <c r="H2298" t="n">
        <v>0</v>
      </c>
      <c r="I2298" t="n">
        <v>0</v>
      </c>
      <c r="J2298" t="n">
        <v>0</v>
      </c>
      <c r="K2298" t="n">
        <v>0</v>
      </c>
      <c r="L2298" t="n">
        <v>0</v>
      </c>
      <c r="M2298" t="n">
        <v>0</v>
      </c>
      <c r="N2298" t="n">
        <v>0</v>
      </c>
      <c r="O2298" t="n">
        <v>0</v>
      </c>
      <c r="P2298" t="n">
        <v>0</v>
      </c>
      <c r="Q2298" t="n">
        <v>0</v>
      </c>
      <c r="R2298" s="2" t="inlineStr"/>
    </row>
    <row r="2299" ht="15" customHeight="1">
      <c r="A2299" t="inlineStr">
        <is>
          <t>A 21478-2025</t>
        </is>
      </c>
      <c r="B2299" s="1" t="n">
        <v>45782.59412037037</v>
      </c>
      <c r="C2299" s="1" t="n">
        <v>46181</v>
      </c>
      <c r="D2299" t="inlineStr">
        <is>
          <t>VÄSTERNORRLANDS LÄN</t>
        </is>
      </c>
      <c r="E2299" t="inlineStr">
        <is>
          <t>SUNDSVALL</t>
        </is>
      </c>
      <c r="F2299" t="inlineStr">
        <is>
          <t>Naturvårdsverket</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6269-2024</t>
        </is>
      </c>
      <c r="B2300" s="1" t="n">
        <v>45337</v>
      </c>
      <c r="C2300" s="1" t="n">
        <v>46181</v>
      </c>
      <c r="D2300" t="inlineStr">
        <is>
          <t>VÄSTERNORRLANDS LÄN</t>
        </is>
      </c>
      <c r="E2300" t="inlineStr">
        <is>
          <t>SUNDSVALL</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3428-2025</t>
        </is>
      </c>
      <c r="B2301" s="1" t="n">
        <v>45680</v>
      </c>
      <c r="C2301" s="1" t="n">
        <v>46181</v>
      </c>
      <c r="D2301" t="inlineStr">
        <is>
          <t>VÄSTERNORRLANDS LÄN</t>
        </is>
      </c>
      <c r="E2301" t="inlineStr">
        <is>
          <t>SUNDSVALL</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21699-2025</t>
        </is>
      </c>
      <c r="B2302" s="1" t="n">
        <v>45783.51076388889</v>
      </c>
      <c r="C2302" s="1" t="n">
        <v>46181</v>
      </c>
      <c r="D2302" t="inlineStr">
        <is>
          <t>VÄSTERNORRLANDS LÄN</t>
        </is>
      </c>
      <c r="E2302" t="inlineStr">
        <is>
          <t>SUNDSVALL</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52237-2023</t>
        </is>
      </c>
      <c r="B2303" s="1" t="n">
        <v>45217</v>
      </c>
      <c r="C2303" s="1" t="n">
        <v>46181</v>
      </c>
      <c r="D2303" t="inlineStr">
        <is>
          <t>VÄSTERNORRLANDS LÄN</t>
        </is>
      </c>
      <c r="E2303" t="inlineStr">
        <is>
          <t>SUNDSVALL</t>
        </is>
      </c>
      <c r="G2303" t="n">
        <v>8.800000000000001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21665-2025</t>
        </is>
      </c>
      <c r="B2304" s="1" t="n">
        <v>45783.45895833334</v>
      </c>
      <c r="C2304" s="1" t="n">
        <v>46181</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21338-2024</t>
        </is>
      </c>
      <c r="B2305" s="1" t="n">
        <v>45440.92746527777</v>
      </c>
      <c r="C2305" s="1" t="n">
        <v>46181</v>
      </c>
      <c r="D2305" t="inlineStr">
        <is>
          <t>VÄSTERNORRLANDS LÄN</t>
        </is>
      </c>
      <c r="E2305" t="inlineStr">
        <is>
          <t>SUNDSVALL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28172-2024</t>
        </is>
      </c>
      <c r="B2306" s="1" t="n">
        <v>45476</v>
      </c>
      <c r="C2306" s="1" t="n">
        <v>46181</v>
      </c>
      <c r="D2306" t="inlineStr">
        <is>
          <t>VÄSTERNORRLANDS LÄN</t>
        </is>
      </c>
      <c r="E2306" t="inlineStr">
        <is>
          <t>SUNDSVALL</t>
        </is>
      </c>
      <c r="F2306" t="inlineStr">
        <is>
          <t>Kyrkan</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21768-2025</t>
        </is>
      </c>
      <c r="B2307" s="1" t="n">
        <v>45783.65178240741</v>
      </c>
      <c r="C2307" s="1" t="n">
        <v>46181</v>
      </c>
      <c r="D2307" t="inlineStr">
        <is>
          <t>VÄSTERNORRLANDS LÄN</t>
        </is>
      </c>
      <c r="E2307" t="inlineStr">
        <is>
          <t>SUNDSVALL</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21624-2025</t>
        </is>
      </c>
      <c r="B2308" s="1" t="n">
        <v>45783.40694444445</v>
      </c>
      <c r="C2308" s="1" t="n">
        <v>46181</v>
      </c>
      <c r="D2308" t="inlineStr">
        <is>
          <t>VÄSTERNORRLANDS LÄN</t>
        </is>
      </c>
      <c r="E2308" t="inlineStr">
        <is>
          <t>SUNDSVALL</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43422-2023</t>
        </is>
      </c>
      <c r="B2309" s="1" t="n">
        <v>45183</v>
      </c>
      <c r="C2309" s="1" t="n">
        <v>46181</v>
      </c>
      <c r="D2309" t="inlineStr">
        <is>
          <t>VÄSTERNORRLANDS LÄN</t>
        </is>
      </c>
      <c r="E2309" t="inlineStr">
        <is>
          <t>SUNDSVALL</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15677-2024</t>
        </is>
      </c>
      <c r="B2310" s="1" t="n">
        <v>45404.41268518518</v>
      </c>
      <c r="C2310" s="1" t="n">
        <v>46181</v>
      </c>
      <c r="D2310" t="inlineStr">
        <is>
          <t>VÄSTERNORRLANDS LÄN</t>
        </is>
      </c>
      <c r="E2310" t="inlineStr">
        <is>
          <t>SUNDSVALL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21659-2025</t>
        </is>
      </c>
      <c r="B2311" s="1" t="n">
        <v>45783.45505787037</v>
      </c>
      <c r="C2311" s="1" t="n">
        <v>46181</v>
      </c>
      <c r="D2311" t="inlineStr">
        <is>
          <t>VÄSTERNORRLANDS LÄN</t>
        </is>
      </c>
      <c r="E2311" t="inlineStr">
        <is>
          <t>SUNDSVALL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25440-2026</t>
        </is>
      </c>
      <c r="B2312" s="1" t="n">
        <v>46177.34471064815</v>
      </c>
      <c r="C2312" s="1" t="n">
        <v>46181</v>
      </c>
      <c r="D2312" t="inlineStr">
        <is>
          <t>VÄSTERNORRLANDS LÄN</t>
        </is>
      </c>
      <c r="E2312" t="inlineStr">
        <is>
          <t>SUNDSVALL</t>
        </is>
      </c>
      <c r="F2312" t="inlineStr">
        <is>
          <t>SCA</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10539-2023</t>
        </is>
      </c>
      <c r="B2313" s="1" t="n">
        <v>44987</v>
      </c>
      <c r="C2313" s="1" t="n">
        <v>46181</v>
      </c>
      <c r="D2313" t="inlineStr">
        <is>
          <t>VÄSTERNORRLANDS LÄN</t>
        </is>
      </c>
      <c r="E2313" t="inlineStr">
        <is>
          <t>SUNDSVALL</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7515-2023</t>
        </is>
      </c>
      <c r="B2314" s="1" t="n">
        <v>44971</v>
      </c>
      <c r="C2314" s="1" t="n">
        <v>46181</v>
      </c>
      <c r="D2314" t="inlineStr">
        <is>
          <t>VÄSTERNORRLANDS LÄN</t>
        </is>
      </c>
      <c r="E2314" t="inlineStr">
        <is>
          <t>SUNDSVALL</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17189-2024</t>
        </is>
      </c>
      <c r="B2315" s="1" t="n">
        <v>45412</v>
      </c>
      <c r="C2315" s="1" t="n">
        <v>46181</v>
      </c>
      <c r="D2315" t="inlineStr">
        <is>
          <t>VÄSTERNORRLANDS LÄN</t>
        </is>
      </c>
      <c r="E2315" t="inlineStr">
        <is>
          <t>SUNDSVALL</t>
        </is>
      </c>
      <c r="F2315" t="inlineStr">
        <is>
          <t>SCA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22348-2025</t>
        </is>
      </c>
      <c r="B2316" s="1" t="n">
        <v>45786.44878472222</v>
      </c>
      <c r="C2316" s="1" t="n">
        <v>46181</v>
      </c>
      <c r="D2316" t="inlineStr">
        <is>
          <t>VÄSTERNORRLANDS LÄN</t>
        </is>
      </c>
      <c r="E2316" t="inlineStr">
        <is>
          <t>SUNDSVALL</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60399-2022</t>
        </is>
      </c>
      <c r="B2317" s="1" t="n">
        <v>44910</v>
      </c>
      <c r="C2317" s="1" t="n">
        <v>46181</v>
      </c>
      <c r="D2317" t="inlineStr">
        <is>
          <t>VÄSTERNORRLANDS LÄN</t>
        </is>
      </c>
      <c r="E2317" t="inlineStr">
        <is>
          <t>SUNDSVALL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22208-2025</t>
        </is>
      </c>
      <c r="B2318" s="1" t="n">
        <v>45785.65722222222</v>
      </c>
      <c r="C2318" s="1" t="n">
        <v>46181</v>
      </c>
      <c r="D2318" t="inlineStr">
        <is>
          <t>VÄSTERNORRLANDS LÄN</t>
        </is>
      </c>
      <c r="E2318" t="inlineStr">
        <is>
          <t>SUNDSVALL</t>
        </is>
      </c>
      <c r="F2318" t="inlineStr">
        <is>
          <t>Naturvårdsverket</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22350-2025</t>
        </is>
      </c>
      <c r="B2319" s="1" t="n">
        <v>45786.44888888889</v>
      </c>
      <c r="C2319" s="1" t="n">
        <v>46181</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40786-2023</t>
        </is>
      </c>
      <c r="B2320" s="1" t="n">
        <v>45170.95792824074</v>
      </c>
      <c r="C2320" s="1" t="n">
        <v>46181</v>
      </c>
      <c r="D2320" t="inlineStr">
        <is>
          <t>VÄSTERNORRLANDS LÄN</t>
        </is>
      </c>
      <c r="E2320" t="inlineStr">
        <is>
          <t>SUNDSVALL</t>
        </is>
      </c>
      <c r="F2320" t="inlineStr">
        <is>
          <t>SCA</t>
        </is>
      </c>
      <c r="G2320" t="n">
        <v>18.1</v>
      </c>
      <c r="H2320" t="n">
        <v>0</v>
      </c>
      <c r="I2320" t="n">
        <v>0</v>
      </c>
      <c r="J2320" t="n">
        <v>0</v>
      </c>
      <c r="K2320" t="n">
        <v>0</v>
      </c>
      <c r="L2320" t="n">
        <v>0</v>
      </c>
      <c r="M2320" t="n">
        <v>0</v>
      </c>
      <c r="N2320" t="n">
        <v>0</v>
      </c>
      <c r="O2320" t="n">
        <v>0</v>
      </c>
      <c r="P2320" t="n">
        <v>0</v>
      </c>
      <c r="Q2320" t="n">
        <v>0</v>
      </c>
      <c r="R2320" s="2" t="inlineStr"/>
    </row>
    <row r="2321" ht="15" customHeight="1">
      <c r="A2321" t="inlineStr">
        <is>
          <t>A 22471-2025</t>
        </is>
      </c>
      <c r="B2321" s="1" t="n">
        <v>45786.61559027778</v>
      </c>
      <c r="C2321" s="1" t="n">
        <v>46181</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38287-2024</t>
        </is>
      </c>
      <c r="B2322" s="1" t="n">
        <v>45545.61619212963</v>
      </c>
      <c r="C2322" s="1" t="n">
        <v>46181</v>
      </c>
      <c r="D2322" t="inlineStr">
        <is>
          <t>VÄSTERNORRLANDS LÄN</t>
        </is>
      </c>
      <c r="E2322" t="inlineStr">
        <is>
          <t>SUNDSVALL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56252-2023</t>
        </is>
      </c>
      <c r="B2323" s="1" t="n">
        <v>45240</v>
      </c>
      <c r="C2323" s="1" t="n">
        <v>46181</v>
      </c>
      <c r="D2323" t="inlineStr">
        <is>
          <t>VÄSTERNORRLANDS LÄN</t>
        </is>
      </c>
      <c r="E2323" t="inlineStr">
        <is>
          <t>SUNDSVALL</t>
        </is>
      </c>
      <c r="F2323" t="inlineStr">
        <is>
          <t>SCA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22322-2025</t>
        </is>
      </c>
      <c r="B2324" s="1" t="n">
        <v>45786.40657407408</v>
      </c>
      <c r="C2324" s="1" t="n">
        <v>46181</v>
      </c>
      <c r="D2324" t="inlineStr">
        <is>
          <t>VÄSTERNORRLANDS LÄN</t>
        </is>
      </c>
      <c r="E2324" t="inlineStr">
        <is>
          <t>SUNDSVALL</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20079-2026</t>
        </is>
      </c>
      <c r="B2325" s="1" t="n">
        <v>46136.60990740741</v>
      </c>
      <c r="C2325" s="1" t="n">
        <v>46181</v>
      </c>
      <c r="D2325" t="inlineStr">
        <is>
          <t>VÄSTERNORRLANDS LÄN</t>
        </is>
      </c>
      <c r="E2325" t="inlineStr">
        <is>
          <t>SUNDSVALL</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22347-2025</t>
        </is>
      </c>
      <c r="B2326" s="1" t="n">
        <v>45786.44875</v>
      </c>
      <c r="C2326" s="1" t="n">
        <v>46181</v>
      </c>
      <c r="D2326" t="inlineStr">
        <is>
          <t>VÄSTERNORRLANDS LÄN</t>
        </is>
      </c>
      <c r="E2326" t="inlineStr">
        <is>
          <t>SUNDSVALL</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22445-2025</t>
        </is>
      </c>
      <c r="B2327" s="1" t="n">
        <v>45786.59431712963</v>
      </c>
      <c r="C2327" s="1" t="n">
        <v>46181</v>
      </c>
      <c r="D2327" t="inlineStr">
        <is>
          <t>VÄSTERNORRLANDS LÄN</t>
        </is>
      </c>
      <c r="E2327" t="inlineStr">
        <is>
          <t>SUNDSVALL</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22321-2025</t>
        </is>
      </c>
      <c r="B2328" s="1" t="n">
        <v>45786.4065162037</v>
      </c>
      <c r="C2328" s="1" t="n">
        <v>46181</v>
      </c>
      <c r="D2328" t="inlineStr">
        <is>
          <t>VÄSTERNORRLANDS LÄN</t>
        </is>
      </c>
      <c r="E2328" t="inlineStr">
        <is>
          <t>SUNDSVALL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22775-2025</t>
        </is>
      </c>
      <c r="B2329" s="1" t="n">
        <v>45789.63674768519</v>
      </c>
      <c r="C2329" s="1" t="n">
        <v>46181</v>
      </c>
      <c r="D2329" t="inlineStr">
        <is>
          <t>VÄSTERNORRLANDS LÄN</t>
        </is>
      </c>
      <c r="E2329" t="inlineStr">
        <is>
          <t>SUNDSVALL</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4584-2024</t>
        </is>
      </c>
      <c r="B2330" s="1" t="n">
        <v>45327.92819444444</v>
      </c>
      <c r="C2330" s="1" t="n">
        <v>46181</v>
      </c>
      <c r="D2330" t="inlineStr">
        <is>
          <t>VÄSTERNORRLANDS LÄN</t>
        </is>
      </c>
      <c r="E2330" t="inlineStr">
        <is>
          <t>SUNDSVALL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22470-2025</t>
        </is>
      </c>
      <c r="B2331" s="1" t="n">
        <v>45786.61554398148</v>
      </c>
      <c r="C2331" s="1" t="n">
        <v>46181</v>
      </c>
      <c r="D2331" t="inlineStr">
        <is>
          <t>VÄSTERNORRLANDS LÄN</t>
        </is>
      </c>
      <c r="E2331" t="inlineStr">
        <is>
          <t>SUNDSVALL</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59997-2023</t>
        </is>
      </c>
      <c r="B2332" s="1" t="n">
        <v>45257.97215277778</v>
      </c>
      <c r="C2332" s="1" t="n">
        <v>46181</v>
      </c>
      <c r="D2332" t="inlineStr">
        <is>
          <t>VÄSTERNORRLANDS LÄN</t>
        </is>
      </c>
      <c r="E2332" t="inlineStr">
        <is>
          <t>SUNDSVALL</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22884-2025</t>
        </is>
      </c>
      <c r="B2333" s="1" t="n">
        <v>45790.38577546296</v>
      </c>
      <c r="C2333" s="1" t="n">
        <v>46181</v>
      </c>
      <c r="D2333" t="inlineStr">
        <is>
          <t>VÄSTERNORRLANDS LÄN</t>
        </is>
      </c>
      <c r="E2333" t="inlineStr">
        <is>
          <t>SUNDSVALL</t>
        </is>
      </c>
      <c r="F2333" t="inlineStr">
        <is>
          <t>SCA</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16941-2025</t>
        </is>
      </c>
      <c r="B2334" s="1" t="n">
        <v>45755</v>
      </c>
      <c r="C2334" s="1" t="n">
        <v>46181</v>
      </c>
      <c r="D2334" t="inlineStr">
        <is>
          <t>VÄSTERNORRLANDS LÄN</t>
        </is>
      </c>
      <c r="E2334" t="inlineStr">
        <is>
          <t>SUNDSVALL</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22837-2025</t>
        </is>
      </c>
      <c r="B2335" s="1" t="n">
        <v>45789.91606481482</v>
      </c>
      <c r="C2335" s="1" t="n">
        <v>46181</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23095-2025</t>
        </is>
      </c>
      <c r="B2336" s="1" t="n">
        <v>45791.34487268519</v>
      </c>
      <c r="C2336" s="1" t="n">
        <v>46181</v>
      </c>
      <c r="D2336" t="inlineStr">
        <is>
          <t>VÄSTERNORRLANDS LÄN</t>
        </is>
      </c>
      <c r="E2336" t="inlineStr">
        <is>
          <t>SUNDSVALL</t>
        </is>
      </c>
      <c r="F2336" t="inlineStr">
        <is>
          <t>SCA</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23156-2025</t>
        </is>
      </c>
      <c r="B2337" s="1" t="n">
        <v>45791.40693287037</v>
      </c>
      <c r="C2337" s="1" t="n">
        <v>46181</v>
      </c>
      <c r="D2337" t="inlineStr">
        <is>
          <t>VÄSTERNORRLANDS LÄN</t>
        </is>
      </c>
      <c r="E2337" t="inlineStr">
        <is>
          <t>SUNDSVALL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23637-2025</t>
        </is>
      </c>
      <c r="B2338" s="1" t="n">
        <v>45792.67971064815</v>
      </c>
      <c r="C2338" s="1" t="n">
        <v>46181</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23653-2025</t>
        </is>
      </c>
      <c r="B2339" s="1" t="n">
        <v>45792</v>
      </c>
      <c r="C2339" s="1" t="n">
        <v>46181</v>
      </c>
      <c r="D2339" t="inlineStr">
        <is>
          <t>VÄSTERNORRLANDS LÄN</t>
        </is>
      </c>
      <c r="E2339" t="inlineStr">
        <is>
          <t>SUNDSVALL</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32275-2025</t>
        </is>
      </c>
      <c r="B2340" s="1" t="n">
        <v>45835.65856481482</v>
      </c>
      <c r="C2340" s="1" t="n">
        <v>46181</v>
      </c>
      <c r="D2340" t="inlineStr">
        <is>
          <t>VÄSTERNORRLANDS LÄN</t>
        </is>
      </c>
      <c r="E2340" t="inlineStr">
        <is>
          <t>SUNDSVALL</t>
        </is>
      </c>
      <c r="F2340" t="inlineStr">
        <is>
          <t>Kyrkan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23152-2025</t>
        </is>
      </c>
      <c r="B2341" s="1" t="n">
        <v>45791.40515046296</v>
      </c>
      <c r="C2341" s="1" t="n">
        <v>46181</v>
      </c>
      <c r="D2341" t="inlineStr">
        <is>
          <t>VÄSTERNORRLANDS LÄN</t>
        </is>
      </c>
      <c r="E2341" t="inlineStr">
        <is>
          <t>SUNDSVALL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39008-2025</t>
        </is>
      </c>
      <c r="B2342" s="1" t="n">
        <v>45888.34532407407</v>
      </c>
      <c r="C2342" s="1" t="n">
        <v>46181</v>
      </c>
      <c r="D2342" t="inlineStr">
        <is>
          <t>VÄSTERNORRLANDS LÄN</t>
        </is>
      </c>
      <c r="E2342" t="inlineStr">
        <is>
          <t>SUNDSVALL</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23334-2025</t>
        </is>
      </c>
      <c r="B2343" s="1" t="n">
        <v>45791.65145833333</v>
      </c>
      <c r="C2343" s="1" t="n">
        <v>46181</v>
      </c>
      <c r="D2343" t="inlineStr">
        <is>
          <t>VÄSTERNORRLANDS LÄN</t>
        </is>
      </c>
      <c r="E2343" t="inlineStr">
        <is>
          <t>SUNDSVALL</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23410-2025</t>
        </is>
      </c>
      <c r="B2344" s="1" t="n">
        <v>45792.34569444445</v>
      </c>
      <c r="C2344" s="1" t="n">
        <v>46181</v>
      </c>
      <c r="D2344" t="inlineStr">
        <is>
          <t>VÄSTERNORRLANDS LÄN</t>
        </is>
      </c>
      <c r="E2344" t="inlineStr">
        <is>
          <t>SUNDSVALL</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2711-2025</t>
        </is>
      </c>
      <c r="B2345" s="1" t="n">
        <v>45677</v>
      </c>
      <c r="C2345" s="1" t="n">
        <v>46181</v>
      </c>
      <c r="D2345" t="inlineStr">
        <is>
          <t>VÄSTERNORRLANDS LÄN</t>
        </is>
      </c>
      <c r="E2345" t="inlineStr">
        <is>
          <t>SUNDSVALL</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56681-2023</t>
        </is>
      </c>
      <c r="B2346" s="1" t="n">
        <v>45243</v>
      </c>
      <c r="C2346" s="1" t="n">
        <v>46181</v>
      </c>
      <c r="D2346" t="inlineStr">
        <is>
          <t>VÄSTERNORRLANDS LÄN</t>
        </is>
      </c>
      <c r="E2346" t="inlineStr">
        <is>
          <t>SUNDSVALL</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23157-2025</t>
        </is>
      </c>
      <c r="B2347" s="1" t="n">
        <v>45791.40707175926</v>
      </c>
      <c r="C2347" s="1" t="n">
        <v>46181</v>
      </c>
      <c r="D2347" t="inlineStr">
        <is>
          <t>VÄSTERNORRLANDS LÄN</t>
        </is>
      </c>
      <c r="E2347" t="inlineStr">
        <is>
          <t>SUNDSVALL</t>
        </is>
      </c>
      <c r="F2347" t="inlineStr">
        <is>
          <t>SCA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23162-2025</t>
        </is>
      </c>
      <c r="B2348" s="1" t="n">
        <v>45791.40846064815</v>
      </c>
      <c r="C2348" s="1" t="n">
        <v>46181</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40749-2023</t>
        </is>
      </c>
      <c r="B2349" s="1" t="n">
        <v>45170</v>
      </c>
      <c r="C2349" s="1" t="n">
        <v>46181</v>
      </c>
      <c r="D2349" t="inlineStr">
        <is>
          <t>VÄSTERNORRLANDS LÄN</t>
        </is>
      </c>
      <c r="E2349" t="inlineStr">
        <is>
          <t>SUNDSVALL</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13071-2025</t>
        </is>
      </c>
      <c r="B2350" s="1" t="n">
        <v>45734.61527777778</v>
      </c>
      <c r="C2350" s="1" t="n">
        <v>46181</v>
      </c>
      <c r="D2350" t="inlineStr">
        <is>
          <t>VÄSTERNORRLANDS LÄN</t>
        </is>
      </c>
      <c r="E2350" t="inlineStr">
        <is>
          <t>SUNDSVALL</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29663-2024</t>
        </is>
      </c>
      <c r="B2351" s="1" t="n">
        <v>45484.94004629629</v>
      </c>
      <c r="C2351" s="1" t="n">
        <v>46181</v>
      </c>
      <c r="D2351" t="inlineStr">
        <is>
          <t>VÄSTERNORRLANDS LÄN</t>
        </is>
      </c>
      <c r="E2351" t="inlineStr">
        <is>
          <t>SUNDSVALL</t>
        </is>
      </c>
      <c r="F2351" t="inlineStr">
        <is>
          <t>SCA</t>
        </is>
      </c>
      <c r="G2351" t="n">
        <v>44.6</v>
      </c>
      <c r="H2351" t="n">
        <v>0</v>
      </c>
      <c r="I2351" t="n">
        <v>0</v>
      </c>
      <c r="J2351" t="n">
        <v>0</v>
      </c>
      <c r="K2351" t="n">
        <v>0</v>
      </c>
      <c r="L2351" t="n">
        <v>0</v>
      </c>
      <c r="M2351" t="n">
        <v>0</v>
      </c>
      <c r="N2351" t="n">
        <v>0</v>
      </c>
      <c r="O2351" t="n">
        <v>0</v>
      </c>
      <c r="P2351" t="n">
        <v>0</v>
      </c>
      <c r="Q2351" t="n">
        <v>0</v>
      </c>
      <c r="R2351" s="2" t="inlineStr"/>
    </row>
    <row r="2352" ht="15" customHeight="1">
      <c r="A2352" t="inlineStr">
        <is>
          <t>A 47959-2024</t>
        </is>
      </c>
      <c r="B2352" s="1" t="n">
        <v>45589</v>
      </c>
      <c r="C2352" s="1" t="n">
        <v>46181</v>
      </c>
      <c r="D2352" t="inlineStr">
        <is>
          <t>VÄSTERNORRLANDS LÄN</t>
        </is>
      </c>
      <c r="E2352" t="inlineStr">
        <is>
          <t>SUNDSVALL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47346-2025</t>
        </is>
      </c>
      <c r="B2353" s="1" t="n">
        <v>45930.57329861111</v>
      </c>
      <c r="C2353" s="1" t="n">
        <v>46181</v>
      </c>
      <c r="D2353" t="inlineStr">
        <is>
          <t>VÄSTERNORRLANDS LÄN</t>
        </is>
      </c>
      <c r="E2353" t="inlineStr">
        <is>
          <t>SUNDSVALL</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18513-2025</t>
        </is>
      </c>
      <c r="B2354" s="1" t="n">
        <v>45763.38469907407</v>
      </c>
      <c r="C2354" s="1" t="n">
        <v>46181</v>
      </c>
      <c r="D2354" t="inlineStr">
        <is>
          <t>VÄSTERNORRLANDS LÄN</t>
        </is>
      </c>
      <c r="E2354" t="inlineStr">
        <is>
          <t>SUNDSVALL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19963-2026</t>
        </is>
      </c>
      <c r="B2355" s="1" t="n">
        <v>46136.42127314815</v>
      </c>
      <c r="C2355" s="1" t="n">
        <v>46181</v>
      </c>
      <c r="D2355" t="inlineStr">
        <is>
          <t>VÄSTERNORRLANDS LÄN</t>
        </is>
      </c>
      <c r="E2355" t="inlineStr">
        <is>
          <t>SUNDSVALL</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20025-2026</t>
        </is>
      </c>
      <c r="B2356" s="1" t="n">
        <v>46136.54762731482</v>
      </c>
      <c r="C2356" s="1" t="n">
        <v>46181</v>
      </c>
      <c r="D2356" t="inlineStr">
        <is>
          <t>VÄSTERNORRLANDS LÄN</t>
        </is>
      </c>
      <c r="E2356" t="inlineStr">
        <is>
          <t>SUNDSVALL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25732-2026</t>
        </is>
      </c>
      <c r="B2357" s="1" t="n">
        <v>46178.40710648148</v>
      </c>
      <c r="C2357" s="1" t="n">
        <v>46181</v>
      </c>
      <c r="D2357" t="inlineStr">
        <is>
          <t>VÄSTERNORRLANDS LÄN</t>
        </is>
      </c>
      <c r="E2357" t="inlineStr">
        <is>
          <t>SUNDSVALL</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14087-2026</t>
        </is>
      </c>
      <c r="B2358" s="1" t="n">
        <v>46099</v>
      </c>
      <c r="C2358" s="1" t="n">
        <v>46181</v>
      </c>
      <c r="D2358" t="inlineStr">
        <is>
          <t>VÄSTERNORRLANDS LÄN</t>
        </is>
      </c>
      <c r="E2358" t="inlineStr">
        <is>
          <t>SUNDSVALL</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22349-2025</t>
        </is>
      </c>
      <c r="B2359" s="1" t="n">
        <v>45786.4488425926</v>
      </c>
      <c r="C2359" s="1" t="n">
        <v>46181</v>
      </c>
      <c r="D2359" t="inlineStr">
        <is>
          <t>VÄSTERNORRLANDS LÄN</t>
        </is>
      </c>
      <c r="E2359" t="inlineStr">
        <is>
          <t>SUNDSVALL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36226-2021</t>
        </is>
      </c>
      <c r="B2360" s="1" t="n">
        <v>44389.92116898148</v>
      </c>
      <c r="C2360" s="1" t="n">
        <v>46181</v>
      </c>
      <c r="D2360" t="inlineStr">
        <is>
          <t>VÄSTERNORRLANDS LÄN</t>
        </is>
      </c>
      <c r="E2360" t="inlineStr">
        <is>
          <t>SUNDSVALL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20120-2026</t>
        </is>
      </c>
      <c r="B2361" s="1" t="n">
        <v>46136.65740740741</v>
      </c>
      <c r="C2361" s="1" t="n">
        <v>46181</v>
      </c>
      <c r="D2361" t="inlineStr">
        <is>
          <t>VÄSTERNORRLANDS LÄN</t>
        </is>
      </c>
      <c r="E2361" t="inlineStr">
        <is>
          <t>SUNDSVALL</t>
        </is>
      </c>
      <c r="F2361" t="inlineStr">
        <is>
          <t>SCA</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19874-2026</t>
        </is>
      </c>
      <c r="B2362" s="1" t="n">
        <v>46135.65681712963</v>
      </c>
      <c r="C2362" s="1" t="n">
        <v>46181</v>
      </c>
      <c r="D2362" t="inlineStr">
        <is>
          <t>VÄSTERNORRLANDS LÄN</t>
        </is>
      </c>
      <c r="E2362" t="inlineStr">
        <is>
          <t>SUNDSVALL</t>
        </is>
      </c>
      <c r="F2362" t="inlineStr">
        <is>
          <t>SCA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20131-2026</t>
        </is>
      </c>
      <c r="B2363" s="1" t="n">
        <v>46136.69837962963</v>
      </c>
      <c r="C2363" s="1" t="n">
        <v>46181</v>
      </c>
      <c r="D2363" t="inlineStr">
        <is>
          <t>VÄSTERNORRLANDS LÄN</t>
        </is>
      </c>
      <c r="E2363" t="inlineStr">
        <is>
          <t>SUNDSVALL</t>
        </is>
      </c>
      <c r="F2363" t="inlineStr">
        <is>
          <t>SCA</t>
        </is>
      </c>
      <c r="G2363" t="n">
        <v>24.9</v>
      </c>
      <c r="H2363" t="n">
        <v>0</v>
      </c>
      <c r="I2363" t="n">
        <v>0</v>
      </c>
      <c r="J2363" t="n">
        <v>0</v>
      </c>
      <c r="K2363" t="n">
        <v>0</v>
      </c>
      <c r="L2363" t="n">
        <v>0</v>
      </c>
      <c r="M2363" t="n">
        <v>0</v>
      </c>
      <c r="N2363" t="n">
        <v>0</v>
      </c>
      <c r="O2363" t="n">
        <v>0</v>
      </c>
      <c r="P2363" t="n">
        <v>0</v>
      </c>
      <c r="Q2363" t="n">
        <v>0</v>
      </c>
      <c r="R2363" s="2" t="inlineStr"/>
    </row>
    <row r="2364" ht="15" customHeight="1">
      <c r="A2364" t="inlineStr">
        <is>
          <t>A 35780-2025</t>
        </is>
      </c>
      <c r="B2364" s="1" t="n">
        <v>45860.70089120371</v>
      </c>
      <c r="C2364" s="1" t="n">
        <v>46181</v>
      </c>
      <c r="D2364" t="inlineStr">
        <is>
          <t>VÄSTERNORRLANDS LÄN</t>
        </is>
      </c>
      <c r="E2364" t="inlineStr">
        <is>
          <t>SUNDSVALL</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19988-2026</t>
        </is>
      </c>
      <c r="B2365" s="1" t="n">
        <v>46136.45504629629</v>
      </c>
      <c r="C2365" s="1" t="n">
        <v>46181</v>
      </c>
      <c r="D2365" t="inlineStr">
        <is>
          <t>VÄSTERNORRLANDS LÄN</t>
        </is>
      </c>
      <c r="E2365" t="inlineStr">
        <is>
          <t>SUNDSVALL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10178-2026</t>
        </is>
      </c>
      <c r="B2366" s="1" t="n">
        <v>46076</v>
      </c>
      <c r="C2366" s="1" t="n">
        <v>46181</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25438-2026</t>
        </is>
      </c>
      <c r="B2367" s="1" t="n">
        <v>46177.34428240741</v>
      </c>
      <c r="C2367" s="1" t="n">
        <v>46181</v>
      </c>
      <c r="D2367" t="inlineStr">
        <is>
          <t>VÄSTERNORRLANDS LÄN</t>
        </is>
      </c>
      <c r="E2367" t="inlineStr">
        <is>
          <t>SUNDSVALL</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41673-2025</t>
        </is>
      </c>
      <c r="B2368" s="1" t="n">
        <v>45902.3650462963</v>
      </c>
      <c r="C2368" s="1" t="n">
        <v>46181</v>
      </c>
      <c r="D2368" t="inlineStr">
        <is>
          <t>VÄSTERNORRLANDS LÄN</t>
        </is>
      </c>
      <c r="E2368" t="inlineStr">
        <is>
          <t>SUNDSVALL</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19764-2026</t>
        </is>
      </c>
      <c r="B2369" s="1" t="n">
        <v>46135.42778935185</v>
      </c>
      <c r="C2369" s="1" t="n">
        <v>46181</v>
      </c>
      <c r="D2369" t="inlineStr">
        <is>
          <t>VÄSTERNORRLANDS LÄN</t>
        </is>
      </c>
      <c r="E2369" t="inlineStr">
        <is>
          <t>SUNDSVALL</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34390-2025</t>
        </is>
      </c>
      <c r="B2370" s="1" t="n">
        <v>45846.57333333333</v>
      </c>
      <c r="C2370" s="1" t="n">
        <v>46181</v>
      </c>
      <c r="D2370" t="inlineStr">
        <is>
          <t>VÄSTERNORRLANDS LÄN</t>
        </is>
      </c>
      <c r="E2370" t="inlineStr">
        <is>
          <t>SUNDSVALL</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20091-2026</t>
        </is>
      </c>
      <c r="B2371" s="1" t="n">
        <v>46136.62364583334</v>
      </c>
      <c r="C2371" s="1" t="n">
        <v>46181</v>
      </c>
      <c r="D2371" t="inlineStr">
        <is>
          <t>VÄSTERNORRLANDS LÄN</t>
        </is>
      </c>
      <c r="E2371" t="inlineStr">
        <is>
          <t>SUNDSVALL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19092-2025</t>
        </is>
      </c>
      <c r="B2372" s="1" t="n">
        <v>45767</v>
      </c>
      <c r="C2372" s="1" t="n">
        <v>46181</v>
      </c>
      <c r="D2372" t="inlineStr">
        <is>
          <t>VÄSTERNORRLANDS LÄN</t>
        </is>
      </c>
      <c r="E2372" t="inlineStr">
        <is>
          <t>SUNDSVALL</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6882-2025</t>
        </is>
      </c>
      <c r="B2373" s="1" t="n">
        <v>45701.34545138889</v>
      </c>
      <c r="C2373" s="1" t="n">
        <v>46181</v>
      </c>
      <c r="D2373" t="inlineStr">
        <is>
          <t>VÄSTERNORRLANDS LÄN</t>
        </is>
      </c>
      <c r="E2373" t="inlineStr">
        <is>
          <t>SUNDSVALL</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1341-2026</t>
        </is>
      </c>
      <c r="B2374" s="1" t="n">
        <v>46031.57703703704</v>
      </c>
      <c r="C2374" s="1" t="n">
        <v>46181</v>
      </c>
      <c r="D2374" t="inlineStr">
        <is>
          <t>VÄSTERNORRLANDS LÄN</t>
        </is>
      </c>
      <c r="E2374" t="inlineStr">
        <is>
          <t>SUNDSVALL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19890-2026</t>
        </is>
      </c>
      <c r="B2375" s="1" t="n">
        <v>46135.69828703703</v>
      </c>
      <c r="C2375" s="1" t="n">
        <v>46181</v>
      </c>
      <c r="D2375" t="inlineStr">
        <is>
          <t>VÄSTERNORRLANDS LÄN</t>
        </is>
      </c>
      <c r="E2375" t="inlineStr">
        <is>
          <t>SUNDSVALL</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19953-2026</t>
        </is>
      </c>
      <c r="B2376" s="1" t="n">
        <v>46136.40700231482</v>
      </c>
      <c r="C2376" s="1" t="n">
        <v>46181</v>
      </c>
      <c r="D2376" t="inlineStr">
        <is>
          <t>VÄSTERNORRLANDS LÄN</t>
        </is>
      </c>
      <c r="E2376" t="inlineStr">
        <is>
          <t>SUNDSVALL</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19964-2026</t>
        </is>
      </c>
      <c r="B2377" s="1" t="n">
        <v>46136.42302083333</v>
      </c>
      <c r="C2377" s="1" t="n">
        <v>46181</v>
      </c>
      <c r="D2377" t="inlineStr">
        <is>
          <t>VÄSTERNORRLANDS LÄN</t>
        </is>
      </c>
      <c r="E2377" t="inlineStr">
        <is>
          <t>SUNDSVALL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39347-2024</t>
        </is>
      </c>
      <c r="B2378" s="1" t="n">
        <v>45551.44858796296</v>
      </c>
      <c r="C2378" s="1" t="n">
        <v>46181</v>
      </c>
      <c r="D2378" t="inlineStr">
        <is>
          <t>VÄSTERNORRLANDS LÄN</t>
        </is>
      </c>
      <c r="E2378" t="inlineStr">
        <is>
          <t>SUNDSVALL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41696-2025</t>
        </is>
      </c>
      <c r="B2379" s="1" t="n">
        <v>45902.40671296296</v>
      </c>
      <c r="C2379" s="1" t="n">
        <v>46181</v>
      </c>
      <c r="D2379" t="inlineStr">
        <is>
          <t>VÄSTERNORRLANDS LÄN</t>
        </is>
      </c>
      <c r="E2379" t="inlineStr">
        <is>
          <t>SUNDSVALL</t>
        </is>
      </c>
      <c r="F2379" t="inlineStr">
        <is>
          <t>SCA</t>
        </is>
      </c>
      <c r="G2379" t="n">
        <v>4.6</v>
      </c>
      <c r="H2379" t="n">
        <v>0</v>
      </c>
      <c r="I2379" t="n">
        <v>0</v>
      </c>
      <c r="J2379" t="n">
        <v>0</v>
      </c>
      <c r="K2379" t="n">
        <v>0</v>
      </c>
      <c r="L2379" t="n">
        <v>0</v>
      </c>
      <c r="M2379" t="n">
        <v>0</v>
      </c>
      <c r="N2379" t="n">
        <v>0</v>
      </c>
      <c r="O2379" t="n">
        <v>0</v>
      </c>
      <c r="P2379" t="n">
        <v>0</v>
      </c>
      <c r="Q2379" t="n">
        <v>0</v>
      </c>
      <c r="R2379" s="2" t="inlineStr"/>
    </row>
    <row r="2380">
      <c r="A2380" t="inlineStr">
        <is>
          <t>A 28155-2024</t>
        </is>
      </c>
      <c r="B2380" s="1" t="n">
        <v>45476</v>
      </c>
      <c r="C2380" s="1" t="n">
        <v>46181</v>
      </c>
      <c r="D2380" t="inlineStr">
        <is>
          <t>VÄSTERNORRLANDS LÄN</t>
        </is>
      </c>
      <c r="E2380" t="inlineStr">
        <is>
          <t>SUNDSVALL</t>
        </is>
      </c>
      <c r="G2380" t="n">
        <v>8</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2026-06-08T10:40:53Z</dcterms:created>
  <dcterms:modified xmlns:dcterms="http://purl.org/dc/terms/" xmlns:xsi="http://www.w3.org/2001/XMLSchema-instance" xsi:type="dcterms:W3CDTF">2026-06-08T10:40:55Z</dcterms:modified>
</cp:coreProperties>
</file>