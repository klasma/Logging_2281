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45825</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45825</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45825</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45825</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45825</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45825</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45825</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45825</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45825</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16388-2023</t>
        </is>
      </c>
      <c r="B16" s="1" t="n">
        <v>45022</v>
      </c>
      <c r="C16" s="1" t="n">
        <v>45825</v>
      </c>
      <c r="D16" t="inlineStr">
        <is>
          <t>VÄSTERNORRLANDS LÄN</t>
        </is>
      </c>
      <c r="E16" t="inlineStr">
        <is>
          <t>SUNDSVALL</t>
        </is>
      </c>
      <c r="G16" t="n">
        <v>10.1</v>
      </c>
      <c r="H16" t="n">
        <v>1</v>
      </c>
      <c r="I16" t="n">
        <v>2</v>
      </c>
      <c r="J16" t="n">
        <v>7</v>
      </c>
      <c r="K16" t="n">
        <v>2</v>
      </c>
      <c r="L16" t="n">
        <v>0</v>
      </c>
      <c r="M16" t="n">
        <v>0</v>
      </c>
      <c r="N16" t="n">
        <v>0</v>
      </c>
      <c r="O16" t="n">
        <v>9</v>
      </c>
      <c r="P16" t="n">
        <v>2</v>
      </c>
      <c r="Q16" t="n">
        <v>11</v>
      </c>
      <c r="R16" s="2" t="inlineStr">
        <is>
          <t>Aspgelélav
Knärot
Garnlav
Leptoporus mollis
Lunglav
Orange taggsvamp
Rosenticka
Ullticka
Vedskivlav
Björksplintborre
Stor aspticka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row>
    <row r="17" ht="15" customHeight="1">
      <c r="A17" t="inlineStr">
        <is>
          <t>A 13934-2025</t>
        </is>
      </c>
      <c r="B17" s="1" t="n">
        <v>45737</v>
      </c>
      <c r="C17" s="1" t="n">
        <v>45825</v>
      </c>
      <c r="D17" t="inlineStr">
        <is>
          <t>VÄSTERNORRLANDS LÄN</t>
        </is>
      </c>
      <c r="E17" t="inlineStr">
        <is>
          <t>SUNDSVALL</t>
        </is>
      </c>
      <c r="F17" t="inlineStr">
        <is>
          <t>SCA</t>
        </is>
      </c>
      <c r="G17" t="n">
        <v>11</v>
      </c>
      <c r="H17" t="n">
        <v>2</v>
      </c>
      <c r="I17" t="n">
        <v>4</v>
      </c>
      <c r="J17" t="n">
        <v>3</v>
      </c>
      <c r="K17" t="n">
        <v>3</v>
      </c>
      <c r="L17" t="n">
        <v>0</v>
      </c>
      <c r="M17" t="n">
        <v>0</v>
      </c>
      <c r="N17" t="n">
        <v>0</v>
      </c>
      <c r="O17" t="n">
        <v>6</v>
      </c>
      <c r="P17" t="n">
        <v>3</v>
      </c>
      <c r="Q17" t="n">
        <v>11</v>
      </c>
      <c r="R17" s="2" t="inlineStr">
        <is>
          <t>Aspgelélav
Knärot
Liten hornflikmossa
Garnlav
Lunglav
Vedtrappmossa
Kattfotslav
Stor aspticka
Thomsons trägnagare
Vedticka
Blåsippa</t>
        </is>
      </c>
      <c r="S17">
        <f>HYPERLINK("https://klasma.github.io/Logging_222281/artfynd/A 13934-2025 artfynd.xlsx", "A 13934-2025")</f>
        <v/>
      </c>
      <c r="T17">
        <f>HYPERLINK("https://klasma.github.io/Logging_222281/kartor/A 13934-2025 karta.png", "A 13934-2025")</f>
        <v/>
      </c>
      <c r="U17">
        <f>HYPERLINK("https://klasma.github.io/Logging_222281/knärot/A 13934-2025 karta knärot.png", "A 13934-2025")</f>
        <v/>
      </c>
      <c r="V17">
        <f>HYPERLINK("https://klasma.github.io/Logging_222281/klagomål/A 13934-2025 FSC-klagomål.docx", "A 13934-2025")</f>
        <v/>
      </c>
      <c r="W17">
        <f>HYPERLINK("https://klasma.github.io/Logging_222281/klagomålsmail/A 13934-2025 FSC-klagomål mail.docx", "A 13934-2025")</f>
        <v/>
      </c>
      <c r="X17">
        <f>HYPERLINK("https://klasma.github.io/Logging_222281/tillsyn/A 13934-2025 tillsynsbegäran.docx", "A 13934-2025")</f>
        <v/>
      </c>
      <c r="Y17">
        <f>HYPERLINK("https://klasma.github.io/Logging_222281/tillsynsmail/A 13934-2025 tillsynsbegäran mail.docx", "A 13934-2025")</f>
        <v/>
      </c>
    </row>
    <row r="18" ht="15" customHeight="1">
      <c r="A18" t="inlineStr">
        <is>
          <t>A 18532-2025</t>
        </is>
      </c>
      <c r="B18" s="1" t="n">
        <v>45763</v>
      </c>
      <c r="C18" s="1" t="n">
        <v>45825</v>
      </c>
      <c r="D18" t="inlineStr">
        <is>
          <t>VÄSTERNORRLANDS LÄN</t>
        </is>
      </c>
      <c r="E18" t="inlineStr">
        <is>
          <t>SUNDSVALL</t>
        </is>
      </c>
      <c r="F18" t="inlineStr">
        <is>
          <t>SCA</t>
        </is>
      </c>
      <c r="G18" t="n">
        <v>3.5</v>
      </c>
      <c r="H18" t="n">
        <v>6</v>
      </c>
      <c r="I18" t="n">
        <v>2</v>
      </c>
      <c r="J18" t="n">
        <v>6</v>
      </c>
      <c r="K18" t="n">
        <v>1</v>
      </c>
      <c r="L18" t="n">
        <v>0</v>
      </c>
      <c r="M18" t="n">
        <v>0</v>
      </c>
      <c r="N18" t="n">
        <v>0</v>
      </c>
      <c r="O18" t="n">
        <v>7</v>
      </c>
      <c r="P18" t="n">
        <v>1</v>
      </c>
      <c r="Q18" t="n">
        <v>11</v>
      </c>
      <c r="R18" s="2" t="inlineStr">
        <is>
          <t>Knärot
Granticka
Lunglav
Spillkråka
Talltita
Tretåig hackspett
Ullticka
Stuplav
Vedticka
Tjäder
Revlummer</t>
        </is>
      </c>
      <c r="S18">
        <f>HYPERLINK("https://klasma.github.io/Logging_222281/artfynd/A 18532-2025 artfynd.xlsx", "A 18532-2025")</f>
        <v/>
      </c>
      <c r="T18">
        <f>HYPERLINK("https://klasma.github.io/Logging_222281/kartor/A 18532-2025 karta.png", "A 18532-2025")</f>
        <v/>
      </c>
      <c r="U18">
        <f>HYPERLINK("https://klasma.github.io/Logging_222281/knärot/A 18532-2025 karta knärot.png", "A 18532-2025")</f>
        <v/>
      </c>
      <c r="V18">
        <f>HYPERLINK("https://klasma.github.io/Logging_222281/klagomål/A 18532-2025 FSC-klagomål.docx", "A 18532-2025")</f>
        <v/>
      </c>
      <c r="W18">
        <f>HYPERLINK("https://klasma.github.io/Logging_222281/klagomålsmail/A 18532-2025 FSC-klagomål mail.docx", "A 18532-2025")</f>
        <v/>
      </c>
      <c r="X18">
        <f>HYPERLINK("https://klasma.github.io/Logging_222281/tillsyn/A 18532-2025 tillsynsbegäran.docx", "A 18532-2025")</f>
        <v/>
      </c>
      <c r="Y18">
        <f>HYPERLINK("https://klasma.github.io/Logging_222281/tillsynsmail/A 18532-2025 tillsynsbegäran mail.docx", "A 18532-2025")</f>
        <v/>
      </c>
      <c r="Z18">
        <f>HYPERLINK("https://klasma.github.io/Logging_222281/fåglar/A 18532-2025 prioriterade fågelarter.docx", "A 18532-2025")</f>
        <v/>
      </c>
    </row>
    <row r="19" ht="15" customHeight="1">
      <c r="A19" t="inlineStr">
        <is>
          <t>A 20024-2025</t>
        </is>
      </c>
      <c r="B19" s="1" t="n">
        <v>45772</v>
      </c>
      <c r="C19" s="1" t="n">
        <v>45825</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HYPERLINK("https://klasma.github.io/Logging_222281/artfynd/A 20024-2025 artfynd.xlsx", "A 20024-2025")</f>
        <v/>
      </c>
      <c r="T19">
        <f>HYPERLINK("https://klasma.github.io/Logging_222281/kartor/A 20024-2025 karta.png", "A 20024-2025")</f>
        <v/>
      </c>
      <c r="V19">
        <f>HYPERLINK("https://klasma.github.io/Logging_222281/klagomål/A 20024-2025 FSC-klagomål.docx", "A 20024-2025")</f>
        <v/>
      </c>
      <c r="W19">
        <f>HYPERLINK("https://klasma.github.io/Logging_222281/klagomålsmail/A 20024-2025 FSC-klagomål mail.docx", "A 20024-2025")</f>
        <v/>
      </c>
      <c r="X19">
        <f>HYPERLINK("https://klasma.github.io/Logging_222281/tillsyn/A 20024-2025 tillsynsbegäran.docx", "A 20024-2025")</f>
        <v/>
      </c>
      <c r="Y19">
        <f>HYPERLINK("https://klasma.github.io/Logging_222281/tillsynsmail/A 20024-2025 tillsynsbegäran mail.docx", "A 20024-2025")</f>
        <v/>
      </c>
      <c r="Z19">
        <f>HYPERLINK("https://klasma.github.io/Logging_222281/fåglar/A 20024-2025 prioriterade fågelarter.docx", "A 20024-2025")</f>
        <v/>
      </c>
    </row>
    <row r="20" ht="15" customHeight="1">
      <c r="A20" t="inlineStr">
        <is>
          <t>A 20708-2025</t>
        </is>
      </c>
      <c r="B20" s="1" t="n">
        <v>45776</v>
      </c>
      <c r="C20" s="1" t="n">
        <v>45825</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HYPERLINK("https://klasma.github.io/Logging_222281/artfynd/A 20708-2025 artfynd.xlsx", "A 20708-2025")</f>
        <v/>
      </c>
      <c r="T20">
        <f>HYPERLINK("https://klasma.github.io/Logging_222281/kartor/A 20708-2025 karta.png", "A 20708-2025")</f>
        <v/>
      </c>
      <c r="V20">
        <f>HYPERLINK("https://klasma.github.io/Logging_222281/klagomål/A 20708-2025 FSC-klagomål.docx", "A 20708-2025")</f>
        <v/>
      </c>
      <c r="W20">
        <f>HYPERLINK("https://klasma.github.io/Logging_222281/klagomålsmail/A 20708-2025 FSC-klagomål mail.docx", "A 20708-2025")</f>
        <v/>
      </c>
      <c r="X20">
        <f>HYPERLINK("https://klasma.github.io/Logging_222281/tillsyn/A 20708-2025 tillsynsbegäran.docx", "A 20708-2025")</f>
        <v/>
      </c>
      <c r="Y20">
        <f>HYPERLINK("https://klasma.github.io/Logging_222281/tillsynsmail/A 20708-2025 tillsynsbegäran mail.docx", "A 20708-2025")</f>
        <v/>
      </c>
    </row>
    <row r="21" ht="15" customHeight="1">
      <c r="A21" t="inlineStr">
        <is>
          <t>A 35913-2021</t>
        </is>
      </c>
      <c r="B21" s="1" t="n">
        <v>44387</v>
      </c>
      <c r="C21" s="1" t="n">
        <v>45825</v>
      </c>
      <c r="D21" t="inlineStr">
        <is>
          <t>VÄSTERNORRLANDS LÄN</t>
        </is>
      </c>
      <c r="E21" t="inlineStr">
        <is>
          <t>SUNDSVALL</t>
        </is>
      </c>
      <c r="G21" t="n">
        <v>4.4</v>
      </c>
      <c r="H21" t="n">
        <v>5</v>
      </c>
      <c r="I21" t="n">
        <v>2</v>
      </c>
      <c r="J21" t="n">
        <v>4</v>
      </c>
      <c r="K21" t="n">
        <v>2</v>
      </c>
      <c r="L21" t="n">
        <v>0</v>
      </c>
      <c r="M21" t="n">
        <v>0</v>
      </c>
      <c r="N21" t="n">
        <v>0</v>
      </c>
      <c r="O21" t="n">
        <v>6</v>
      </c>
      <c r="P21" t="n">
        <v>2</v>
      </c>
      <c r="Q21" t="n">
        <v>10</v>
      </c>
      <c r="R21" s="2" t="inlineStr">
        <is>
          <t>Knärot
Rynkskinn
Rosenticka
Talltita
Tretåig hackspett
Ullticka
Grönpyrola
Svart trolldruva
Nattviol
Blåsippa</t>
        </is>
      </c>
      <c r="S21">
        <f>HYPERLINK("https://klasma.github.io/Logging_2281/artfynd/A 35913-2021 artfynd.xlsx", "A 35913-2021")</f>
        <v/>
      </c>
      <c r="T21">
        <f>HYPERLINK("https://klasma.github.io/Logging_2281/kartor/A 35913-2021 karta.png", "A 35913-2021")</f>
        <v/>
      </c>
      <c r="U21">
        <f>HYPERLINK("https://klasma.github.io/Logging_2281/knärot/A 35913-2021 karta knärot.png", "A 35913-2021")</f>
        <v/>
      </c>
      <c r="V21">
        <f>HYPERLINK("https://klasma.github.io/Logging_2281/klagomål/A 35913-2021 FSC-klagomål.docx", "A 35913-2021")</f>
        <v/>
      </c>
      <c r="W21">
        <f>HYPERLINK("https://klasma.github.io/Logging_2281/klagomålsmail/A 35913-2021 FSC-klagomål mail.docx", "A 35913-2021")</f>
        <v/>
      </c>
      <c r="X21">
        <f>HYPERLINK("https://klasma.github.io/Logging_2281/tillsyn/A 35913-2021 tillsynsbegäran.docx", "A 35913-2021")</f>
        <v/>
      </c>
      <c r="Y21">
        <f>HYPERLINK("https://klasma.github.io/Logging_2281/tillsynsmail/A 35913-2021 tillsynsbegäran mail.docx", "A 35913-2021")</f>
        <v/>
      </c>
      <c r="Z21">
        <f>HYPERLINK("https://klasma.github.io/Logging_2281/fåglar/A 35913-2021 prioriterade fågelarter.docx", "A 35913-2021")</f>
        <v/>
      </c>
    </row>
    <row r="22" ht="15" customHeight="1">
      <c r="A22" t="inlineStr">
        <is>
          <t>A 9201-2022</t>
        </is>
      </c>
      <c r="B22" s="1" t="n">
        <v>44615</v>
      </c>
      <c r="C22" s="1" t="n">
        <v>45825</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45825</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45825</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45825</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45825</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45825</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45825</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45825</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45825</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45825</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45825</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45825</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45825</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45825</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45825</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45825</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45825</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45825</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45825</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45825</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45825</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45825</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45825</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45825</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45825</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45825</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45825</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45825</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45825</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45825</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45825</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45825</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45825</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45825</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45825</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45825</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45825</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45825</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45825</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45825</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45825</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45825</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45825</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45825</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45825</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45825</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45825</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45825</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45825</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45825</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45825</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45825</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45825</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45825</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45825</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45825</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45825</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45825</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45825</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45825</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45825</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45825</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45825</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45825</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45825</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45825</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45825</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45825</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45825</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45825</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45825</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45825</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45825</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45825</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45825</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45825</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45825</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45825</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45825</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45825</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45825</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45825</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45825</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45825</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45825</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45825</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45825</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45825</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45825</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45825</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45825</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45825</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45825</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45825</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45825</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45825</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45825</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45825</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45825</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45825</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45825</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45825</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45825</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45825</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45825</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45825</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45825</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45825</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45825</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45825</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45825</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60864-2023</t>
        </is>
      </c>
      <c r="B133" s="1" t="n">
        <v>45260</v>
      </c>
      <c r="C133" s="1" t="n">
        <v>45825</v>
      </c>
      <c r="D133" t="inlineStr">
        <is>
          <t>VÄSTERNORRLANDS LÄN</t>
        </is>
      </c>
      <c r="E133" t="inlineStr">
        <is>
          <t>SUNDSVALL</t>
        </is>
      </c>
      <c r="F133" t="inlineStr">
        <is>
          <t>SCA</t>
        </is>
      </c>
      <c r="G133" t="n">
        <v>0.9</v>
      </c>
      <c r="H133" t="n">
        <v>1</v>
      </c>
      <c r="I133" t="n">
        <v>2</v>
      </c>
      <c r="J133" t="n">
        <v>1</v>
      </c>
      <c r="K133" t="n">
        <v>0</v>
      </c>
      <c r="L133" t="n">
        <v>0</v>
      </c>
      <c r="M133" t="n">
        <v>0</v>
      </c>
      <c r="N133" t="n">
        <v>0</v>
      </c>
      <c r="O133" t="n">
        <v>1</v>
      </c>
      <c r="P133" t="n">
        <v>0</v>
      </c>
      <c r="Q133" t="n">
        <v>3</v>
      </c>
      <c r="R133" s="2" t="inlineStr">
        <is>
          <t>Tretåig hackspett
Dropptaggsvamp
Vedticka</t>
        </is>
      </c>
      <c r="S133">
        <f>HYPERLINK("https://klasma.github.io/Logging_2281/artfynd/A 60864-2023 artfynd.xlsx", "A 60864-2023")</f>
        <v/>
      </c>
      <c r="T133">
        <f>HYPERLINK("https://klasma.github.io/Logging_2281/kartor/A 60864-2023 karta.png", "A 60864-2023")</f>
        <v/>
      </c>
      <c r="V133">
        <f>HYPERLINK("https://klasma.github.io/Logging_2281/klagomål/A 60864-2023 FSC-klagomål.docx", "A 60864-2023")</f>
        <v/>
      </c>
      <c r="W133">
        <f>HYPERLINK("https://klasma.github.io/Logging_2281/klagomålsmail/A 60864-2023 FSC-klagomål mail.docx", "A 60864-2023")</f>
        <v/>
      </c>
      <c r="X133">
        <f>HYPERLINK("https://klasma.github.io/Logging_2281/tillsyn/A 60864-2023 tillsynsbegäran.docx", "A 60864-2023")</f>
        <v/>
      </c>
      <c r="Y133">
        <f>HYPERLINK("https://klasma.github.io/Logging_2281/tillsynsmail/A 60864-2023 tillsynsbegäran mail.docx", "A 60864-2023")</f>
        <v/>
      </c>
      <c r="Z133">
        <f>HYPERLINK("https://klasma.github.io/Logging_2281/fåglar/A 60864-2023 prioriterade fågelarter.docx", "A 60864-2023")</f>
        <v/>
      </c>
    </row>
    <row r="134" ht="15" customHeight="1">
      <c r="A134" t="inlineStr">
        <is>
          <t>A 14820-2024</t>
        </is>
      </c>
      <c r="B134" s="1" t="n">
        <v>45397</v>
      </c>
      <c r="C134" s="1" t="n">
        <v>45825</v>
      </c>
      <c r="D134" t="inlineStr">
        <is>
          <t>VÄSTERNORRLANDS LÄN</t>
        </is>
      </c>
      <c r="E134" t="inlineStr">
        <is>
          <t>SUNDSVALL</t>
        </is>
      </c>
      <c r="F134" t="inlineStr">
        <is>
          <t>SCA</t>
        </is>
      </c>
      <c r="G134" t="n">
        <v>13.1</v>
      </c>
      <c r="H134" t="n">
        <v>0</v>
      </c>
      <c r="I134" t="n">
        <v>1</v>
      </c>
      <c r="J134" t="n">
        <v>2</v>
      </c>
      <c r="K134" t="n">
        <v>0</v>
      </c>
      <c r="L134" t="n">
        <v>0</v>
      </c>
      <c r="M134" t="n">
        <v>0</v>
      </c>
      <c r="N134" t="n">
        <v>0</v>
      </c>
      <c r="O134" t="n">
        <v>2</v>
      </c>
      <c r="P134" t="n">
        <v>0</v>
      </c>
      <c r="Q134" t="n">
        <v>3</v>
      </c>
      <c r="R134" s="2" t="inlineStr">
        <is>
          <t>Garnlav
Lunglav
Luddlav</t>
        </is>
      </c>
      <c r="S134">
        <f>HYPERLINK("https://klasma.github.io/Logging_2281/artfynd/A 14820-2024 artfynd.xlsx", "A 14820-2024")</f>
        <v/>
      </c>
      <c r="T134">
        <f>HYPERLINK("https://klasma.github.io/Logging_2281/kartor/A 14820-2024 karta.png", "A 14820-2024")</f>
        <v/>
      </c>
      <c r="V134">
        <f>HYPERLINK("https://klasma.github.io/Logging_2281/klagomål/A 14820-2024 FSC-klagomål.docx", "A 14820-2024")</f>
        <v/>
      </c>
      <c r="W134">
        <f>HYPERLINK("https://klasma.github.io/Logging_2281/klagomålsmail/A 14820-2024 FSC-klagomål mail.docx", "A 14820-2024")</f>
        <v/>
      </c>
      <c r="X134">
        <f>HYPERLINK("https://klasma.github.io/Logging_2281/tillsyn/A 14820-2024 tillsynsbegäran.docx", "A 14820-2024")</f>
        <v/>
      </c>
      <c r="Y134">
        <f>HYPERLINK("https://klasma.github.io/Logging_2281/tillsynsmail/A 14820-2024 tillsynsbegäran mail.docx", "A 14820-2024")</f>
        <v/>
      </c>
    </row>
    <row r="135" ht="15" customHeight="1">
      <c r="A135" t="inlineStr">
        <is>
          <t>A 24782-2024</t>
        </is>
      </c>
      <c r="B135" s="1" t="n">
        <v>45460</v>
      </c>
      <c r="C135" s="1" t="n">
        <v>45825</v>
      </c>
      <c r="D135" t="inlineStr">
        <is>
          <t>VÄSTERNORRLANDS LÄN</t>
        </is>
      </c>
      <c r="E135" t="inlineStr">
        <is>
          <t>SUNDSVALL</t>
        </is>
      </c>
      <c r="F135" t="inlineStr">
        <is>
          <t>Kommuner</t>
        </is>
      </c>
      <c r="G135" t="n">
        <v>2.6</v>
      </c>
      <c r="H135" t="n">
        <v>3</v>
      </c>
      <c r="I135" t="n">
        <v>0</v>
      </c>
      <c r="J135" t="n">
        <v>3</v>
      </c>
      <c r="K135" t="n">
        <v>0</v>
      </c>
      <c r="L135" t="n">
        <v>0</v>
      </c>
      <c r="M135" t="n">
        <v>0</v>
      </c>
      <c r="N135" t="n">
        <v>0</v>
      </c>
      <c r="O135" t="n">
        <v>3</v>
      </c>
      <c r="P135" t="n">
        <v>0</v>
      </c>
      <c r="Q135" t="n">
        <v>3</v>
      </c>
      <c r="R135" s="2" t="inlineStr">
        <is>
          <t>Grönsångare
Talltita
Tretåig hackspett</t>
        </is>
      </c>
      <c r="S135">
        <f>HYPERLINK("https://klasma.github.io/Logging_2281/artfynd/A 24782-2024 artfynd.xlsx", "A 24782-2024")</f>
        <v/>
      </c>
      <c r="T135">
        <f>HYPERLINK("https://klasma.github.io/Logging_2281/kartor/A 24782-2024 karta.png", "A 24782-2024")</f>
        <v/>
      </c>
      <c r="V135">
        <f>HYPERLINK("https://klasma.github.io/Logging_2281/klagomål/A 24782-2024 FSC-klagomål.docx", "A 24782-2024")</f>
        <v/>
      </c>
      <c r="W135">
        <f>HYPERLINK("https://klasma.github.io/Logging_2281/klagomålsmail/A 24782-2024 FSC-klagomål mail.docx", "A 24782-2024")</f>
        <v/>
      </c>
      <c r="X135">
        <f>HYPERLINK("https://klasma.github.io/Logging_2281/tillsyn/A 24782-2024 tillsynsbegäran.docx", "A 24782-2024")</f>
        <v/>
      </c>
      <c r="Y135">
        <f>HYPERLINK("https://klasma.github.io/Logging_2281/tillsynsmail/A 24782-2024 tillsynsbegäran mail.docx", "A 24782-2024")</f>
        <v/>
      </c>
      <c r="Z135">
        <f>HYPERLINK("https://klasma.github.io/Logging_2281/fåglar/A 24782-2024 prioriterade fågelarter.docx", "A 24782-2024")</f>
        <v/>
      </c>
    </row>
    <row r="136" ht="15" customHeight="1">
      <c r="A136" t="inlineStr">
        <is>
          <t>A 31515-2024</t>
        </is>
      </c>
      <c r="B136" s="1" t="n">
        <v>45505</v>
      </c>
      <c r="C136" s="1" t="n">
        <v>45825</v>
      </c>
      <c r="D136" t="inlineStr">
        <is>
          <t>VÄSTERNORRLANDS LÄN</t>
        </is>
      </c>
      <c r="E136" t="inlineStr">
        <is>
          <t>SUNDSVALL</t>
        </is>
      </c>
      <c r="F136" t="inlineStr">
        <is>
          <t>SCA</t>
        </is>
      </c>
      <c r="G136" t="n">
        <v>2.7</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HYPERLINK("https://klasma.github.io/Logging_2281/artfynd/A 31515-2024 artfynd.xlsx", "A 31515-2024")</f>
        <v/>
      </c>
      <c r="T136">
        <f>HYPERLINK("https://klasma.github.io/Logging_2281/kartor/A 31515-2024 karta.png", "A 31515-2024")</f>
        <v/>
      </c>
      <c r="V136">
        <f>HYPERLINK("https://klasma.github.io/Logging_2281/klagomål/A 31515-2024 FSC-klagomål.docx", "A 31515-2024")</f>
        <v/>
      </c>
      <c r="W136">
        <f>HYPERLINK("https://klasma.github.io/Logging_2281/klagomålsmail/A 31515-2024 FSC-klagomål mail.docx", "A 31515-2024")</f>
        <v/>
      </c>
      <c r="X136">
        <f>HYPERLINK("https://klasma.github.io/Logging_2281/tillsyn/A 31515-2024 tillsynsbegäran.docx", "A 31515-2024")</f>
        <v/>
      </c>
      <c r="Y136">
        <f>HYPERLINK("https://klasma.github.io/Logging_2281/tillsynsmail/A 31515-2024 tillsynsbegäran mail.docx", "A 31515-2024")</f>
        <v/>
      </c>
    </row>
    <row r="137" ht="15" customHeight="1">
      <c r="A137" t="inlineStr">
        <is>
          <t>A 55550-2024</t>
        </is>
      </c>
      <c r="B137" s="1" t="n">
        <v>45622</v>
      </c>
      <c r="C137" s="1" t="n">
        <v>45825</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12894-2025</t>
        </is>
      </c>
      <c r="B138" s="1" t="n">
        <v>45733</v>
      </c>
      <c r="C138" s="1" t="n">
        <v>45825</v>
      </c>
      <c r="D138" t="inlineStr">
        <is>
          <t>VÄSTERNORRLANDS LÄN</t>
        </is>
      </c>
      <c r="E138" t="inlineStr">
        <is>
          <t>SUNDSVALL</t>
        </is>
      </c>
      <c r="G138" t="n">
        <v>8.199999999999999</v>
      </c>
      <c r="H138" t="n">
        <v>1</v>
      </c>
      <c r="I138" t="n">
        <v>0</v>
      </c>
      <c r="J138" t="n">
        <v>2</v>
      </c>
      <c r="K138" t="n">
        <v>1</v>
      </c>
      <c r="L138" t="n">
        <v>0</v>
      </c>
      <c r="M138" t="n">
        <v>0</v>
      </c>
      <c r="N138" t="n">
        <v>0</v>
      </c>
      <c r="O138" t="n">
        <v>3</v>
      </c>
      <c r="P138" t="n">
        <v>1</v>
      </c>
      <c r="Q138" t="n">
        <v>3</v>
      </c>
      <c r="R138" s="2" t="inlineStr">
        <is>
          <t>Knärot
Lunglav
Ullticka</t>
        </is>
      </c>
      <c r="S138">
        <f>HYPERLINK("https://klasma.github.io/Logging_222281/artfynd/A 12894-2025 artfynd.xlsx", "A 12894-2025")</f>
        <v/>
      </c>
      <c r="T138">
        <f>HYPERLINK("https://klasma.github.io/Logging_222281/kartor/A 12894-2025 karta.png", "A 12894-2025")</f>
        <v/>
      </c>
      <c r="U138">
        <f>HYPERLINK("https://klasma.github.io/Logging_222281/knärot/A 12894-2025 karta knärot.png", "A 12894-2025")</f>
        <v/>
      </c>
      <c r="V138">
        <f>HYPERLINK("https://klasma.github.io/Logging_222281/klagomål/A 12894-2025 FSC-klagomål.docx", "A 12894-2025")</f>
        <v/>
      </c>
      <c r="W138">
        <f>HYPERLINK("https://klasma.github.io/Logging_222281/klagomålsmail/A 12894-2025 FSC-klagomål mail.docx", "A 12894-2025")</f>
        <v/>
      </c>
      <c r="X138">
        <f>HYPERLINK("https://klasma.github.io/Logging_222281/tillsyn/A 12894-2025 tillsynsbegäran.docx", "A 12894-2025")</f>
        <v/>
      </c>
      <c r="Y138">
        <f>HYPERLINK("https://klasma.github.io/Logging_222281/tillsynsmail/A 12894-2025 tillsynsbegäran mail.docx", "A 12894-2025")</f>
        <v/>
      </c>
    </row>
    <row r="139" ht="15" customHeight="1">
      <c r="A139" t="inlineStr">
        <is>
          <t>A 14545-2025</t>
        </is>
      </c>
      <c r="B139" s="1" t="n">
        <v>45741</v>
      </c>
      <c r="C139" s="1" t="n">
        <v>45825</v>
      </c>
      <c r="D139" t="inlineStr">
        <is>
          <t>VÄSTERNORRLANDS LÄN</t>
        </is>
      </c>
      <c r="E139" t="inlineStr">
        <is>
          <t>SUNDSVALL</t>
        </is>
      </c>
      <c r="F139" t="inlineStr">
        <is>
          <t>SCA</t>
        </is>
      </c>
      <c r="G139" t="n">
        <v>6.2</v>
      </c>
      <c r="H139" t="n">
        <v>2</v>
      </c>
      <c r="I139" t="n">
        <v>0</v>
      </c>
      <c r="J139" t="n">
        <v>1</v>
      </c>
      <c r="K139" t="n">
        <v>1</v>
      </c>
      <c r="L139" t="n">
        <v>0</v>
      </c>
      <c r="M139" t="n">
        <v>0</v>
      </c>
      <c r="N139" t="n">
        <v>0</v>
      </c>
      <c r="O139" t="n">
        <v>2</v>
      </c>
      <c r="P139" t="n">
        <v>1</v>
      </c>
      <c r="Q139" t="n">
        <v>3</v>
      </c>
      <c r="R139" s="2" t="inlineStr">
        <is>
          <t>Knärot
Garnlav
Revlummer</t>
        </is>
      </c>
      <c r="S139">
        <f>HYPERLINK("https://klasma.github.io/Logging_222281/artfynd/A 14545-2025 artfynd.xlsx", "A 14545-2025")</f>
        <v/>
      </c>
      <c r="T139">
        <f>HYPERLINK("https://klasma.github.io/Logging_222281/kartor/A 14545-2025 karta.png", "A 14545-2025")</f>
        <v/>
      </c>
      <c r="U139">
        <f>HYPERLINK("https://klasma.github.io/Logging_222281/knärot/A 14545-2025 karta knärot.png", "A 14545-2025")</f>
        <v/>
      </c>
      <c r="V139">
        <f>HYPERLINK("https://klasma.github.io/Logging_222281/klagomål/A 14545-2025 FSC-klagomål.docx", "A 14545-2025")</f>
        <v/>
      </c>
      <c r="W139">
        <f>HYPERLINK("https://klasma.github.io/Logging_222281/klagomålsmail/A 14545-2025 FSC-klagomål mail.docx", "A 14545-2025")</f>
        <v/>
      </c>
      <c r="X139">
        <f>HYPERLINK("https://klasma.github.io/Logging_222281/tillsyn/A 14545-2025 tillsynsbegäran.docx", "A 14545-2025")</f>
        <v/>
      </c>
      <c r="Y139">
        <f>HYPERLINK("https://klasma.github.io/Logging_222281/tillsynsmail/A 14545-2025 tillsynsbegäran mail.docx", "A 14545-2025")</f>
        <v/>
      </c>
    </row>
    <row r="140" ht="15" customHeight="1">
      <c r="A140" t="inlineStr">
        <is>
          <t>A 20077-2025</t>
        </is>
      </c>
      <c r="B140" s="1" t="n">
        <v>45772</v>
      </c>
      <c r="C140" s="1" t="n">
        <v>45825</v>
      </c>
      <c r="D140" t="inlineStr">
        <is>
          <t>VÄSTERNORRLANDS LÄN</t>
        </is>
      </c>
      <c r="E140" t="inlineStr">
        <is>
          <t>SUNDSVALL</t>
        </is>
      </c>
      <c r="F140" t="inlineStr">
        <is>
          <t>Naturvårdsverket</t>
        </is>
      </c>
      <c r="G140" t="n">
        <v>7</v>
      </c>
      <c r="H140" t="n">
        <v>0</v>
      </c>
      <c r="I140" t="n">
        <v>0</v>
      </c>
      <c r="J140" t="n">
        <v>3</v>
      </c>
      <c r="K140" t="n">
        <v>0</v>
      </c>
      <c r="L140" t="n">
        <v>0</v>
      </c>
      <c r="M140" t="n">
        <v>0</v>
      </c>
      <c r="N140" t="n">
        <v>0</v>
      </c>
      <c r="O140" t="n">
        <v>3</v>
      </c>
      <c r="P140" t="n">
        <v>0</v>
      </c>
      <c r="Q140" t="n">
        <v>3</v>
      </c>
      <c r="R140" s="2" t="inlineStr">
        <is>
          <t>Kolflarnlav
Lunglav
Vedflamlav</t>
        </is>
      </c>
      <c r="S140">
        <f>HYPERLINK("https://klasma.github.io/Logging_222281/artfynd/A 20077-2025 artfynd.xlsx", "A 20077-2025")</f>
        <v/>
      </c>
      <c r="T140">
        <f>HYPERLINK("https://klasma.github.io/Logging_222281/kartor/A 20077-2025 karta.png", "A 20077-2025")</f>
        <v/>
      </c>
      <c r="V140">
        <f>HYPERLINK("https://klasma.github.io/Logging_222281/klagomål/A 20077-2025 FSC-klagomål.docx", "A 20077-2025")</f>
        <v/>
      </c>
      <c r="W140">
        <f>HYPERLINK("https://klasma.github.io/Logging_222281/klagomålsmail/A 20077-2025 FSC-klagomål mail.docx", "A 20077-2025")</f>
        <v/>
      </c>
      <c r="X140">
        <f>HYPERLINK("https://klasma.github.io/Logging_222281/tillsyn/A 20077-2025 tillsynsbegäran.docx", "A 20077-2025")</f>
        <v/>
      </c>
      <c r="Y140">
        <f>HYPERLINK("https://klasma.github.io/Logging_222281/tillsynsmail/A 20077-2025 tillsynsbegäran mail.docx", "A 20077-2025")</f>
        <v/>
      </c>
    </row>
    <row r="141" ht="15" customHeight="1">
      <c r="A141" t="inlineStr">
        <is>
          <t>A 21036-2025</t>
        </is>
      </c>
      <c r="B141" s="1" t="n">
        <v>45777</v>
      </c>
      <c r="C141" s="1" t="n">
        <v>45825</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HYPERLINK("https://klasma.github.io/Logging_222281/artfynd/A 21036-2025 artfynd.xlsx", "A 21036-2025")</f>
        <v/>
      </c>
      <c r="T141">
        <f>HYPERLINK("https://klasma.github.io/Logging_222281/kartor/A 21036-2025 karta.png", "A 21036-2025")</f>
        <v/>
      </c>
      <c r="V141">
        <f>HYPERLINK("https://klasma.github.io/Logging_222281/klagomål/A 21036-2025 FSC-klagomål.docx", "A 21036-2025")</f>
        <v/>
      </c>
      <c r="W141">
        <f>HYPERLINK("https://klasma.github.io/Logging_222281/klagomålsmail/A 21036-2025 FSC-klagomål mail.docx", "A 21036-2025")</f>
        <v/>
      </c>
      <c r="X141">
        <f>HYPERLINK("https://klasma.github.io/Logging_222281/tillsyn/A 21036-2025 tillsynsbegäran.docx", "A 21036-2025")</f>
        <v/>
      </c>
      <c r="Y141">
        <f>HYPERLINK("https://klasma.github.io/Logging_222281/tillsynsmail/A 21036-2025 tillsynsbegäran mail.docx", "A 21036-2025")</f>
        <v/>
      </c>
    </row>
    <row r="142" ht="15" customHeight="1">
      <c r="A142" t="inlineStr">
        <is>
          <t>A 24057-2025</t>
        </is>
      </c>
      <c r="B142" s="1" t="n">
        <v>45796</v>
      </c>
      <c r="C142" s="1" t="n">
        <v>45825</v>
      </c>
      <c r="D142" t="inlineStr">
        <is>
          <t>VÄSTERNORRLANDS LÄN</t>
        </is>
      </c>
      <c r="E142" t="inlineStr">
        <is>
          <t>SUNDSVALL</t>
        </is>
      </c>
      <c r="F142" t="inlineStr">
        <is>
          <t>Naturvårdsverket</t>
        </is>
      </c>
      <c r="G142" t="n">
        <v>11.7</v>
      </c>
      <c r="H142" t="n">
        <v>1</v>
      </c>
      <c r="I142" t="n">
        <v>1</v>
      </c>
      <c r="J142" t="n">
        <v>1</v>
      </c>
      <c r="K142" t="n">
        <v>0</v>
      </c>
      <c r="L142" t="n">
        <v>0</v>
      </c>
      <c r="M142" t="n">
        <v>0</v>
      </c>
      <c r="N142" t="n">
        <v>0</v>
      </c>
      <c r="O142" t="n">
        <v>1</v>
      </c>
      <c r="P142" t="n">
        <v>0</v>
      </c>
      <c r="Q142" t="n">
        <v>3</v>
      </c>
      <c r="R142" s="2" t="inlineStr">
        <is>
          <t>Lunglav
Stuplav
Huggorm</t>
        </is>
      </c>
      <c r="S142">
        <f>HYPERLINK("https://klasma.github.io/Logging_222281/artfynd/A 24057-2025 artfynd.xlsx", "A 24057-2025")</f>
        <v/>
      </c>
      <c r="T142">
        <f>HYPERLINK("https://klasma.github.io/Logging_222281/kartor/A 24057-2025 karta.png", "A 24057-2025")</f>
        <v/>
      </c>
      <c r="V142">
        <f>HYPERLINK("https://klasma.github.io/Logging_222281/klagomål/A 24057-2025 FSC-klagomål.docx", "A 24057-2025")</f>
        <v/>
      </c>
      <c r="W142">
        <f>HYPERLINK("https://klasma.github.io/Logging_222281/klagomålsmail/A 24057-2025 FSC-klagomål mail.docx", "A 24057-2025")</f>
        <v/>
      </c>
      <c r="X142">
        <f>HYPERLINK("https://klasma.github.io/Logging_222281/tillsyn/A 24057-2025 tillsynsbegäran.docx", "A 24057-2025")</f>
        <v/>
      </c>
      <c r="Y142">
        <f>HYPERLINK("https://klasma.github.io/Logging_222281/tillsynsmail/A 24057-2025 tillsynsbegäran mail.docx", "A 24057-2025")</f>
        <v/>
      </c>
    </row>
    <row r="143" ht="15" customHeight="1">
      <c r="A143" t="inlineStr">
        <is>
          <t>A 24392-2025</t>
        </is>
      </c>
      <c r="B143" s="1" t="n">
        <v>45797</v>
      </c>
      <c r="C143" s="1" t="n">
        <v>45825</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HYPERLINK("https://klasma.github.io/Logging_222281/artfynd/A 24392-2025 artfynd.xlsx", "A 24392-2025")</f>
        <v/>
      </c>
      <c r="T143">
        <f>HYPERLINK("https://klasma.github.io/Logging_222281/kartor/A 24392-2025 karta.png", "A 24392-2025")</f>
        <v/>
      </c>
      <c r="V143">
        <f>HYPERLINK("https://klasma.github.io/Logging_222281/klagomål/A 24392-2025 FSC-klagomål.docx", "A 24392-2025")</f>
        <v/>
      </c>
      <c r="W143">
        <f>HYPERLINK("https://klasma.github.io/Logging_222281/klagomålsmail/A 24392-2025 FSC-klagomål mail.docx", "A 24392-2025")</f>
        <v/>
      </c>
      <c r="X143">
        <f>HYPERLINK("https://klasma.github.io/Logging_222281/tillsyn/A 24392-2025 tillsynsbegäran.docx", "A 24392-2025")</f>
        <v/>
      </c>
      <c r="Y143">
        <f>HYPERLINK("https://klasma.github.io/Logging_222281/tillsynsmail/A 24392-2025 tillsynsbegäran mail.docx", "A 24392-2025")</f>
        <v/>
      </c>
      <c r="Z143">
        <f>HYPERLINK("https://klasma.github.io/Logging_222281/fåglar/A 24392-2025 prioriterade fågelarter.docx", "A 24392-2025")</f>
        <v/>
      </c>
    </row>
    <row r="144" ht="15" customHeight="1">
      <c r="A144" t="inlineStr">
        <is>
          <t>A 47808-2019</t>
        </is>
      </c>
      <c r="B144" s="1" t="n">
        <v>43724</v>
      </c>
      <c r="C144" s="1" t="n">
        <v>45825</v>
      </c>
      <c r="D144" t="inlineStr">
        <is>
          <t>VÄSTERNORRLANDS LÄN</t>
        </is>
      </c>
      <c r="E144" t="inlineStr">
        <is>
          <t>SUNDSVALL</t>
        </is>
      </c>
      <c r="F144" t="inlineStr">
        <is>
          <t>SCA</t>
        </is>
      </c>
      <c r="G144" t="n">
        <v>3.6</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47808-2019 artfynd.xlsx", "A 47808-2019")</f>
        <v/>
      </c>
      <c r="T144">
        <f>HYPERLINK("https://klasma.github.io/Logging_2281/kartor/A 47808-2019 karta.png", "A 47808-2019")</f>
        <v/>
      </c>
      <c r="V144">
        <f>HYPERLINK("https://klasma.github.io/Logging_2281/klagomål/A 47808-2019 FSC-klagomål.docx", "A 47808-2019")</f>
        <v/>
      </c>
      <c r="W144">
        <f>HYPERLINK("https://klasma.github.io/Logging_2281/klagomålsmail/A 47808-2019 FSC-klagomål mail.docx", "A 47808-2019")</f>
        <v/>
      </c>
      <c r="X144">
        <f>HYPERLINK("https://klasma.github.io/Logging_2281/tillsyn/A 47808-2019 tillsynsbegäran.docx", "A 47808-2019")</f>
        <v/>
      </c>
      <c r="Y144">
        <f>HYPERLINK("https://klasma.github.io/Logging_2281/tillsynsmail/A 47808-2019 tillsynsbegäran mail.docx", "A 47808-2019")</f>
        <v/>
      </c>
    </row>
    <row r="145" ht="15" customHeight="1">
      <c r="A145" t="inlineStr">
        <is>
          <t>A 7637-2021</t>
        </is>
      </c>
      <c r="B145" s="1" t="n">
        <v>44242</v>
      </c>
      <c r="C145" s="1" t="n">
        <v>45825</v>
      </c>
      <c r="D145" t="inlineStr">
        <is>
          <t>VÄSTERNORRLANDS LÄN</t>
        </is>
      </c>
      <c r="E145" t="inlineStr">
        <is>
          <t>SUNDSVALL</t>
        </is>
      </c>
      <c r="G145" t="n">
        <v>3.9</v>
      </c>
      <c r="H145" t="n">
        <v>2</v>
      </c>
      <c r="I145" t="n">
        <v>0</v>
      </c>
      <c r="J145" t="n">
        <v>1</v>
      </c>
      <c r="K145" t="n">
        <v>0</v>
      </c>
      <c r="L145" t="n">
        <v>0</v>
      </c>
      <c r="M145" t="n">
        <v>0</v>
      </c>
      <c r="N145" t="n">
        <v>0</v>
      </c>
      <c r="O145" t="n">
        <v>1</v>
      </c>
      <c r="P145" t="n">
        <v>0</v>
      </c>
      <c r="Q145" t="n">
        <v>2</v>
      </c>
      <c r="R145" s="2" t="inlineStr">
        <is>
          <t>Spillkråka
Gröngöling</t>
        </is>
      </c>
      <c r="S145">
        <f>HYPERLINK("https://klasma.github.io/Logging_2281/artfynd/A 7637-2021 artfynd.xlsx", "A 7637-2021")</f>
        <v/>
      </c>
      <c r="T145">
        <f>HYPERLINK("https://klasma.github.io/Logging_2281/kartor/A 7637-2021 karta.png", "A 7637-2021")</f>
        <v/>
      </c>
      <c r="V145">
        <f>HYPERLINK("https://klasma.github.io/Logging_2281/klagomål/A 7637-2021 FSC-klagomål.docx", "A 7637-2021")</f>
        <v/>
      </c>
      <c r="W145">
        <f>HYPERLINK("https://klasma.github.io/Logging_2281/klagomålsmail/A 7637-2021 FSC-klagomål mail.docx", "A 7637-2021")</f>
        <v/>
      </c>
      <c r="X145">
        <f>HYPERLINK("https://klasma.github.io/Logging_2281/tillsyn/A 7637-2021 tillsynsbegäran.docx", "A 7637-2021")</f>
        <v/>
      </c>
      <c r="Y145">
        <f>HYPERLINK("https://klasma.github.io/Logging_2281/tillsynsmail/A 7637-2021 tillsynsbegäran mail.docx", "A 7637-2021")</f>
        <v/>
      </c>
      <c r="Z145">
        <f>HYPERLINK("https://klasma.github.io/Logging_2281/fåglar/A 7637-2021 prioriterade fågelarter.docx", "A 7637-2021")</f>
        <v/>
      </c>
    </row>
    <row r="146" ht="15" customHeight="1">
      <c r="A146" t="inlineStr">
        <is>
          <t>A 43196-2021</t>
        </is>
      </c>
      <c r="B146" s="1" t="n">
        <v>44431</v>
      </c>
      <c r="C146" s="1" t="n">
        <v>45825</v>
      </c>
      <c r="D146" t="inlineStr">
        <is>
          <t>VÄSTERNORRLANDS LÄN</t>
        </is>
      </c>
      <c r="E146" t="inlineStr">
        <is>
          <t>SUNDSVALL</t>
        </is>
      </c>
      <c r="G146" t="n">
        <v>1.9</v>
      </c>
      <c r="H146" t="n">
        <v>1</v>
      </c>
      <c r="I146" t="n">
        <v>0</v>
      </c>
      <c r="J146" t="n">
        <v>1</v>
      </c>
      <c r="K146" t="n">
        <v>0</v>
      </c>
      <c r="L146" t="n">
        <v>0</v>
      </c>
      <c r="M146" t="n">
        <v>0</v>
      </c>
      <c r="N146" t="n">
        <v>0</v>
      </c>
      <c r="O146" t="n">
        <v>1</v>
      </c>
      <c r="P146" t="n">
        <v>0</v>
      </c>
      <c r="Q146" t="n">
        <v>2</v>
      </c>
      <c r="R146" s="2" t="inlineStr">
        <is>
          <t>Garnlav
Revlummer</t>
        </is>
      </c>
      <c r="S146">
        <f>HYPERLINK("https://klasma.github.io/Logging_2281/artfynd/A 43196-2021 artfynd.xlsx", "A 43196-2021")</f>
        <v/>
      </c>
      <c r="T146">
        <f>HYPERLINK("https://klasma.github.io/Logging_2281/kartor/A 43196-2021 karta.png", "A 43196-2021")</f>
        <v/>
      </c>
      <c r="V146">
        <f>HYPERLINK("https://klasma.github.io/Logging_2281/klagomål/A 43196-2021 FSC-klagomål.docx", "A 43196-2021")</f>
        <v/>
      </c>
      <c r="W146">
        <f>HYPERLINK("https://klasma.github.io/Logging_2281/klagomålsmail/A 43196-2021 FSC-klagomål mail.docx", "A 43196-2021")</f>
        <v/>
      </c>
      <c r="X146">
        <f>HYPERLINK("https://klasma.github.io/Logging_2281/tillsyn/A 43196-2021 tillsynsbegäran.docx", "A 43196-2021")</f>
        <v/>
      </c>
      <c r="Y146">
        <f>HYPERLINK("https://klasma.github.io/Logging_2281/tillsynsmail/A 43196-2021 tillsynsbegäran mail.docx", "A 43196-2021")</f>
        <v/>
      </c>
    </row>
    <row r="147" ht="15" customHeight="1">
      <c r="A147" t="inlineStr">
        <is>
          <t>A 64919-2021</t>
        </is>
      </c>
      <c r="B147" s="1" t="n">
        <v>44512</v>
      </c>
      <c r="C147" s="1" t="n">
        <v>45825</v>
      </c>
      <c r="D147" t="inlineStr">
        <is>
          <t>VÄSTERNORRLANDS LÄN</t>
        </is>
      </c>
      <c r="E147" t="inlineStr">
        <is>
          <t>SUNDSVALL</t>
        </is>
      </c>
      <c r="F147" t="inlineStr">
        <is>
          <t>Kommuner</t>
        </is>
      </c>
      <c r="G147" t="n">
        <v>4.1</v>
      </c>
      <c r="H147" t="n">
        <v>1</v>
      </c>
      <c r="I147" t="n">
        <v>1</v>
      </c>
      <c r="J147" t="n">
        <v>1</v>
      </c>
      <c r="K147" t="n">
        <v>0</v>
      </c>
      <c r="L147" t="n">
        <v>0</v>
      </c>
      <c r="M147" t="n">
        <v>0</v>
      </c>
      <c r="N147" t="n">
        <v>0</v>
      </c>
      <c r="O147" t="n">
        <v>1</v>
      </c>
      <c r="P147" t="n">
        <v>0</v>
      </c>
      <c r="Q147" t="n">
        <v>2</v>
      </c>
      <c r="R147" s="2" t="inlineStr">
        <is>
          <t>Mindre hackspett
Scharlakansskål</t>
        </is>
      </c>
      <c r="S147">
        <f>HYPERLINK("https://klasma.github.io/Logging_2281/artfynd/A 64919-2021 artfynd.xlsx", "A 64919-2021")</f>
        <v/>
      </c>
      <c r="T147">
        <f>HYPERLINK("https://klasma.github.io/Logging_2281/kartor/A 64919-2021 karta.png", "A 64919-2021")</f>
        <v/>
      </c>
      <c r="V147">
        <f>HYPERLINK("https://klasma.github.io/Logging_2281/klagomål/A 64919-2021 FSC-klagomål.docx", "A 64919-2021")</f>
        <v/>
      </c>
      <c r="W147">
        <f>HYPERLINK("https://klasma.github.io/Logging_2281/klagomålsmail/A 64919-2021 FSC-klagomål mail.docx", "A 64919-2021")</f>
        <v/>
      </c>
      <c r="X147">
        <f>HYPERLINK("https://klasma.github.io/Logging_2281/tillsyn/A 64919-2021 tillsynsbegäran.docx", "A 64919-2021")</f>
        <v/>
      </c>
      <c r="Y147">
        <f>HYPERLINK("https://klasma.github.io/Logging_2281/tillsynsmail/A 64919-2021 tillsynsbegäran mail.docx", "A 64919-2021")</f>
        <v/>
      </c>
      <c r="Z147">
        <f>HYPERLINK("https://klasma.github.io/Logging_2281/fåglar/A 64919-2021 prioriterade fågelarter.docx", "A 64919-2021")</f>
        <v/>
      </c>
    </row>
    <row r="148" ht="15" customHeight="1">
      <c r="A148" t="inlineStr">
        <is>
          <t>A 5115-2022</t>
        </is>
      </c>
      <c r="B148" s="1" t="n">
        <v>44593</v>
      </c>
      <c r="C148" s="1" t="n">
        <v>45825</v>
      </c>
      <c r="D148" t="inlineStr">
        <is>
          <t>VÄSTERNORRLANDS LÄN</t>
        </is>
      </c>
      <c r="E148" t="inlineStr">
        <is>
          <t>SUNDSVALL</t>
        </is>
      </c>
      <c r="F148" t="inlineStr">
        <is>
          <t>SCA</t>
        </is>
      </c>
      <c r="G148" t="n">
        <v>13.6</v>
      </c>
      <c r="H148" t="n">
        <v>0</v>
      </c>
      <c r="I148" t="n">
        <v>1</v>
      </c>
      <c r="J148" t="n">
        <v>1</v>
      </c>
      <c r="K148" t="n">
        <v>0</v>
      </c>
      <c r="L148" t="n">
        <v>0</v>
      </c>
      <c r="M148" t="n">
        <v>0</v>
      </c>
      <c r="N148" t="n">
        <v>0</v>
      </c>
      <c r="O148" t="n">
        <v>1</v>
      </c>
      <c r="P148" t="n">
        <v>0</v>
      </c>
      <c r="Q148" t="n">
        <v>2</v>
      </c>
      <c r="R148" s="2" t="inlineStr">
        <is>
          <t>Lunglav
Norrlandslav</t>
        </is>
      </c>
      <c r="S148">
        <f>HYPERLINK("https://klasma.github.io/Logging_2281/artfynd/A 5115-2022 artfynd.xlsx", "A 5115-2022")</f>
        <v/>
      </c>
      <c r="T148">
        <f>HYPERLINK("https://klasma.github.io/Logging_2281/kartor/A 5115-2022 karta.png", "A 5115-2022")</f>
        <v/>
      </c>
      <c r="V148">
        <f>HYPERLINK("https://klasma.github.io/Logging_2281/klagomål/A 5115-2022 FSC-klagomål.docx", "A 5115-2022")</f>
        <v/>
      </c>
      <c r="W148">
        <f>HYPERLINK("https://klasma.github.io/Logging_2281/klagomålsmail/A 5115-2022 FSC-klagomål mail.docx", "A 5115-2022")</f>
        <v/>
      </c>
      <c r="X148">
        <f>HYPERLINK("https://klasma.github.io/Logging_2281/tillsyn/A 5115-2022 tillsynsbegäran.docx", "A 5115-2022")</f>
        <v/>
      </c>
      <c r="Y148">
        <f>HYPERLINK("https://klasma.github.io/Logging_2281/tillsynsmail/A 5115-2022 tillsynsbegäran mail.docx", "A 5115-2022")</f>
        <v/>
      </c>
    </row>
    <row r="149" ht="15" customHeight="1">
      <c r="A149" t="inlineStr">
        <is>
          <t>A 22567-2022</t>
        </is>
      </c>
      <c r="B149" s="1" t="n">
        <v>44713</v>
      </c>
      <c r="C149" s="1" t="n">
        <v>45825</v>
      </c>
      <c r="D149" t="inlineStr">
        <is>
          <t>VÄSTERNORRLANDS LÄN</t>
        </is>
      </c>
      <c r="E149" t="inlineStr">
        <is>
          <t>SUNDSVALL</t>
        </is>
      </c>
      <c r="F149" t="inlineStr">
        <is>
          <t>SCA</t>
        </is>
      </c>
      <c r="G149" t="n">
        <v>4.5</v>
      </c>
      <c r="H149" t="n">
        <v>0</v>
      </c>
      <c r="I149" t="n">
        <v>0</v>
      </c>
      <c r="J149" t="n">
        <v>2</v>
      </c>
      <c r="K149" t="n">
        <v>0</v>
      </c>
      <c r="L149" t="n">
        <v>0</v>
      </c>
      <c r="M149" t="n">
        <v>0</v>
      </c>
      <c r="N149" t="n">
        <v>0</v>
      </c>
      <c r="O149" t="n">
        <v>2</v>
      </c>
      <c r="P149" t="n">
        <v>0</v>
      </c>
      <c r="Q149" t="n">
        <v>2</v>
      </c>
      <c r="R149" s="2" t="inlineStr">
        <is>
          <t>Garnlav
Granticka</t>
        </is>
      </c>
      <c r="S149">
        <f>HYPERLINK("https://klasma.github.io/Logging_2281/artfynd/A 22567-2022 artfynd.xlsx", "A 22567-2022")</f>
        <v/>
      </c>
      <c r="T149">
        <f>HYPERLINK("https://klasma.github.io/Logging_2281/kartor/A 22567-2022 karta.png", "A 22567-2022")</f>
        <v/>
      </c>
      <c r="V149">
        <f>HYPERLINK("https://klasma.github.io/Logging_2281/klagomål/A 22567-2022 FSC-klagomål.docx", "A 22567-2022")</f>
        <v/>
      </c>
      <c r="W149">
        <f>HYPERLINK("https://klasma.github.io/Logging_2281/klagomålsmail/A 22567-2022 FSC-klagomål mail.docx", "A 22567-2022")</f>
        <v/>
      </c>
      <c r="X149">
        <f>HYPERLINK("https://klasma.github.io/Logging_2281/tillsyn/A 22567-2022 tillsynsbegäran.docx", "A 22567-2022")</f>
        <v/>
      </c>
      <c r="Y149">
        <f>HYPERLINK("https://klasma.github.io/Logging_2281/tillsynsmail/A 22567-2022 tillsynsbegäran mail.docx", "A 22567-2022")</f>
        <v/>
      </c>
    </row>
    <row r="150" ht="15" customHeight="1">
      <c r="A150" t="inlineStr">
        <is>
          <t>A 32766-2022</t>
        </is>
      </c>
      <c r="B150" s="1" t="n">
        <v>44783</v>
      </c>
      <c r="C150" s="1" t="n">
        <v>45825</v>
      </c>
      <c r="D150" t="inlineStr">
        <is>
          <t>VÄSTERNORRLANDS LÄN</t>
        </is>
      </c>
      <c r="E150" t="inlineStr">
        <is>
          <t>SUNDSVALL</t>
        </is>
      </c>
      <c r="F150" t="inlineStr">
        <is>
          <t>SCA</t>
        </is>
      </c>
      <c r="G150" t="n">
        <v>6.3</v>
      </c>
      <c r="H150" t="n">
        <v>0</v>
      </c>
      <c r="I150" t="n">
        <v>1</v>
      </c>
      <c r="J150" t="n">
        <v>1</v>
      </c>
      <c r="K150" t="n">
        <v>0</v>
      </c>
      <c r="L150" t="n">
        <v>0</v>
      </c>
      <c r="M150" t="n">
        <v>0</v>
      </c>
      <c r="N150" t="n">
        <v>0</v>
      </c>
      <c r="O150" t="n">
        <v>1</v>
      </c>
      <c r="P150" t="n">
        <v>0</v>
      </c>
      <c r="Q150" t="n">
        <v>2</v>
      </c>
      <c r="R150" s="2" t="inlineStr">
        <is>
          <t>Lunglav
Stor aspticka</t>
        </is>
      </c>
      <c r="S150">
        <f>HYPERLINK("https://klasma.github.io/Logging_2281/artfynd/A 32766-2022 artfynd.xlsx", "A 32766-2022")</f>
        <v/>
      </c>
      <c r="T150">
        <f>HYPERLINK("https://klasma.github.io/Logging_2281/kartor/A 32766-2022 karta.png", "A 32766-2022")</f>
        <v/>
      </c>
      <c r="V150">
        <f>HYPERLINK("https://klasma.github.io/Logging_2281/klagomål/A 32766-2022 FSC-klagomål.docx", "A 32766-2022")</f>
        <v/>
      </c>
      <c r="W150">
        <f>HYPERLINK("https://klasma.github.io/Logging_2281/klagomålsmail/A 32766-2022 FSC-klagomål mail.docx", "A 32766-2022")</f>
        <v/>
      </c>
      <c r="X150">
        <f>HYPERLINK("https://klasma.github.io/Logging_2281/tillsyn/A 32766-2022 tillsynsbegäran.docx", "A 32766-2022")</f>
        <v/>
      </c>
      <c r="Y150">
        <f>HYPERLINK("https://klasma.github.io/Logging_2281/tillsynsmail/A 32766-2022 tillsynsbegäran mail.docx", "A 32766-2022")</f>
        <v/>
      </c>
    </row>
    <row r="151" ht="15" customHeight="1">
      <c r="A151" t="inlineStr">
        <is>
          <t>A 41814-2022</t>
        </is>
      </c>
      <c r="B151" s="1" t="n">
        <v>44827</v>
      </c>
      <c r="C151" s="1" t="n">
        <v>45825</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46214-2022</t>
        </is>
      </c>
      <c r="B152" s="1" t="n">
        <v>44845</v>
      </c>
      <c r="C152" s="1" t="n">
        <v>45825</v>
      </c>
      <c r="D152" t="inlineStr">
        <is>
          <t>VÄSTERNORRLANDS LÄN</t>
        </is>
      </c>
      <c r="E152" t="inlineStr">
        <is>
          <t>SUNDSVALL</t>
        </is>
      </c>
      <c r="G152" t="n">
        <v>46.2</v>
      </c>
      <c r="H152" t="n">
        <v>2</v>
      </c>
      <c r="I152" t="n">
        <v>0</v>
      </c>
      <c r="J152" t="n">
        <v>0</v>
      </c>
      <c r="K152" t="n">
        <v>0</v>
      </c>
      <c r="L152" t="n">
        <v>0</v>
      </c>
      <c r="M152" t="n">
        <v>0</v>
      </c>
      <c r="N152" t="n">
        <v>0</v>
      </c>
      <c r="O152" t="n">
        <v>0</v>
      </c>
      <c r="P152" t="n">
        <v>0</v>
      </c>
      <c r="Q152" t="n">
        <v>2</v>
      </c>
      <c r="R152" s="2" t="inlineStr">
        <is>
          <t>Orre
Tjäder</t>
        </is>
      </c>
      <c r="S152">
        <f>HYPERLINK("https://klasma.github.io/Logging_2281/artfynd/A 46214-2022 artfynd.xlsx", "A 46214-2022")</f>
        <v/>
      </c>
      <c r="T152">
        <f>HYPERLINK("https://klasma.github.io/Logging_2281/kartor/A 46214-2022 karta.png", "A 46214-2022")</f>
        <v/>
      </c>
      <c r="V152">
        <f>HYPERLINK("https://klasma.github.io/Logging_2281/klagomål/A 46214-2022 FSC-klagomål.docx", "A 46214-2022")</f>
        <v/>
      </c>
      <c r="W152">
        <f>HYPERLINK("https://klasma.github.io/Logging_2281/klagomålsmail/A 46214-2022 FSC-klagomål mail.docx", "A 46214-2022")</f>
        <v/>
      </c>
      <c r="X152">
        <f>HYPERLINK("https://klasma.github.io/Logging_2281/tillsyn/A 46214-2022 tillsynsbegäran.docx", "A 46214-2022")</f>
        <v/>
      </c>
      <c r="Y152">
        <f>HYPERLINK("https://klasma.github.io/Logging_2281/tillsynsmail/A 46214-2022 tillsynsbegäran mail.docx", "A 46214-2022")</f>
        <v/>
      </c>
      <c r="Z152">
        <f>HYPERLINK("https://klasma.github.io/Logging_2281/fåglar/A 46214-2022 prioriterade fågelarter.docx", "A 46214-2022")</f>
        <v/>
      </c>
    </row>
    <row r="153" ht="15" customHeight="1">
      <c r="A153" t="inlineStr">
        <is>
          <t>A 52350-2022</t>
        </is>
      </c>
      <c r="B153" s="1" t="n">
        <v>44873</v>
      </c>
      <c r="C153" s="1" t="n">
        <v>45825</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52741-2022</t>
        </is>
      </c>
      <c r="B154" s="1" t="n">
        <v>44874</v>
      </c>
      <c r="C154" s="1" t="n">
        <v>45825</v>
      </c>
      <c r="D154" t="inlineStr">
        <is>
          <t>VÄSTERNORRLANDS LÄN</t>
        </is>
      </c>
      <c r="E154" t="inlineStr">
        <is>
          <t>SUNDSVALL</t>
        </is>
      </c>
      <c r="F154" t="inlineStr">
        <is>
          <t>SCA</t>
        </is>
      </c>
      <c r="G154" t="n">
        <v>5.2</v>
      </c>
      <c r="H154" t="n">
        <v>1</v>
      </c>
      <c r="I154" t="n">
        <v>1</v>
      </c>
      <c r="J154" t="n">
        <v>1</v>
      </c>
      <c r="K154" t="n">
        <v>0</v>
      </c>
      <c r="L154" t="n">
        <v>0</v>
      </c>
      <c r="M154" t="n">
        <v>0</v>
      </c>
      <c r="N154" t="n">
        <v>0</v>
      </c>
      <c r="O154" t="n">
        <v>1</v>
      </c>
      <c r="P154" t="n">
        <v>0</v>
      </c>
      <c r="Q154" t="n">
        <v>2</v>
      </c>
      <c r="R154" s="2" t="inlineStr">
        <is>
          <t>Videsparv
Skuggblåslav</t>
        </is>
      </c>
      <c r="S154">
        <f>HYPERLINK("https://klasma.github.io/Logging_2281/artfynd/A 52741-2022 artfynd.xlsx", "A 52741-2022")</f>
        <v/>
      </c>
      <c r="T154">
        <f>HYPERLINK("https://klasma.github.io/Logging_2281/kartor/A 52741-2022 karta.png", "A 52741-2022")</f>
        <v/>
      </c>
      <c r="V154">
        <f>HYPERLINK("https://klasma.github.io/Logging_2281/klagomål/A 52741-2022 FSC-klagomål.docx", "A 52741-2022")</f>
        <v/>
      </c>
      <c r="W154">
        <f>HYPERLINK("https://klasma.github.io/Logging_2281/klagomålsmail/A 52741-2022 FSC-klagomål mail.docx", "A 52741-2022")</f>
        <v/>
      </c>
      <c r="X154">
        <f>HYPERLINK("https://klasma.github.io/Logging_2281/tillsyn/A 52741-2022 tillsynsbegäran.docx", "A 52741-2022")</f>
        <v/>
      </c>
      <c r="Y154">
        <f>HYPERLINK("https://klasma.github.io/Logging_2281/tillsynsmail/A 52741-2022 tillsynsbegäran mail.docx", "A 52741-2022")</f>
        <v/>
      </c>
      <c r="Z154">
        <f>HYPERLINK("https://klasma.github.io/Logging_2281/fåglar/A 52741-2022 prioriterade fågelarter.docx", "A 52741-2022")</f>
        <v/>
      </c>
    </row>
    <row r="155" ht="15" customHeight="1">
      <c r="A155" t="inlineStr">
        <is>
          <t>A 53942-2022</t>
        </is>
      </c>
      <c r="B155" s="1" t="n">
        <v>44880</v>
      </c>
      <c r="C155" s="1" t="n">
        <v>45825</v>
      </c>
      <c r="D155" t="inlineStr">
        <is>
          <t>VÄSTERNORRLANDS LÄN</t>
        </is>
      </c>
      <c r="E155" t="inlineStr">
        <is>
          <t>SUNDSVALL</t>
        </is>
      </c>
      <c r="F155" t="inlineStr">
        <is>
          <t>SCA</t>
        </is>
      </c>
      <c r="G155" t="n">
        <v>3.5</v>
      </c>
      <c r="H155" t="n">
        <v>0</v>
      </c>
      <c r="I155" t="n">
        <v>1</v>
      </c>
      <c r="J155" t="n">
        <v>1</v>
      </c>
      <c r="K155" t="n">
        <v>0</v>
      </c>
      <c r="L155" t="n">
        <v>0</v>
      </c>
      <c r="M155" t="n">
        <v>0</v>
      </c>
      <c r="N155" t="n">
        <v>0</v>
      </c>
      <c r="O155" t="n">
        <v>1</v>
      </c>
      <c r="P155" t="n">
        <v>0</v>
      </c>
      <c r="Q155" t="n">
        <v>2</v>
      </c>
      <c r="R155" s="2" t="inlineStr">
        <is>
          <t>Lunglav
Vedticka</t>
        </is>
      </c>
      <c r="S155">
        <f>HYPERLINK("https://klasma.github.io/Logging_2281/artfynd/A 53942-2022 artfynd.xlsx", "A 53942-2022")</f>
        <v/>
      </c>
      <c r="T155">
        <f>HYPERLINK("https://klasma.github.io/Logging_2281/kartor/A 53942-2022 karta.png", "A 53942-2022")</f>
        <v/>
      </c>
      <c r="V155">
        <f>HYPERLINK("https://klasma.github.io/Logging_2281/klagomål/A 53942-2022 FSC-klagomål.docx", "A 53942-2022")</f>
        <v/>
      </c>
      <c r="W155">
        <f>HYPERLINK("https://klasma.github.io/Logging_2281/klagomålsmail/A 53942-2022 FSC-klagomål mail.docx", "A 53942-2022")</f>
        <v/>
      </c>
      <c r="X155">
        <f>HYPERLINK("https://klasma.github.io/Logging_2281/tillsyn/A 53942-2022 tillsynsbegäran.docx", "A 53942-2022")</f>
        <v/>
      </c>
      <c r="Y155">
        <f>HYPERLINK("https://klasma.github.io/Logging_2281/tillsynsmail/A 53942-2022 tillsynsbegäran mail.docx", "A 53942-2022")</f>
        <v/>
      </c>
    </row>
    <row r="156" ht="15" customHeight="1">
      <c r="A156" t="inlineStr">
        <is>
          <t>A 58191-2022</t>
        </is>
      </c>
      <c r="B156" s="1" t="n">
        <v>44900</v>
      </c>
      <c r="C156" s="1" t="n">
        <v>45825</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18998-2023</t>
        </is>
      </c>
      <c r="B157" s="1" t="n">
        <v>45044</v>
      </c>
      <c r="C157" s="1" t="n">
        <v>45825</v>
      </c>
      <c r="D157" t="inlineStr">
        <is>
          <t>VÄSTERNORRLANDS LÄN</t>
        </is>
      </c>
      <c r="E157" t="inlineStr">
        <is>
          <t>SUNDSVALL</t>
        </is>
      </c>
      <c r="F157" t="inlineStr">
        <is>
          <t>SCA</t>
        </is>
      </c>
      <c r="G157" t="n">
        <v>17.7</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18998-2023 artfynd.xlsx", "A 18998-2023")</f>
        <v/>
      </c>
      <c r="T157">
        <f>HYPERLINK("https://klasma.github.io/Logging_2281/kartor/A 18998-2023 karta.png", "A 18998-2023")</f>
        <v/>
      </c>
      <c r="U157">
        <f>HYPERLINK("https://klasma.github.io/Logging_2281/knärot/A 18998-2023 karta knärot.png", "A 18998-2023")</f>
        <v/>
      </c>
      <c r="V157">
        <f>HYPERLINK("https://klasma.github.io/Logging_2281/klagomål/A 18998-2023 FSC-klagomål.docx", "A 18998-2023")</f>
        <v/>
      </c>
      <c r="W157">
        <f>HYPERLINK("https://klasma.github.io/Logging_2281/klagomålsmail/A 18998-2023 FSC-klagomål mail.docx", "A 18998-2023")</f>
        <v/>
      </c>
      <c r="X157">
        <f>HYPERLINK("https://klasma.github.io/Logging_2281/tillsyn/A 18998-2023 tillsynsbegäran.docx", "A 18998-2023")</f>
        <v/>
      </c>
      <c r="Y157">
        <f>HYPERLINK("https://klasma.github.io/Logging_2281/tillsynsmail/A 18998-2023 tillsynsbegäran mail.docx", "A 18998-2023")</f>
        <v/>
      </c>
    </row>
    <row r="158" ht="15" customHeight="1">
      <c r="A158" t="inlineStr">
        <is>
          <t>A 18991-2023</t>
        </is>
      </c>
      <c r="B158" s="1" t="n">
        <v>45044</v>
      </c>
      <c r="C158" s="1" t="n">
        <v>45825</v>
      </c>
      <c r="D158" t="inlineStr">
        <is>
          <t>VÄSTERNORRLANDS LÄN</t>
        </is>
      </c>
      <c r="E158" t="inlineStr">
        <is>
          <t>SUNDSVALL</t>
        </is>
      </c>
      <c r="F158" t="inlineStr">
        <is>
          <t>SCA</t>
        </is>
      </c>
      <c r="G158" t="n">
        <v>10</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18991-2023 artfynd.xlsx", "A 18991-2023")</f>
        <v/>
      </c>
      <c r="T158">
        <f>HYPERLINK("https://klasma.github.io/Logging_2281/kartor/A 18991-2023 karta.png", "A 18991-2023")</f>
        <v/>
      </c>
      <c r="V158">
        <f>HYPERLINK("https://klasma.github.io/Logging_2281/klagomål/A 18991-2023 FSC-klagomål.docx", "A 18991-2023")</f>
        <v/>
      </c>
      <c r="W158">
        <f>HYPERLINK("https://klasma.github.io/Logging_2281/klagomålsmail/A 18991-2023 FSC-klagomål mail.docx", "A 18991-2023")</f>
        <v/>
      </c>
      <c r="X158">
        <f>HYPERLINK("https://klasma.github.io/Logging_2281/tillsyn/A 18991-2023 tillsynsbegäran.docx", "A 18991-2023")</f>
        <v/>
      </c>
      <c r="Y158">
        <f>HYPERLINK("https://klasma.github.io/Logging_2281/tillsynsmail/A 18991-2023 tillsynsbegäran mail.docx", "A 18991-2023")</f>
        <v/>
      </c>
    </row>
    <row r="159" ht="15" customHeight="1">
      <c r="A159" t="inlineStr">
        <is>
          <t>A 20596-2023</t>
        </is>
      </c>
      <c r="B159" s="1" t="n">
        <v>45058</v>
      </c>
      <c r="C159" s="1" t="n">
        <v>45825</v>
      </c>
      <c r="D159" t="inlineStr">
        <is>
          <t>VÄSTERNORRLANDS LÄN</t>
        </is>
      </c>
      <c r="E159" t="inlineStr">
        <is>
          <t>SUNDSVALL</t>
        </is>
      </c>
      <c r="F159" t="inlineStr">
        <is>
          <t>SCA</t>
        </is>
      </c>
      <c r="G159" t="n">
        <v>4.3</v>
      </c>
      <c r="H159" t="n">
        <v>0</v>
      </c>
      <c r="I159" t="n">
        <v>0</v>
      </c>
      <c r="J159" t="n">
        <v>2</v>
      </c>
      <c r="K159" t="n">
        <v>0</v>
      </c>
      <c r="L159" t="n">
        <v>0</v>
      </c>
      <c r="M159" t="n">
        <v>0</v>
      </c>
      <c r="N159" t="n">
        <v>0</v>
      </c>
      <c r="O159" t="n">
        <v>2</v>
      </c>
      <c r="P159" t="n">
        <v>0</v>
      </c>
      <c r="Q159" t="n">
        <v>2</v>
      </c>
      <c r="R159" s="2" t="inlineStr">
        <is>
          <t>Ullticka
Vedflamlav</t>
        </is>
      </c>
      <c r="S159">
        <f>HYPERLINK("https://klasma.github.io/Logging_2281/artfynd/A 20596-2023 artfynd.xlsx", "A 20596-2023")</f>
        <v/>
      </c>
      <c r="T159">
        <f>HYPERLINK("https://klasma.github.io/Logging_2281/kartor/A 20596-2023 karta.png", "A 20596-2023")</f>
        <v/>
      </c>
      <c r="V159">
        <f>HYPERLINK("https://klasma.github.io/Logging_2281/klagomål/A 20596-2023 FSC-klagomål.docx", "A 20596-2023")</f>
        <v/>
      </c>
      <c r="W159">
        <f>HYPERLINK("https://klasma.github.io/Logging_2281/klagomålsmail/A 20596-2023 FSC-klagomål mail.docx", "A 20596-2023")</f>
        <v/>
      </c>
      <c r="X159">
        <f>HYPERLINK("https://klasma.github.io/Logging_2281/tillsyn/A 20596-2023 tillsynsbegäran.docx", "A 20596-2023")</f>
        <v/>
      </c>
      <c r="Y159">
        <f>HYPERLINK("https://klasma.github.io/Logging_2281/tillsynsmail/A 20596-2023 tillsynsbegäran mail.docx", "A 20596-2023")</f>
        <v/>
      </c>
    </row>
    <row r="160" ht="15" customHeight="1">
      <c r="A160" t="inlineStr">
        <is>
          <t>A 20888-2023</t>
        </is>
      </c>
      <c r="B160" s="1" t="n">
        <v>45058</v>
      </c>
      <c r="C160" s="1" t="n">
        <v>45825</v>
      </c>
      <c r="D160" t="inlineStr">
        <is>
          <t>VÄSTERNORRLANDS LÄN</t>
        </is>
      </c>
      <c r="E160" t="inlineStr">
        <is>
          <t>SUNDSVALL</t>
        </is>
      </c>
      <c r="F160" t="inlineStr">
        <is>
          <t>SCA</t>
        </is>
      </c>
      <c r="G160" t="n">
        <v>3.3</v>
      </c>
      <c r="H160" t="n">
        <v>0</v>
      </c>
      <c r="I160" t="n">
        <v>1</v>
      </c>
      <c r="J160" t="n">
        <v>1</v>
      </c>
      <c r="K160" t="n">
        <v>0</v>
      </c>
      <c r="L160" t="n">
        <v>0</v>
      </c>
      <c r="M160" t="n">
        <v>0</v>
      </c>
      <c r="N160" t="n">
        <v>0</v>
      </c>
      <c r="O160" t="n">
        <v>1</v>
      </c>
      <c r="P160" t="n">
        <v>0</v>
      </c>
      <c r="Q160" t="n">
        <v>2</v>
      </c>
      <c r="R160" s="2" t="inlineStr">
        <is>
          <t>Småflikig brosklav
Skinnlav</t>
        </is>
      </c>
      <c r="S160">
        <f>HYPERLINK("https://klasma.github.io/Logging_2281/artfynd/A 20888-2023 artfynd.xlsx", "A 20888-2023")</f>
        <v/>
      </c>
      <c r="T160">
        <f>HYPERLINK("https://klasma.github.io/Logging_2281/kartor/A 20888-2023 karta.png", "A 20888-2023")</f>
        <v/>
      </c>
      <c r="V160">
        <f>HYPERLINK("https://klasma.github.io/Logging_2281/klagomål/A 20888-2023 FSC-klagomål.docx", "A 20888-2023")</f>
        <v/>
      </c>
      <c r="W160">
        <f>HYPERLINK("https://klasma.github.io/Logging_2281/klagomålsmail/A 20888-2023 FSC-klagomål mail.docx", "A 20888-2023")</f>
        <v/>
      </c>
      <c r="X160">
        <f>HYPERLINK("https://klasma.github.io/Logging_2281/tillsyn/A 20888-2023 tillsynsbegäran.docx", "A 20888-2023")</f>
        <v/>
      </c>
      <c r="Y160">
        <f>HYPERLINK("https://klasma.github.io/Logging_2281/tillsynsmail/A 20888-2023 tillsynsbegäran mail.docx", "A 20888-2023")</f>
        <v/>
      </c>
    </row>
    <row r="161" ht="15" customHeight="1">
      <c r="A161" t="inlineStr">
        <is>
          <t>A 27385-2023</t>
        </is>
      </c>
      <c r="B161" s="1" t="n">
        <v>45096</v>
      </c>
      <c r="C161" s="1" t="n">
        <v>45825</v>
      </c>
      <c r="D161" t="inlineStr">
        <is>
          <t>VÄSTERNORRLANDS LÄN</t>
        </is>
      </c>
      <c r="E161" t="inlineStr">
        <is>
          <t>SUNDSVALL</t>
        </is>
      </c>
      <c r="F161" t="inlineStr">
        <is>
          <t>SCA</t>
        </is>
      </c>
      <c r="G161" t="n">
        <v>11</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27385-2023 artfynd.xlsx", "A 27385-2023")</f>
        <v/>
      </c>
      <c r="T161">
        <f>HYPERLINK("https://klasma.github.io/Logging_2281/kartor/A 27385-2023 karta.png", "A 27385-2023")</f>
        <v/>
      </c>
      <c r="V161">
        <f>HYPERLINK("https://klasma.github.io/Logging_2281/klagomål/A 27385-2023 FSC-klagomål.docx", "A 27385-2023")</f>
        <v/>
      </c>
      <c r="W161">
        <f>HYPERLINK("https://klasma.github.io/Logging_2281/klagomålsmail/A 27385-2023 FSC-klagomål mail.docx", "A 27385-2023")</f>
        <v/>
      </c>
      <c r="X161">
        <f>HYPERLINK("https://klasma.github.io/Logging_2281/tillsyn/A 27385-2023 tillsynsbegäran.docx", "A 27385-2023")</f>
        <v/>
      </c>
      <c r="Y161">
        <f>HYPERLINK("https://klasma.github.io/Logging_2281/tillsynsmail/A 27385-2023 tillsynsbegäran mail.docx", "A 27385-2023")</f>
        <v/>
      </c>
    </row>
    <row r="162" ht="15" customHeight="1">
      <c r="A162" t="inlineStr">
        <is>
          <t>A 27380-2023</t>
        </is>
      </c>
      <c r="B162" s="1" t="n">
        <v>45096</v>
      </c>
      <c r="C162" s="1" t="n">
        <v>45825</v>
      </c>
      <c r="D162" t="inlineStr">
        <is>
          <t>VÄSTERNORRLANDS LÄN</t>
        </is>
      </c>
      <c r="E162" t="inlineStr">
        <is>
          <t>SUNDSVALL</t>
        </is>
      </c>
      <c r="F162" t="inlineStr">
        <is>
          <t>Naturvårdsverket</t>
        </is>
      </c>
      <c r="G162" t="n">
        <v>6.2</v>
      </c>
      <c r="H162" t="n">
        <v>0</v>
      </c>
      <c r="I162" t="n">
        <v>0</v>
      </c>
      <c r="J162" t="n">
        <v>2</v>
      </c>
      <c r="K162" t="n">
        <v>0</v>
      </c>
      <c r="L162" t="n">
        <v>0</v>
      </c>
      <c r="M162" t="n">
        <v>0</v>
      </c>
      <c r="N162" t="n">
        <v>0</v>
      </c>
      <c r="O162" t="n">
        <v>2</v>
      </c>
      <c r="P162" t="n">
        <v>0</v>
      </c>
      <c r="Q162" t="n">
        <v>2</v>
      </c>
      <c r="R162" s="2" t="inlineStr">
        <is>
          <t>Granticka
Gränsticka</t>
        </is>
      </c>
      <c r="S162">
        <f>HYPERLINK("https://klasma.github.io/Logging_2281/artfynd/A 27380-2023 artfynd.xlsx", "A 27380-2023")</f>
        <v/>
      </c>
      <c r="T162">
        <f>HYPERLINK("https://klasma.github.io/Logging_2281/kartor/A 27380-2023 karta.png", "A 27380-2023")</f>
        <v/>
      </c>
      <c r="V162">
        <f>HYPERLINK("https://klasma.github.io/Logging_2281/klagomål/A 27380-2023 FSC-klagomål.docx", "A 27380-2023")</f>
        <v/>
      </c>
      <c r="W162">
        <f>HYPERLINK("https://klasma.github.io/Logging_2281/klagomålsmail/A 27380-2023 FSC-klagomål mail.docx", "A 27380-2023")</f>
        <v/>
      </c>
      <c r="X162">
        <f>HYPERLINK("https://klasma.github.io/Logging_2281/tillsyn/A 27380-2023 tillsynsbegäran.docx", "A 27380-2023")</f>
        <v/>
      </c>
      <c r="Y162">
        <f>HYPERLINK("https://klasma.github.io/Logging_2281/tillsynsmail/A 27380-2023 tillsynsbegäran mail.docx", "A 27380-2023")</f>
        <v/>
      </c>
    </row>
    <row r="163" ht="15" customHeight="1">
      <c r="A163" t="inlineStr">
        <is>
          <t>A 28010-2023</t>
        </is>
      </c>
      <c r="B163" s="1" t="n">
        <v>45098</v>
      </c>
      <c r="C163" s="1" t="n">
        <v>45825</v>
      </c>
      <c r="D163" t="inlineStr">
        <is>
          <t>VÄSTERNORRLANDS LÄN</t>
        </is>
      </c>
      <c r="E163" t="inlineStr">
        <is>
          <t>SUNDSVALL</t>
        </is>
      </c>
      <c r="F163" t="inlineStr">
        <is>
          <t>SCA</t>
        </is>
      </c>
      <c r="G163" t="n">
        <v>8.4</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28010-2023 artfynd.xlsx", "A 28010-2023")</f>
        <v/>
      </c>
      <c r="T163">
        <f>HYPERLINK("https://klasma.github.io/Logging_2281/kartor/A 28010-2023 karta.png", "A 28010-2023")</f>
        <v/>
      </c>
      <c r="V163">
        <f>HYPERLINK("https://klasma.github.io/Logging_2281/klagomål/A 28010-2023 FSC-klagomål.docx", "A 28010-2023")</f>
        <v/>
      </c>
      <c r="W163">
        <f>HYPERLINK("https://klasma.github.io/Logging_2281/klagomålsmail/A 28010-2023 FSC-klagomål mail.docx", "A 28010-2023")</f>
        <v/>
      </c>
      <c r="X163">
        <f>HYPERLINK("https://klasma.github.io/Logging_2281/tillsyn/A 28010-2023 tillsynsbegäran.docx", "A 28010-2023")</f>
        <v/>
      </c>
      <c r="Y163">
        <f>HYPERLINK("https://klasma.github.io/Logging_2281/tillsynsmail/A 28010-2023 tillsynsbegäran mail.docx", "A 28010-2023")</f>
        <v/>
      </c>
    </row>
    <row r="164" ht="15" customHeight="1">
      <c r="A164" t="inlineStr">
        <is>
          <t>A 37481-2023</t>
        </is>
      </c>
      <c r="B164" s="1" t="n">
        <v>45157</v>
      </c>
      <c r="C164" s="1" t="n">
        <v>45825</v>
      </c>
      <c r="D164" t="inlineStr">
        <is>
          <t>VÄSTERNORRLANDS LÄN</t>
        </is>
      </c>
      <c r="E164" t="inlineStr">
        <is>
          <t>SUNDSVALL</t>
        </is>
      </c>
      <c r="F164" t="inlineStr">
        <is>
          <t>SCA</t>
        </is>
      </c>
      <c r="G164" t="n">
        <v>6.9</v>
      </c>
      <c r="H164" t="n">
        <v>0</v>
      </c>
      <c r="I164" t="n">
        <v>0</v>
      </c>
      <c r="J164" t="n">
        <v>2</v>
      </c>
      <c r="K164" t="n">
        <v>0</v>
      </c>
      <c r="L164" t="n">
        <v>0</v>
      </c>
      <c r="M164" t="n">
        <v>0</v>
      </c>
      <c r="N164" t="n">
        <v>0</v>
      </c>
      <c r="O164" t="n">
        <v>2</v>
      </c>
      <c r="P164" t="n">
        <v>0</v>
      </c>
      <c r="Q164" t="n">
        <v>2</v>
      </c>
      <c r="R164" s="2" t="inlineStr">
        <is>
          <t>Garnlav
Kandelabersvamp</t>
        </is>
      </c>
      <c r="S164">
        <f>HYPERLINK("https://klasma.github.io/Logging_2281/artfynd/A 37481-2023 artfynd.xlsx", "A 37481-2023")</f>
        <v/>
      </c>
      <c r="T164">
        <f>HYPERLINK("https://klasma.github.io/Logging_2281/kartor/A 37481-2023 karta.png", "A 37481-2023")</f>
        <v/>
      </c>
      <c r="V164">
        <f>HYPERLINK("https://klasma.github.io/Logging_2281/klagomål/A 37481-2023 FSC-klagomål.docx", "A 37481-2023")</f>
        <v/>
      </c>
      <c r="W164">
        <f>HYPERLINK("https://klasma.github.io/Logging_2281/klagomålsmail/A 37481-2023 FSC-klagomål mail.docx", "A 37481-2023")</f>
        <v/>
      </c>
      <c r="X164">
        <f>HYPERLINK("https://klasma.github.io/Logging_2281/tillsyn/A 37481-2023 tillsynsbegäran.docx", "A 37481-2023")</f>
        <v/>
      </c>
      <c r="Y164">
        <f>HYPERLINK("https://klasma.github.io/Logging_2281/tillsynsmail/A 37481-2023 tillsynsbegäran mail.docx", "A 37481-2023")</f>
        <v/>
      </c>
    </row>
    <row r="165" ht="15" customHeight="1">
      <c r="A165" t="inlineStr">
        <is>
          <t>A 48506-2023</t>
        </is>
      </c>
      <c r="B165" s="1" t="n">
        <v>45207</v>
      </c>
      <c r="C165" s="1" t="n">
        <v>45825</v>
      </c>
      <c r="D165" t="inlineStr">
        <is>
          <t>VÄSTERNORRLANDS LÄN</t>
        </is>
      </c>
      <c r="E165" t="inlineStr">
        <is>
          <t>SUNDSVALL</t>
        </is>
      </c>
      <c r="F165" t="inlineStr">
        <is>
          <t>SCA</t>
        </is>
      </c>
      <c r="G165" t="n">
        <v>2.3</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48506-2023 artfynd.xlsx", "A 48506-2023")</f>
        <v/>
      </c>
      <c r="T165">
        <f>HYPERLINK("https://klasma.github.io/Logging_2281/kartor/A 48506-2023 karta.png", "A 48506-2023")</f>
        <v/>
      </c>
      <c r="U165">
        <f>HYPERLINK("https://klasma.github.io/Logging_2281/knärot/A 48506-2023 karta knärot.png", "A 48506-2023")</f>
        <v/>
      </c>
      <c r="V165">
        <f>HYPERLINK("https://klasma.github.io/Logging_2281/klagomål/A 48506-2023 FSC-klagomål.docx", "A 48506-2023")</f>
        <v/>
      </c>
      <c r="W165">
        <f>HYPERLINK("https://klasma.github.io/Logging_2281/klagomålsmail/A 48506-2023 FSC-klagomål mail.docx", "A 48506-2023")</f>
        <v/>
      </c>
      <c r="X165">
        <f>HYPERLINK("https://klasma.github.io/Logging_2281/tillsyn/A 48506-2023 tillsynsbegäran.docx", "A 48506-2023")</f>
        <v/>
      </c>
      <c r="Y165">
        <f>HYPERLINK("https://klasma.github.io/Logging_2281/tillsynsmail/A 48506-2023 tillsynsbegäran mail.docx", "A 48506-2023")</f>
        <v/>
      </c>
    </row>
    <row r="166" ht="15" customHeight="1">
      <c r="A166" t="inlineStr">
        <is>
          <t>A 48783-2023</t>
        </is>
      </c>
      <c r="B166" s="1" t="n">
        <v>45208</v>
      </c>
      <c r="C166" s="1" t="n">
        <v>45825</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48783-2023 artfynd.xlsx", "A 48783-2023")</f>
        <v/>
      </c>
      <c r="T166">
        <f>HYPERLINK("https://klasma.github.io/Logging_2281/kartor/A 48783-2023 karta.png", "A 48783-2023")</f>
        <v/>
      </c>
      <c r="U166">
        <f>HYPERLINK("https://klasma.github.io/Logging_2281/knärot/A 48783-2023 karta knärot.png", "A 48783-2023")</f>
        <v/>
      </c>
      <c r="V166">
        <f>HYPERLINK("https://klasma.github.io/Logging_2281/klagomål/A 48783-2023 FSC-klagomål.docx", "A 48783-2023")</f>
        <v/>
      </c>
      <c r="W166">
        <f>HYPERLINK("https://klasma.github.io/Logging_2281/klagomålsmail/A 48783-2023 FSC-klagomål mail.docx", "A 48783-2023")</f>
        <v/>
      </c>
      <c r="X166">
        <f>HYPERLINK("https://klasma.github.io/Logging_2281/tillsyn/A 48783-2023 tillsynsbegäran.docx", "A 48783-2023")</f>
        <v/>
      </c>
      <c r="Y166">
        <f>HYPERLINK("https://klasma.github.io/Logging_2281/tillsynsmail/A 48783-2023 tillsynsbegäran mail.docx", "A 48783-2023")</f>
        <v/>
      </c>
    </row>
    <row r="167" ht="15" customHeight="1">
      <c r="A167" t="inlineStr">
        <is>
          <t>A 49320-2023</t>
        </is>
      </c>
      <c r="B167" s="1" t="n">
        <v>45210</v>
      </c>
      <c r="C167" s="1" t="n">
        <v>45825</v>
      </c>
      <c r="D167" t="inlineStr">
        <is>
          <t>VÄSTERNORRLANDS LÄN</t>
        </is>
      </c>
      <c r="E167" t="inlineStr">
        <is>
          <t>SUNDSVALL</t>
        </is>
      </c>
      <c r="F167" t="inlineStr">
        <is>
          <t>SCA</t>
        </is>
      </c>
      <c r="G167" t="n">
        <v>1.3</v>
      </c>
      <c r="H167" t="n">
        <v>0</v>
      </c>
      <c r="I167" t="n">
        <v>0</v>
      </c>
      <c r="J167" t="n">
        <v>2</v>
      </c>
      <c r="K167" t="n">
        <v>0</v>
      </c>
      <c r="L167" t="n">
        <v>0</v>
      </c>
      <c r="M167" t="n">
        <v>0</v>
      </c>
      <c r="N167" t="n">
        <v>0</v>
      </c>
      <c r="O167" t="n">
        <v>2</v>
      </c>
      <c r="P167" t="n">
        <v>0</v>
      </c>
      <c r="Q167" t="n">
        <v>2</v>
      </c>
      <c r="R167" s="2" t="inlineStr">
        <is>
          <t>Garnlav
Rosenticka</t>
        </is>
      </c>
      <c r="S167">
        <f>HYPERLINK("https://klasma.github.io/Logging_2281/artfynd/A 49320-2023 artfynd.xlsx", "A 49320-2023")</f>
        <v/>
      </c>
      <c r="T167">
        <f>HYPERLINK("https://klasma.github.io/Logging_2281/kartor/A 49320-2023 karta.png", "A 49320-2023")</f>
        <v/>
      </c>
      <c r="V167">
        <f>HYPERLINK("https://klasma.github.io/Logging_2281/klagomål/A 49320-2023 FSC-klagomål.docx", "A 49320-2023")</f>
        <v/>
      </c>
      <c r="W167">
        <f>HYPERLINK("https://klasma.github.io/Logging_2281/klagomålsmail/A 49320-2023 FSC-klagomål mail.docx", "A 49320-2023")</f>
        <v/>
      </c>
      <c r="X167">
        <f>HYPERLINK("https://klasma.github.io/Logging_2281/tillsyn/A 49320-2023 tillsynsbegäran.docx", "A 49320-2023")</f>
        <v/>
      </c>
      <c r="Y167">
        <f>HYPERLINK("https://klasma.github.io/Logging_2281/tillsynsmail/A 49320-2023 tillsynsbegäran mail.docx", "A 49320-2023")</f>
        <v/>
      </c>
    </row>
    <row r="168" ht="15" customHeight="1">
      <c r="A168" t="inlineStr">
        <is>
          <t>A 57781-2023</t>
        </is>
      </c>
      <c r="B168" s="1" t="n">
        <v>45246</v>
      </c>
      <c r="C168" s="1" t="n">
        <v>45825</v>
      </c>
      <c r="D168" t="inlineStr">
        <is>
          <t>VÄSTERNORRLANDS LÄN</t>
        </is>
      </c>
      <c r="E168" t="inlineStr">
        <is>
          <t>SUNDSVALL</t>
        </is>
      </c>
      <c r="F168" t="inlineStr">
        <is>
          <t>SCA</t>
        </is>
      </c>
      <c r="G168" t="n">
        <v>4.9</v>
      </c>
      <c r="H168" t="n">
        <v>0</v>
      </c>
      <c r="I168" t="n">
        <v>1</v>
      </c>
      <c r="J168" t="n">
        <v>1</v>
      </c>
      <c r="K168" t="n">
        <v>0</v>
      </c>
      <c r="L168" t="n">
        <v>0</v>
      </c>
      <c r="M168" t="n">
        <v>0</v>
      </c>
      <c r="N168" t="n">
        <v>0</v>
      </c>
      <c r="O168" t="n">
        <v>1</v>
      </c>
      <c r="P168" t="n">
        <v>0</v>
      </c>
      <c r="Q168" t="n">
        <v>2</v>
      </c>
      <c r="R168" s="2" t="inlineStr">
        <is>
          <t>Tallticka
Bollvitmossa</t>
        </is>
      </c>
      <c r="S168">
        <f>HYPERLINK("https://klasma.github.io/Logging_2281/artfynd/A 57781-2023 artfynd.xlsx", "A 57781-2023")</f>
        <v/>
      </c>
      <c r="T168">
        <f>HYPERLINK("https://klasma.github.io/Logging_2281/kartor/A 57781-2023 karta.png", "A 57781-2023")</f>
        <v/>
      </c>
      <c r="V168">
        <f>HYPERLINK("https://klasma.github.io/Logging_2281/klagomål/A 57781-2023 FSC-klagomål.docx", "A 57781-2023")</f>
        <v/>
      </c>
      <c r="W168">
        <f>HYPERLINK("https://klasma.github.io/Logging_2281/klagomålsmail/A 57781-2023 FSC-klagomål mail.docx", "A 57781-2023")</f>
        <v/>
      </c>
      <c r="X168">
        <f>HYPERLINK("https://klasma.github.io/Logging_2281/tillsyn/A 57781-2023 tillsynsbegäran.docx", "A 57781-2023")</f>
        <v/>
      </c>
      <c r="Y168">
        <f>HYPERLINK("https://klasma.github.io/Logging_2281/tillsynsmail/A 57781-2023 tillsynsbegäran mail.docx", "A 57781-2023")</f>
        <v/>
      </c>
    </row>
    <row r="169" ht="15" customHeight="1">
      <c r="A169" t="inlineStr">
        <is>
          <t>A 60863-2023</t>
        </is>
      </c>
      <c r="B169" s="1" t="n">
        <v>45261</v>
      </c>
      <c r="C169" s="1" t="n">
        <v>45825</v>
      </c>
      <c r="D169" t="inlineStr">
        <is>
          <t>VÄSTERNORRLANDS LÄN</t>
        </is>
      </c>
      <c r="E169" t="inlineStr">
        <is>
          <t>SUNDSVALL</t>
        </is>
      </c>
      <c r="F169" t="inlineStr">
        <is>
          <t>SCA</t>
        </is>
      </c>
      <c r="G169" t="n">
        <v>5.6</v>
      </c>
      <c r="H169" t="n">
        <v>2</v>
      </c>
      <c r="I169" t="n">
        <v>0</v>
      </c>
      <c r="J169" t="n">
        <v>1</v>
      </c>
      <c r="K169" t="n">
        <v>0</v>
      </c>
      <c r="L169" t="n">
        <v>0</v>
      </c>
      <c r="M169" t="n">
        <v>0</v>
      </c>
      <c r="N169" t="n">
        <v>0</v>
      </c>
      <c r="O169" t="n">
        <v>1</v>
      </c>
      <c r="P169" t="n">
        <v>0</v>
      </c>
      <c r="Q169" t="n">
        <v>2</v>
      </c>
      <c r="R169" s="2" t="inlineStr">
        <is>
          <t>Tretåig hackspett
Vanlig groda</t>
        </is>
      </c>
      <c r="S169">
        <f>HYPERLINK("https://klasma.github.io/Logging_2281/artfynd/A 60863-2023 artfynd.xlsx", "A 60863-2023")</f>
        <v/>
      </c>
      <c r="T169">
        <f>HYPERLINK("https://klasma.github.io/Logging_2281/kartor/A 60863-2023 karta.png", "A 60863-2023")</f>
        <v/>
      </c>
      <c r="V169">
        <f>HYPERLINK("https://klasma.github.io/Logging_2281/klagomål/A 60863-2023 FSC-klagomål.docx", "A 60863-2023")</f>
        <v/>
      </c>
      <c r="W169">
        <f>HYPERLINK("https://klasma.github.io/Logging_2281/klagomålsmail/A 60863-2023 FSC-klagomål mail.docx", "A 60863-2023")</f>
        <v/>
      </c>
      <c r="X169">
        <f>HYPERLINK("https://klasma.github.io/Logging_2281/tillsyn/A 60863-2023 tillsynsbegäran.docx", "A 60863-2023")</f>
        <v/>
      </c>
      <c r="Y169">
        <f>HYPERLINK("https://klasma.github.io/Logging_2281/tillsynsmail/A 60863-2023 tillsynsbegäran mail.docx", "A 60863-2023")</f>
        <v/>
      </c>
      <c r="Z169">
        <f>HYPERLINK("https://klasma.github.io/Logging_2281/fåglar/A 60863-2023 prioriterade fågelarter.docx", "A 60863-2023")</f>
        <v/>
      </c>
    </row>
    <row r="170" ht="15" customHeight="1">
      <c r="A170" t="inlineStr">
        <is>
          <t>A 62532-2023</t>
        </is>
      </c>
      <c r="B170" s="1" t="n">
        <v>45268</v>
      </c>
      <c r="C170" s="1" t="n">
        <v>45825</v>
      </c>
      <c r="D170" t="inlineStr">
        <is>
          <t>VÄSTERNORRLANDS LÄN</t>
        </is>
      </c>
      <c r="E170" t="inlineStr">
        <is>
          <t>SUNDSVALL</t>
        </is>
      </c>
      <c r="G170" t="n">
        <v>0.7</v>
      </c>
      <c r="H170" t="n">
        <v>2</v>
      </c>
      <c r="I170" t="n">
        <v>0</v>
      </c>
      <c r="J170" t="n">
        <v>1</v>
      </c>
      <c r="K170" t="n">
        <v>0</v>
      </c>
      <c r="L170" t="n">
        <v>0</v>
      </c>
      <c r="M170" t="n">
        <v>0</v>
      </c>
      <c r="N170" t="n">
        <v>0</v>
      </c>
      <c r="O170" t="n">
        <v>1</v>
      </c>
      <c r="P170" t="n">
        <v>0</v>
      </c>
      <c r="Q170" t="n">
        <v>2</v>
      </c>
      <c r="R170" s="2" t="inlineStr">
        <is>
          <t>Spillkråka
Gråspett</t>
        </is>
      </c>
      <c r="S170">
        <f>HYPERLINK("https://klasma.github.io/Logging_2281/artfynd/A 62532-2023 artfynd.xlsx", "A 62532-2023")</f>
        <v/>
      </c>
      <c r="T170">
        <f>HYPERLINK("https://klasma.github.io/Logging_2281/kartor/A 62532-2023 karta.png", "A 62532-2023")</f>
        <v/>
      </c>
      <c r="V170">
        <f>HYPERLINK("https://klasma.github.io/Logging_2281/klagomål/A 62532-2023 FSC-klagomål.docx", "A 62532-2023")</f>
        <v/>
      </c>
      <c r="W170">
        <f>HYPERLINK("https://klasma.github.io/Logging_2281/klagomålsmail/A 62532-2023 FSC-klagomål mail.docx", "A 62532-2023")</f>
        <v/>
      </c>
      <c r="X170">
        <f>HYPERLINK("https://klasma.github.io/Logging_2281/tillsyn/A 62532-2023 tillsynsbegäran.docx", "A 62532-2023")</f>
        <v/>
      </c>
      <c r="Y170">
        <f>HYPERLINK("https://klasma.github.io/Logging_2281/tillsynsmail/A 62532-2023 tillsynsbegäran mail.docx", "A 62532-2023")</f>
        <v/>
      </c>
      <c r="Z170">
        <f>HYPERLINK("https://klasma.github.io/Logging_2281/fåglar/A 62532-2023 prioriterade fågelarter.docx", "A 62532-2023")</f>
        <v/>
      </c>
    </row>
    <row r="171" ht="15" customHeight="1">
      <c r="A171" t="inlineStr">
        <is>
          <t>A 13675-2024</t>
        </is>
      </c>
      <c r="B171" s="1" t="n">
        <v>45390</v>
      </c>
      <c r="C171" s="1" t="n">
        <v>45825</v>
      </c>
      <c r="D171" t="inlineStr">
        <is>
          <t>VÄSTERNORRLANDS LÄN</t>
        </is>
      </c>
      <c r="E171" t="inlineStr">
        <is>
          <t>SUNDSVALL</t>
        </is>
      </c>
      <c r="G171" t="n">
        <v>1.7</v>
      </c>
      <c r="H171" t="n">
        <v>0</v>
      </c>
      <c r="I171" t="n">
        <v>2</v>
      </c>
      <c r="J171" t="n">
        <v>0</v>
      </c>
      <c r="K171" t="n">
        <v>0</v>
      </c>
      <c r="L171" t="n">
        <v>0</v>
      </c>
      <c r="M171" t="n">
        <v>0</v>
      </c>
      <c r="N171" t="n">
        <v>0</v>
      </c>
      <c r="O171" t="n">
        <v>0</v>
      </c>
      <c r="P171" t="n">
        <v>0</v>
      </c>
      <c r="Q171" t="n">
        <v>2</v>
      </c>
      <c r="R171" s="2" t="inlineStr">
        <is>
          <t>Svart trolldruva
Tibast</t>
        </is>
      </c>
      <c r="S171">
        <f>HYPERLINK("https://klasma.github.io/Logging_2281/artfynd/A 13675-2024 artfynd.xlsx", "A 13675-2024")</f>
        <v/>
      </c>
      <c r="T171">
        <f>HYPERLINK("https://klasma.github.io/Logging_2281/kartor/A 13675-2024 karta.png", "A 13675-2024")</f>
        <v/>
      </c>
      <c r="V171">
        <f>HYPERLINK("https://klasma.github.io/Logging_2281/klagomål/A 13675-2024 FSC-klagomål.docx", "A 13675-2024")</f>
        <v/>
      </c>
      <c r="W171">
        <f>HYPERLINK("https://klasma.github.io/Logging_2281/klagomålsmail/A 13675-2024 FSC-klagomål mail.docx", "A 13675-2024")</f>
        <v/>
      </c>
      <c r="X171">
        <f>HYPERLINK("https://klasma.github.io/Logging_2281/tillsyn/A 13675-2024 tillsynsbegäran.docx", "A 13675-2024")</f>
        <v/>
      </c>
      <c r="Y171">
        <f>HYPERLINK("https://klasma.github.io/Logging_2281/tillsynsmail/A 13675-2024 tillsynsbegäran mail.docx", "A 13675-2024")</f>
        <v/>
      </c>
    </row>
    <row r="172" ht="15" customHeight="1">
      <c r="A172" t="inlineStr">
        <is>
          <t>A 14725-2024</t>
        </is>
      </c>
      <c r="B172" s="1" t="n">
        <v>45397</v>
      </c>
      <c r="C172" s="1" t="n">
        <v>45825</v>
      </c>
      <c r="D172" t="inlineStr">
        <is>
          <t>VÄSTERNORRLANDS LÄN</t>
        </is>
      </c>
      <c r="E172" t="inlineStr">
        <is>
          <t>SUNDSVALL</t>
        </is>
      </c>
      <c r="G172" t="n">
        <v>6.9</v>
      </c>
      <c r="H172" t="n">
        <v>1</v>
      </c>
      <c r="I172" t="n">
        <v>1</v>
      </c>
      <c r="J172" t="n">
        <v>0</v>
      </c>
      <c r="K172" t="n">
        <v>1</v>
      </c>
      <c r="L172" t="n">
        <v>0</v>
      </c>
      <c r="M172" t="n">
        <v>0</v>
      </c>
      <c r="N172" t="n">
        <v>0</v>
      </c>
      <c r="O172" t="n">
        <v>1</v>
      </c>
      <c r="P172" t="n">
        <v>1</v>
      </c>
      <c r="Q172" t="n">
        <v>2</v>
      </c>
      <c r="R172" s="2" t="inlineStr">
        <is>
          <t>Knärot
Blodticka</t>
        </is>
      </c>
      <c r="S172">
        <f>HYPERLINK("https://klasma.github.io/Logging_2281/artfynd/A 14725-2024 artfynd.xlsx", "A 14725-2024")</f>
        <v/>
      </c>
      <c r="T172">
        <f>HYPERLINK("https://klasma.github.io/Logging_2281/kartor/A 14725-2024 karta.png", "A 14725-2024")</f>
        <v/>
      </c>
      <c r="U172">
        <f>HYPERLINK("https://klasma.github.io/Logging_2281/knärot/A 14725-2024 karta knärot.png", "A 14725-2024")</f>
        <v/>
      </c>
      <c r="V172">
        <f>HYPERLINK("https://klasma.github.io/Logging_2281/klagomål/A 14725-2024 FSC-klagomål.docx", "A 14725-2024")</f>
        <v/>
      </c>
      <c r="W172">
        <f>HYPERLINK("https://klasma.github.io/Logging_2281/klagomålsmail/A 14725-2024 FSC-klagomål mail.docx", "A 14725-2024")</f>
        <v/>
      </c>
      <c r="X172">
        <f>HYPERLINK("https://klasma.github.io/Logging_2281/tillsyn/A 14725-2024 tillsynsbegäran.docx", "A 14725-2024")</f>
        <v/>
      </c>
      <c r="Y172">
        <f>HYPERLINK("https://klasma.github.io/Logging_2281/tillsynsmail/A 14725-2024 tillsynsbegäran mail.docx", "A 14725-2024")</f>
        <v/>
      </c>
    </row>
    <row r="173" ht="15" customHeight="1">
      <c r="A173" t="inlineStr">
        <is>
          <t>A 21609-2024</t>
        </is>
      </c>
      <c r="B173" s="1" t="n">
        <v>45442</v>
      </c>
      <c r="C173" s="1" t="n">
        <v>45825</v>
      </c>
      <c r="D173" t="inlineStr">
        <is>
          <t>VÄSTERNORRLANDS LÄN</t>
        </is>
      </c>
      <c r="E173" t="inlineStr">
        <is>
          <t>SUNDSVALL</t>
        </is>
      </c>
      <c r="F173" t="inlineStr">
        <is>
          <t>SCA</t>
        </is>
      </c>
      <c r="G173" t="n">
        <v>11.4</v>
      </c>
      <c r="H173" t="n">
        <v>2</v>
      </c>
      <c r="I173" t="n">
        <v>0</v>
      </c>
      <c r="J173" t="n">
        <v>0</v>
      </c>
      <c r="K173" t="n">
        <v>0</v>
      </c>
      <c r="L173" t="n">
        <v>0</v>
      </c>
      <c r="M173" t="n">
        <v>0</v>
      </c>
      <c r="N173" t="n">
        <v>0</v>
      </c>
      <c r="O173" t="n">
        <v>0</v>
      </c>
      <c r="P173" t="n">
        <v>0</v>
      </c>
      <c r="Q173" t="n">
        <v>2</v>
      </c>
      <c r="R173" s="2" t="inlineStr">
        <is>
          <t>Fläcknycklar
Nattviol</t>
        </is>
      </c>
      <c r="S173">
        <f>HYPERLINK("https://klasma.github.io/Logging_2281/artfynd/A 21609-2024 artfynd.xlsx", "A 21609-2024")</f>
        <v/>
      </c>
      <c r="T173">
        <f>HYPERLINK("https://klasma.github.io/Logging_2281/kartor/A 21609-2024 karta.png", "A 21609-2024")</f>
        <v/>
      </c>
      <c r="V173">
        <f>HYPERLINK("https://klasma.github.io/Logging_2281/klagomål/A 21609-2024 FSC-klagomål.docx", "A 21609-2024")</f>
        <v/>
      </c>
      <c r="W173">
        <f>HYPERLINK("https://klasma.github.io/Logging_2281/klagomålsmail/A 21609-2024 FSC-klagomål mail.docx", "A 21609-2024")</f>
        <v/>
      </c>
      <c r="X173">
        <f>HYPERLINK("https://klasma.github.io/Logging_2281/tillsyn/A 21609-2024 tillsynsbegäran.docx", "A 21609-2024")</f>
        <v/>
      </c>
      <c r="Y173">
        <f>HYPERLINK("https://klasma.github.io/Logging_2281/tillsynsmail/A 21609-2024 tillsynsbegäran mail.docx", "A 21609-2024")</f>
        <v/>
      </c>
    </row>
    <row r="174" ht="15" customHeight="1">
      <c r="A174" t="inlineStr">
        <is>
          <t>A 26178-2024</t>
        </is>
      </c>
      <c r="B174" s="1" t="n">
        <v>45468</v>
      </c>
      <c r="C174" s="1" t="n">
        <v>45825</v>
      </c>
      <c r="D174" t="inlineStr">
        <is>
          <t>VÄSTERNORRLANDS LÄN</t>
        </is>
      </c>
      <c r="E174" t="inlineStr">
        <is>
          <t>SUNDSVALL</t>
        </is>
      </c>
      <c r="G174" t="n">
        <v>11.7</v>
      </c>
      <c r="H174" t="n">
        <v>2</v>
      </c>
      <c r="I174" t="n">
        <v>0</v>
      </c>
      <c r="J174" t="n">
        <v>1</v>
      </c>
      <c r="K174" t="n">
        <v>0</v>
      </c>
      <c r="L174" t="n">
        <v>0</v>
      </c>
      <c r="M174" t="n">
        <v>0</v>
      </c>
      <c r="N174" t="n">
        <v>0</v>
      </c>
      <c r="O174" t="n">
        <v>1</v>
      </c>
      <c r="P174" t="n">
        <v>0</v>
      </c>
      <c r="Q174" t="n">
        <v>2</v>
      </c>
      <c r="R174" s="2" t="inlineStr">
        <is>
          <t>Pilgrimsfalk
Sparvuggla</t>
        </is>
      </c>
      <c r="S174">
        <f>HYPERLINK("https://klasma.github.io/Logging_2281/artfynd/A 26178-2024 artfynd.xlsx", "A 26178-2024")</f>
        <v/>
      </c>
      <c r="T174">
        <f>HYPERLINK("https://klasma.github.io/Logging_2281/kartor/A 26178-2024 karta.png", "A 26178-2024")</f>
        <v/>
      </c>
      <c r="V174">
        <f>HYPERLINK("https://klasma.github.io/Logging_2281/klagomål/A 26178-2024 FSC-klagomål.docx", "A 26178-2024")</f>
        <v/>
      </c>
      <c r="W174">
        <f>HYPERLINK("https://klasma.github.io/Logging_2281/klagomålsmail/A 26178-2024 FSC-klagomål mail.docx", "A 26178-2024")</f>
        <v/>
      </c>
      <c r="X174">
        <f>HYPERLINK("https://klasma.github.io/Logging_2281/tillsyn/A 26178-2024 tillsynsbegäran.docx", "A 26178-2024")</f>
        <v/>
      </c>
      <c r="Y174">
        <f>HYPERLINK("https://klasma.github.io/Logging_2281/tillsynsmail/A 26178-2024 tillsynsbegäran mail.docx", "A 26178-2024")</f>
        <v/>
      </c>
      <c r="Z174">
        <f>HYPERLINK("https://klasma.github.io/Logging_2281/fåglar/A 26178-2024 prioriterade fågelarter.docx", "A 26178-2024")</f>
        <v/>
      </c>
    </row>
    <row r="175" ht="15" customHeight="1">
      <c r="A175" t="inlineStr">
        <is>
          <t>A 34766-2024</t>
        </is>
      </c>
      <c r="B175" s="1" t="n">
        <v>45526</v>
      </c>
      <c r="C175" s="1" t="n">
        <v>45825</v>
      </c>
      <c r="D175" t="inlineStr">
        <is>
          <t>VÄSTERNORRLANDS LÄN</t>
        </is>
      </c>
      <c r="E175" t="inlineStr">
        <is>
          <t>SUNDSVALL</t>
        </is>
      </c>
      <c r="F175" t="inlineStr">
        <is>
          <t>SCA</t>
        </is>
      </c>
      <c r="G175" t="n">
        <v>10</v>
      </c>
      <c r="H175" t="n">
        <v>1</v>
      </c>
      <c r="I175" t="n">
        <v>1</v>
      </c>
      <c r="J175" t="n">
        <v>0</v>
      </c>
      <c r="K175" t="n">
        <v>0</v>
      </c>
      <c r="L175" t="n">
        <v>0</v>
      </c>
      <c r="M175" t="n">
        <v>0</v>
      </c>
      <c r="N175" t="n">
        <v>0</v>
      </c>
      <c r="O175" t="n">
        <v>0</v>
      </c>
      <c r="P175" t="n">
        <v>0</v>
      </c>
      <c r="Q175" t="n">
        <v>2</v>
      </c>
      <c r="R175" s="2" t="inlineStr">
        <is>
          <t>Vårärt
Revlummer</t>
        </is>
      </c>
      <c r="S175">
        <f>HYPERLINK("https://klasma.github.io/Logging_2281/artfynd/A 34766-2024 artfynd.xlsx", "A 34766-2024")</f>
        <v/>
      </c>
      <c r="T175">
        <f>HYPERLINK("https://klasma.github.io/Logging_2281/kartor/A 34766-2024 karta.png", "A 34766-2024")</f>
        <v/>
      </c>
      <c r="V175">
        <f>HYPERLINK("https://klasma.github.io/Logging_2281/klagomål/A 34766-2024 FSC-klagomål.docx", "A 34766-2024")</f>
        <v/>
      </c>
      <c r="W175">
        <f>HYPERLINK("https://klasma.github.io/Logging_2281/klagomålsmail/A 34766-2024 FSC-klagomål mail.docx", "A 34766-2024")</f>
        <v/>
      </c>
      <c r="X175">
        <f>HYPERLINK("https://klasma.github.io/Logging_2281/tillsyn/A 34766-2024 tillsynsbegäran.docx", "A 34766-2024")</f>
        <v/>
      </c>
      <c r="Y175">
        <f>HYPERLINK("https://klasma.github.io/Logging_2281/tillsynsmail/A 34766-2024 tillsynsbegäran mail.docx", "A 34766-2024")</f>
        <v/>
      </c>
    </row>
    <row r="176" ht="15" customHeight="1">
      <c r="A176" t="inlineStr">
        <is>
          <t>A 41090-2024</t>
        </is>
      </c>
      <c r="B176" s="1" t="n">
        <v>45559</v>
      </c>
      <c r="C176" s="1" t="n">
        <v>45825</v>
      </c>
      <c r="D176" t="inlineStr">
        <is>
          <t>VÄSTERNORRLANDS LÄN</t>
        </is>
      </c>
      <c r="E176" t="inlineStr">
        <is>
          <t>SUNDSVALL</t>
        </is>
      </c>
      <c r="F176" t="inlineStr">
        <is>
          <t>SCA</t>
        </is>
      </c>
      <c r="G176" t="n">
        <v>1.7</v>
      </c>
      <c r="H176" t="n">
        <v>0</v>
      </c>
      <c r="I176" t="n">
        <v>1</v>
      </c>
      <c r="J176" t="n">
        <v>1</v>
      </c>
      <c r="K176" t="n">
        <v>0</v>
      </c>
      <c r="L176" t="n">
        <v>0</v>
      </c>
      <c r="M176" t="n">
        <v>0</v>
      </c>
      <c r="N176" t="n">
        <v>0</v>
      </c>
      <c r="O176" t="n">
        <v>1</v>
      </c>
      <c r="P176" t="n">
        <v>0</v>
      </c>
      <c r="Q176" t="n">
        <v>2</v>
      </c>
      <c r="R176" s="2" t="inlineStr">
        <is>
          <t>Lunglav
Stuplav</t>
        </is>
      </c>
      <c r="S176">
        <f>HYPERLINK("https://klasma.github.io/Logging_2281/artfynd/A 41090-2024 artfynd.xlsx", "A 41090-2024")</f>
        <v/>
      </c>
      <c r="T176">
        <f>HYPERLINK("https://klasma.github.io/Logging_2281/kartor/A 41090-2024 karta.png", "A 41090-2024")</f>
        <v/>
      </c>
      <c r="V176">
        <f>HYPERLINK("https://klasma.github.io/Logging_2281/klagomål/A 41090-2024 FSC-klagomål.docx", "A 41090-2024")</f>
        <v/>
      </c>
      <c r="W176">
        <f>HYPERLINK("https://klasma.github.io/Logging_2281/klagomålsmail/A 41090-2024 FSC-klagomål mail.docx", "A 41090-2024")</f>
        <v/>
      </c>
      <c r="X176">
        <f>HYPERLINK("https://klasma.github.io/Logging_2281/tillsyn/A 41090-2024 tillsynsbegäran.docx", "A 41090-2024")</f>
        <v/>
      </c>
      <c r="Y176">
        <f>HYPERLINK("https://klasma.github.io/Logging_2281/tillsynsmail/A 41090-2024 tillsynsbegäran mail.docx", "A 41090-2024")</f>
        <v/>
      </c>
    </row>
    <row r="177" ht="15" customHeight="1">
      <c r="A177" t="inlineStr">
        <is>
          <t>A 59994-2024</t>
        </is>
      </c>
      <c r="B177" s="1" t="n">
        <v>45642</v>
      </c>
      <c r="C177" s="1" t="n">
        <v>45825</v>
      </c>
      <c r="D177" t="inlineStr">
        <is>
          <t>VÄSTERNORRLANDS LÄN</t>
        </is>
      </c>
      <c r="E177" t="inlineStr">
        <is>
          <t>SUNDSVALL</t>
        </is>
      </c>
      <c r="G177" t="n">
        <v>2.1</v>
      </c>
      <c r="H177" t="n">
        <v>0</v>
      </c>
      <c r="I177" t="n">
        <v>0</v>
      </c>
      <c r="J177" t="n">
        <v>2</v>
      </c>
      <c r="K177" t="n">
        <v>0</v>
      </c>
      <c r="L177" t="n">
        <v>0</v>
      </c>
      <c r="M177" t="n">
        <v>0</v>
      </c>
      <c r="N177" t="n">
        <v>0</v>
      </c>
      <c r="O177" t="n">
        <v>2</v>
      </c>
      <c r="P177" t="n">
        <v>0</v>
      </c>
      <c r="Q177" t="n">
        <v>2</v>
      </c>
      <c r="R177" s="2" t="inlineStr">
        <is>
          <t>Rosenticka
Ullticka</t>
        </is>
      </c>
      <c r="S177">
        <f>HYPERLINK("https://klasma.github.io/Logging_2281/artfynd/A 59994-2024 artfynd.xlsx", "A 59994-2024")</f>
        <v/>
      </c>
      <c r="T177">
        <f>HYPERLINK("https://klasma.github.io/Logging_2281/kartor/A 59994-2024 karta.png", "A 59994-2024")</f>
        <v/>
      </c>
      <c r="U177">
        <f>HYPERLINK("https://klasma.github.io/Logging_2281/knärot/A 59994-2024 karta knärot.png", "A 59994-2024")</f>
        <v/>
      </c>
      <c r="V177">
        <f>HYPERLINK("https://klasma.github.io/Logging_2281/klagomål/A 59994-2024 FSC-klagomål.docx", "A 59994-2024")</f>
        <v/>
      </c>
      <c r="W177">
        <f>HYPERLINK("https://klasma.github.io/Logging_2281/klagomålsmail/A 59994-2024 FSC-klagomål mail.docx", "A 59994-2024")</f>
        <v/>
      </c>
      <c r="X177">
        <f>HYPERLINK("https://klasma.github.io/Logging_2281/tillsyn/A 59994-2024 tillsynsbegäran.docx", "A 59994-2024")</f>
        <v/>
      </c>
      <c r="Y177">
        <f>HYPERLINK("https://klasma.github.io/Logging_2281/tillsynsmail/A 59994-2024 tillsynsbegäran mail.docx", "A 59994-2024")</f>
        <v/>
      </c>
    </row>
    <row r="178" ht="15" customHeight="1">
      <c r="A178" t="inlineStr">
        <is>
          <t>A 166-2025</t>
        </is>
      </c>
      <c r="B178" s="1" t="n">
        <v>45649</v>
      </c>
      <c r="C178" s="1" t="n">
        <v>45825</v>
      </c>
      <c r="D178" t="inlineStr">
        <is>
          <t>VÄSTERNORRLANDS LÄN</t>
        </is>
      </c>
      <c r="E178" t="inlineStr">
        <is>
          <t>SUNDSVALL</t>
        </is>
      </c>
      <c r="G178" t="n">
        <v>17.1</v>
      </c>
      <c r="H178" t="n">
        <v>1</v>
      </c>
      <c r="I178" t="n">
        <v>1</v>
      </c>
      <c r="J178" t="n">
        <v>0</v>
      </c>
      <c r="K178" t="n">
        <v>0</v>
      </c>
      <c r="L178" t="n">
        <v>0</v>
      </c>
      <c r="M178" t="n">
        <v>0</v>
      </c>
      <c r="N178" t="n">
        <v>0</v>
      </c>
      <c r="O178" t="n">
        <v>0</v>
      </c>
      <c r="P178" t="n">
        <v>0</v>
      </c>
      <c r="Q178" t="n">
        <v>2</v>
      </c>
      <c r="R178" s="2" t="inlineStr">
        <is>
          <t>Bårdlav
Revlummer</t>
        </is>
      </c>
      <c r="S178">
        <f>HYPERLINK("https://klasma.github.io/Logging_2281/artfynd/A 166-2025 artfynd.xlsx", "A 166-2025")</f>
        <v/>
      </c>
      <c r="T178">
        <f>HYPERLINK("https://klasma.github.io/Logging_2281/kartor/A 166-2025 karta.png", "A 166-2025")</f>
        <v/>
      </c>
      <c r="V178">
        <f>HYPERLINK("https://klasma.github.io/Logging_2281/klagomål/A 166-2025 FSC-klagomål.docx", "A 166-2025")</f>
        <v/>
      </c>
      <c r="W178">
        <f>HYPERLINK("https://klasma.github.io/Logging_2281/klagomålsmail/A 166-2025 FSC-klagomål mail.docx", "A 166-2025")</f>
        <v/>
      </c>
      <c r="X178">
        <f>HYPERLINK("https://klasma.github.io/Logging_2281/tillsyn/A 166-2025 tillsynsbegäran.docx", "A 166-2025")</f>
        <v/>
      </c>
      <c r="Y178">
        <f>HYPERLINK("https://klasma.github.io/Logging_2281/tillsynsmail/A 166-2025 tillsynsbegäran mail.docx", "A 166-2025")</f>
        <v/>
      </c>
    </row>
    <row r="179" ht="15" customHeight="1">
      <c r="A179" t="inlineStr">
        <is>
          <t>A 4896-2025</t>
        </is>
      </c>
      <c r="B179" s="1" t="n">
        <v>45688</v>
      </c>
      <c r="C179" s="1" t="n">
        <v>45825</v>
      </c>
      <c r="D179" t="inlineStr">
        <is>
          <t>VÄSTERNORRLANDS LÄN</t>
        </is>
      </c>
      <c r="E179" t="inlineStr">
        <is>
          <t>SUNDSVALL</t>
        </is>
      </c>
      <c r="F179" t="inlineStr">
        <is>
          <t>SCA</t>
        </is>
      </c>
      <c r="G179" t="n">
        <v>6.9</v>
      </c>
      <c r="H179" t="n">
        <v>1</v>
      </c>
      <c r="I179" t="n">
        <v>1</v>
      </c>
      <c r="J179" t="n">
        <v>0</v>
      </c>
      <c r="K179" t="n">
        <v>0</v>
      </c>
      <c r="L179" t="n">
        <v>0</v>
      </c>
      <c r="M179" t="n">
        <v>0</v>
      </c>
      <c r="N179" t="n">
        <v>0</v>
      </c>
      <c r="O179" t="n">
        <v>0</v>
      </c>
      <c r="P179" t="n">
        <v>0</v>
      </c>
      <c r="Q179" t="n">
        <v>2</v>
      </c>
      <c r="R179" s="2" t="inlineStr">
        <is>
          <t>Tibast
Blåsippa</t>
        </is>
      </c>
      <c r="S179">
        <f>HYPERLINK("https://klasma.github.io/Logging_2281/artfynd/A 4896-2025 artfynd.xlsx", "A 4896-2025")</f>
        <v/>
      </c>
      <c r="T179">
        <f>HYPERLINK("https://klasma.github.io/Logging_2281/kartor/A 4896-2025 karta.png", "A 4896-2025")</f>
        <v/>
      </c>
      <c r="U179">
        <f>HYPERLINK("https://klasma.github.io/Logging_2281/knärot/A 4896-2025 karta knärot.png", "A 4896-2025")</f>
        <v/>
      </c>
      <c r="V179">
        <f>HYPERLINK("https://klasma.github.io/Logging_2281/klagomål/A 4896-2025 FSC-klagomål.docx", "A 4896-2025")</f>
        <v/>
      </c>
      <c r="W179">
        <f>HYPERLINK("https://klasma.github.io/Logging_2281/klagomålsmail/A 4896-2025 FSC-klagomål mail.docx", "A 4896-2025")</f>
        <v/>
      </c>
      <c r="X179">
        <f>HYPERLINK("https://klasma.github.io/Logging_2281/tillsyn/A 4896-2025 tillsynsbegäran.docx", "A 4896-2025")</f>
        <v/>
      </c>
      <c r="Y179">
        <f>HYPERLINK("https://klasma.github.io/Logging_2281/tillsynsmail/A 4896-2025 tillsynsbegäran mail.docx", "A 4896-2025")</f>
        <v/>
      </c>
    </row>
    <row r="180" ht="15" customHeight="1">
      <c r="A180" t="inlineStr">
        <is>
          <t>A 4871-2025</t>
        </is>
      </c>
      <c r="B180" s="1" t="n">
        <v>45688</v>
      </c>
      <c r="C180" s="1" t="n">
        <v>45825</v>
      </c>
      <c r="D180" t="inlineStr">
        <is>
          <t>VÄSTERNORRLANDS LÄN</t>
        </is>
      </c>
      <c r="E180" t="inlineStr">
        <is>
          <t>SUNDSVALL</t>
        </is>
      </c>
      <c r="F180" t="inlineStr">
        <is>
          <t>SCA</t>
        </is>
      </c>
      <c r="G180" t="n">
        <v>11.5</v>
      </c>
      <c r="H180" t="n">
        <v>1</v>
      </c>
      <c r="I180" t="n">
        <v>0</v>
      </c>
      <c r="J180" t="n">
        <v>2</v>
      </c>
      <c r="K180" t="n">
        <v>0</v>
      </c>
      <c r="L180" t="n">
        <v>0</v>
      </c>
      <c r="M180" t="n">
        <v>0</v>
      </c>
      <c r="N180" t="n">
        <v>0</v>
      </c>
      <c r="O180" t="n">
        <v>2</v>
      </c>
      <c r="P180" t="n">
        <v>0</v>
      </c>
      <c r="Q180" t="n">
        <v>2</v>
      </c>
      <c r="R180" s="2" t="inlineStr">
        <is>
          <t>Spillkråka
Ullticka</t>
        </is>
      </c>
      <c r="S180">
        <f>HYPERLINK("https://klasma.github.io/Logging_2281/artfynd/A 4871-2025 artfynd.xlsx", "A 4871-2025")</f>
        <v/>
      </c>
      <c r="T180">
        <f>HYPERLINK("https://klasma.github.io/Logging_2281/kartor/A 4871-2025 karta.png", "A 4871-2025")</f>
        <v/>
      </c>
      <c r="U180">
        <f>HYPERLINK("https://klasma.github.io/Logging_2281/knärot/A 4871-2025 karta knärot.png", "A 4871-2025")</f>
        <v/>
      </c>
      <c r="V180">
        <f>HYPERLINK("https://klasma.github.io/Logging_2281/klagomål/A 4871-2025 FSC-klagomål.docx", "A 4871-2025")</f>
        <v/>
      </c>
      <c r="W180">
        <f>HYPERLINK("https://klasma.github.io/Logging_2281/klagomålsmail/A 4871-2025 FSC-klagomål mail.docx", "A 4871-2025")</f>
        <v/>
      </c>
      <c r="X180">
        <f>HYPERLINK("https://klasma.github.io/Logging_2281/tillsyn/A 4871-2025 tillsynsbegäran.docx", "A 4871-2025")</f>
        <v/>
      </c>
      <c r="Y180">
        <f>HYPERLINK("https://klasma.github.io/Logging_2281/tillsynsmail/A 4871-2025 tillsynsbegäran mail.docx", "A 4871-2025")</f>
        <v/>
      </c>
      <c r="Z180">
        <f>HYPERLINK("https://klasma.github.io/Logging_2281/fåglar/A 4871-2025 prioriterade fågelarter.docx", "A 4871-2025")</f>
        <v/>
      </c>
    </row>
    <row r="181" ht="15" customHeight="1">
      <c r="A181" t="inlineStr">
        <is>
          <t>A 4900-2025</t>
        </is>
      </c>
      <c r="B181" s="1" t="n">
        <v>45688</v>
      </c>
      <c r="C181" s="1" t="n">
        <v>45825</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6672-2025</t>
        </is>
      </c>
      <c r="B182" s="1" t="n">
        <v>45700</v>
      </c>
      <c r="C182" s="1" t="n">
        <v>45825</v>
      </c>
      <c r="D182" t="inlineStr">
        <is>
          <t>VÄSTERNORRLANDS LÄN</t>
        </is>
      </c>
      <c r="E182" t="inlineStr">
        <is>
          <t>SUNDSVALL</t>
        </is>
      </c>
      <c r="G182" t="n">
        <v>2.8</v>
      </c>
      <c r="H182" t="n">
        <v>0</v>
      </c>
      <c r="I182" t="n">
        <v>1</v>
      </c>
      <c r="J182" t="n">
        <v>1</v>
      </c>
      <c r="K182" t="n">
        <v>0</v>
      </c>
      <c r="L182" t="n">
        <v>0</v>
      </c>
      <c r="M182" t="n">
        <v>0</v>
      </c>
      <c r="N182" t="n">
        <v>0</v>
      </c>
      <c r="O182" t="n">
        <v>1</v>
      </c>
      <c r="P182" t="n">
        <v>0</v>
      </c>
      <c r="Q182" t="n">
        <v>2</v>
      </c>
      <c r="R182" s="2" t="inlineStr">
        <is>
          <t>Tallticka
Björksplintborre</t>
        </is>
      </c>
      <c r="S182">
        <f>HYPERLINK("https://klasma.github.io/Logging_2281/artfynd/A 6672-2025 artfynd.xlsx", "A 6672-2025")</f>
        <v/>
      </c>
      <c r="T182">
        <f>HYPERLINK("https://klasma.github.io/Logging_2281/kartor/A 6672-2025 karta.png", "A 6672-2025")</f>
        <v/>
      </c>
      <c r="V182">
        <f>HYPERLINK("https://klasma.github.io/Logging_2281/klagomål/A 6672-2025 FSC-klagomål.docx", "A 6672-2025")</f>
        <v/>
      </c>
      <c r="W182">
        <f>HYPERLINK("https://klasma.github.io/Logging_2281/klagomålsmail/A 6672-2025 FSC-klagomål mail.docx", "A 6672-2025")</f>
        <v/>
      </c>
      <c r="X182">
        <f>HYPERLINK("https://klasma.github.io/Logging_2281/tillsyn/A 6672-2025 tillsynsbegäran.docx", "A 6672-2025")</f>
        <v/>
      </c>
      <c r="Y182">
        <f>HYPERLINK("https://klasma.github.io/Logging_2281/tillsynsmail/A 6672-2025 tillsynsbegäran mail.docx", "A 6672-2025")</f>
        <v/>
      </c>
    </row>
    <row r="183" ht="15" customHeight="1">
      <c r="A183" t="inlineStr">
        <is>
          <t>A 13154-2025</t>
        </is>
      </c>
      <c r="B183" s="1" t="n">
        <v>45735</v>
      </c>
      <c r="C183" s="1" t="n">
        <v>45825</v>
      </c>
      <c r="D183" t="inlineStr">
        <is>
          <t>VÄSTERNORRLANDS LÄN</t>
        </is>
      </c>
      <c r="E183" t="inlineStr">
        <is>
          <t>SUNDSVALL</t>
        </is>
      </c>
      <c r="G183" t="n">
        <v>2.6</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HYPERLINK("https://klasma.github.io/Logging_222281/artfynd/A 13154-2025 artfynd.xlsx", "A 13154-2025")</f>
        <v/>
      </c>
      <c r="T183">
        <f>HYPERLINK("https://klasma.github.io/Logging_222281/kartor/A 13154-2025 karta.png", "A 13154-2025")</f>
        <v/>
      </c>
      <c r="V183">
        <f>HYPERLINK("https://klasma.github.io/Logging_222281/klagomål/A 13154-2025 FSC-klagomål.docx", "A 13154-2025")</f>
        <v/>
      </c>
      <c r="W183">
        <f>HYPERLINK("https://klasma.github.io/Logging_222281/klagomålsmail/A 13154-2025 FSC-klagomål mail.docx", "A 13154-2025")</f>
        <v/>
      </c>
      <c r="X183">
        <f>HYPERLINK("https://klasma.github.io/Logging_222281/tillsyn/A 13154-2025 tillsynsbegäran.docx", "A 13154-2025")</f>
        <v/>
      </c>
      <c r="Y183">
        <f>HYPERLINK("https://klasma.github.io/Logging_222281/tillsynsmail/A 13154-2025 tillsynsbegäran mail.docx", "A 13154-2025")</f>
        <v/>
      </c>
    </row>
    <row r="184" ht="15" customHeight="1">
      <c r="A184" t="inlineStr">
        <is>
          <t>A 13441-2025</t>
        </is>
      </c>
      <c r="B184" s="1" t="n">
        <v>45736</v>
      </c>
      <c r="C184" s="1" t="n">
        <v>45825</v>
      </c>
      <c r="D184" t="inlineStr">
        <is>
          <t>VÄSTERNORRLANDS LÄN</t>
        </is>
      </c>
      <c r="E184" t="inlineStr">
        <is>
          <t>SUNDSVALL</t>
        </is>
      </c>
      <c r="F184" t="inlineStr">
        <is>
          <t>SCA</t>
        </is>
      </c>
      <c r="G184" t="n">
        <v>0.8</v>
      </c>
      <c r="H184" t="n">
        <v>0</v>
      </c>
      <c r="I184" t="n">
        <v>1</v>
      </c>
      <c r="J184" t="n">
        <v>1</v>
      </c>
      <c r="K184" t="n">
        <v>0</v>
      </c>
      <c r="L184" t="n">
        <v>0</v>
      </c>
      <c r="M184" t="n">
        <v>0</v>
      </c>
      <c r="N184" t="n">
        <v>0</v>
      </c>
      <c r="O184" t="n">
        <v>1</v>
      </c>
      <c r="P184" t="n">
        <v>0</v>
      </c>
      <c r="Q184" t="n">
        <v>2</v>
      </c>
      <c r="R184" s="2" t="inlineStr">
        <is>
          <t>Vedtrappmossa
Vedticka</t>
        </is>
      </c>
      <c r="S184">
        <f>HYPERLINK("https://klasma.github.io/Logging_222281/artfynd/A 13441-2025 artfynd.xlsx", "A 13441-2025")</f>
        <v/>
      </c>
      <c r="T184">
        <f>HYPERLINK("https://klasma.github.io/Logging_222281/kartor/A 13441-2025 karta.png", "A 13441-2025")</f>
        <v/>
      </c>
      <c r="V184">
        <f>HYPERLINK("https://klasma.github.io/Logging_222281/klagomål/A 13441-2025 FSC-klagomål.docx", "A 13441-2025")</f>
        <v/>
      </c>
      <c r="W184">
        <f>HYPERLINK("https://klasma.github.io/Logging_222281/klagomålsmail/A 13441-2025 FSC-klagomål mail.docx", "A 13441-2025")</f>
        <v/>
      </c>
      <c r="X184">
        <f>HYPERLINK("https://klasma.github.io/Logging_222281/tillsyn/A 13441-2025 tillsynsbegäran.docx", "A 13441-2025")</f>
        <v/>
      </c>
      <c r="Y184">
        <f>HYPERLINK("https://klasma.github.io/Logging_222281/tillsynsmail/A 13441-2025 tillsynsbegäran mail.docx", "A 13441-2025")</f>
        <v/>
      </c>
    </row>
    <row r="185" ht="15" customHeight="1">
      <c r="A185" t="inlineStr">
        <is>
          <t>A 16043-2025</t>
        </is>
      </c>
      <c r="B185" s="1" t="n">
        <v>45749</v>
      </c>
      <c r="C185" s="1" t="n">
        <v>45825</v>
      </c>
      <c r="D185" t="inlineStr">
        <is>
          <t>VÄSTERNORRLANDS LÄN</t>
        </is>
      </c>
      <c r="E185" t="inlineStr">
        <is>
          <t>SUNDSVALL</t>
        </is>
      </c>
      <c r="G185" t="n">
        <v>10.5</v>
      </c>
      <c r="H185" t="n">
        <v>2</v>
      </c>
      <c r="I185" t="n">
        <v>0</v>
      </c>
      <c r="J185" t="n">
        <v>1</v>
      </c>
      <c r="K185" t="n">
        <v>0</v>
      </c>
      <c r="L185" t="n">
        <v>0</v>
      </c>
      <c r="M185" t="n">
        <v>0</v>
      </c>
      <c r="N185" t="n">
        <v>0</v>
      </c>
      <c r="O185" t="n">
        <v>1</v>
      </c>
      <c r="P185" t="n">
        <v>0</v>
      </c>
      <c r="Q185" t="n">
        <v>2</v>
      </c>
      <c r="R185" s="2" t="inlineStr">
        <is>
          <t>Pilgrimsfalk
Sparvuggla</t>
        </is>
      </c>
      <c r="S185">
        <f>HYPERLINK("https://klasma.github.io/Logging_222281/artfynd/A 16043-2025 artfynd.xlsx", "A 16043-2025")</f>
        <v/>
      </c>
      <c r="T185">
        <f>HYPERLINK("https://klasma.github.io/Logging_222281/kartor/A 16043-2025 karta.png", "A 16043-2025")</f>
        <v/>
      </c>
      <c r="V185">
        <f>HYPERLINK("https://klasma.github.io/Logging_222281/klagomål/A 16043-2025 FSC-klagomål.docx", "A 16043-2025")</f>
        <v/>
      </c>
      <c r="W185">
        <f>HYPERLINK("https://klasma.github.io/Logging_222281/klagomålsmail/A 16043-2025 FSC-klagomål mail.docx", "A 16043-2025")</f>
        <v/>
      </c>
      <c r="X185">
        <f>HYPERLINK("https://klasma.github.io/Logging_222281/tillsyn/A 16043-2025 tillsynsbegäran.docx", "A 16043-2025")</f>
        <v/>
      </c>
      <c r="Y185">
        <f>HYPERLINK("https://klasma.github.io/Logging_222281/tillsynsmail/A 16043-2025 tillsynsbegäran mail.docx", "A 16043-2025")</f>
        <v/>
      </c>
      <c r="Z185">
        <f>HYPERLINK("https://klasma.github.io/Logging_222281/fåglar/A 16043-2025 prioriterade fågelarter.docx", "A 16043-2025")</f>
        <v/>
      </c>
    </row>
    <row r="186" ht="15" customHeight="1">
      <c r="A186" t="inlineStr">
        <is>
          <t>A 21373-2025</t>
        </is>
      </c>
      <c r="B186" s="1" t="n">
        <v>45782</v>
      </c>
      <c r="C186" s="1" t="n">
        <v>45825</v>
      </c>
      <c r="D186" t="inlineStr">
        <is>
          <t>VÄSTERNORRLANDS LÄN</t>
        </is>
      </c>
      <c r="E186" t="inlineStr">
        <is>
          <t>SUNDSVALL</t>
        </is>
      </c>
      <c r="F186" t="inlineStr">
        <is>
          <t>Naturvårdsverket</t>
        </is>
      </c>
      <c r="G186" t="n">
        <v>3.1</v>
      </c>
      <c r="H186" t="n">
        <v>0</v>
      </c>
      <c r="I186" t="n">
        <v>0</v>
      </c>
      <c r="J186" t="n">
        <v>2</v>
      </c>
      <c r="K186" t="n">
        <v>0</v>
      </c>
      <c r="L186" t="n">
        <v>0</v>
      </c>
      <c r="M186" t="n">
        <v>0</v>
      </c>
      <c r="N186" t="n">
        <v>0</v>
      </c>
      <c r="O186" t="n">
        <v>2</v>
      </c>
      <c r="P186" t="n">
        <v>0</v>
      </c>
      <c r="Q186" t="n">
        <v>2</v>
      </c>
      <c r="R186" s="2" t="inlineStr">
        <is>
          <t>Kolflarnlav
Lunglav</t>
        </is>
      </c>
      <c r="S186">
        <f>HYPERLINK("https://klasma.github.io/Logging_222281/artfynd/A 21373-2025 artfynd.xlsx", "A 21373-2025")</f>
        <v/>
      </c>
      <c r="T186">
        <f>HYPERLINK("https://klasma.github.io/Logging_222281/kartor/A 21373-2025 karta.png", "A 21373-2025")</f>
        <v/>
      </c>
      <c r="V186">
        <f>HYPERLINK("https://klasma.github.io/Logging_222281/klagomål/A 21373-2025 FSC-klagomål.docx", "A 21373-2025")</f>
        <v/>
      </c>
      <c r="W186">
        <f>HYPERLINK("https://klasma.github.io/Logging_222281/klagomålsmail/A 21373-2025 FSC-klagomål mail.docx", "A 21373-2025")</f>
        <v/>
      </c>
      <c r="X186">
        <f>HYPERLINK("https://klasma.github.io/Logging_222281/tillsyn/A 21373-2025 tillsynsbegäran.docx", "A 21373-2025")</f>
        <v/>
      </c>
      <c r="Y186">
        <f>HYPERLINK("https://klasma.github.io/Logging_222281/tillsynsmail/A 21373-2025 tillsynsbegäran mail.docx", "A 21373-2025")</f>
        <v/>
      </c>
    </row>
    <row r="187" ht="15" customHeight="1">
      <c r="A187" t="inlineStr">
        <is>
          <t>A 21321-2025</t>
        </is>
      </c>
      <c r="B187" s="1" t="n">
        <v>45782</v>
      </c>
      <c r="C187" s="1" t="n">
        <v>45825</v>
      </c>
      <c r="D187" t="inlineStr">
        <is>
          <t>VÄSTERNORRLANDS LÄN</t>
        </is>
      </c>
      <c r="E187" t="inlineStr">
        <is>
          <t>SUNDSVALL</t>
        </is>
      </c>
      <c r="F187" t="inlineStr">
        <is>
          <t>Naturvårdsverket</t>
        </is>
      </c>
      <c r="G187" t="n">
        <v>1.4</v>
      </c>
      <c r="H187" t="n">
        <v>0</v>
      </c>
      <c r="I187" t="n">
        <v>0</v>
      </c>
      <c r="J187" t="n">
        <v>2</v>
      </c>
      <c r="K187" t="n">
        <v>0</v>
      </c>
      <c r="L187" t="n">
        <v>0</v>
      </c>
      <c r="M187" t="n">
        <v>0</v>
      </c>
      <c r="N187" t="n">
        <v>0</v>
      </c>
      <c r="O187" t="n">
        <v>2</v>
      </c>
      <c r="P187" t="n">
        <v>0</v>
      </c>
      <c r="Q187" t="n">
        <v>2</v>
      </c>
      <c r="R187" s="2" t="inlineStr">
        <is>
          <t>Tallticka
Vedskivlav</t>
        </is>
      </c>
      <c r="S187">
        <f>HYPERLINK("https://klasma.github.io/Logging_222281/artfynd/A 21321-2025 artfynd.xlsx", "A 21321-2025")</f>
        <v/>
      </c>
      <c r="T187">
        <f>HYPERLINK("https://klasma.github.io/Logging_222281/kartor/A 21321-2025 karta.png", "A 21321-2025")</f>
        <v/>
      </c>
      <c r="V187">
        <f>HYPERLINK("https://klasma.github.io/Logging_222281/klagomål/A 21321-2025 FSC-klagomål.docx", "A 21321-2025")</f>
        <v/>
      </c>
      <c r="W187">
        <f>HYPERLINK("https://klasma.github.io/Logging_222281/klagomålsmail/A 21321-2025 FSC-klagomål mail.docx", "A 21321-2025")</f>
        <v/>
      </c>
      <c r="X187">
        <f>HYPERLINK("https://klasma.github.io/Logging_222281/tillsyn/A 21321-2025 tillsynsbegäran.docx", "A 21321-2025")</f>
        <v/>
      </c>
      <c r="Y187">
        <f>HYPERLINK("https://klasma.github.io/Logging_222281/tillsynsmail/A 21321-2025 tillsynsbegäran mail.docx", "A 21321-2025")</f>
        <v/>
      </c>
    </row>
    <row r="188" ht="15" customHeight="1">
      <c r="A188" t="inlineStr">
        <is>
          <t>A 23364-2025</t>
        </is>
      </c>
      <c r="B188" s="1" t="n">
        <v>45791</v>
      </c>
      <c r="C188" s="1" t="n">
        <v>45825</v>
      </c>
      <c r="D188" t="inlineStr">
        <is>
          <t>VÄSTERNORRLANDS LÄN</t>
        </is>
      </c>
      <c r="E188" t="inlineStr">
        <is>
          <t>SUNDSVALL</t>
        </is>
      </c>
      <c r="F188" t="inlineStr">
        <is>
          <t>SCA</t>
        </is>
      </c>
      <c r="G188" t="n">
        <v>4</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HYPERLINK("https://klasma.github.io/Logging_222281/artfynd/A 23364-2025 artfynd.xlsx", "A 23364-2025")</f>
        <v/>
      </c>
      <c r="T188">
        <f>HYPERLINK("https://klasma.github.io/Logging_222281/kartor/A 23364-2025 karta.png", "A 23364-2025")</f>
        <v/>
      </c>
      <c r="V188">
        <f>HYPERLINK("https://klasma.github.io/Logging_222281/klagomål/A 23364-2025 FSC-klagomål.docx", "A 23364-2025")</f>
        <v/>
      </c>
      <c r="W188">
        <f>HYPERLINK("https://klasma.github.io/Logging_222281/klagomålsmail/A 23364-2025 FSC-klagomål mail.docx", "A 23364-2025")</f>
        <v/>
      </c>
      <c r="X188">
        <f>HYPERLINK("https://klasma.github.io/Logging_222281/tillsyn/A 23364-2025 tillsynsbegäran.docx", "A 23364-2025")</f>
        <v/>
      </c>
      <c r="Y188">
        <f>HYPERLINK("https://klasma.github.io/Logging_222281/tillsynsmail/A 23364-2025 tillsynsbegäran mail.docx", "A 23364-2025")</f>
        <v/>
      </c>
      <c r="Z188">
        <f>HYPERLINK("https://klasma.github.io/Logging_222281/fåglar/A 23364-2025 prioriterade fågelarter.docx", "A 23364-2025")</f>
        <v/>
      </c>
    </row>
    <row r="189" ht="15" customHeight="1">
      <c r="A189" t="inlineStr">
        <is>
          <t>A 25500-2025</t>
        </is>
      </c>
      <c r="B189" s="1" t="n">
        <v>45803</v>
      </c>
      <c r="C189" s="1" t="n">
        <v>45825</v>
      </c>
      <c r="D189" t="inlineStr">
        <is>
          <t>VÄSTERNORRLANDS LÄN</t>
        </is>
      </c>
      <c r="E189" t="inlineStr">
        <is>
          <t>SUNDSVALL</t>
        </is>
      </c>
      <c r="F189" t="inlineStr">
        <is>
          <t>SCA</t>
        </is>
      </c>
      <c r="G189" t="n">
        <v>1.6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25500-2025 artfynd.xlsx", "A 25500-2025")</f>
        <v/>
      </c>
      <c r="T189">
        <f>HYPERLINK("https://klasma.github.io/Logging_222281/kartor/A 25500-2025 karta.png", "A 25500-2025")</f>
        <v/>
      </c>
      <c r="V189">
        <f>HYPERLINK("https://klasma.github.io/Logging_222281/klagomål/A 25500-2025 FSC-klagomål.docx", "A 25500-2025")</f>
        <v/>
      </c>
      <c r="W189">
        <f>HYPERLINK("https://klasma.github.io/Logging_222281/klagomålsmail/A 25500-2025 FSC-klagomål mail.docx", "A 25500-2025")</f>
        <v/>
      </c>
      <c r="X189">
        <f>HYPERLINK("https://klasma.github.io/Logging_222281/tillsyn/A 25500-2025 tillsynsbegäran.docx", "A 25500-2025")</f>
        <v/>
      </c>
      <c r="Y189">
        <f>HYPERLINK("https://klasma.github.io/Logging_222281/tillsynsmail/A 25500-2025 tillsynsbegäran mail.docx", "A 25500-2025")</f>
        <v/>
      </c>
      <c r="Z189">
        <f>HYPERLINK("https://klasma.github.io/Logging_222281/fåglar/A 25500-2025 prioriterade fågelarter.docx", "A 25500-2025")</f>
        <v/>
      </c>
    </row>
    <row r="190" ht="15" customHeight="1">
      <c r="A190" t="inlineStr">
        <is>
          <t>A 25870-2025</t>
        </is>
      </c>
      <c r="B190" s="1" t="n">
        <v>45804</v>
      </c>
      <c r="C190" s="1" t="n">
        <v>45825</v>
      </c>
      <c r="D190" t="inlineStr">
        <is>
          <t>VÄSTERNORRLANDS LÄN</t>
        </is>
      </c>
      <c r="E190" t="inlineStr">
        <is>
          <t>SUNDSVALL</t>
        </is>
      </c>
      <c r="F190" t="inlineStr">
        <is>
          <t>Naturvårdsverket</t>
        </is>
      </c>
      <c r="G190" t="n">
        <v>1.6</v>
      </c>
      <c r="H190" t="n">
        <v>1</v>
      </c>
      <c r="I190" t="n">
        <v>1</v>
      </c>
      <c r="J190" t="n">
        <v>1</v>
      </c>
      <c r="K190" t="n">
        <v>0</v>
      </c>
      <c r="L190" t="n">
        <v>0</v>
      </c>
      <c r="M190" t="n">
        <v>0</v>
      </c>
      <c r="N190" t="n">
        <v>0</v>
      </c>
      <c r="O190" t="n">
        <v>1</v>
      </c>
      <c r="P190" t="n">
        <v>0</v>
      </c>
      <c r="Q190" t="n">
        <v>2</v>
      </c>
      <c r="R190" s="2" t="inlineStr">
        <is>
          <t>Lunglav
Spindelblomster</t>
        </is>
      </c>
      <c r="S190">
        <f>HYPERLINK("https://klasma.github.io/Logging_222281/artfynd/A 25870-2025 artfynd.xlsx", "A 25870-2025")</f>
        <v/>
      </c>
      <c r="T190">
        <f>HYPERLINK("https://klasma.github.io/Logging_222281/kartor/A 25870-2025 karta.png", "A 25870-2025")</f>
        <v/>
      </c>
      <c r="V190">
        <f>HYPERLINK("https://klasma.github.io/Logging_222281/klagomål/A 25870-2025 FSC-klagomål.docx", "A 25870-2025")</f>
        <v/>
      </c>
      <c r="W190">
        <f>HYPERLINK("https://klasma.github.io/Logging_222281/klagomålsmail/A 25870-2025 FSC-klagomål mail.docx", "A 25870-2025")</f>
        <v/>
      </c>
      <c r="X190">
        <f>HYPERLINK("https://klasma.github.io/Logging_222281/tillsyn/A 25870-2025 tillsynsbegäran.docx", "A 25870-2025")</f>
        <v/>
      </c>
      <c r="Y190">
        <f>HYPERLINK("https://klasma.github.io/Logging_222281/tillsynsmail/A 25870-2025 tillsynsbegäran mail.docx", "A 25870-2025")</f>
        <v/>
      </c>
    </row>
    <row r="191" ht="15" customHeight="1">
      <c r="A191" t="inlineStr">
        <is>
          <t>A 26392-2025</t>
        </is>
      </c>
      <c r="B191" s="1" t="n">
        <v>45806</v>
      </c>
      <c r="C191" s="1" t="n">
        <v>45825</v>
      </c>
      <c r="D191" t="inlineStr">
        <is>
          <t>VÄSTERNORRLANDS LÄN</t>
        </is>
      </c>
      <c r="E191" t="inlineStr">
        <is>
          <t>SUNDSVALL</t>
        </is>
      </c>
      <c r="F191" t="inlineStr">
        <is>
          <t>Naturvårdsverket</t>
        </is>
      </c>
      <c r="G191" t="n">
        <v>7.5</v>
      </c>
      <c r="H191" t="n">
        <v>0</v>
      </c>
      <c r="I191" t="n">
        <v>0</v>
      </c>
      <c r="J191" t="n">
        <v>2</v>
      </c>
      <c r="K191" t="n">
        <v>0</v>
      </c>
      <c r="L191" t="n">
        <v>0</v>
      </c>
      <c r="M191" t="n">
        <v>0</v>
      </c>
      <c r="N191" t="n">
        <v>0</v>
      </c>
      <c r="O191" t="n">
        <v>2</v>
      </c>
      <c r="P191" t="n">
        <v>0</v>
      </c>
      <c r="Q191" t="n">
        <v>2</v>
      </c>
      <c r="R191" s="2" t="inlineStr">
        <is>
          <t>Doftskinn
Lunglav</t>
        </is>
      </c>
      <c r="S191">
        <f>HYPERLINK("https://klasma.github.io/Logging_222281/artfynd/A 26392-2025 artfynd.xlsx", "A 26392-2025")</f>
        <v/>
      </c>
      <c r="T191">
        <f>HYPERLINK("https://klasma.github.io/Logging_222281/kartor/A 26392-2025 karta.png", "A 26392-2025")</f>
        <v/>
      </c>
      <c r="V191">
        <f>HYPERLINK("https://klasma.github.io/Logging_222281/klagomål/A 26392-2025 FSC-klagomål.docx", "A 26392-2025")</f>
        <v/>
      </c>
      <c r="W191">
        <f>HYPERLINK("https://klasma.github.io/Logging_222281/klagomålsmail/A 26392-2025 FSC-klagomål mail.docx", "A 26392-2025")</f>
        <v/>
      </c>
      <c r="X191">
        <f>HYPERLINK("https://klasma.github.io/Logging_222281/tillsyn/A 26392-2025 tillsynsbegäran.docx", "A 26392-2025")</f>
        <v/>
      </c>
      <c r="Y191">
        <f>HYPERLINK("https://klasma.github.io/Logging_222281/tillsynsmail/A 26392-2025 tillsynsbegäran mail.docx", "A 26392-2025")</f>
        <v/>
      </c>
    </row>
    <row r="192" ht="15" customHeight="1">
      <c r="A192" t="inlineStr">
        <is>
          <t>A 26833-2025</t>
        </is>
      </c>
      <c r="B192" s="1" t="n">
        <v>45810</v>
      </c>
      <c r="C192" s="1" t="n">
        <v>45825</v>
      </c>
      <c r="D192" t="inlineStr">
        <is>
          <t>VÄSTERNORRLANDS LÄN</t>
        </is>
      </c>
      <c r="E192" t="inlineStr">
        <is>
          <t>SUNDSVALL</t>
        </is>
      </c>
      <c r="F192" t="inlineStr">
        <is>
          <t>SCA</t>
        </is>
      </c>
      <c r="G192" t="n">
        <v>6</v>
      </c>
      <c r="H192" t="n">
        <v>0</v>
      </c>
      <c r="I192" t="n">
        <v>0</v>
      </c>
      <c r="J192" t="n">
        <v>2</v>
      </c>
      <c r="K192" t="n">
        <v>0</v>
      </c>
      <c r="L192" t="n">
        <v>0</v>
      </c>
      <c r="M192" t="n">
        <v>0</v>
      </c>
      <c r="N192" t="n">
        <v>0</v>
      </c>
      <c r="O192" t="n">
        <v>2</v>
      </c>
      <c r="P192" t="n">
        <v>0</v>
      </c>
      <c r="Q192" t="n">
        <v>2</v>
      </c>
      <c r="R192" s="2" t="inlineStr">
        <is>
          <t>Kolflarnlav
Vedskivlav</t>
        </is>
      </c>
      <c r="S192">
        <f>HYPERLINK("https://klasma.github.io/Logging_222281/artfynd/A 26833-2025 artfynd.xlsx", "A 26833-2025")</f>
        <v/>
      </c>
      <c r="T192">
        <f>HYPERLINK("https://klasma.github.io/Logging_222281/kartor/A 26833-2025 karta.png", "A 26833-2025")</f>
        <v/>
      </c>
      <c r="V192">
        <f>HYPERLINK("https://klasma.github.io/Logging_222281/klagomål/A 26833-2025 FSC-klagomål.docx", "A 26833-2025")</f>
        <v/>
      </c>
      <c r="W192">
        <f>HYPERLINK("https://klasma.github.io/Logging_222281/klagomålsmail/A 26833-2025 FSC-klagomål mail.docx", "A 26833-2025")</f>
        <v/>
      </c>
      <c r="X192">
        <f>HYPERLINK("https://klasma.github.io/Logging_222281/tillsyn/A 26833-2025 tillsynsbegäran.docx", "A 26833-2025")</f>
        <v/>
      </c>
      <c r="Y192">
        <f>HYPERLINK("https://klasma.github.io/Logging_222281/tillsynsmail/A 26833-2025 tillsynsbegäran mail.docx", "A 26833-2025")</f>
        <v/>
      </c>
    </row>
    <row r="193" ht="15" customHeight="1">
      <c r="A193" t="inlineStr">
        <is>
          <t>A 26834-2025</t>
        </is>
      </c>
      <c r="B193" s="1" t="n">
        <v>45810</v>
      </c>
      <c r="C193" s="1" t="n">
        <v>45825</v>
      </c>
      <c r="D193" t="inlineStr">
        <is>
          <t>VÄSTERNORRLANDS LÄN</t>
        </is>
      </c>
      <c r="E193" t="inlineStr">
        <is>
          <t>SUNDSVALL</t>
        </is>
      </c>
      <c r="F193" t="inlineStr">
        <is>
          <t>SCA</t>
        </is>
      </c>
      <c r="G193" t="n">
        <v>1.9</v>
      </c>
      <c r="H193" t="n">
        <v>0</v>
      </c>
      <c r="I193" t="n">
        <v>0</v>
      </c>
      <c r="J193" t="n">
        <v>2</v>
      </c>
      <c r="K193" t="n">
        <v>0</v>
      </c>
      <c r="L193" t="n">
        <v>0</v>
      </c>
      <c r="M193" t="n">
        <v>0</v>
      </c>
      <c r="N193" t="n">
        <v>0</v>
      </c>
      <c r="O193" t="n">
        <v>2</v>
      </c>
      <c r="P193" t="n">
        <v>0</v>
      </c>
      <c r="Q193" t="n">
        <v>2</v>
      </c>
      <c r="R193" s="2" t="inlineStr">
        <is>
          <t>Garnlav
Kolflarnlav</t>
        </is>
      </c>
      <c r="S193">
        <f>HYPERLINK("https://klasma.github.io/Logging_222281/artfynd/A 26834-2025 artfynd.xlsx", "A 26834-2025")</f>
        <v/>
      </c>
      <c r="T193">
        <f>HYPERLINK("https://klasma.github.io/Logging_222281/kartor/A 26834-2025 karta.png", "A 26834-2025")</f>
        <v/>
      </c>
      <c r="V193">
        <f>HYPERLINK("https://klasma.github.io/Logging_222281/klagomål/A 26834-2025 FSC-klagomål.docx", "A 26834-2025")</f>
        <v/>
      </c>
      <c r="W193">
        <f>HYPERLINK("https://klasma.github.io/Logging_222281/klagomålsmail/A 26834-2025 FSC-klagomål mail.docx", "A 26834-2025")</f>
        <v/>
      </c>
      <c r="X193">
        <f>HYPERLINK("https://klasma.github.io/Logging_222281/tillsyn/A 26834-2025 tillsynsbegäran.docx", "A 26834-2025")</f>
        <v/>
      </c>
      <c r="Y193">
        <f>HYPERLINK("https://klasma.github.io/Logging_222281/tillsynsmail/A 26834-2025 tillsynsbegäran mail.docx", "A 26834-2025")</f>
        <v/>
      </c>
    </row>
    <row r="194" ht="15" customHeight="1">
      <c r="A194" t="inlineStr">
        <is>
          <t>A 27216-2019</t>
        </is>
      </c>
      <c r="B194" s="1" t="n">
        <v>43614</v>
      </c>
      <c r="C194" s="1" t="n">
        <v>45825</v>
      </c>
      <c r="D194" t="inlineStr">
        <is>
          <t>VÄSTERNORRLANDS LÄN</t>
        </is>
      </c>
      <c r="E194" t="inlineStr">
        <is>
          <t>SUNDSVALL</t>
        </is>
      </c>
      <c r="G194" t="n">
        <v>3.7</v>
      </c>
      <c r="H194" t="n">
        <v>1</v>
      </c>
      <c r="I194" t="n">
        <v>0</v>
      </c>
      <c r="J194" t="n">
        <v>0</v>
      </c>
      <c r="K194" t="n">
        <v>0</v>
      </c>
      <c r="L194" t="n">
        <v>0</v>
      </c>
      <c r="M194" t="n">
        <v>0</v>
      </c>
      <c r="N194" t="n">
        <v>0</v>
      </c>
      <c r="O194" t="n">
        <v>0</v>
      </c>
      <c r="P194" t="n">
        <v>0</v>
      </c>
      <c r="Q194" t="n">
        <v>1</v>
      </c>
      <c r="R194" s="2" t="inlineStr">
        <is>
          <t>Blåsippa</t>
        </is>
      </c>
      <c r="S194">
        <f>HYPERLINK("https://klasma.github.io/Logging_2281/artfynd/A 27216-2019 artfynd.xlsx", "A 27216-2019")</f>
        <v/>
      </c>
      <c r="T194">
        <f>HYPERLINK("https://klasma.github.io/Logging_2281/kartor/A 27216-2019 karta.png", "A 27216-2019")</f>
        <v/>
      </c>
      <c r="V194">
        <f>HYPERLINK("https://klasma.github.io/Logging_2281/klagomål/A 27216-2019 FSC-klagomål.docx", "A 27216-2019")</f>
        <v/>
      </c>
      <c r="W194">
        <f>HYPERLINK("https://klasma.github.io/Logging_2281/klagomålsmail/A 27216-2019 FSC-klagomål mail.docx", "A 27216-2019")</f>
        <v/>
      </c>
      <c r="X194">
        <f>HYPERLINK("https://klasma.github.io/Logging_2281/tillsyn/A 27216-2019 tillsynsbegäran.docx", "A 27216-2019")</f>
        <v/>
      </c>
      <c r="Y194">
        <f>HYPERLINK("https://klasma.github.io/Logging_2281/tillsynsmail/A 27216-2019 tillsynsbegäran mail.docx", "A 27216-2019")</f>
        <v/>
      </c>
    </row>
    <row r="195" ht="15" customHeight="1">
      <c r="A195" t="inlineStr">
        <is>
          <t>A 44609-2019</t>
        </is>
      </c>
      <c r="B195" s="1" t="n">
        <v>43711</v>
      </c>
      <c r="C195" s="1" t="n">
        <v>45825</v>
      </c>
      <c r="D195" t="inlineStr">
        <is>
          <t>VÄSTERNORRLANDS LÄN</t>
        </is>
      </c>
      <c r="E195" t="inlineStr">
        <is>
          <t>SUNDSVALL</t>
        </is>
      </c>
      <c r="G195" t="n">
        <v>0.9</v>
      </c>
      <c r="H195" t="n">
        <v>1</v>
      </c>
      <c r="I195" t="n">
        <v>0</v>
      </c>
      <c r="J195" t="n">
        <v>0</v>
      </c>
      <c r="K195" t="n">
        <v>0</v>
      </c>
      <c r="L195" t="n">
        <v>0</v>
      </c>
      <c r="M195" t="n">
        <v>0</v>
      </c>
      <c r="N195" t="n">
        <v>0</v>
      </c>
      <c r="O195" t="n">
        <v>0</v>
      </c>
      <c r="P195" t="n">
        <v>0</v>
      </c>
      <c r="Q195" t="n">
        <v>1</v>
      </c>
      <c r="R195" s="2" t="inlineStr">
        <is>
          <t>Nattviol</t>
        </is>
      </c>
      <c r="S195">
        <f>HYPERLINK("https://klasma.github.io/Logging_2281/artfynd/A 44609-2019 artfynd.xlsx", "A 44609-2019")</f>
        <v/>
      </c>
      <c r="T195">
        <f>HYPERLINK("https://klasma.github.io/Logging_2281/kartor/A 44609-2019 karta.png", "A 44609-2019")</f>
        <v/>
      </c>
      <c r="V195">
        <f>HYPERLINK("https://klasma.github.io/Logging_2281/klagomål/A 44609-2019 FSC-klagomål.docx", "A 44609-2019")</f>
        <v/>
      </c>
      <c r="W195">
        <f>HYPERLINK("https://klasma.github.io/Logging_2281/klagomålsmail/A 44609-2019 FSC-klagomål mail.docx", "A 44609-2019")</f>
        <v/>
      </c>
      <c r="X195">
        <f>HYPERLINK("https://klasma.github.io/Logging_2281/tillsyn/A 44609-2019 tillsynsbegäran.docx", "A 44609-2019")</f>
        <v/>
      </c>
      <c r="Y195">
        <f>HYPERLINK("https://klasma.github.io/Logging_2281/tillsynsmail/A 44609-2019 tillsynsbegäran mail.docx", "A 44609-2019")</f>
        <v/>
      </c>
    </row>
    <row r="196" ht="15" customHeight="1">
      <c r="A196" t="inlineStr">
        <is>
          <t>A 66374-2019</t>
        </is>
      </c>
      <c r="B196" s="1" t="n">
        <v>43808</v>
      </c>
      <c r="C196" s="1" t="n">
        <v>45825</v>
      </c>
      <c r="D196" t="inlineStr">
        <is>
          <t>VÄSTERNORRLANDS LÄN</t>
        </is>
      </c>
      <c r="E196" t="inlineStr">
        <is>
          <t>SUNDSVALL</t>
        </is>
      </c>
      <c r="G196" t="n">
        <v>0.6</v>
      </c>
      <c r="H196" t="n">
        <v>1</v>
      </c>
      <c r="I196" t="n">
        <v>0</v>
      </c>
      <c r="J196" t="n">
        <v>1</v>
      </c>
      <c r="K196" t="n">
        <v>0</v>
      </c>
      <c r="L196" t="n">
        <v>0</v>
      </c>
      <c r="M196" t="n">
        <v>0</v>
      </c>
      <c r="N196" t="n">
        <v>0</v>
      </c>
      <c r="O196" t="n">
        <v>1</v>
      </c>
      <c r="P196" t="n">
        <v>0</v>
      </c>
      <c r="Q196" t="n">
        <v>1</v>
      </c>
      <c r="R196" s="2" t="inlineStr">
        <is>
          <t>Fjällvråk</t>
        </is>
      </c>
      <c r="S196">
        <f>HYPERLINK("https://klasma.github.io/Logging_2281/artfynd/A 66374-2019 artfynd.xlsx", "A 66374-2019")</f>
        <v/>
      </c>
      <c r="T196">
        <f>HYPERLINK("https://klasma.github.io/Logging_2281/kartor/A 66374-2019 karta.png", "A 66374-2019")</f>
        <v/>
      </c>
      <c r="V196">
        <f>HYPERLINK("https://klasma.github.io/Logging_2281/klagomål/A 66374-2019 FSC-klagomål.docx", "A 66374-2019")</f>
        <v/>
      </c>
      <c r="W196">
        <f>HYPERLINK("https://klasma.github.io/Logging_2281/klagomålsmail/A 66374-2019 FSC-klagomål mail.docx", "A 66374-2019")</f>
        <v/>
      </c>
      <c r="X196">
        <f>HYPERLINK("https://klasma.github.io/Logging_2281/tillsyn/A 66374-2019 tillsynsbegäran.docx", "A 66374-2019")</f>
        <v/>
      </c>
      <c r="Y196">
        <f>HYPERLINK("https://klasma.github.io/Logging_2281/tillsynsmail/A 66374-2019 tillsynsbegäran mail.docx", "A 66374-2019")</f>
        <v/>
      </c>
      <c r="Z196">
        <f>HYPERLINK("https://klasma.github.io/Logging_2281/fåglar/A 66374-2019 prioriterade fågelarter.docx", "A 66374-2019")</f>
        <v/>
      </c>
    </row>
    <row r="197" ht="15" customHeight="1">
      <c r="A197" t="inlineStr">
        <is>
          <t>A 970-2020</t>
        </is>
      </c>
      <c r="B197" s="1" t="n">
        <v>43839</v>
      </c>
      <c r="C197" s="1" t="n">
        <v>45825</v>
      </c>
      <c r="D197" t="inlineStr">
        <is>
          <t>VÄSTERNORRLANDS LÄN</t>
        </is>
      </c>
      <c r="E197" t="inlineStr">
        <is>
          <t>SUNDSVALL</t>
        </is>
      </c>
      <c r="F197" t="inlineStr">
        <is>
          <t>Kommuner</t>
        </is>
      </c>
      <c r="G197" t="n">
        <v>0.8</v>
      </c>
      <c r="H197" t="n">
        <v>1</v>
      </c>
      <c r="I197" t="n">
        <v>0</v>
      </c>
      <c r="J197" t="n">
        <v>1</v>
      </c>
      <c r="K197" t="n">
        <v>0</v>
      </c>
      <c r="L197" t="n">
        <v>0</v>
      </c>
      <c r="M197" t="n">
        <v>0</v>
      </c>
      <c r="N197" t="n">
        <v>0</v>
      </c>
      <c r="O197" t="n">
        <v>1</v>
      </c>
      <c r="P197" t="n">
        <v>0</v>
      </c>
      <c r="Q197" t="n">
        <v>1</v>
      </c>
      <c r="R197" s="2" t="inlineStr">
        <is>
          <t>Rosenfink</t>
        </is>
      </c>
      <c r="S197">
        <f>HYPERLINK("https://klasma.github.io/Logging_2281/artfynd/A 970-2020 artfynd.xlsx", "A 970-2020")</f>
        <v/>
      </c>
      <c r="T197">
        <f>HYPERLINK("https://klasma.github.io/Logging_2281/kartor/A 970-2020 karta.png", "A 970-2020")</f>
        <v/>
      </c>
      <c r="V197">
        <f>HYPERLINK("https://klasma.github.io/Logging_2281/klagomål/A 970-2020 FSC-klagomål.docx", "A 970-2020")</f>
        <v/>
      </c>
      <c r="W197">
        <f>HYPERLINK("https://klasma.github.io/Logging_2281/klagomålsmail/A 970-2020 FSC-klagomål mail.docx", "A 970-2020")</f>
        <v/>
      </c>
      <c r="X197">
        <f>HYPERLINK("https://klasma.github.io/Logging_2281/tillsyn/A 970-2020 tillsynsbegäran.docx", "A 970-2020")</f>
        <v/>
      </c>
      <c r="Y197">
        <f>HYPERLINK("https://klasma.github.io/Logging_2281/tillsynsmail/A 970-2020 tillsynsbegäran mail.docx", "A 970-2020")</f>
        <v/>
      </c>
      <c r="Z197">
        <f>HYPERLINK("https://klasma.github.io/Logging_2281/fåglar/A 970-2020 prioriterade fågelarter.docx", "A 970-2020")</f>
        <v/>
      </c>
    </row>
    <row r="198" ht="15" customHeight="1">
      <c r="A198" t="inlineStr">
        <is>
          <t>A 7956-2020</t>
        </is>
      </c>
      <c r="B198" s="1" t="n">
        <v>43873</v>
      </c>
      <c r="C198" s="1" t="n">
        <v>45825</v>
      </c>
      <c r="D198" t="inlineStr">
        <is>
          <t>VÄSTERNORRLANDS LÄN</t>
        </is>
      </c>
      <c r="E198" t="inlineStr">
        <is>
          <t>SUNDSVALL</t>
        </is>
      </c>
      <c r="G198" t="n">
        <v>15.3</v>
      </c>
      <c r="H198" t="n">
        <v>0</v>
      </c>
      <c r="I198" t="n">
        <v>0</v>
      </c>
      <c r="J198" t="n">
        <v>1</v>
      </c>
      <c r="K198" t="n">
        <v>0</v>
      </c>
      <c r="L198" t="n">
        <v>0</v>
      </c>
      <c r="M198" t="n">
        <v>0</v>
      </c>
      <c r="N198" t="n">
        <v>0</v>
      </c>
      <c r="O198" t="n">
        <v>1</v>
      </c>
      <c r="P198" t="n">
        <v>0</v>
      </c>
      <c r="Q198" t="n">
        <v>1</v>
      </c>
      <c r="R198" s="2" t="inlineStr">
        <is>
          <t>Vedskivlav</t>
        </is>
      </c>
      <c r="S198">
        <f>HYPERLINK("https://klasma.github.io/Logging_2281/artfynd/A 7956-2020 artfynd.xlsx", "A 7956-2020")</f>
        <v/>
      </c>
      <c r="T198">
        <f>HYPERLINK("https://klasma.github.io/Logging_2281/kartor/A 7956-2020 karta.png", "A 7956-2020")</f>
        <v/>
      </c>
      <c r="V198">
        <f>HYPERLINK("https://klasma.github.io/Logging_2281/klagomål/A 7956-2020 FSC-klagomål.docx", "A 7956-2020")</f>
        <v/>
      </c>
      <c r="W198">
        <f>HYPERLINK("https://klasma.github.io/Logging_2281/klagomålsmail/A 7956-2020 FSC-klagomål mail.docx", "A 7956-2020")</f>
        <v/>
      </c>
      <c r="X198">
        <f>HYPERLINK("https://klasma.github.io/Logging_2281/tillsyn/A 7956-2020 tillsynsbegäran.docx", "A 7956-2020")</f>
        <v/>
      </c>
      <c r="Y198">
        <f>HYPERLINK("https://klasma.github.io/Logging_2281/tillsynsmail/A 7956-2020 tillsynsbegäran mail.docx", "A 7956-2020")</f>
        <v/>
      </c>
    </row>
    <row r="199" ht="15" customHeight="1">
      <c r="A199" t="inlineStr">
        <is>
          <t>A 13082-2020</t>
        </is>
      </c>
      <c r="B199" s="1" t="n">
        <v>43900</v>
      </c>
      <c r="C199" s="1" t="n">
        <v>45825</v>
      </c>
      <c r="D199" t="inlineStr">
        <is>
          <t>VÄSTERNORRLANDS LÄN</t>
        </is>
      </c>
      <c r="E199" t="inlineStr">
        <is>
          <t>SUNDSVALL</t>
        </is>
      </c>
      <c r="G199" t="n">
        <v>12.8</v>
      </c>
      <c r="H199" t="n">
        <v>1</v>
      </c>
      <c r="I199" t="n">
        <v>0</v>
      </c>
      <c r="J199" t="n">
        <v>0</v>
      </c>
      <c r="K199" t="n">
        <v>0</v>
      </c>
      <c r="L199" t="n">
        <v>0</v>
      </c>
      <c r="M199" t="n">
        <v>0</v>
      </c>
      <c r="N199" t="n">
        <v>0</v>
      </c>
      <c r="O199" t="n">
        <v>0</v>
      </c>
      <c r="P199" t="n">
        <v>0</v>
      </c>
      <c r="Q199" t="n">
        <v>1</v>
      </c>
      <c r="R199" s="2" t="inlineStr">
        <is>
          <t>Blåsippa</t>
        </is>
      </c>
      <c r="S199">
        <f>HYPERLINK("https://klasma.github.io/Logging_2281/artfynd/A 13082-2020 artfynd.xlsx", "A 13082-2020")</f>
        <v/>
      </c>
      <c r="T199">
        <f>HYPERLINK("https://klasma.github.io/Logging_2281/kartor/A 13082-2020 karta.png", "A 13082-2020")</f>
        <v/>
      </c>
      <c r="V199">
        <f>HYPERLINK("https://klasma.github.io/Logging_2281/klagomål/A 13082-2020 FSC-klagomål.docx", "A 13082-2020")</f>
        <v/>
      </c>
      <c r="W199">
        <f>HYPERLINK("https://klasma.github.io/Logging_2281/klagomålsmail/A 13082-2020 FSC-klagomål mail.docx", "A 13082-2020")</f>
        <v/>
      </c>
      <c r="X199">
        <f>HYPERLINK("https://klasma.github.io/Logging_2281/tillsyn/A 13082-2020 tillsynsbegäran.docx", "A 13082-2020")</f>
        <v/>
      </c>
      <c r="Y199">
        <f>HYPERLINK("https://klasma.github.io/Logging_2281/tillsynsmail/A 13082-2020 tillsynsbegäran mail.docx", "A 13082-2020")</f>
        <v/>
      </c>
    </row>
    <row r="200" ht="15" customHeight="1">
      <c r="A200" t="inlineStr">
        <is>
          <t>A 28764-2020</t>
        </is>
      </c>
      <c r="B200" s="1" t="n">
        <v>43999</v>
      </c>
      <c r="C200" s="1" t="n">
        <v>45825</v>
      </c>
      <c r="D200" t="inlineStr">
        <is>
          <t>VÄSTERNORRLANDS LÄN</t>
        </is>
      </c>
      <c r="E200" t="inlineStr">
        <is>
          <t>SUNDSVALL</t>
        </is>
      </c>
      <c r="F200" t="inlineStr">
        <is>
          <t>SCA</t>
        </is>
      </c>
      <c r="G200" t="n">
        <v>2.7</v>
      </c>
      <c r="H200" t="n">
        <v>1</v>
      </c>
      <c r="I200" t="n">
        <v>0</v>
      </c>
      <c r="J200" t="n">
        <v>1</v>
      </c>
      <c r="K200" t="n">
        <v>0</v>
      </c>
      <c r="L200" t="n">
        <v>0</v>
      </c>
      <c r="M200" t="n">
        <v>0</v>
      </c>
      <c r="N200" t="n">
        <v>0</v>
      </c>
      <c r="O200" t="n">
        <v>1</v>
      </c>
      <c r="P200" t="n">
        <v>0</v>
      </c>
      <c r="Q200" t="n">
        <v>1</v>
      </c>
      <c r="R200" s="2" t="inlineStr">
        <is>
          <t>Utter</t>
        </is>
      </c>
      <c r="S200">
        <f>HYPERLINK("https://klasma.github.io/Logging_2281/artfynd/A 28764-2020 artfynd.xlsx", "A 28764-2020")</f>
        <v/>
      </c>
      <c r="T200">
        <f>HYPERLINK("https://klasma.github.io/Logging_2281/kartor/A 28764-2020 karta.png", "A 28764-2020")</f>
        <v/>
      </c>
      <c r="V200">
        <f>HYPERLINK("https://klasma.github.io/Logging_2281/klagomål/A 28764-2020 FSC-klagomål.docx", "A 28764-2020")</f>
        <v/>
      </c>
      <c r="W200">
        <f>HYPERLINK("https://klasma.github.io/Logging_2281/klagomålsmail/A 28764-2020 FSC-klagomål mail.docx", "A 28764-2020")</f>
        <v/>
      </c>
      <c r="X200">
        <f>HYPERLINK("https://klasma.github.io/Logging_2281/tillsyn/A 28764-2020 tillsynsbegäran.docx", "A 28764-2020")</f>
        <v/>
      </c>
      <c r="Y200">
        <f>HYPERLINK("https://klasma.github.io/Logging_2281/tillsynsmail/A 28764-2020 tillsynsbegäran mail.docx", "A 28764-2020")</f>
        <v/>
      </c>
    </row>
    <row r="201" ht="15" customHeight="1">
      <c r="A201" t="inlineStr">
        <is>
          <t>A 50469-2020</t>
        </is>
      </c>
      <c r="B201" s="1" t="n">
        <v>44104</v>
      </c>
      <c r="C201" s="1" t="n">
        <v>45825</v>
      </c>
      <c r="D201" t="inlineStr">
        <is>
          <t>VÄSTERNORRLANDS LÄN</t>
        </is>
      </c>
      <c r="E201" t="inlineStr">
        <is>
          <t>SUNDSVALL</t>
        </is>
      </c>
      <c r="G201" t="n">
        <v>1.8</v>
      </c>
      <c r="H201" t="n">
        <v>1</v>
      </c>
      <c r="I201" t="n">
        <v>0</v>
      </c>
      <c r="J201" t="n">
        <v>1</v>
      </c>
      <c r="K201" t="n">
        <v>0</v>
      </c>
      <c r="L201" t="n">
        <v>0</v>
      </c>
      <c r="M201" t="n">
        <v>0</v>
      </c>
      <c r="N201" t="n">
        <v>0</v>
      </c>
      <c r="O201" t="n">
        <v>1</v>
      </c>
      <c r="P201" t="n">
        <v>0</v>
      </c>
      <c r="Q201" t="n">
        <v>1</v>
      </c>
      <c r="R201" s="2" t="inlineStr">
        <is>
          <t>Sötgräs</t>
        </is>
      </c>
      <c r="S201">
        <f>HYPERLINK("https://klasma.github.io/Logging_2281/artfynd/A 50469-2020 artfynd.xlsx", "A 50469-2020")</f>
        <v/>
      </c>
      <c r="T201">
        <f>HYPERLINK("https://klasma.github.io/Logging_2281/kartor/A 50469-2020 karta.png", "A 50469-2020")</f>
        <v/>
      </c>
      <c r="V201">
        <f>HYPERLINK("https://klasma.github.io/Logging_2281/klagomål/A 50469-2020 FSC-klagomål.docx", "A 50469-2020")</f>
        <v/>
      </c>
      <c r="W201">
        <f>HYPERLINK("https://klasma.github.io/Logging_2281/klagomålsmail/A 50469-2020 FSC-klagomål mail.docx", "A 50469-2020")</f>
        <v/>
      </c>
      <c r="X201">
        <f>HYPERLINK("https://klasma.github.io/Logging_2281/tillsyn/A 50469-2020 tillsynsbegäran.docx", "A 50469-2020")</f>
        <v/>
      </c>
      <c r="Y201">
        <f>HYPERLINK("https://klasma.github.io/Logging_2281/tillsynsmail/A 50469-2020 tillsynsbegäran mail.docx", "A 50469-2020")</f>
        <v/>
      </c>
    </row>
    <row r="202" ht="15" customHeight="1">
      <c r="A202" t="inlineStr">
        <is>
          <t>A 65632-2020</t>
        </is>
      </c>
      <c r="B202" s="1" t="n">
        <v>44173</v>
      </c>
      <c r="C202" s="1" t="n">
        <v>45825</v>
      </c>
      <c r="D202" t="inlineStr">
        <is>
          <t>VÄSTERNORRLANDS LÄN</t>
        </is>
      </c>
      <c r="E202" t="inlineStr">
        <is>
          <t>SUNDSVALL</t>
        </is>
      </c>
      <c r="F202" t="inlineStr">
        <is>
          <t>SCA</t>
        </is>
      </c>
      <c r="G202" t="n">
        <v>3.2</v>
      </c>
      <c r="H202" t="n">
        <v>0</v>
      </c>
      <c r="I202" t="n">
        <v>1</v>
      </c>
      <c r="J202" t="n">
        <v>0</v>
      </c>
      <c r="K202" t="n">
        <v>0</v>
      </c>
      <c r="L202" t="n">
        <v>0</v>
      </c>
      <c r="M202" t="n">
        <v>0</v>
      </c>
      <c r="N202" t="n">
        <v>0</v>
      </c>
      <c r="O202" t="n">
        <v>0</v>
      </c>
      <c r="P202" t="n">
        <v>0</v>
      </c>
      <c r="Q202" t="n">
        <v>1</v>
      </c>
      <c r="R202" s="2" t="inlineStr">
        <is>
          <t>Dropptaggsvamp</t>
        </is>
      </c>
      <c r="S202">
        <f>HYPERLINK("https://klasma.github.io/Logging_2281/artfynd/A 65632-2020 artfynd.xlsx", "A 65632-2020")</f>
        <v/>
      </c>
      <c r="T202">
        <f>HYPERLINK("https://klasma.github.io/Logging_2281/kartor/A 65632-2020 karta.png", "A 65632-2020")</f>
        <v/>
      </c>
      <c r="V202">
        <f>HYPERLINK("https://klasma.github.io/Logging_2281/klagomål/A 65632-2020 FSC-klagomål.docx", "A 65632-2020")</f>
        <v/>
      </c>
      <c r="W202">
        <f>HYPERLINK("https://klasma.github.io/Logging_2281/klagomålsmail/A 65632-2020 FSC-klagomål mail.docx", "A 65632-2020")</f>
        <v/>
      </c>
      <c r="X202">
        <f>HYPERLINK("https://klasma.github.io/Logging_2281/tillsyn/A 65632-2020 tillsynsbegäran.docx", "A 65632-2020")</f>
        <v/>
      </c>
      <c r="Y202">
        <f>HYPERLINK("https://klasma.github.io/Logging_2281/tillsynsmail/A 65632-2020 tillsynsbegäran mail.docx", "A 65632-2020")</f>
        <v/>
      </c>
    </row>
    <row r="203" ht="15" customHeight="1">
      <c r="A203" t="inlineStr">
        <is>
          <t>A 15775-2021</t>
        </is>
      </c>
      <c r="B203" s="1" t="n">
        <v>44286</v>
      </c>
      <c r="C203" s="1" t="n">
        <v>45825</v>
      </c>
      <c r="D203" t="inlineStr">
        <is>
          <t>VÄSTERNORRLANDS LÄN</t>
        </is>
      </c>
      <c r="E203" t="inlineStr">
        <is>
          <t>SUNDSVALL</t>
        </is>
      </c>
      <c r="F203" t="inlineStr">
        <is>
          <t>Kommuner</t>
        </is>
      </c>
      <c r="G203" t="n">
        <v>8.4</v>
      </c>
      <c r="H203" t="n">
        <v>1</v>
      </c>
      <c r="I203" t="n">
        <v>0</v>
      </c>
      <c r="J203" t="n">
        <v>0</v>
      </c>
      <c r="K203" t="n">
        <v>0</v>
      </c>
      <c r="L203" t="n">
        <v>0</v>
      </c>
      <c r="M203" t="n">
        <v>0</v>
      </c>
      <c r="N203" t="n">
        <v>0</v>
      </c>
      <c r="O203" t="n">
        <v>0</v>
      </c>
      <c r="P203" t="n">
        <v>0</v>
      </c>
      <c r="Q203" t="n">
        <v>1</v>
      </c>
      <c r="R203" s="2" t="inlineStr">
        <is>
          <t>Vanlig padda</t>
        </is>
      </c>
      <c r="S203">
        <f>HYPERLINK("https://klasma.github.io/Logging_2281/artfynd/A 15775-2021 artfynd.xlsx", "A 15775-2021")</f>
        <v/>
      </c>
      <c r="T203">
        <f>HYPERLINK("https://klasma.github.io/Logging_2281/kartor/A 15775-2021 karta.png", "A 15775-2021")</f>
        <v/>
      </c>
      <c r="V203">
        <f>HYPERLINK("https://klasma.github.io/Logging_2281/klagomål/A 15775-2021 FSC-klagomål.docx", "A 15775-2021")</f>
        <v/>
      </c>
      <c r="W203">
        <f>HYPERLINK("https://klasma.github.io/Logging_2281/klagomålsmail/A 15775-2021 FSC-klagomål mail.docx", "A 15775-2021")</f>
        <v/>
      </c>
      <c r="X203">
        <f>HYPERLINK("https://klasma.github.io/Logging_2281/tillsyn/A 15775-2021 tillsynsbegäran.docx", "A 15775-2021")</f>
        <v/>
      </c>
      <c r="Y203">
        <f>HYPERLINK("https://klasma.github.io/Logging_2281/tillsynsmail/A 15775-2021 tillsynsbegäran mail.docx", "A 15775-2021")</f>
        <v/>
      </c>
    </row>
    <row r="204" ht="15" customHeight="1">
      <c r="A204" t="inlineStr">
        <is>
          <t>A 17333-2021</t>
        </is>
      </c>
      <c r="B204" s="1" t="n">
        <v>44298</v>
      </c>
      <c r="C204" s="1" t="n">
        <v>45825</v>
      </c>
      <c r="D204" t="inlineStr">
        <is>
          <t>VÄSTERNORRLANDS LÄN</t>
        </is>
      </c>
      <c r="E204" t="inlineStr">
        <is>
          <t>SUNDSVALL</t>
        </is>
      </c>
      <c r="G204" t="n">
        <v>6.7</v>
      </c>
      <c r="H204" t="n">
        <v>1</v>
      </c>
      <c r="I204" t="n">
        <v>0</v>
      </c>
      <c r="J204" t="n">
        <v>1</v>
      </c>
      <c r="K204" t="n">
        <v>0</v>
      </c>
      <c r="L204" t="n">
        <v>0</v>
      </c>
      <c r="M204" t="n">
        <v>0</v>
      </c>
      <c r="N204" t="n">
        <v>0</v>
      </c>
      <c r="O204" t="n">
        <v>1</v>
      </c>
      <c r="P204" t="n">
        <v>0</v>
      </c>
      <c r="Q204" t="n">
        <v>1</v>
      </c>
      <c r="R204" s="2" t="inlineStr">
        <is>
          <t>Mindre hackspett</t>
        </is>
      </c>
      <c r="S204">
        <f>HYPERLINK("https://klasma.github.io/Logging_2281/artfynd/A 17333-2021 artfynd.xlsx", "A 17333-2021")</f>
        <v/>
      </c>
      <c r="T204">
        <f>HYPERLINK("https://klasma.github.io/Logging_2281/kartor/A 17333-2021 karta.png", "A 17333-2021")</f>
        <v/>
      </c>
      <c r="V204">
        <f>HYPERLINK("https://klasma.github.io/Logging_2281/klagomål/A 17333-2021 FSC-klagomål.docx", "A 17333-2021")</f>
        <v/>
      </c>
      <c r="W204">
        <f>HYPERLINK("https://klasma.github.io/Logging_2281/klagomålsmail/A 17333-2021 FSC-klagomål mail.docx", "A 17333-2021")</f>
        <v/>
      </c>
      <c r="X204">
        <f>HYPERLINK("https://klasma.github.io/Logging_2281/tillsyn/A 17333-2021 tillsynsbegäran.docx", "A 17333-2021")</f>
        <v/>
      </c>
      <c r="Y204">
        <f>HYPERLINK("https://klasma.github.io/Logging_2281/tillsynsmail/A 17333-2021 tillsynsbegäran mail.docx", "A 17333-2021")</f>
        <v/>
      </c>
      <c r="Z204">
        <f>HYPERLINK("https://klasma.github.io/Logging_2281/fåglar/A 17333-2021 prioriterade fågelarter.docx", "A 17333-2021")</f>
        <v/>
      </c>
    </row>
    <row r="205" ht="15" customHeight="1">
      <c r="A205" t="inlineStr">
        <is>
          <t>A 17331-2021</t>
        </is>
      </c>
      <c r="B205" s="1" t="n">
        <v>44298</v>
      </c>
      <c r="C205" s="1" t="n">
        <v>45825</v>
      </c>
      <c r="D205" t="inlineStr">
        <is>
          <t>VÄSTERNORRLANDS LÄN</t>
        </is>
      </c>
      <c r="E205" t="inlineStr">
        <is>
          <t>SUNDSVALL</t>
        </is>
      </c>
      <c r="G205" t="n">
        <v>3.7</v>
      </c>
      <c r="H205" t="n">
        <v>0</v>
      </c>
      <c r="I205" t="n">
        <v>0</v>
      </c>
      <c r="J205" t="n">
        <v>1</v>
      </c>
      <c r="K205" t="n">
        <v>0</v>
      </c>
      <c r="L205" t="n">
        <v>0</v>
      </c>
      <c r="M205" t="n">
        <v>0</v>
      </c>
      <c r="N205" t="n">
        <v>0</v>
      </c>
      <c r="O205" t="n">
        <v>1</v>
      </c>
      <c r="P205" t="n">
        <v>0</v>
      </c>
      <c r="Q205" t="n">
        <v>1</v>
      </c>
      <c r="R205" s="2" t="inlineStr">
        <is>
          <t>Myskmåra</t>
        </is>
      </c>
      <c r="S205">
        <f>HYPERLINK("https://klasma.github.io/Logging_2281/artfynd/A 17331-2021 artfynd.xlsx", "A 17331-2021")</f>
        <v/>
      </c>
      <c r="T205">
        <f>HYPERLINK("https://klasma.github.io/Logging_2281/kartor/A 17331-2021 karta.png", "A 17331-2021")</f>
        <v/>
      </c>
      <c r="V205">
        <f>HYPERLINK("https://klasma.github.io/Logging_2281/klagomål/A 17331-2021 FSC-klagomål.docx", "A 17331-2021")</f>
        <v/>
      </c>
      <c r="W205">
        <f>HYPERLINK("https://klasma.github.io/Logging_2281/klagomålsmail/A 17331-2021 FSC-klagomål mail.docx", "A 17331-2021")</f>
        <v/>
      </c>
      <c r="X205">
        <f>HYPERLINK("https://klasma.github.io/Logging_2281/tillsyn/A 17331-2021 tillsynsbegäran.docx", "A 17331-2021")</f>
        <v/>
      </c>
      <c r="Y205">
        <f>HYPERLINK("https://klasma.github.io/Logging_2281/tillsynsmail/A 17331-2021 tillsynsbegäran mail.docx", "A 17331-2021")</f>
        <v/>
      </c>
    </row>
    <row r="206" ht="15" customHeight="1">
      <c r="A206" t="inlineStr">
        <is>
          <t>A 22395-2021</t>
        </is>
      </c>
      <c r="B206" s="1" t="n">
        <v>44326</v>
      </c>
      <c r="C206" s="1" t="n">
        <v>45825</v>
      </c>
      <c r="D206" t="inlineStr">
        <is>
          <t>VÄSTERNORRLANDS LÄN</t>
        </is>
      </c>
      <c r="E206" t="inlineStr">
        <is>
          <t>SUNDSVALL</t>
        </is>
      </c>
      <c r="G206" t="n">
        <v>8.6</v>
      </c>
      <c r="H206" t="n">
        <v>1</v>
      </c>
      <c r="I206" t="n">
        <v>0</v>
      </c>
      <c r="J206" t="n">
        <v>0</v>
      </c>
      <c r="K206" t="n">
        <v>0</v>
      </c>
      <c r="L206" t="n">
        <v>0</v>
      </c>
      <c r="M206" t="n">
        <v>0</v>
      </c>
      <c r="N206" t="n">
        <v>0</v>
      </c>
      <c r="O206" t="n">
        <v>0</v>
      </c>
      <c r="P206" t="n">
        <v>0</v>
      </c>
      <c r="Q206" t="n">
        <v>1</v>
      </c>
      <c r="R206" s="2" t="inlineStr">
        <is>
          <t>Gröngöling</t>
        </is>
      </c>
      <c r="S206">
        <f>HYPERLINK("https://klasma.github.io/Logging_2281/artfynd/A 22395-2021 artfynd.xlsx", "A 22395-2021")</f>
        <v/>
      </c>
      <c r="T206">
        <f>HYPERLINK("https://klasma.github.io/Logging_2281/kartor/A 22395-2021 karta.png", "A 22395-2021")</f>
        <v/>
      </c>
      <c r="V206">
        <f>HYPERLINK("https://klasma.github.io/Logging_2281/klagomål/A 22395-2021 FSC-klagomål.docx", "A 22395-2021")</f>
        <v/>
      </c>
      <c r="W206">
        <f>HYPERLINK("https://klasma.github.io/Logging_2281/klagomålsmail/A 22395-2021 FSC-klagomål mail.docx", "A 22395-2021")</f>
        <v/>
      </c>
      <c r="X206">
        <f>HYPERLINK("https://klasma.github.io/Logging_2281/tillsyn/A 22395-2021 tillsynsbegäran.docx", "A 22395-2021")</f>
        <v/>
      </c>
      <c r="Y206">
        <f>HYPERLINK("https://klasma.github.io/Logging_2281/tillsynsmail/A 22395-2021 tillsynsbegäran mail.docx", "A 22395-2021")</f>
        <v/>
      </c>
      <c r="Z206">
        <f>HYPERLINK("https://klasma.github.io/Logging_2281/fåglar/A 22395-2021 prioriterade fågelarter.docx", "A 22395-2021")</f>
        <v/>
      </c>
    </row>
    <row r="207" ht="15" customHeight="1">
      <c r="A207" t="inlineStr">
        <is>
          <t>A 22420-2021</t>
        </is>
      </c>
      <c r="B207" s="1" t="n">
        <v>44326</v>
      </c>
      <c r="C207" s="1" t="n">
        <v>45825</v>
      </c>
      <c r="D207" t="inlineStr">
        <is>
          <t>VÄSTERNORRLANDS LÄN</t>
        </is>
      </c>
      <c r="E207" t="inlineStr">
        <is>
          <t>SUNDSVALL</t>
        </is>
      </c>
      <c r="F207" t="inlineStr">
        <is>
          <t>Kyrkan</t>
        </is>
      </c>
      <c r="G207" t="n">
        <v>21.9</v>
      </c>
      <c r="H207" t="n">
        <v>1</v>
      </c>
      <c r="I207" t="n">
        <v>0</v>
      </c>
      <c r="J207" t="n">
        <v>1</v>
      </c>
      <c r="K207" t="n">
        <v>0</v>
      </c>
      <c r="L207" t="n">
        <v>0</v>
      </c>
      <c r="M207" t="n">
        <v>0</v>
      </c>
      <c r="N207" t="n">
        <v>0</v>
      </c>
      <c r="O207" t="n">
        <v>1</v>
      </c>
      <c r="P207" t="n">
        <v>0</v>
      </c>
      <c r="Q207" t="n">
        <v>1</v>
      </c>
      <c r="R207" s="2" t="inlineStr">
        <is>
          <t>Järpe</t>
        </is>
      </c>
      <c r="S207">
        <f>HYPERLINK("https://klasma.github.io/Logging_2281/artfynd/A 22420-2021 artfynd.xlsx", "A 22420-2021")</f>
        <v/>
      </c>
      <c r="T207">
        <f>HYPERLINK("https://klasma.github.io/Logging_2281/kartor/A 22420-2021 karta.png", "A 22420-2021")</f>
        <v/>
      </c>
      <c r="V207">
        <f>HYPERLINK("https://klasma.github.io/Logging_2281/klagomål/A 22420-2021 FSC-klagomål.docx", "A 22420-2021")</f>
        <v/>
      </c>
      <c r="W207">
        <f>HYPERLINK("https://klasma.github.io/Logging_2281/klagomålsmail/A 22420-2021 FSC-klagomål mail.docx", "A 22420-2021")</f>
        <v/>
      </c>
      <c r="X207">
        <f>HYPERLINK("https://klasma.github.io/Logging_2281/tillsyn/A 22420-2021 tillsynsbegäran.docx", "A 22420-2021")</f>
        <v/>
      </c>
      <c r="Y207">
        <f>HYPERLINK("https://klasma.github.io/Logging_2281/tillsynsmail/A 22420-2021 tillsynsbegäran mail.docx", "A 22420-2021")</f>
        <v/>
      </c>
      <c r="Z207">
        <f>HYPERLINK("https://klasma.github.io/Logging_2281/fåglar/A 22420-2021 prioriterade fågelarter.docx", "A 22420-2021")</f>
        <v/>
      </c>
    </row>
    <row r="208" ht="15" customHeight="1">
      <c r="A208" t="inlineStr">
        <is>
          <t>A 28332-2021</t>
        </is>
      </c>
      <c r="B208" s="1" t="n">
        <v>44356</v>
      </c>
      <c r="C208" s="1" t="n">
        <v>45825</v>
      </c>
      <c r="D208" t="inlineStr">
        <is>
          <t>VÄSTERNORRLANDS LÄN</t>
        </is>
      </c>
      <c r="E208" t="inlineStr">
        <is>
          <t>SUNDSVALL</t>
        </is>
      </c>
      <c r="G208" t="n">
        <v>11.8</v>
      </c>
      <c r="H208" t="n">
        <v>0</v>
      </c>
      <c r="I208" t="n">
        <v>1</v>
      </c>
      <c r="J208" t="n">
        <v>0</v>
      </c>
      <c r="K208" t="n">
        <v>0</v>
      </c>
      <c r="L208" t="n">
        <v>0</v>
      </c>
      <c r="M208" t="n">
        <v>0</v>
      </c>
      <c r="N208" t="n">
        <v>0</v>
      </c>
      <c r="O208" t="n">
        <v>0</v>
      </c>
      <c r="P208" t="n">
        <v>0</v>
      </c>
      <c r="Q208" t="n">
        <v>1</v>
      </c>
      <c r="R208" s="2" t="inlineStr">
        <is>
          <t>Fjällig taggsvamp s.str.</t>
        </is>
      </c>
      <c r="S208">
        <f>HYPERLINK("https://klasma.github.io/Logging_2281/artfynd/A 28332-2021 artfynd.xlsx", "A 28332-2021")</f>
        <v/>
      </c>
      <c r="T208">
        <f>HYPERLINK("https://klasma.github.io/Logging_2281/kartor/A 28332-2021 karta.png", "A 28332-2021")</f>
        <v/>
      </c>
      <c r="V208">
        <f>HYPERLINK("https://klasma.github.io/Logging_2281/klagomål/A 28332-2021 FSC-klagomål.docx", "A 28332-2021")</f>
        <v/>
      </c>
      <c r="W208">
        <f>HYPERLINK("https://klasma.github.io/Logging_2281/klagomålsmail/A 28332-2021 FSC-klagomål mail.docx", "A 28332-2021")</f>
        <v/>
      </c>
      <c r="X208">
        <f>HYPERLINK("https://klasma.github.io/Logging_2281/tillsyn/A 28332-2021 tillsynsbegäran.docx", "A 28332-2021")</f>
        <v/>
      </c>
      <c r="Y208">
        <f>HYPERLINK("https://klasma.github.io/Logging_2281/tillsynsmail/A 28332-2021 tillsynsbegäran mail.docx", "A 28332-2021")</f>
        <v/>
      </c>
    </row>
    <row r="209" ht="15" customHeight="1">
      <c r="A209" t="inlineStr">
        <is>
          <t>A 37057-2021</t>
        </is>
      </c>
      <c r="B209" s="1" t="n">
        <v>44394</v>
      </c>
      <c r="C209" s="1" t="n">
        <v>45825</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37232-2021</t>
        </is>
      </c>
      <c r="B210" s="1" t="n">
        <v>44396</v>
      </c>
      <c r="C210" s="1" t="n">
        <v>45825</v>
      </c>
      <c r="D210" t="inlineStr">
        <is>
          <t>VÄSTERNORRLANDS LÄN</t>
        </is>
      </c>
      <c r="E210" t="inlineStr">
        <is>
          <t>SUNDSVALL</t>
        </is>
      </c>
      <c r="F210" t="inlineStr">
        <is>
          <t>SCA</t>
        </is>
      </c>
      <c r="G210" t="n">
        <v>1.6</v>
      </c>
      <c r="H210" t="n">
        <v>0</v>
      </c>
      <c r="I210" t="n">
        <v>0</v>
      </c>
      <c r="J210" t="n">
        <v>1</v>
      </c>
      <c r="K210" t="n">
        <v>0</v>
      </c>
      <c r="L210" t="n">
        <v>0</v>
      </c>
      <c r="M210" t="n">
        <v>0</v>
      </c>
      <c r="N210" t="n">
        <v>0</v>
      </c>
      <c r="O210" t="n">
        <v>1</v>
      </c>
      <c r="P210" t="n">
        <v>0</v>
      </c>
      <c r="Q210" t="n">
        <v>1</v>
      </c>
      <c r="R210" s="2" t="inlineStr">
        <is>
          <t>Rosenticka</t>
        </is>
      </c>
      <c r="S210">
        <f>HYPERLINK("https://klasma.github.io/Logging_2281/artfynd/A 37232-2021 artfynd.xlsx", "A 37232-2021")</f>
        <v/>
      </c>
      <c r="T210">
        <f>HYPERLINK("https://klasma.github.io/Logging_2281/kartor/A 37232-2021 karta.png", "A 37232-2021")</f>
        <v/>
      </c>
      <c r="V210">
        <f>HYPERLINK("https://klasma.github.io/Logging_2281/klagomål/A 37232-2021 FSC-klagomål.docx", "A 37232-2021")</f>
        <v/>
      </c>
      <c r="W210">
        <f>HYPERLINK("https://klasma.github.io/Logging_2281/klagomålsmail/A 37232-2021 FSC-klagomål mail.docx", "A 37232-2021")</f>
        <v/>
      </c>
      <c r="X210">
        <f>HYPERLINK("https://klasma.github.io/Logging_2281/tillsyn/A 37232-2021 tillsynsbegäran.docx", "A 37232-2021")</f>
        <v/>
      </c>
      <c r="Y210">
        <f>HYPERLINK("https://klasma.github.io/Logging_2281/tillsynsmail/A 37232-2021 tillsynsbegäran mail.docx", "A 37232-2021")</f>
        <v/>
      </c>
    </row>
    <row r="211" ht="15" customHeight="1">
      <c r="A211" t="inlineStr">
        <is>
          <t>A 37231-2021</t>
        </is>
      </c>
      <c r="B211" s="1" t="n">
        <v>44396</v>
      </c>
      <c r="C211" s="1" t="n">
        <v>45825</v>
      </c>
      <c r="D211" t="inlineStr">
        <is>
          <t>VÄSTERNORRLANDS LÄN</t>
        </is>
      </c>
      <c r="E211" t="inlineStr">
        <is>
          <t>SUNDSVALL</t>
        </is>
      </c>
      <c r="F211" t="inlineStr">
        <is>
          <t>SCA</t>
        </is>
      </c>
      <c r="G211" t="n">
        <v>7.3</v>
      </c>
      <c r="H211" t="n">
        <v>1</v>
      </c>
      <c r="I211" t="n">
        <v>0</v>
      </c>
      <c r="J211" t="n">
        <v>0</v>
      </c>
      <c r="K211" t="n">
        <v>0</v>
      </c>
      <c r="L211" t="n">
        <v>0</v>
      </c>
      <c r="M211" t="n">
        <v>0</v>
      </c>
      <c r="N211" t="n">
        <v>0</v>
      </c>
      <c r="O211" t="n">
        <v>0</v>
      </c>
      <c r="P211" t="n">
        <v>0</v>
      </c>
      <c r="Q211" t="n">
        <v>1</v>
      </c>
      <c r="R211" s="2" t="inlineStr">
        <is>
          <t>Orre</t>
        </is>
      </c>
      <c r="S211">
        <f>HYPERLINK("https://klasma.github.io/Logging_2281/artfynd/A 37231-2021 artfynd.xlsx", "A 37231-2021")</f>
        <v/>
      </c>
      <c r="T211">
        <f>HYPERLINK("https://klasma.github.io/Logging_2281/kartor/A 37231-2021 karta.png", "A 37231-2021")</f>
        <v/>
      </c>
      <c r="V211">
        <f>HYPERLINK("https://klasma.github.io/Logging_2281/klagomål/A 37231-2021 FSC-klagomål.docx", "A 37231-2021")</f>
        <v/>
      </c>
      <c r="W211">
        <f>HYPERLINK("https://klasma.github.io/Logging_2281/klagomålsmail/A 37231-2021 FSC-klagomål mail.docx", "A 37231-2021")</f>
        <v/>
      </c>
      <c r="X211">
        <f>HYPERLINK("https://klasma.github.io/Logging_2281/tillsyn/A 37231-2021 tillsynsbegäran.docx", "A 37231-2021")</f>
        <v/>
      </c>
      <c r="Y211">
        <f>HYPERLINK("https://klasma.github.io/Logging_2281/tillsynsmail/A 37231-2021 tillsynsbegäran mail.docx", "A 37231-2021")</f>
        <v/>
      </c>
      <c r="Z211">
        <f>HYPERLINK("https://klasma.github.io/Logging_2281/fåglar/A 37231-2021 prioriterade fågelarter.docx", "A 37231-2021")</f>
        <v/>
      </c>
    </row>
    <row r="212" ht="15" customHeight="1">
      <c r="A212" t="inlineStr">
        <is>
          <t>A 40123-2021</t>
        </is>
      </c>
      <c r="B212" s="1" t="n">
        <v>44418</v>
      </c>
      <c r="C212" s="1" t="n">
        <v>45825</v>
      </c>
      <c r="D212" t="inlineStr">
        <is>
          <t>VÄSTERNORRLANDS LÄN</t>
        </is>
      </c>
      <c r="E212" t="inlineStr">
        <is>
          <t>SUNDSVALL</t>
        </is>
      </c>
      <c r="G212" t="n">
        <v>12.2</v>
      </c>
      <c r="H212" t="n">
        <v>1</v>
      </c>
      <c r="I212" t="n">
        <v>0</v>
      </c>
      <c r="J212" t="n">
        <v>1</v>
      </c>
      <c r="K212" t="n">
        <v>0</v>
      </c>
      <c r="L212" t="n">
        <v>0</v>
      </c>
      <c r="M212" t="n">
        <v>0</v>
      </c>
      <c r="N212" t="n">
        <v>0</v>
      </c>
      <c r="O212" t="n">
        <v>1</v>
      </c>
      <c r="P212" t="n">
        <v>0</v>
      </c>
      <c r="Q212" t="n">
        <v>1</v>
      </c>
      <c r="R212" s="2" t="inlineStr">
        <is>
          <t>Skogsfru</t>
        </is>
      </c>
      <c r="S212">
        <f>HYPERLINK("https://klasma.github.io/Logging_2281/artfynd/A 40123-2021 artfynd.xlsx", "A 40123-2021")</f>
        <v/>
      </c>
      <c r="T212">
        <f>HYPERLINK("https://klasma.github.io/Logging_2281/kartor/A 40123-2021 karta.png", "A 40123-2021")</f>
        <v/>
      </c>
      <c r="V212">
        <f>HYPERLINK("https://klasma.github.io/Logging_2281/klagomål/A 40123-2021 FSC-klagomål.docx", "A 40123-2021")</f>
        <v/>
      </c>
      <c r="W212">
        <f>HYPERLINK("https://klasma.github.io/Logging_2281/klagomålsmail/A 40123-2021 FSC-klagomål mail.docx", "A 40123-2021")</f>
        <v/>
      </c>
      <c r="X212">
        <f>HYPERLINK("https://klasma.github.io/Logging_2281/tillsyn/A 40123-2021 tillsynsbegäran.docx", "A 40123-2021")</f>
        <v/>
      </c>
      <c r="Y212">
        <f>HYPERLINK("https://klasma.github.io/Logging_2281/tillsynsmail/A 40123-2021 tillsynsbegäran mail.docx", "A 40123-2021")</f>
        <v/>
      </c>
    </row>
    <row r="213" ht="15" customHeight="1">
      <c r="A213" t="inlineStr">
        <is>
          <t>A 56217-2021</t>
        </is>
      </c>
      <c r="B213" s="1" t="n">
        <v>44478</v>
      </c>
      <c r="C213" s="1" t="n">
        <v>45825</v>
      </c>
      <c r="D213" t="inlineStr">
        <is>
          <t>VÄSTERNORRLANDS LÄN</t>
        </is>
      </c>
      <c r="E213" t="inlineStr">
        <is>
          <t>SUNDSVALL</t>
        </is>
      </c>
      <c r="F213" t="inlineStr">
        <is>
          <t>SCA</t>
        </is>
      </c>
      <c r="G213" t="n">
        <v>4.5</v>
      </c>
      <c r="H213" t="n">
        <v>1</v>
      </c>
      <c r="I213" t="n">
        <v>0</v>
      </c>
      <c r="J213" t="n">
        <v>0</v>
      </c>
      <c r="K213" t="n">
        <v>0</v>
      </c>
      <c r="L213" t="n">
        <v>0</v>
      </c>
      <c r="M213" t="n">
        <v>0</v>
      </c>
      <c r="N213" t="n">
        <v>0</v>
      </c>
      <c r="O213" t="n">
        <v>0</v>
      </c>
      <c r="P213" t="n">
        <v>0</v>
      </c>
      <c r="Q213" t="n">
        <v>1</v>
      </c>
      <c r="R213" s="2" t="inlineStr">
        <is>
          <t>Tjäder</t>
        </is>
      </c>
      <c r="S213">
        <f>HYPERLINK("https://klasma.github.io/Logging_2281/artfynd/A 56217-2021 artfynd.xlsx", "A 56217-2021")</f>
        <v/>
      </c>
      <c r="T213">
        <f>HYPERLINK("https://klasma.github.io/Logging_2281/kartor/A 56217-2021 karta.png", "A 56217-2021")</f>
        <v/>
      </c>
      <c r="V213">
        <f>HYPERLINK("https://klasma.github.io/Logging_2281/klagomål/A 56217-2021 FSC-klagomål.docx", "A 56217-2021")</f>
        <v/>
      </c>
      <c r="W213">
        <f>HYPERLINK("https://klasma.github.io/Logging_2281/klagomålsmail/A 56217-2021 FSC-klagomål mail.docx", "A 56217-2021")</f>
        <v/>
      </c>
      <c r="X213">
        <f>HYPERLINK("https://klasma.github.io/Logging_2281/tillsyn/A 56217-2021 tillsynsbegäran.docx", "A 56217-2021")</f>
        <v/>
      </c>
      <c r="Y213">
        <f>HYPERLINK("https://klasma.github.io/Logging_2281/tillsynsmail/A 56217-2021 tillsynsbegäran mail.docx", "A 56217-2021")</f>
        <v/>
      </c>
      <c r="Z213">
        <f>HYPERLINK("https://klasma.github.io/Logging_2281/fåglar/A 56217-2021 prioriterade fågelarter.docx", "A 56217-2021")</f>
        <v/>
      </c>
    </row>
    <row r="214" ht="15" customHeight="1">
      <c r="A214" t="inlineStr">
        <is>
          <t>A 64922-2021</t>
        </is>
      </c>
      <c r="B214" s="1" t="n">
        <v>44512</v>
      </c>
      <c r="C214" s="1" t="n">
        <v>45825</v>
      </c>
      <c r="D214" t="inlineStr">
        <is>
          <t>VÄSTERNORRLANDS LÄN</t>
        </is>
      </c>
      <c r="E214" t="inlineStr">
        <is>
          <t>SUNDSVALL</t>
        </is>
      </c>
      <c r="F214" t="inlineStr">
        <is>
          <t>Kommuner</t>
        </is>
      </c>
      <c r="G214" t="n">
        <v>1.5</v>
      </c>
      <c r="H214" t="n">
        <v>1</v>
      </c>
      <c r="I214" t="n">
        <v>0</v>
      </c>
      <c r="J214" t="n">
        <v>0</v>
      </c>
      <c r="K214" t="n">
        <v>0</v>
      </c>
      <c r="L214" t="n">
        <v>0</v>
      </c>
      <c r="M214" t="n">
        <v>0</v>
      </c>
      <c r="N214" t="n">
        <v>0</v>
      </c>
      <c r="O214" t="n">
        <v>0</v>
      </c>
      <c r="P214" t="n">
        <v>0</v>
      </c>
      <c r="Q214" t="n">
        <v>1</v>
      </c>
      <c r="R214" s="2" t="inlineStr">
        <is>
          <t>Näktergal</t>
        </is>
      </c>
      <c r="S214">
        <f>HYPERLINK("https://klasma.github.io/Logging_2281/artfynd/A 64922-2021 artfynd.xlsx", "A 64922-2021")</f>
        <v/>
      </c>
      <c r="T214">
        <f>HYPERLINK("https://klasma.github.io/Logging_2281/kartor/A 64922-2021 karta.png", "A 64922-2021")</f>
        <v/>
      </c>
      <c r="V214">
        <f>HYPERLINK("https://klasma.github.io/Logging_2281/klagomål/A 64922-2021 FSC-klagomål.docx", "A 64922-2021")</f>
        <v/>
      </c>
      <c r="W214">
        <f>HYPERLINK("https://klasma.github.io/Logging_2281/klagomålsmail/A 64922-2021 FSC-klagomål mail.docx", "A 64922-2021")</f>
        <v/>
      </c>
      <c r="X214">
        <f>HYPERLINK("https://klasma.github.io/Logging_2281/tillsyn/A 64922-2021 tillsynsbegäran.docx", "A 64922-2021")</f>
        <v/>
      </c>
      <c r="Y214">
        <f>HYPERLINK("https://klasma.github.io/Logging_2281/tillsynsmail/A 64922-2021 tillsynsbegäran mail.docx", "A 64922-2021")</f>
        <v/>
      </c>
      <c r="Z214">
        <f>HYPERLINK("https://klasma.github.io/Logging_2281/fåglar/A 64922-2021 prioriterade fågelarter.docx", "A 64922-2021")</f>
        <v/>
      </c>
    </row>
    <row r="215" ht="15" customHeight="1">
      <c r="A215" t="inlineStr">
        <is>
          <t>A 3008-2022</t>
        </is>
      </c>
      <c r="B215" s="1" t="n">
        <v>44581</v>
      </c>
      <c r="C215" s="1" t="n">
        <v>45825</v>
      </c>
      <c r="D215" t="inlineStr">
        <is>
          <t>VÄSTERNORRLANDS LÄN</t>
        </is>
      </c>
      <c r="E215" t="inlineStr">
        <is>
          <t>SUNDSVALL</t>
        </is>
      </c>
      <c r="G215" t="n">
        <v>1</v>
      </c>
      <c r="H215" t="n">
        <v>0</v>
      </c>
      <c r="I215" t="n">
        <v>0</v>
      </c>
      <c r="J215" t="n">
        <v>1</v>
      </c>
      <c r="K215" t="n">
        <v>0</v>
      </c>
      <c r="L215" t="n">
        <v>0</v>
      </c>
      <c r="M215" t="n">
        <v>0</v>
      </c>
      <c r="N215" t="n">
        <v>0</v>
      </c>
      <c r="O215" t="n">
        <v>1</v>
      </c>
      <c r="P215" t="n">
        <v>0</v>
      </c>
      <c r="Q215" t="n">
        <v>1</v>
      </c>
      <c r="R215" s="2" t="inlineStr">
        <is>
          <t>Fjällhumla</t>
        </is>
      </c>
      <c r="S215">
        <f>HYPERLINK("https://klasma.github.io/Logging_2281/artfynd/A 3008-2022 artfynd.xlsx", "A 3008-2022")</f>
        <v/>
      </c>
      <c r="T215">
        <f>HYPERLINK("https://klasma.github.io/Logging_2281/kartor/A 3008-2022 karta.png", "A 3008-2022")</f>
        <v/>
      </c>
      <c r="V215">
        <f>HYPERLINK("https://klasma.github.io/Logging_2281/klagomål/A 3008-2022 FSC-klagomål.docx", "A 3008-2022")</f>
        <v/>
      </c>
      <c r="W215">
        <f>HYPERLINK("https://klasma.github.io/Logging_2281/klagomålsmail/A 3008-2022 FSC-klagomål mail.docx", "A 3008-2022")</f>
        <v/>
      </c>
      <c r="X215">
        <f>HYPERLINK("https://klasma.github.io/Logging_2281/tillsyn/A 3008-2022 tillsynsbegäran.docx", "A 3008-2022")</f>
        <v/>
      </c>
      <c r="Y215">
        <f>HYPERLINK("https://klasma.github.io/Logging_2281/tillsynsmail/A 3008-2022 tillsynsbegäran mail.docx", "A 3008-2022")</f>
        <v/>
      </c>
    </row>
    <row r="216" ht="15" customHeight="1">
      <c r="A216" t="inlineStr">
        <is>
          <t>A 9200-2022</t>
        </is>
      </c>
      <c r="B216" s="1" t="n">
        <v>44615</v>
      </c>
      <c r="C216" s="1" t="n">
        <v>45825</v>
      </c>
      <c r="D216" t="inlineStr">
        <is>
          <t>VÄSTERNORRLANDS LÄN</t>
        </is>
      </c>
      <c r="E216" t="inlineStr">
        <is>
          <t>SUNDSVALL</t>
        </is>
      </c>
      <c r="G216" t="n">
        <v>17.6</v>
      </c>
      <c r="H216" t="n">
        <v>0</v>
      </c>
      <c r="I216" t="n">
        <v>0</v>
      </c>
      <c r="J216" t="n">
        <v>1</v>
      </c>
      <c r="K216" t="n">
        <v>0</v>
      </c>
      <c r="L216" t="n">
        <v>0</v>
      </c>
      <c r="M216" t="n">
        <v>0</v>
      </c>
      <c r="N216" t="n">
        <v>0</v>
      </c>
      <c r="O216" t="n">
        <v>1</v>
      </c>
      <c r="P216" t="n">
        <v>0</v>
      </c>
      <c r="Q216" t="n">
        <v>1</v>
      </c>
      <c r="R216" s="2" t="inlineStr">
        <is>
          <t>Blå taggsvamp</t>
        </is>
      </c>
      <c r="S216">
        <f>HYPERLINK("https://klasma.github.io/Logging_2281/artfynd/A 9200-2022 artfynd.xlsx", "A 9200-2022")</f>
        <v/>
      </c>
      <c r="T216">
        <f>HYPERLINK("https://klasma.github.io/Logging_2281/kartor/A 9200-2022 karta.png", "A 9200-2022")</f>
        <v/>
      </c>
      <c r="V216">
        <f>HYPERLINK("https://klasma.github.io/Logging_2281/klagomål/A 9200-2022 FSC-klagomål.docx", "A 9200-2022")</f>
        <v/>
      </c>
      <c r="W216">
        <f>HYPERLINK("https://klasma.github.io/Logging_2281/klagomålsmail/A 9200-2022 FSC-klagomål mail.docx", "A 9200-2022")</f>
        <v/>
      </c>
      <c r="X216">
        <f>HYPERLINK("https://klasma.github.io/Logging_2281/tillsyn/A 9200-2022 tillsynsbegäran.docx", "A 9200-2022")</f>
        <v/>
      </c>
      <c r="Y216">
        <f>HYPERLINK("https://klasma.github.io/Logging_2281/tillsynsmail/A 9200-2022 tillsynsbegäran mail.docx", "A 9200-2022")</f>
        <v/>
      </c>
    </row>
    <row r="217" ht="15" customHeight="1">
      <c r="A217" t="inlineStr">
        <is>
          <t>A 14014-2022</t>
        </is>
      </c>
      <c r="B217" s="1" t="n">
        <v>44650</v>
      </c>
      <c r="C217" s="1" t="n">
        <v>45825</v>
      </c>
      <c r="D217" t="inlineStr">
        <is>
          <t>VÄSTERNORRLANDS LÄN</t>
        </is>
      </c>
      <c r="E217" t="inlineStr">
        <is>
          <t>SUNDSVALL</t>
        </is>
      </c>
      <c r="G217" t="n">
        <v>1.7</v>
      </c>
      <c r="H217" t="n">
        <v>0</v>
      </c>
      <c r="I217" t="n">
        <v>1</v>
      </c>
      <c r="J217" t="n">
        <v>0</v>
      </c>
      <c r="K217" t="n">
        <v>0</v>
      </c>
      <c r="L217" t="n">
        <v>0</v>
      </c>
      <c r="M217" t="n">
        <v>0</v>
      </c>
      <c r="N217" t="n">
        <v>0</v>
      </c>
      <c r="O217" t="n">
        <v>0</v>
      </c>
      <c r="P217" t="n">
        <v>0</v>
      </c>
      <c r="Q217" t="n">
        <v>1</v>
      </c>
      <c r="R217" s="2" t="inlineStr">
        <is>
          <t>Stor aspticka</t>
        </is>
      </c>
      <c r="S217">
        <f>HYPERLINK("https://klasma.github.io/Logging_2281/artfynd/A 14014-2022 artfynd.xlsx", "A 14014-2022")</f>
        <v/>
      </c>
      <c r="T217">
        <f>HYPERLINK("https://klasma.github.io/Logging_2281/kartor/A 14014-2022 karta.png", "A 14014-2022")</f>
        <v/>
      </c>
      <c r="V217">
        <f>HYPERLINK("https://klasma.github.io/Logging_2281/klagomål/A 14014-2022 FSC-klagomål.docx", "A 14014-2022")</f>
        <v/>
      </c>
      <c r="W217">
        <f>HYPERLINK("https://klasma.github.io/Logging_2281/klagomålsmail/A 14014-2022 FSC-klagomål mail.docx", "A 14014-2022")</f>
        <v/>
      </c>
      <c r="X217">
        <f>HYPERLINK("https://klasma.github.io/Logging_2281/tillsyn/A 14014-2022 tillsynsbegäran.docx", "A 14014-2022")</f>
        <v/>
      </c>
      <c r="Y217">
        <f>HYPERLINK("https://klasma.github.io/Logging_2281/tillsynsmail/A 14014-2022 tillsynsbegäran mail.docx", "A 14014-2022")</f>
        <v/>
      </c>
    </row>
    <row r="218" ht="15" customHeight="1">
      <c r="A218" t="inlineStr">
        <is>
          <t>A 14676-2022</t>
        </is>
      </c>
      <c r="B218" s="1" t="n">
        <v>44655</v>
      </c>
      <c r="C218" s="1" t="n">
        <v>45825</v>
      </c>
      <c r="D218" t="inlineStr">
        <is>
          <t>VÄSTERNORRLANDS LÄN</t>
        </is>
      </c>
      <c r="E218" t="inlineStr">
        <is>
          <t>SUNDSVALL</t>
        </is>
      </c>
      <c r="G218" t="n">
        <v>10.1</v>
      </c>
      <c r="H218" t="n">
        <v>0</v>
      </c>
      <c r="I218" t="n">
        <v>0</v>
      </c>
      <c r="J218" t="n">
        <v>1</v>
      </c>
      <c r="K218" t="n">
        <v>0</v>
      </c>
      <c r="L218" t="n">
        <v>0</v>
      </c>
      <c r="M218" t="n">
        <v>0</v>
      </c>
      <c r="N218" t="n">
        <v>0</v>
      </c>
      <c r="O218" t="n">
        <v>1</v>
      </c>
      <c r="P218" t="n">
        <v>0</v>
      </c>
      <c r="Q218" t="n">
        <v>1</v>
      </c>
      <c r="R218" s="2" t="inlineStr">
        <is>
          <t>Granticka</t>
        </is>
      </c>
      <c r="S218">
        <f>HYPERLINK("https://klasma.github.io/Logging_2281/artfynd/A 14676-2022 artfynd.xlsx", "A 14676-2022")</f>
        <v/>
      </c>
      <c r="T218">
        <f>HYPERLINK("https://klasma.github.io/Logging_2281/kartor/A 14676-2022 karta.png", "A 14676-2022")</f>
        <v/>
      </c>
      <c r="V218">
        <f>HYPERLINK("https://klasma.github.io/Logging_2281/klagomål/A 14676-2022 FSC-klagomål.docx", "A 14676-2022")</f>
        <v/>
      </c>
      <c r="W218">
        <f>HYPERLINK("https://klasma.github.io/Logging_2281/klagomålsmail/A 14676-2022 FSC-klagomål mail.docx", "A 14676-2022")</f>
        <v/>
      </c>
      <c r="X218">
        <f>HYPERLINK("https://klasma.github.io/Logging_2281/tillsyn/A 14676-2022 tillsynsbegäran.docx", "A 14676-2022")</f>
        <v/>
      </c>
      <c r="Y218">
        <f>HYPERLINK("https://klasma.github.io/Logging_2281/tillsynsmail/A 14676-2022 tillsynsbegäran mail.docx", "A 14676-2022")</f>
        <v/>
      </c>
    </row>
    <row r="219" ht="15" customHeight="1">
      <c r="A219" t="inlineStr">
        <is>
          <t>A 19305-2022</t>
        </is>
      </c>
      <c r="B219" s="1" t="n">
        <v>44692</v>
      </c>
      <c r="C219" s="1" t="n">
        <v>45825</v>
      </c>
      <c r="D219" t="inlineStr">
        <is>
          <t>VÄSTERNORRLANDS LÄN</t>
        </is>
      </c>
      <c r="E219" t="inlineStr">
        <is>
          <t>SUNDSVALL</t>
        </is>
      </c>
      <c r="G219" t="n">
        <v>4.1</v>
      </c>
      <c r="H219" t="n">
        <v>0</v>
      </c>
      <c r="I219" t="n">
        <v>0</v>
      </c>
      <c r="J219" t="n">
        <v>1</v>
      </c>
      <c r="K219" t="n">
        <v>0</v>
      </c>
      <c r="L219" t="n">
        <v>0</v>
      </c>
      <c r="M219" t="n">
        <v>0</v>
      </c>
      <c r="N219" t="n">
        <v>0</v>
      </c>
      <c r="O219" t="n">
        <v>1</v>
      </c>
      <c r="P219" t="n">
        <v>0</v>
      </c>
      <c r="Q219" t="n">
        <v>1</v>
      </c>
      <c r="R219" s="2" t="inlineStr">
        <is>
          <t>Månlåsbräken</t>
        </is>
      </c>
      <c r="S219">
        <f>HYPERLINK("https://klasma.github.io/Logging_2281/artfynd/A 19305-2022 artfynd.xlsx", "A 19305-2022")</f>
        <v/>
      </c>
      <c r="T219">
        <f>HYPERLINK("https://klasma.github.io/Logging_2281/kartor/A 19305-2022 karta.png", "A 19305-2022")</f>
        <v/>
      </c>
      <c r="V219">
        <f>HYPERLINK("https://klasma.github.io/Logging_2281/klagomål/A 19305-2022 FSC-klagomål.docx", "A 19305-2022")</f>
        <v/>
      </c>
      <c r="W219">
        <f>HYPERLINK("https://klasma.github.io/Logging_2281/klagomålsmail/A 19305-2022 FSC-klagomål mail.docx", "A 19305-2022")</f>
        <v/>
      </c>
      <c r="X219">
        <f>HYPERLINK("https://klasma.github.io/Logging_2281/tillsyn/A 19305-2022 tillsynsbegäran.docx", "A 19305-2022")</f>
        <v/>
      </c>
      <c r="Y219">
        <f>HYPERLINK("https://klasma.github.io/Logging_2281/tillsynsmail/A 19305-2022 tillsynsbegäran mail.docx", "A 19305-2022")</f>
        <v/>
      </c>
    </row>
    <row r="220" ht="15" customHeight="1">
      <c r="A220" t="inlineStr">
        <is>
          <t>A 22556-2022</t>
        </is>
      </c>
      <c r="B220" s="1" t="n">
        <v>44714</v>
      </c>
      <c r="C220" s="1" t="n">
        <v>45825</v>
      </c>
      <c r="D220" t="inlineStr">
        <is>
          <t>VÄSTERNORRLANDS LÄN</t>
        </is>
      </c>
      <c r="E220" t="inlineStr">
        <is>
          <t>SUNDSVALL</t>
        </is>
      </c>
      <c r="F220" t="inlineStr">
        <is>
          <t>SCA</t>
        </is>
      </c>
      <c r="G220" t="n">
        <v>1.9</v>
      </c>
      <c r="H220" t="n">
        <v>0</v>
      </c>
      <c r="I220" t="n">
        <v>0</v>
      </c>
      <c r="J220" t="n">
        <v>1</v>
      </c>
      <c r="K220" t="n">
        <v>0</v>
      </c>
      <c r="L220" t="n">
        <v>0</v>
      </c>
      <c r="M220" t="n">
        <v>0</v>
      </c>
      <c r="N220" t="n">
        <v>0</v>
      </c>
      <c r="O220" t="n">
        <v>1</v>
      </c>
      <c r="P220" t="n">
        <v>0</v>
      </c>
      <c r="Q220" t="n">
        <v>1</v>
      </c>
      <c r="R220" s="2" t="inlineStr">
        <is>
          <t>Garnlav</t>
        </is>
      </c>
      <c r="S220">
        <f>HYPERLINK("https://klasma.github.io/Logging_2281/artfynd/A 22556-2022 artfynd.xlsx", "A 22556-2022")</f>
        <v/>
      </c>
      <c r="T220">
        <f>HYPERLINK("https://klasma.github.io/Logging_2281/kartor/A 22556-2022 karta.png", "A 22556-2022")</f>
        <v/>
      </c>
      <c r="V220">
        <f>HYPERLINK("https://klasma.github.io/Logging_2281/klagomål/A 22556-2022 FSC-klagomål.docx", "A 22556-2022")</f>
        <v/>
      </c>
      <c r="W220">
        <f>HYPERLINK("https://klasma.github.io/Logging_2281/klagomålsmail/A 22556-2022 FSC-klagomål mail.docx", "A 22556-2022")</f>
        <v/>
      </c>
      <c r="X220">
        <f>HYPERLINK("https://klasma.github.io/Logging_2281/tillsyn/A 22556-2022 tillsynsbegäran.docx", "A 22556-2022")</f>
        <v/>
      </c>
      <c r="Y220">
        <f>HYPERLINK("https://klasma.github.io/Logging_2281/tillsynsmail/A 22556-2022 tillsynsbegäran mail.docx", "A 22556-2022")</f>
        <v/>
      </c>
    </row>
    <row r="221" ht="15" customHeight="1">
      <c r="A221" t="inlineStr">
        <is>
          <t>A 23711-2022</t>
        </is>
      </c>
      <c r="B221" s="1" t="n">
        <v>44722</v>
      </c>
      <c r="C221" s="1" t="n">
        <v>45825</v>
      </c>
      <c r="D221" t="inlineStr">
        <is>
          <t>VÄSTERNORRLANDS LÄN</t>
        </is>
      </c>
      <c r="E221" t="inlineStr">
        <is>
          <t>SUNDSVALL</t>
        </is>
      </c>
      <c r="F221" t="inlineStr">
        <is>
          <t>Holmen skog AB</t>
        </is>
      </c>
      <c r="G221" t="n">
        <v>2.8</v>
      </c>
      <c r="H221" t="n">
        <v>0</v>
      </c>
      <c r="I221" t="n">
        <v>0</v>
      </c>
      <c r="J221" t="n">
        <v>1</v>
      </c>
      <c r="K221" t="n">
        <v>0</v>
      </c>
      <c r="L221" t="n">
        <v>0</v>
      </c>
      <c r="M221" t="n">
        <v>0</v>
      </c>
      <c r="N221" t="n">
        <v>0</v>
      </c>
      <c r="O221" t="n">
        <v>1</v>
      </c>
      <c r="P221" t="n">
        <v>0</v>
      </c>
      <c r="Q221" t="n">
        <v>1</v>
      </c>
      <c r="R221" s="2" t="inlineStr">
        <is>
          <t>Garnlav</t>
        </is>
      </c>
      <c r="S221">
        <f>HYPERLINK("https://klasma.github.io/Logging_2281/artfynd/A 23711-2022 artfynd.xlsx", "A 23711-2022")</f>
        <v/>
      </c>
      <c r="T221">
        <f>HYPERLINK("https://klasma.github.io/Logging_2281/kartor/A 23711-2022 karta.png", "A 23711-2022")</f>
        <v/>
      </c>
      <c r="V221">
        <f>HYPERLINK("https://klasma.github.io/Logging_2281/klagomål/A 23711-2022 FSC-klagomål.docx", "A 23711-2022")</f>
        <v/>
      </c>
      <c r="W221">
        <f>HYPERLINK("https://klasma.github.io/Logging_2281/klagomålsmail/A 23711-2022 FSC-klagomål mail.docx", "A 23711-2022")</f>
        <v/>
      </c>
      <c r="X221">
        <f>HYPERLINK("https://klasma.github.io/Logging_2281/tillsyn/A 23711-2022 tillsynsbegäran.docx", "A 23711-2022")</f>
        <v/>
      </c>
      <c r="Y221">
        <f>HYPERLINK("https://klasma.github.io/Logging_2281/tillsynsmail/A 23711-2022 tillsynsbegäran mail.docx", "A 23711-2022")</f>
        <v/>
      </c>
    </row>
    <row r="222" ht="15" customHeight="1">
      <c r="A222" t="inlineStr">
        <is>
          <t>A 25250-2022</t>
        </is>
      </c>
      <c r="B222" s="1" t="n">
        <v>44729</v>
      </c>
      <c r="C222" s="1" t="n">
        <v>45825</v>
      </c>
      <c r="D222" t="inlineStr">
        <is>
          <t>VÄSTERNORRLANDS LÄN</t>
        </is>
      </c>
      <c r="E222" t="inlineStr">
        <is>
          <t>SUNDSVALL</t>
        </is>
      </c>
      <c r="F222" t="inlineStr">
        <is>
          <t>SCA</t>
        </is>
      </c>
      <c r="G222" t="n">
        <v>2.6</v>
      </c>
      <c r="H222" t="n">
        <v>0</v>
      </c>
      <c r="I222" t="n">
        <v>1</v>
      </c>
      <c r="J222" t="n">
        <v>0</v>
      </c>
      <c r="K222" t="n">
        <v>0</v>
      </c>
      <c r="L222" t="n">
        <v>0</v>
      </c>
      <c r="M222" t="n">
        <v>0</v>
      </c>
      <c r="N222" t="n">
        <v>0</v>
      </c>
      <c r="O222" t="n">
        <v>0</v>
      </c>
      <c r="P222" t="n">
        <v>0</v>
      </c>
      <c r="Q222" t="n">
        <v>1</v>
      </c>
      <c r="R222" s="2" t="inlineStr">
        <is>
          <t>Stor aspticka</t>
        </is>
      </c>
      <c r="S222">
        <f>HYPERLINK("https://klasma.github.io/Logging_2281/artfynd/A 25250-2022 artfynd.xlsx", "A 25250-2022")</f>
        <v/>
      </c>
      <c r="T222">
        <f>HYPERLINK("https://klasma.github.io/Logging_2281/kartor/A 25250-2022 karta.png", "A 25250-2022")</f>
        <v/>
      </c>
      <c r="V222">
        <f>HYPERLINK("https://klasma.github.io/Logging_2281/klagomål/A 25250-2022 FSC-klagomål.docx", "A 25250-2022")</f>
        <v/>
      </c>
      <c r="W222">
        <f>HYPERLINK("https://klasma.github.io/Logging_2281/klagomålsmail/A 25250-2022 FSC-klagomål mail.docx", "A 25250-2022")</f>
        <v/>
      </c>
      <c r="X222">
        <f>HYPERLINK("https://klasma.github.io/Logging_2281/tillsyn/A 25250-2022 tillsynsbegäran.docx", "A 25250-2022")</f>
        <v/>
      </c>
      <c r="Y222">
        <f>HYPERLINK("https://klasma.github.io/Logging_2281/tillsynsmail/A 25250-2022 tillsynsbegäran mail.docx", "A 25250-2022")</f>
        <v/>
      </c>
    </row>
    <row r="223" ht="15" customHeight="1">
      <c r="A223" t="inlineStr">
        <is>
          <t>A 28728-2022</t>
        </is>
      </c>
      <c r="B223" s="1" t="n">
        <v>44749</v>
      </c>
      <c r="C223" s="1" t="n">
        <v>45825</v>
      </c>
      <c r="D223" t="inlineStr">
        <is>
          <t>VÄSTERNORRLANDS LÄN</t>
        </is>
      </c>
      <c r="E223" t="inlineStr">
        <is>
          <t>SUNDSVALL</t>
        </is>
      </c>
      <c r="F223" t="inlineStr">
        <is>
          <t>SCA</t>
        </is>
      </c>
      <c r="G223" t="n">
        <v>3.4</v>
      </c>
      <c r="H223" t="n">
        <v>0</v>
      </c>
      <c r="I223" t="n">
        <v>0</v>
      </c>
      <c r="J223" t="n">
        <v>1</v>
      </c>
      <c r="K223" t="n">
        <v>0</v>
      </c>
      <c r="L223" t="n">
        <v>0</v>
      </c>
      <c r="M223" t="n">
        <v>0</v>
      </c>
      <c r="N223" t="n">
        <v>0</v>
      </c>
      <c r="O223" t="n">
        <v>1</v>
      </c>
      <c r="P223" t="n">
        <v>0</v>
      </c>
      <c r="Q223" t="n">
        <v>1</v>
      </c>
      <c r="R223" s="2" t="inlineStr">
        <is>
          <t>Garnlav</t>
        </is>
      </c>
      <c r="S223">
        <f>HYPERLINK("https://klasma.github.io/Logging_2281/artfynd/A 28728-2022 artfynd.xlsx", "A 28728-2022")</f>
        <v/>
      </c>
      <c r="T223">
        <f>HYPERLINK("https://klasma.github.io/Logging_2281/kartor/A 28728-2022 karta.png", "A 28728-2022")</f>
        <v/>
      </c>
      <c r="V223">
        <f>HYPERLINK("https://klasma.github.io/Logging_2281/klagomål/A 28728-2022 FSC-klagomål.docx", "A 28728-2022")</f>
        <v/>
      </c>
      <c r="W223">
        <f>HYPERLINK("https://klasma.github.io/Logging_2281/klagomålsmail/A 28728-2022 FSC-klagomål mail.docx", "A 28728-2022")</f>
        <v/>
      </c>
      <c r="X223">
        <f>HYPERLINK("https://klasma.github.io/Logging_2281/tillsyn/A 28728-2022 tillsynsbegäran.docx", "A 28728-2022")</f>
        <v/>
      </c>
      <c r="Y223">
        <f>HYPERLINK("https://klasma.github.io/Logging_2281/tillsynsmail/A 28728-2022 tillsynsbegäran mail.docx", "A 28728-2022")</f>
        <v/>
      </c>
    </row>
    <row r="224" ht="15" customHeight="1">
      <c r="A224" t="inlineStr">
        <is>
          <t>A 30933-2022</t>
        </is>
      </c>
      <c r="B224" s="1" t="n">
        <v>44768</v>
      </c>
      <c r="C224" s="1" t="n">
        <v>45825</v>
      </c>
      <c r="D224" t="inlineStr">
        <is>
          <t>VÄSTERNORRLANDS LÄN</t>
        </is>
      </c>
      <c r="E224" t="inlineStr">
        <is>
          <t>SUNDSVALL</t>
        </is>
      </c>
      <c r="F224" t="inlineStr">
        <is>
          <t>SCA</t>
        </is>
      </c>
      <c r="G224" t="n">
        <v>1.9</v>
      </c>
      <c r="H224" t="n">
        <v>1</v>
      </c>
      <c r="I224" t="n">
        <v>0</v>
      </c>
      <c r="J224" t="n">
        <v>1</v>
      </c>
      <c r="K224" t="n">
        <v>0</v>
      </c>
      <c r="L224" t="n">
        <v>0</v>
      </c>
      <c r="M224" t="n">
        <v>0</v>
      </c>
      <c r="N224" t="n">
        <v>0</v>
      </c>
      <c r="O224" t="n">
        <v>1</v>
      </c>
      <c r="P224" t="n">
        <v>0</v>
      </c>
      <c r="Q224" t="n">
        <v>1</v>
      </c>
      <c r="R224" s="2" t="inlineStr">
        <is>
          <t>Björktrast</t>
        </is>
      </c>
      <c r="S224">
        <f>HYPERLINK("https://klasma.github.io/Logging_2281/artfynd/A 30933-2022 artfynd.xlsx", "A 30933-2022")</f>
        <v/>
      </c>
      <c r="T224">
        <f>HYPERLINK("https://klasma.github.io/Logging_2281/kartor/A 30933-2022 karta.png", "A 30933-2022")</f>
        <v/>
      </c>
      <c r="V224">
        <f>HYPERLINK("https://klasma.github.io/Logging_2281/klagomål/A 30933-2022 FSC-klagomål.docx", "A 30933-2022")</f>
        <v/>
      </c>
      <c r="W224">
        <f>HYPERLINK("https://klasma.github.io/Logging_2281/klagomålsmail/A 30933-2022 FSC-klagomål mail.docx", "A 30933-2022")</f>
        <v/>
      </c>
      <c r="X224">
        <f>HYPERLINK("https://klasma.github.io/Logging_2281/tillsyn/A 30933-2022 tillsynsbegäran.docx", "A 30933-2022")</f>
        <v/>
      </c>
      <c r="Y224">
        <f>HYPERLINK("https://klasma.github.io/Logging_2281/tillsynsmail/A 30933-2022 tillsynsbegäran mail.docx", "A 30933-2022")</f>
        <v/>
      </c>
      <c r="Z224">
        <f>HYPERLINK("https://klasma.github.io/Logging_2281/fåglar/A 30933-2022 prioriterade fågelarter.docx", "A 30933-2022")</f>
        <v/>
      </c>
    </row>
    <row r="225" ht="15" customHeight="1">
      <c r="A225" t="inlineStr">
        <is>
          <t>A 47662-2022</t>
        </is>
      </c>
      <c r="B225" s="1" t="n">
        <v>44854</v>
      </c>
      <c r="C225" s="1" t="n">
        <v>45825</v>
      </c>
      <c r="D225" t="inlineStr">
        <is>
          <t>VÄSTERNORRLANDS LÄN</t>
        </is>
      </c>
      <c r="E225" t="inlineStr">
        <is>
          <t>SUNDSVALL</t>
        </is>
      </c>
      <c r="G225" t="n">
        <v>4.7</v>
      </c>
      <c r="H225" t="n">
        <v>1</v>
      </c>
      <c r="I225" t="n">
        <v>0</v>
      </c>
      <c r="J225" t="n">
        <v>0</v>
      </c>
      <c r="K225" t="n">
        <v>0</v>
      </c>
      <c r="L225" t="n">
        <v>0</v>
      </c>
      <c r="M225" t="n">
        <v>0</v>
      </c>
      <c r="N225" t="n">
        <v>0</v>
      </c>
      <c r="O225" t="n">
        <v>0</v>
      </c>
      <c r="P225" t="n">
        <v>0</v>
      </c>
      <c r="Q225" t="n">
        <v>1</v>
      </c>
      <c r="R225" s="2" t="inlineStr">
        <is>
          <t>Skogsödla</t>
        </is>
      </c>
      <c r="S225">
        <f>HYPERLINK("https://klasma.github.io/Logging_2281/artfynd/A 47662-2022 artfynd.xlsx", "A 47662-2022")</f>
        <v/>
      </c>
      <c r="T225">
        <f>HYPERLINK("https://klasma.github.io/Logging_2281/kartor/A 47662-2022 karta.png", "A 47662-2022")</f>
        <v/>
      </c>
      <c r="V225">
        <f>HYPERLINK("https://klasma.github.io/Logging_2281/klagomål/A 47662-2022 FSC-klagomål.docx", "A 47662-2022")</f>
        <v/>
      </c>
      <c r="W225">
        <f>HYPERLINK("https://klasma.github.io/Logging_2281/klagomålsmail/A 47662-2022 FSC-klagomål mail.docx", "A 47662-2022")</f>
        <v/>
      </c>
      <c r="X225">
        <f>HYPERLINK("https://klasma.github.io/Logging_2281/tillsyn/A 47662-2022 tillsynsbegäran.docx", "A 47662-2022")</f>
        <v/>
      </c>
      <c r="Y225">
        <f>HYPERLINK("https://klasma.github.io/Logging_2281/tillsynsmail/A 47662-2022 tillsynsbegäran mail.docx", "A 47662-2022")</f>
        <v/>
      </c>
    </row>
    <row r="226" ht="15" customHeight="1">
      <c r="A226" t="inlineStr">
        <is>
          <t>A 47807-2022</t>
        </is>
      </c>
      <c r="B226" s="1" t="n">
        <v>44854</v>
      </c>
      <c r="C226" s="1" t="n">
        <v>45825</v>
      </c>
      <c r="D226" t="inlineStr">
        <is>
          <t>VÄSTERNORRLANDS LÄN</t>
        </is>
      </c>
      <c r="E226" t="inlineStr">
        <is>
          <t>SUNDSVALL</t>
        </is>
      </c>
      <c r="F226" t="inlineStr">
        <is>
          <t>SCA</t>
        </is>
      </c>
      <c r="G226" t="n">
        <v>9.9</v>
      </c>
      <c r="H226" t="n">
        <v>0</v>
      </c>
      <c r="I226" t="n">
        <v>0</v>
      </c>
      <c r="J226" t="n">
        <v>1</v>
      </c>
      <c r="K226" t="n">
        <v>0</v>
      </c>
      <c r="L226" t="n">
        <v>0</v>
      </c>
      <c r="M226" t="n">
        <v>0</v>
      </c>
      <c r="N226" t="n">
        <v>0</v>
      </c>
      <c r="O226" t="n">
        <v>1</v>
      </c>
      <c r="P226" t="n">
        <v>0</v>
      </c>
      <c r="Q226" t="n">
        <v>1</v>
      </c>
      <c r="R226" s="2" t="inlineStr">
        <is>
          <t>Garnlav</t>
        </is>
      </c>
      <c r="S226">
        <f>HYPERLINK("https://klasma.github.io/Logging_2281/artfynd/A 47807-2022 artfynd.xlsx", "A 47807-2022")</f>
        <v/>
      </c>
      <c r="T226">
        <f>HYPERLINK("https://klasma.github.io/Logging_2281/kartor/A 47807-2022 karta.png", "A 47807-2022")</f>
        <v/>
      </c>
      <c r="V226">
        <f>HYPERLINK("https://klasma.github.io/Logging_2281/klagomål/A 47807-2022 FSC-klagomål.docx", "A 47807-2022")</f>
        <v/>
      </c>
      <c r="W226">
        <f>HYPERLINK("https://klasma.github.io/Logging_2281/klagomålsmail/A 47807-2022 FSC-klagomål mail.docx", "A 47807-2022")</f>
        <v/>
      </c>
      <c r="X226">
        <f>HYPERLINK("https://klasma.github.io/Logging_2281/tillsyn/A 47807-2022 tillsynsbegäran.docx", "A 47807-2022")</f>
        <v/>
      </c>
      <c r="Y226">
        <f>HYPERLINK("https://klasma.github.io/Logging_2281/tillsynsmail/A 47807-2022 tillsynsbegäran mail.docx", "A 47807-2022")</f>
        <v/>
      </c>
    </row>
    <row r="227" ht="15" customHeight="1">
      <c r="A227" t="inlineStr">
        <is>
          <t>A 49850-2022</t>
        </is>
      </c>
      <c r="B227" s="1" t="n">
        <v>44862</v>
      </c>
      <c r="C227" s="1" t="n">
        <v>45825</v>
      </c>
      <c r="D227" t="inlineStr">
        <is>
          <t>VÄSTERNORRLANDS LÄN</t>
        </is>
      </c>
      <c r="E227" t="inlineStr">
        <is>
          <t>SUNDSVALL</t>
        </is>
      </c>
      <c r="F227" t="inlineStr">
        <is>
          <t>SCA</t>
        </is>
      </c>
      <c r="G227" t="n">
        <v>5.5</v>
      </c>
      <c r="H227" t="n">
        <v>0</v>
      </c>
      <c r="I227" t="n">
        <v>0</v>
      </c>
      <c r="J227" t="n">
        <v>0</v>
      </c>
      <c r="K227" t="n">
        <v>1</v>
      </c>
      <c r="L227" t="n">
        <v>0</v>
      </c>
      <c r="M227" t="n">
        <v>0</v>
      </c>
      <c r="N227" t="n">
        <v>0</v>
      </c>
      <c r="O227" t="n">
        <v>1</v>
      </c>
      <c r="P227" t="n">
        <v>1</v>
      </c>
      <c r="Q227" t="n">
        <v>1</v>
      </c>
      <c r="R227" s="2" t="inlineStr">
        <is>
          <t>Rynkskinn</t>
        </is>
      </c>
      <c r="S227">
        <f>HYPERLINK("https://klasma.github.io/Logging_2281/artfynd/A 49850-2022 artfynd.xlsx", "A 49850-2022")</f>
        <v/>
      </c>
      <c r="T227">
        <f>HYPERLINK("https://klasma.github.io/Logging_2281/kartor/A 49850-2022 karta.png", "A 49850-2022")</f>
        <v/>
      </c>
      <c r="V227">
        <f>HYPERLINK("https://klasma.github.io/Logging_2281/klagomål/A 49850-2022 FSC-klagomål.docx", "A 49850-2022")</f>
        <v/>
      </c>
      <c r="W227">
        <f>HYPERLINK("https://klasma.github.io/Logging_2281/klagomålsmail/A 49850-2022 FSC-klagomål mail.docx", "A 49850-2022")</f>
        <v/>
      </c>
      <c r="X227">
        <f>HYPERLINK("https://klasma.github.io/Logging_2281/tillsyn/A 49850-2022 tillsynsbegäran.docx", "A 49850-2022")</f>
        <v/>
      </c>
      <c r="Y227">
        <f>HYPERLINK("https://klasma.github.io/Logging_2281/tillsynsmail/A 49850-2022 tillsynsbegäran mail.docx", "A 49850-2022")</f>
        <v/>
      </c>
    </row>
    <row r="228" ht="15" customHeight="1">
      <c r="A228" t="inlineStr">
        <is>
          <t>A 57281-2022</t>
        </is>
      </c>
      <c r="B228" s="1" t="n">
        <v>44895</v>
      </c>
      <c r="C228" s="1" t="n">
        <v>45825</v>
      </c>
      <c r="D228" t="inlineStr">
        <is>
          <t>VÄSTERNORRLANDS LÄN</t>
        </is>
      </c>
      <c r="E228" t="inlineStr">
        <is>
          <t>SUNDSVALL</t>
        </is>
      </c>
      <c r="F228" t="inlineStr">
        <is>
          <t>Naturvårdsverket</t>
        </is>
      </c>
      <c r="G228" t="n">
        <v>9.300000000000001</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57281-2022 artfynd.xlsx", "A 57281-2022")</f>
        <v/>
      </c>
      <c r="T228">
        <f>HYPERLINK("https://klasma.github.io/Logging_2281/kartor/A 57281-2022 karta.png", "A 57281-2022")</f>
        <v/>
      </c>
      <c r="V228">
        <f>HYPERLINK("https://klasma.github.io/Logging_2281/klagomål/A 57281-2022 FSC-klagomål.docx", "A 57281-2022")</f>
        <v/>
      </c>
      <c r="W228">
        <f>HYPERLINK("https://klasma.github.io/Logging_2281/klagomålsmail/A 57281-2022 FSC-klagomål mail.docx", "A 57281-2022")</f>
        <v/>
      </c>
      <c r="X228">
        <f>HYPERLINK("https://klasma.github.io/Logging_2281/tillsyn/A 57281-2022 tillsynsbegäran.docx", "A 57281-2022")</f>
        <v/>
      </c>
      <c r="Y228">
        <f>HYPERLINK("https://klasma.github.io/Logging_2281/tillsynsmail/A 57281-2022 tillsynsbegäran mail.docx", "A 57281-2022")</f>
        <v/>
      </c>
      <c r="Z228">
        <f>HYPERLINK("https://klasma.github.io/Logging_2281/fåglar/A 57281-2022 prioriterade fågelarter.docx", "A 57281-2022")</f>
        <v/>
      </c>
    </row>
    <row r="229" ht="15" customHeight="1">
      <c r="A229" t="inlineStr">
        <is>
          <t>A 58186-2022</t>
        </is>
      </c>
      <c r="B229" s="1" t="n">
        <v>44900</v>
      </c>
      <c r="C229" s="1" t="n">
        <v>45825</v>
      </c>
      <c r="D229" t="inlineStr">
        <is>
          <t>VÄSTERNORRLANDS LÄN</t>
        </is>
      </c>
      <c r="E229" t="inlineStr">
        <is>
          <t>SUNDSVALL</t>
        </is>
      </c>
      <c r="F229" t="inlineStr">
        <is>
          <t>SCA</t>
        </is>
      </c>
      <c r="G229" t="n">
        <v>9.300000000000001</v>
      </c>
      <c r="H229" t="n">
        <v>1</v>
      </c>
      <c r="I229" t="n">
        <v>1</v>
      </c>
      <c r="J229" t="n">
        <v>0</v>
      </c>
      <c r="K229" t="n">
        <v>0</v>
      </c>
      <c r="L229" t="n">
        <v>0</v>
      </c>
      <c r="M229" t="n">
        <v>0</v>
      </c>
      <c r="N229" t="n">
        <v>0</v>
      </c>
      <c r="O229" t="n">
        <v>0</v>
      </c>
      <c r="P229" t="n">
        <v>0</v>
      </c>
      <c r="Q229" t="n">
        <v>1</v>
      </c>
      <c r="R229" s="2" t="inlineStr">
        <is>
          <t>Plattlummer</t>
        </is>
      </c>
      <c r="S229">
        <f>HYPERLINK("https://klasma.github.io/Logging_2281/artfynd/A 58186-2022 artfynd.xlsx", "A 58186-2022")</f>
        <v/>
      </c>
      <c r="T229">
        <f>HYPERLINK("https://klasma.github.io/Logging_2281/kartor/A 58186-2022 karta.png", "A 58186-2022")</f>
        <v/>
      </c>
      <c r="V229">
        <f>HYPERLINK("https://klasma.github.io/Logging_2281/klagomål/A 58186-2022 FSC-klagomål.docx", "A 58186-2022")</f>
        <v/>
      </c>
      <c r="W229">
        <f>HYPERLINK("https://klasma.github.io/Logging_2281/klagomålsmail/A 58186-2022 FSC-klagomål mail.docx", "A 58186-2022")</f>
        <v/>
      </c>
      <c r="X229">
        <f>HYPERLINK("https://klasma.github.io/Logging_2281/tillsyn/A 58186-2022 tillsynsbegäran.docx", "A 58186-2022")</f>
        <v/>
      </c>
      <c r="Y229">
        <f>HYPERLINK("https://klasma.github.io/Logging_2281/tillsynsmail/A 58186-2022 tillsynsbegäran mail.docx", "A 58186-2022")</f>
        <v/>
      </c>
    </row>
    <row r="230" ht="15" customHeight="1">
      <c r="A230" t="inlineStr">
        <is>
          <t>A 311-2023</t>
        </is>
      </c>
      <c r="B230" s="1" t="n">
        <v>44929</v>
      </c>
      <c r="C230" s="1" t="n">
        <v>45825</v>
      </c>
      <c r="D230" t="inlineStr">
        <is>
          <t>VÄSTERNORRLANDS LÄN</t>
        </is>
      </c>
      <c r="E230" t="inlineStr">
        <is>
          <t>SUNDSVALL</t>
        </is>
      </c>
      <c r="G230" t="n">
        <v>16.5</v>
      </c>
      <c r="H230" t="n">
        <v>1</v>
      </c>
      <c r="I230" t="n">
        <v>0</v>
      </c>
      <c r="J230" t="n">
        <v>0</v>
      </c>
      <c r="K230" t="n">
        <v>0</v>
      </c>
      <c r="L230" t="n">
        <v>0</v>
      </c>
      <c r="M230" t="n">
        <v>0</v>
      </c>
      <c r="N230" t="n">
        <v>0</v>
      </c>
      <c r="O230" t="n">
        <v>0</v>
      </c>
      <c r="P230" t="n">
        <v>0</v>
      </c>
      <c r="Q230" t="n">
        <v>1</v>
      </c>
      <c r="R230" s="2" t="inlineStr">
        <is>
          <t>Tjäder</t>
        </is>
      </c>
      <c r="S230">
        <f>HYPERLINK("https://klasma.github.io/Logging_2281/artfynd/A 311-2023 artfynd.xlsx", "A 311-2023")</f>
        <v/>
      </c>
      <c r="T230">
        <f>HYPERLINK("https://klasma.github.io/Logging_2281/kartor/A 311-2023 karta.png", "A 311-2023")</f>
        <v/>
      </c>
      <c r="V230">
        <f>HYPERLINK("https://klasma.github.io/Logging_2281/klagomål/A 311-2023 FSC-klagomål.docx", "A 311-2023")</f>
        <v/>
      </c>
      <c r="W230">
        <f>HYPERLINK("https://klasma.github.io/Logging_2281/klagomålsmail/A 311-2023 FSC-klagomål mail.docx", "A 311-2023")</f>
        <v/>
      </c>
      <c r="X230">
        <f>HYPERLINK("https://klasma.github.io/Logging_2281/tillsyn/A 311-2023 tillsynsbegäran.docx", "A 311-2023")</f>
        <v/>
      </c>
      <c r="Y230">
        <f>HYPERLINK("https://klasma.github.io/Logging_2281/tillsynsmail/A 311-2023 tillsynsbegäran mail.docx", "A 311-2023")</f>
        <v/>
      </c>
      <c r="Z230">
        <f>HYPERLINK("https://klasma.github.io/Logging_2281/fåglar/A 311-2023 prioriterade fågelarter.docx", "A 311-2023")</f>
        <v/>
      </c>
    </row>
    <row r="231" ht="15" customHeight="1">
      <c r="A231" t="inlineStr">
        <is>
          <t>A 1220-2023</t>
        </is>
      </c>
      <c r="B231" s="1" t="n">
        <v>44935</v>
      </c>
      <c r="C231" s="1" t="n">
        <v>45825</v>
      </c>
      <c r="D231" t="inlineStr">
        <is>
          <t>VÄSTERNORRLANDS LÄN</t>
        </is>
      </c>
      <c r="E231" t="inlineStr">
        <is>
          <t>SUNDSVALL</t>
        </is>
      </c>
      <c r="G231" t="n">
        <v>2.7</v>
      </c>
      <c r="H231" t="n">
        <v>1</v>
      </c>
      <c r="I231" t="n">
        <v>0</v>
      </c>
      <c r="J231" t="n">
        <v>1</v>
      </c>
      <c r="K231" t="n">
        <v>0</v>
      </c>
      <c r="L231" t="n">
        <v>0</v>
      </c>
      <c r="M231" t="n">
        <v>0</v>
      </c>
      <c r="N231" t="n">
        <v>0</v>
      </c>
      <c r="O231" t="n">
        <v>1</v>
      </c>
      <c r="P231" t="n">
        <v>0</v>
      </c>
      <c r="Q231" t="n">
        <v>1</v>
      </c>
      <c r="R231" s="2" t="inlineStr">
        <is>
          <t>Spillkråka</t>
        </is>
      </c>
      <c r="S231">
        <f>HYPERLINK("https://klasma.github.io/Logging_2281/artfynd/A 1220-2023 artfynd.xlsx", "A 1220-2023")</f>
        <v/>
      </c>
      <c r="T231">
        <f>HYPERLINK("https://klasma.github.io/Logging_2281/kartor/A 1220-2023 karta.png", "A 1220-2023")</f>
        <v/>
      </c>
      <c r="V231">
        <f>HYPERLINK("https://klasma.github.io/Logging_2281/klagomål/A 1220-2023 FSC-klagomål.docx", "A 1220-2023")</f>
        <v/>
      </c>
      <c r="W231">
        <f>HYPERLINK("https://klasma.github.io/Logging_2281/klagomålsmail/A 1220-2023 FSC-klagomål mail.docx", "A 1220-2023")</f>
        <v/>
      </c>
      <c r="X231">
        <f>HYPERLINK("https://klasma.github.io/Logging_2281/tillsyn/A 1220-2023 tillsynsbegäran.docx", "A 1220-2023")</f>
        <v/>
      </c>
      <c r="Y231">
        <f>HYPERLINK("https://klasma.github.io/Logging_2281/tillsynsmail/A 1220-2023 tillsynsbegäran mail.docx", "A 1220-2023")</f>
        <v/>
      </c>
      <c r="Z231">
        <f>HYPERLINK("https://klasma.github.io/Logging_2281/fåglar/A 1220-2023 prioriterade fågelarter.docx", "A 1220-2023")</f>
        <v/>
      </c>
    </row>
    <row r="232" ht="15" customHeight="1">
      <c r="A232" t="inlineStr">
        <is>
          <t>A 7524-2023</t>
        </is>
      </c>
      <c r="B232" s="1" t="n">
        <v>44971</v>
      </c>
      <c r="C232" s="1" t="n">
        <v>45825</v>
      </c>
      <c r="D232" t="inlineStr">
        <is>
          <t>VÄSTERNORRLANDS LÄN</t>
        </is>
      </c>
      <c r="E232" t="inlineStr">
        <is>
          <t>SUNDSVALL</t>
        </is>
      </c>
      <c r="F232" t="inlineStr">
        <is>
          <t>Naturvårdsverket</t>
        </is>
      </c>
      <c r="G232" t="n">
        <v>5.2</v>
      </c>
      <c r="H232" t="n">
        <v>0</v>
      </c>
      <c r="I232" t="n">
        <v>0</v>
      </c>
      <c r="J232" t="n">
        <v>0</v>
      </c>
      <c r="K232" t="n">
        <v>1</v>
      </c>
      <c r="L232" t="n">
        <v>0</v>
      </c>
      <c r="M232" t="n">
        <v>0</v>
      </c>
      <c r="N232" t="n">
        <v>0</v>
      </c>
      <c r="O232" t="n">
        <v>1</v>
      </c>
      <c r="P232" t="n">
        <v>1</v>
      </c>
      <c r="Q232" t="n">
        <v>1</v>
      </c>
      <c r="R232" s="2" t="inlineStr">
        <is>
          <t>Rynkskinn</t>
        </is>
      </c>
      <c r="S232">
        <f>HYPERLINK("https://klasma.github.io/Logging_2281/artfynd/A 7524-2023 artfynd.xlsx", "A 7524-2023")</f>
        <v/>
      </c>
      <c r="T232">
        <f>HYPERLINK("https://klasma.github.io/Logging_2281/kartor/A 7524-2023 karta.png", "A 7524-2023")</f>
        <v/>
      </c>
      <c r="V232">
        <f>HYPERLINK("https://klasma.github.io/Logging_2281/klagomål/A 7524-2023 FSC-klagomål.docx", "A 7524-2023")</f>
        <v/>
      </c>
      <c r="W232">
        <f>HYPERLINK("https://klasma.github.io/Logging_2281/klagomålsmail/A 7524-2023 FSC-klagomål mail.docx", "A 7524-2023")</f>
        <v/>
      </c>
      <c r="X232">
        <f>HYPERLINK("https://klasma.github.io/Logging_2281/tillsyn/A 7524-2023 tillsynsbegäran.docx", "A 7524-2023")</f>
        <v/>
      </c>
      <c r="Y232">
        <f>HYPERLINK("https://klasma.github.io/Logging_2281/tillsynsmail/A 7524-2023 tillsynsbegäran mail.docx", "A 7524-2023")</f>
        <v/>
      </c>
    </row>
    <row r="233" ht="15" customHeight="1">
      <c r="A233" t="inlineStr">
        <is>
          <t>A 8032-2023</t>
        </is>
      </c>
      <c r="B233" s="1" t="n">
        <v>44973</v>
      </c>
      <c r="C233" s="1" t="n">
        <v>45825</v>
      </c>
      <c r="D233" t="inlineStr">
        <is>
          <t>VÄSTERNORRLANDS LÄN</t>
        </is>
      </c>
      <c r="E233" t="inlineStr">
        <is>
          <t>SUNDSVALL</t>
        </is>
      </c>
      <c r="F233" t="inlineStr">
        <is>
          <t>SCA</t>
        </is>
      </c>
      <c r="G233" t="n">
        <v>8.6</v>
      </c>
      <c r="H233" t="n">
        <v>1</v>
      </c>
      <c r="I233" t="n">
        <v>0</v>
      </c>
      <c r="J233" t="n">
        <v>0</v>
      </c>
      <c r="K233" t="n">
        <v>0</v>
      </c>
      <c r="L233" t="n">
        <v>0</v>
      </c>
      <c r="M233" t="n">
        <v>0</v>
      </c>
      <c r="N233" t="n">
        <v>0</v>
      </c>
      <c r="O233" t="n">
        <v>0</v>
      </c>
      <c r="P233" t="n">
        <v>0</v>
      </c>
      <c r="Q233" t="n">
        <v>1</v>
      </c>
      <c r="R233" s="2" t="inlineStr">
        <is>
          <t>Vanlig padda</t>
        </is>
      </c>
      <c r="S233">
        <f>HYPERLINK("https://klasma.github.io/Logging_2281/artfynd/A 8032-2023 artfynd.xlsx", "A 8032-2023")</f>
        <v/>
      </c>
      <c r="T233">
        <f>HYPERLINK("https://klasma.github.io/Logging_2281/kartor/A 8032-2023 karta.png", "A 8032-2023")</f>
        <v/>
      </c>
      <c r="V233">
        <f>HYPERLINK("https://klasma.github.io/Logging_2281/klagomål/A 8032-2023 FSC-klagomål.docx", "A 8032-2023")</f>
        <v/>
      </c>
      <c r="W233">
        <f>HYPERLINK("https://klasma.github.io/Logging_2281/klagomålsmail/A 8032-2023 FSC-klagomål mail.docx", "A 8032-2023")</f>
        <v/>
      </c>
      <c r="X233">
        <f>HYPERLINK("https://klasma.github.io/Logging_2281/tillsyn/A 8032-2023 tillsynsbegäran.docx", "A 8032-2023")</f>
        <v/>
      </c>
      <c r="Y233">
        <f>HYPERLINK("https://klasma.github.io/Logging_2281/tillsynsmail/A 8032-2023 tillsynsbegäran mail.docx", "A 8032-2023")</f>
        <v/>
      </c>
    </row>
    <row r="234" ht="15" customHeight="1">
      <c r="A234" t="inlineStr">
        <is>
          <t>A 9584-2023</t>
        </is>
      </c>
      <c r="B234" s="1" t="n">
        <v>44982</v>
      </c>
      <c r="C234" s="1" t="n">
        <v>45825</v>
      </c>
      <c r="D234" t="inlineStr">
        <is>
          <t>VÄSTERNORRLANDS LÄN</t>
        </is>
      </c>
      <c r="E234" t="inlineStr">
        <is>
          <t>SUNDSVALL</t>
        </is>
      </c>
      <c r="F234" t="inlineStr">
        <is>
          <t>SCA</t>
        </is>
      </c>
      <c r="G234" t="n">
        <v>3.7</v>
      </c>
      <c r="H234" t="n">
        <v>1</v>
      </c>
      <c r="I234" t="n">
        <v>0</v>
      </c>
      <c r="J234" t="n">
        <v>0</v>
      </c>
      <c r="K234" t="n">
        <v>0</v>
      </c>
      <c r="L234" t="n">
        <v>0</v>
      </c>
      <c r="M234" t="n">
        <v>0</v>
      </c>
      <c r="N234" t="n">
        <v>0</v>
      </c>
      <c r="O234" t="n">
        <v>0</v>
      </c>
      <c r="P234" t="n">
        <v>0</v>
      </c>
      <c r="Q234" t="n">
        <v>1</v>
      </c>
      <c r="R234" s="2" t="inlineStr">
        <is>
          <t>Orre</t>
        </is>
      </c>
      <c r="S234">
        <f>HYPERLINK("https://klasma.github.io/Logging_2281/artfynd/A 9584-2023 artfynd.xlsx", "A 9584-2023")</f>
        <v/>
      </c>
      <c r="T234">
        <f>HYPERLINK("https://klasma.github.io/Logging_2281/kartor/A 9584-2023 karta.png", "A 9584-2023")</f>
        <v/>
      </c>
      <c r="V234">
        <f>HYPERLINK("https://klasma.github.io/Logging_2281/klagomål/A 9584-2023 FSC-klagomål.docx", "A 9584-2023")</f>
        <v/>
      </c>
      <c r="W234">
        <f>HYPERLINK("https://klasma.github.io/Logging_2281/klagomålsmail/A 9584-2023 FSC-klagomål mail.docx", "A 9584-2023")</f>
        <v/>
      </c>
      <c r="X234">
        <f>HYPERLINK("https://klasma.github.io/Logging_2281/tillsyn/A 9584-2023 tillsynsbegäran.docx", "A 9584-2023")</f>
        <v/>
      </c>
      <c r="Y234">
        <f>HYPERLINK("https://klasma.github.io/Logging_2281/tillsynsmail/A 9584-2023 tillsynsbegäran mail.docx", "A 9584-2023")</f>
        <v/>
      </c>
      <c r="Z234">
        <f>HYPERLINK("https://klasma.github.io/Logging_2281/fåglar/A 9584-2023 prioriterade fågelarter.docx", "A 9584-2023")</f>
        <v/>
      </c>
    </row>
    <row r="235" ht="15" customHeight="1">
      <c r="A235" t="inlineStr">
        <is>
          <t>A 10774-2023</t>
        </is>
      </c>
      <c r="B235" s="1" t="n">
        <v>44988</v>
      </c>
      <c r="C235" s="1" t="n">
        <v>45825</v>
      </c>
      <c r="D235" t="inlineStr">
        <is>
          <t>VÄSTERNORRLANDS LÄN</t>
        </is>
      </c>
      <c r="E235" t="inlineStr">
        <is>
          <t>SUNDSVALL</t>
        </is>
      </c>
      <c r="F235" t="inlineStr">
        <is>
          <t>SCA</t>
        </is>
      </c>
      <c r="G235" t="n">
        <v>2</v>
      </c>
      <c r="H235" t="n">
        <v>1</v>
      </c>
      <c r="I235" t="n">
        <v>0</v>
      </c>
      <c r="J235" t="n">
        <v>1</v>
      </c>
      <c r="K235" t="n">
        <v>0</v>
      </c>
      <c r="L235" t="n">
        <v>0</v>
      </c>
      <c r="M235" t="n">
        <v>0</v>
      </c>
      <c r="N235" t="n">
        <v>0</v>
      </c>
      <c r="O235" t="n">
        <v>1</v>
      </c>
      <c r="P235" t="n">
        <v>0</v>
      </c>
      <c r="Q235" t="n">
        <v>1</v>
      </c>
      <c r="R235" s="2" t="inlineStr">
        <is>
          <t>Järpe</t>
        </is>
      </c>
      <c r="S235">
        <f>HYPERLINK("https://klasma.github.io/Logging_2281/artfynd/A 10774-2023 artfynd.xlsx", "A 10774-2023")</f>
        <v/>
      </c>
      <c r="T235">
        <f>HYPERLINK("https://klasma.github.io/Logging_2281/kartor/A 10774-2023 karta.png", "A 10774-2023")</f>
        <v/>
      </c>
      <c r="V235">
        <f>HYPERLINK("https://klasma.github.io/Logging_2281/klagomål/A 10774-2023 FSC-klagomål.docx", "A 10774-2023")</f>
        <v/>
      </c>
      <c r="W235">
        <f>HYPERLINK("https://klasma.github.io/Logging_2281/klagomålsmail/A 10774-2023 FSC-klagomål mail.docx", "A 10774-2023")</f>
        <v/>
      </c>
      <c r="X235">
        <f>HYPERLINK("https://klasma.github.io/Logging_2281/tillsyn/A 10774-2023 tillsynsbegäran.docx", "A 10774-2023")</f>
        <v/>
      </c>
      <c r="Y235">
        <f>HYPERLINK("https://klasma.github.io/Logging_2281/tillsynsmail/A 10774-2023 tillsynsbegäran mail.docx", "A 10774-2023")</f>
        <v/>
      </c>
      <c r="Z235">
        <f>HYPERLINK("https://klasma.github.io/Logging_2281/fåglar/A 10774-2023 prioriterade fågelarter.docx", "A 10774-2023")</f>
        <v/>
      </c>
    </row>
    <row r="236" ht="15" customHeight="1">
      <c r="A236" t="inlineStr">
        <is>
          <t>A 12049-2023</t>
        </is>
      </c>
      <c r="B236" s="1" t="n">
        <v>44996</v>
      </c>
      <c r="C236" s="1" t="n">
        <v>45825</v>
      </c>
      <c r="D236" t="inlineStr">
        <is>
          <t>VÄSTERNORRLANDS LÄN</t>
        </is>
      </c>
      <c r="E236" t="inlineStr">
        <is>
          <t>SUNDSVALL</t>
        </is>
      </c>
      <c r="F236" t="inlineStr">
        <is>
          <t>SCA</t>
        </is>
      </c>
      <c r="G236" t="n">
        <v>13</v>
      </c>
      <c r="H236" t="n">
        <v>1</v>
      </c>
      <c r="I236" t="n">
        <v>0</v>
      </c>
      <c r="J236" t="n">
        <v>0</v>
      </c>
      <c r="K236" t="n">
        <v>1</v>
      </c>
      <c r="L236" t="n">
        <v>0</v>
      </c>
      <c r="M236" t="n">
        <v>0</v>
      </c>
      <c r="N236" t="n">
        <v>0</v>
      </c>
      <c r="O236" t="n">
        <v>1</v>
      </c>
      <c r="P236" t="n">
        <v>1</v>
      </c>
      <c r="Q236" t="n">
        <v>1</v>
      </c>
      <c r="R236" s="2" t="inlineStr">
        <is>
          <t>Lappuggla</t>
        </is>
      </c>
      <c r="S236">
        <f>HYPERLINK("https://klasma.github.io/Logging_2281/artfynd/A 12049-2023 artfynd.xlsx", "A 12049-2023")</f>
        <v/>
      </c>
      <c r="T236">
        <f>HYPERLINK("https://klasma.github.io/Logging_2281/kartor/A 12049-2023 karta.png", "A 12049-2023")</f>
        <v/>
      </c>
      <c r="V236">
        <f>HYPERLINK("https://klasma.github.io/Logging_2281/klagomål/A 12049-2023 FSC-klagomål.docx", "A 12049-2023")</f>
        <v/>
      </c>
      <c r="W236">
        <f>HYPERLINK("https://klasma.github.io/Logging_2281/klagomålsmail/A 12049-2023 FSC-klagomål mail.docx", "A 12049-2023")</f>
        <v/>
      </c>
      <c r="X236">
        <f>HYPERLINK("https://klasma.github.io/Logging_2281/tillsyn/A 12049-2023 tillsynsbegäran.docx", "A 12049-2023")</f>
        <v/>
      </c>
      <c r="Y236">
        <f>HYPERLINK("https://klasma.github.io/Logging_2281/tillsynsmail/A 12049-2023 tillsynsbegäran mail.docx", "A 12049-2023")</f>
        <v/>
      </c>
      <c r="Z236">
        <f>HYPERLINK("https://klasma.github.io/Logging_2281/fåglar/A 12049-2023 prioriterade fågelarter.docx", "A 12049-2023")</f>
        <v/>
      </c>
    </row>
    <row r="237" ht="15" customHeight="1">
      <c r="A237" t="inlineStr">
        <is>
          <t>A 12058-2023</t>
        </is>
      </c>
      <c r="B237" s="1" t="n">
        <v>44995</v>
      </c>
      <c r="C237" s="1" t="n">
        <v>45825</v>
      </c>
      <c r="D237" t="inlineStr">
        <is>
          <t>VÄSTERNORRLANDS LÄN</t>
        </is>
      </c>
      <c r="E237" t="inlineStr">
        <is>
          <t>SUNDSVALL</t>
        </is>
      </c>
      <c r="F237" t="inlineStr">
        <is>
          <t>SCA</t>
        </is>
      </c>
      <c r="G237" t="n">
        <v>4</v>
      </c>
      <c r="H237" t="n">
        <v>1</v>
      </c>
      <c r="I237" t="n">
        <v>0</v>
      </c>
      <c r="J237" t="n">
        <v>1</v>
      </c>
      <c r="K237" t="n">
        <v>0</v>
      </c>
      <c r="L237" t="n">
        <v>0</v>
      </c>
      <c r="M237" t="n">
        <v>0</v>
      </c>
      <c r="N237" t="n">
        <v>0</v>
      </c>
      <c r="O237" t="n">
        <v>1</v>
      </c>
      <c r="P237" t="n">
        <v>0</v>
      </c>
      <c r="Q237" t="n">
        <v>1</v>
      </c>
      <c r="R237" s="2" t="inlineStr">
        <is>
          <t>Fiskmås</t>
        </is>
      </c>
      <c r="S237">
        <f>HYPERLINK("https://klasma.github.io/Logging_2281/artfynd/A 12058-2023 artfynd.xlsx", "A 12058-2023")</f>
        <v/>
      </c>
      <c r="T237">
        <f>HYPERLINK("https://klasma.github.io/Logging_2281/kartor/A 12058-2023 karta.png", "A 12058-2023")</f>
        <v/>
      </c>
      <c r="V237">
        <f>HYPERLINK("https://klasma.github.io/Logging_2281/klagomål/A 12058-2023 FSC-klagomål.docx", "A 12058-2023")</f>
        <v/>
      </c>
      <c r="W237">
        <f>HYPERLINK("https://klasma.github.io/Logging_2281/klagomålsmail/A 12058-2023 FSC-klagomål mail.docx", "A 12058-2023")</f>
        <v/>
      </c>
      <c r="X237">
        <f>HYPERLINK("https://klasma.github.io/Logging_2281/tillsyn/A 12058-2023 tillsynsbegäran.docx", "A 12058-2023")</f>
        <v/>
      </c>
      <c r="Y237">
        <f>HYPERLINK("https://klasma.github.io/Logging_2281/tillsynsmail/A 12058-2023 tillsynsbegäran mail.docx", "A 12058-2023")</f>
        <v/>
      </c>
    </row>
    <row r="238" ht="15" customHeight="1">
      <c r="A238" t="inlineStr">
        <is>
          <t>A 14665-2023</t>
        </is>
      </c>
      <c r="B238" s="1" t="n">
        <v>45014</v>
      </c>
      <c r="C238" s="1" t="n">
        <v>45825</v>
      </c>
      <c r="D238" t="inlineStr">
        <is>
          <t>VÄSTERNORRLANDS LÄN</t>
        </is>
      </c>
      <c r="E238" t="inlineStr">
        <is>
          <t>SUNDSVALL</t>
        </is>
      </c>
      <c r="G238" t="n">
        <v>1.8</v>
      </c>
      <c r="H238" t="n">
        <v>1</v>
      </c>
      <c r="I238" t="n">
        <v>0</v>
      </c>
      <c r="J238" t="n">
        <v>0</v>
      </c>
      <c r="K238" t="n">
        <v>0</v>
      </c>
      <c r="L238" t="n">
        <v>0</v>
      </c>
      <c r="M238" t="n">
        <v>0</v>
      </c>
      <c r="N238" t="n">
        <v>0</v>
      </c>
      <c r="O238" t="n">
        <v>0</v>
      </c>
      <c r="P238" t="n">
        <v>0</v>
      </c>
      <c r="Q238" t="n">
        <v>1</v>
      </c>
      <c r="R238" s="2" t="inlineStr">
        <is>
          <t>Trana</t>
        </is>
      </c>
      <c r="S238">
        <f>HYPERLINK("https://klasma.github.io/Logging_2281/artfynd/A 14665-2023 artfynd.xlsx", "A 14665-2023")</f>
        <v/>
      </c>
      <c r="T238">
        <f>HYPERLINK("https://klasma.github.io/Logging_2281/kartor/A 14665-2023 karta.png", "A 14665-2023")</f>
        <v/>
      </c>
      <c r="V238">
        <f>HYPERLINK("https://klasma.github.io/Logging_2281/klagomål/A 14665-2023 FSC-klagomål.docx", "A 14665-2023")</f>
        <v/>
      </c>
      <c r="W238">
        <f>HYPERLINK("https://klasma.github.io/Logging_2281/klagomålsmail/A 14665-2023 FSC-klagomål mail.docx", "A 14665-2023")</f>
        <v/>
      </c>
      <c r="X238">
        <f>HYPERLINK("https://klasma.github.io/Logging_2281/tillsyn/A 14665-2023 tillsynsbegäran.docx", "A 14665-2023")</f>
        <v/>
      </c>
      <c r="Y238">
        <f>HYPERLINK("https://klasma.github.io/Logging_2281/tillsynsmail/A 14665-2023 tillsynsbegäran mail.docx", "A 14665-2023")</f>
        <v/>
      </c>
      <c r="Z238">
        <f>HYPERLINK("https://klasma.github.io/Logging_2281/fåglar/A 14665-2023 prioriterade fågelarter.docx", "A 14665-2023")</f>
        <v/>
      </c>
    </row>
    <row r="239" ht="15" customHeight="1">
      <c r="A239" t="inlineStr">
        <is>
          <t>A 15346-2023</t>
        </is>
      </c>
      <c r="B239" s="1" t="n">
        <v>45016</v>
      </c>
      <c r="C239" s="1" t="n">
        <v>45825</v>
      </c>
      <c r="D239" t="inlineStr">
        <is>
          <t>VÄSTERNORRLANDS LÄN</t>
        </is>
      </c>
      <c r="E239" t="inlineStr">
        <is>
          <t>SUNDSVALL</t>
        </is>
      </c>
      <c r="G239" t="n">
        <v>3.8</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15346-2023 artfynd.xlsx", "A 15346-2023")</f>
        <v/>
      </c>
      <c r="T239">
        <f>HYPERLINK("https://klasma.github.io/Logging_2281/kartor/A 15346-2023 karta.png", "A 15346-2023")</f>
        <v/>
      </c>
      <c r="V239">
        <f>HYPERLINK("https://klasma.github.io/Logging_2281/klagomål/A 15346-2023 FSC-klagomål.docx", "A 15346-2023")</f>
        <v/>
      </c>
      <c r="W239">
        <f>HYPERLINK("https://klasma.github.io/Logging_2281/klagomålsmail/A 15346-2023 FSC-klagomål mail.docx", "A 15346-2023")</f>
        <v/>
      </c>
      <c r="X239">
        <f>HYPERLINK("https://klasma.github.io/Logging_2281/tillsyn/A 15346-2023 tillsynsbegäran.docx", "A 15346-2023")</f>
        <v/>
      </c>
      <c r="Y239">
        <f>HYPERLINK("https://klasma.github.io/Logging_2281/tillsynsmail/A 15346-2023 tillsynsbegäran mail.docx", "A 15346-2023")</f>
        <v/>
      </c>
      <c r="Z239">
        <f>HYPERLINK("https://klasma.github.io/Logging_2281/fåglar/A 15346-2023 prioriterade fågelarter.docx", "A 15346-2023")</f>
        <v/>
      </c>
    </row>
    <row r="240" ht="15" customHeight="1">
      <c r="A240" t="inlineStr">
        <is>
          <t>A 17772-2023</t>
        </is>
      </c>
      <c r="B240" s="1" t="n">
        <v>45036</v>
      </c>
      <c r="C240" s="1" t="n">
        <v>45825</v>
      </c>
      <c r="D240" t="inlineStr">
        <is>
          <t>VÄSTERNORRLANDS LÄN</t>
        </is>
      </c>
      <c r="E240" t="inlineStr">
        <is>
          <t>SUNDSVALL</t>
        </is>
      </c>
      <c r="G240" t="n">
        <v>4.2</v>
      </c>
      <c r="H240" t="n">
        <v>0</v>
      </c>
      <c r="I240" t="n">
        <v>0</v>
      </c>
      <c r="J240" t="n">
        <v>1</v>
      </c>
      <c r="K240" t="n">
        <v>0</v>
      </c>
      <c r="L240" t="n">
        <v>0</v>
      </c>
      <c r="M240" t="n">
        <v>0</v>
      </c>
      <c r="N240" t="n">
        <v>0</v>
      </c>
      <c r="O240" t="n">
        <v>1</v>
      </c>
      <c r="P240" t="n">
        <v>0</v>
      </c>
      <c r="Q240" t="n">
        <v>1</v>
      </c>
      <c r="R240" s="2" t="inlineStr">
        <is>
          <t>Garnlav</t>
        </is>
      </c>
      <c r="S240">
        <f>HYPERLINK("https://klasma.github.io/Logging_2281/artfynd/A 17772-2023 artfynd.xlsx", "A 17772-2023")</f>
        <v/>
      </c>
      <c r="T240">
        <f>HYPERLINK("https://klasma.github.io/Logging_2281/kartor/A 17772-2023 karta.png", "A 17772-2023")</f>
        <v/>
      </c>
      <c r="V240">
        <f>HYPERLINK("https://klasma.github.io/Logging_2281/klagomål/A 17772-2023 FSC-klagomål.docx", "A 17772-2023")</f>
        <v/>
      </c>
      <c r="W240">
        <f>HYPERLINK("https://klasma.github.io/Logging_2281/klagomålsmail/A 17772-2023 FSC-klagomål mail.docx", "A 17772-2023")</f>
        <v/>
      </c>
      <c r="X240">
        <f>HYPERLINK("https://klasma.github.io/Logging_2281/tillsyn/A 17772-2023 tillsynsbegäran.docx", "A 17772-2023")</f>
        <v/>
      </c>
      <c r="Y240">
        <f>HYPERLINK("https://klasma.github.io/Logging_2281/tillsynsmail/A 17772-2023 tillsynsbegäran mail.docx", "A 17772-2023")</f>
        <v/>
      </c>
    </row>
    <row r="241" ht="15" customHeight="1">
      <c r="A241" t="inlineStr">
        <is>
          <t>A 19441-2023</t>
        </is>
      </c>
      <c r="B241" s="1" t="n">
        <v>45049</v>
      </c>
      <c r="C241" s="1" t="n">
        <v>45825</v>
      </c>
      <c r="D241" t="inlineStr">
        <is>
          <t>VÄSTERNORRLANDS LÄN</t>
        </is>
      </c>
      <c r="E241" t="inlineStr">
        <is>
          <t>SUNDSVALL</t>
        </is>
      </c>
      <c r="F241" t="inlineStr">
        <is>
          <t>SCA</t>
        </is>
      </c>
      <c r="G241" t="n">
        <v>3.5</v>
      </c>
      <c r="H241" t="n">
        <v>0</v>
      </c>
      <c r="I241" t="n">
        <v>0</v>
      </c>
      <c r="J241" t="n">
        <v>1</v>
      </c>
      <c r="K241" t="n">
        <v>0</v>
      </c>
      <c r="L241" t="n">
        <v>0</v>
      </c>
      <c r="M241" t="n">
        <v>0</v>
      </c>
      <c r="N241" t="n">
        <v>0</v>
      </c>
      <c r="O241" t="n">
        <v>1</v>
      </c>
      <c r="P241" t="n">
        <v>0</v>
      </c>
      <c r="Q241" t="n">
        <v>1</v>
      </c>
      <c r="R241" s="2" t="inlineStr">
        <is>
          <t>Lunglav</t>
        </is>
      </c>
      <c r="S241">
        <f>HYPERLINK("https://klasma.github.io/Logging_2281/artfynd/A 19441-2023 artfynd.xlsx", "A 19441-2023")</f>
        <v/>
      </c>
      <c r="T241">
        <f>HYPERLINK("https://klasma.github.io/Logging_2281/kartor/A 19441-2023 karta.png", "A 19441-2023")</f>
        <v/>
      </c>
      <c r="V241">
        <f>HYPERLINK("https://klasma.github.io/Logging_2281/klagomål/A 19441-2023 FSC-klagomål.docx", "A 19441-2023")</f>
        <v/>
      </c>
      <c r="W241">
        <f>HYPERLINK("https://klasma.github.io/Logging_2281/klagomålsmail/A 19441-2023 FSC-klagomål mail.docx", "A 19441-2023")</f>
        <v/>
      </c>
      <c r="X241">
        <f>HYPERLINK("https://klasma.github.io/Logging_2281/tillsyn/A 19441-2023 tillsynsbegäran.docx", "A 19441-2023")</f>
        <v/>
      </c>
      <c r="Y241">
        <f>HYPERLINK("https://klasma.github.io/Logging_2281/tillsynsmail/A 19441-2023 tillsynsbegäran mail.docx", "A 19441-2023")</f>
        <v/>
      </c>
    </row>
    <row r="242" ht="15" customHeight="1">
      <c r="A242" t="inlineStr">
        <is>
          <t>A 19815-2023</t>
        </is>
      </c>
      <c r="B242" s="1" t="n">
        <v>45051</v>
      </c>
      <c r="C242" s="1" t="n">
        <v>45825</v>
      </c>
      <c r="D242" t="inlineStr">
        <is>
          <t>VÄSTERNORRLANDS LÄN</t>
        </is>
      </c>
      <c r="E242" t="inlineStr">
        <is>
          <t>SUNDSVALL</t>
        </is>
      </c>
      <c r="F242" t="inlineStr">
        <is>
          <t>SCA</t>
        </is>
      </c>
      <c r="G242" t="n">
        <v>3.4</v>
      </c>
      <c r="H242" t="n">
        <v>1</v>
      </c>
      <c r="I242" t="n">
        <v>0</v>
      </c>
      <c r="J242" t="n">
        <v>0</v>
      </c>
      <c r="K242" t="n">
        <v>1</v>
      </c>
      <c r="L242" t="n">
        <v>0</v>
      </c>
      <c r="M242" t="n">
        <v>0</v>
      </c>
      <c r="N242" t="n">
        <v>0</v>
      </c>
      <c r="O242" t="n">
        <v>1</v>
      </c>
      <c r="P242" t="n">
        <v>1</v>
      </c>
      <c r="Q242" t="n">
        <v>1</v>
      </c>
      <c r="R242" s="2" t="inlineStr">
        <is>
          <t>Knärot</t>
        </is>
      </c>
      <c r="S242">
        <f>HYPERLINK("https://klasma.github.io/Logging_2281/artfynd/A 19815-2023 artfynd.xlsx", "A 19815-2023")</f>
        <v/>
      </c>
      <c r="T242">
        <f>HYPERLINK("https://klasma.github.io/Logging_2281/kartor/A 19815-2023 karta.png", "A 19815-2023")</f>
        <v/>
      </c>
      <c r="U242">
        <f>HYPERLINK("https://klasma.github.io/Logging_2281/knärot/A 19815-2023 karta knärot.png", "A 19815-2023")</f>
        <v/>
      </c>
      <c r="V242">
        <f>HYPERLINK("https://klasma.github.io/Logging_2281/klagomål/A 19815-2023 FSC-klagomål.docx", "A 19815-2023")</f>
        <v/>
      </c>
      <c r="W242">
        <f>HYPERLINK("https://klasma.github.io/Logging_2281/klagomålsmail/A 19815-2023 FSC-klagomål mail.docx", "A 19815-2023")</f>
        <v/>
      </c>
      <c r="X242">
        <f>HYPERLINK("https://klasma.github.io/Logging_2281/tillsyn/A 19815-2023 tillsynsbegäran.docx", "A 19815-2023")</f>
        <v/>
      </c>
      <c r="Y242">
        <f>HYPERLINK("https://klasma.github.io/Logging_2281/tillsynsmail/A 19815-2023 tillsynsbegäran mail.docx", "A 19815-2023")</f>
        <v/>
      </c>
    </row>
    <row r="243" ht="15" customHeight="1">
      <c r="A243" t="inlineStr">
        <is>
          <t>A 22227-2023</t>
        </is>
      </c>
      <c r="B243" s="1" t="n">
        <v>45069</v>
      </c>
      <c r="C243" s="1" t="n">
        <v>45825</v>
      </c>
      <c r="D243" t="inlineStr">
        <is>
          <t>VÄSTERNORRLANDS LÄN</t>
        </is>
      </c>
      <c r="E243" t="inlineStr">
        <is>
          <t>SUNDSVALL</t>
        </is>
      </c>
      <c r="F243" t="inlineStr">
        <is>
          <t>Naturvårdsverket</t>
        </is>
      </c>
      <c r="G243" t="n">
        <v>6.7</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22227-2023 artfynd.xlsx", "A 22227-2023")</f>
        <v/>
      </c>
      <c r="T243">
        <f>HYPERLINK("https://klasma.github.io/Logging_2281/kartor/A 22227-2023 karta.png", "A 22227-2023")</f>
        <v/>
      </c>
      <c r="V243">
        <f>HYPERLINK("https://klasma.github.io/Logging_2281/klagomål/A 22227-2023 FSC-klagomål.docx", "A 22227-2023")</f>
        <v/>
      </c>
      <c r="W243">
        <f>HYPERLINK("https://klasma.github.io/Logging_2281/klagomålsmail/A 22227-2023 FSC-klagomål mail.docx", "A 22227-2023")</f>
        <v/>
      </c>
      <c r="X243">
        <f>HYPERLINK("https://klasma.github.io/Logging_2281/tillsyn/A 22227-2023 tillsynsbegäran.docx", "A 22227-2023")</f>
        <v/>
      </c>
      <c r="Y243">
        <f>HYPERLINK("https://klasma.github.io/Logging_2281/tillsynsmail/A 22227-2023 tillsynsbegäran mail.docx", "A 22227-2023")</f>
        <v/>
      </c>
      <c r="Z243">
        <f>HYPERLINK("https://klasma.github.io/Logging_2281/fåglar/A 22227-2023 prioriterade fågelarter.docx", "A 22227-2023")</f>
        <v/>
      </c>
    </row>
    <row r="244" ht="15" customHeight="1">
      <c r="A244" t="inlineStr">
        <is>
          <t>A 22993-2023</t>
        </is>
      </c>
      <c r="B244" s="1" t="n">
        <v>45072</v>
      </c>
      <c r="C244" s="1" t="n">
        <v>45825</v>
      </c>
      <c r="D244" t="inlineStr">
        <is>
          <t>VÄSTERNORRLANDS LÄN</t>
        </is>
      </c>
      <c r="E244" t="inlineStr">
        <is>
          <t>SUNDSVALL</t>
        </is>
      </c>
      <c r="F244" t="inlineStr">
        <is>
          <t>SCA</t>
        </is>
      </c>
      <c r="G244" t="n">
        <v>3.6</v>
      </c>
      <c r="H244" t="n">
        <v>0</v>
      </c>
      <c r="I244" t="n">
        <v>0</v>
      </c>
      <c r="J244" t="n">
        <v>1</v>
      </c>
      <c r="K244" t="n">
        <v>0</v>
      </c>
      <c r="L244" t="n">
        <v>0</v>
      </c>
      <c r="M244" t="n">
        <v>0</v>
      </c>
      <c r="N244" t="n">
        <v>0</v>
      </c>
      <c r="O244" t="n">
        <v>1</v>
      </c>
      <c r="P244" t="n">
        <v>0</v>
      </c>
      <c r="Q244" t="n">
        <v>1</v>
      </c>
      <c r="R244" s="2" t="inlineStr">
        <is>
          <t>Lunglav</t>
        </is>
      </c>
      <c r="S244">
        <f>HYPERLINK("https://klasma.github.io/Logging_2281/artfynd/A 22993-2023 artfynd.xlsx", "A 22993-2023")</f>
        <v/>
      </c>
      <c r="T244">
        <f>HYPERLINK("https://klasma.github.io/Logging_2281/kartor/A 22993-2023 karta.png", "A 22993-2023")</f>
        <v/>
      </c>
      <c r="V244">
        <f>HYPERLINK("https://klasma.github.io/Logging_2281/klagomål/A 22993-2023 FSC-klagomål.docx", "A 22993-2023")</f>
        <v/>
      </c>
      <c r="W244">
        <f>HYPERLINK("https://klasma.github.io/Logging_2281/klagomålsmail/A 22993-2023 FSC-klagomål mail.docx", "A 22993-2023")</f>
        <v/>
      </c>
      <c r="X244">
        <f>HYPERLINK("https://klasma.github.io/Logging_2281/tillsyn/A 22993-2023 tillsynsbegäran.docx", "A 22993-2023")</f>
        <v/>
      </c>
      <c r="Y244">
        <f>HYPERLINK("https://klasma.github.io/Logging_2281/tillsynsmail/A 22993-2023 tillsynsbegäran mail.docx", "A 22993-2023")</f>
        <v/>
      </c>
    </row>
    <row r="245" ht="15" customHeight="1">
      <c r="A245" t="inlineStr">
        <is>
          <t>A 28008-2023</t>
        </is>
      </c>
      <c r="B245" s="1" t="n">
        <v>45098</v>
      </c>
      <c r="C245" s="1" t="n">
        <v>45825</v>
      </c>
      <c r="D245" t="inlineStr">
        <is>
          <t>VÄSTERNORRLANDS LÄN</t>
        </is>
      </c>
      <c r="E245" t="inlineStr">
        <is>
          <t>SUNDSVALL</t>
        </is>
      </c>
      <c r="F245" t="inlineStr">
        <is>
          <t>SCA</t>
        </is>
      </c>
      <c r="G245" t="n">
        <v>6.4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28008-2023 artfynd.xlsx", "A 28008-2023")</f>
        <v/>
      </c>
      <c r="T245">
        <f>HYPERLINK("https://klasma.github.io/Logging_2281/kartor/A 28008-2023 karta.png", "A 28008-2023")</f>
        <v/>
      </c>
      <c r="V245">
        <f>HYPERLINK("https://klasma.github.io/Logging_2281/klagomål/A 28008-2023 FSC-klagomål.docx", "A 28008-2023")</f>
        <v/>
      </c>
      <c r="W245">
        <f>HYPERLINK("https://klasma.github.io/Logging_2281/klagomålsmail/A 28008-2023 FSC-klagomål mail.docx", "A 28008-2023")</f>
        <v/>
      </c>
      <c r="X245">
        <f>HYPERLINK("https://klasma.github.io/Logging_2281/tillsyn/A 28008-2023 tillsynsbegäran.docx", "A 28008-2023")</f>
        <v/>
      </c>
      <c r="Y245">
        <f>HYPERLINK("https://klasma.github.io/Logging_2281/tillsynsmail/A 28008-2023 tillsynsbegäran mail.docx", "A 28008-2023")</f>
        <v/>
      </c>
      <c r="Z245">
        <f>HYPERLINK("https://klasma.github.io/Logging_2281/fåglar/A 28008-2023 prioriterade fågelarter.docx", "A 28008-2023")</f>
        <v/>
      </c>
    </row>
    <row r="246" ht="15" customHeight="1">
      <c r="A246" t="inlineStr">
        <is>
          <t>A 32077-2023</t>
        </is>
      </c>
      <c r="B246" s="1" t="n">
        <v>45107</v>
      </c>
      <c r="C246" s="1" t="n">
        <v>45825</v>
      </c>
      <c r="D246" t="inlineStr">
        <is>
          <t>VÄSTERNORRLANDS LÄN</t>
        </is>
      </c>
      <c r="E246" t="inlineStr">
        <is>
          <t>SUNDSVALL</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HYPERLINK("https://klasma.github.io/Logging_2281/artfynd/A 32077-2023 artfynd.xlsx", "A 32077-2023")</f>
        <v/>
      </c>
      <c r="T246">
        <f>HYPERLINK("https://klasma.github.io/Logging_2281/kartor/A 32077-2023 karta.png", "A 32077-2023")</f>
        <v/>
      </c>
      <c r="V246">
        <f>HYPERLINK("https://klasma.github.io/Logging_2281/klagomål/A 32077-2023 FSC-klagomål.docx", "A 32077-2023")</f>
        <v/>
      </c>
      <c r="W246">
        <f>HYPERLINK("https://klasma.github.io/Logging_2281/klagomålsmail/A 32077-2023 FSC-klagomål mail.docx", "A 32077-2023")</f>
        <v/>
      </c>
      <c r="X246">
        <f>HYPERLINK("https://klasma.github.io/Logging_2281/tillsyn/A 32077-2023 tillsynsbegäran.docx", "A 32077-2023")</f>
        <v/>
      </c>
      <c r="Y246">
        <f>HYPERLINK("https://klasma.github.io/Logging_2281/tillsynsmail/A 32077-2023 tillsynsbegäran mail.docx", "A 32077-2023")</f>
        <v/>
      </c>
    </row>
    <row r="247" ht="15" customHeight="1">
      <c r="A247" t="inlineStr">
        <is>
          <t>A 30837-2023</t>
        </is>
      </c>
      <c r="B247" s="1" t="n">
        <v>45112</v>
      </c>
      <c r="C247" s="1" t="n">
        <v>45825</v>
      </c>
      <c r="D247" t="inlineStr">
        <is>
          <t>VÄSTERNORRLANDS LÄN</t>
        </is>
      </c>
      <c r="E247" t="inlineStr">
        <is>
          <t>SUNDSVALL</t>
        </is>
      </c>
      <c r="F247" t="inlineStr">
        <is>
          <t>SCA</t>
        </is>
      </c>
      <c r="G247" t="n">
        <v>5.6</v>
      </c>
      <c r="H247" t="n">
        <v>0</v>
      </c>
      <c r="I247" t="n">
        <v>0</v>
      </c>
      <c r="J247" t="n">
        <v>1</v>
      </c>
      <c r="K247" t="n">
        <v>0</v>
      </c>
      <c r="L247" t="n">
        <v>0</v>
      </c>
      <c r="M247" t="n">
        <v>0</v>
      </c>
      <c r="N247" t="n">
        <v>0</v>
      </c>
      <c r="O247" t="n">
        <v>1</v>
      </c>
      <c r="P247" t="n">
        <v>0</v>
      </c>
      <c r="Q247" t="n">
        <v>1</v>
      </c>
      <c r="R247" s="2" t="inlineStr">
        <is>
          <t>Garnlav</t>
        </is>
      </c>
      <c r="S247">
        <f>HYPERLINK("https://klasma.github.io/Logging_2281/artfynd/A 30837-2023 artfynd.xlsx", "A 30837-2023")</f>
        <v/>
      </c>
      <c r="T247">
        <f>HYPERLINK("https://klasma.github.io/Logging_2281/kartor/A 30837-2023 karta.png", "A 30837-2023")</f>
        <v/>
      </c>
      <c r="V247">
        <f>HYPERLINK("https://klasma.github.io/Logging_2281/klagomål/A 30837-2023 FSC-klagomål.docx", "A 30837-2023")</f>
        <v/>
      </c>
      <c r="W247">
        <f>HYPERLINK("https://klasma.github.io/Logging_2281/klagomålsmail/A 30837-2023 FSC-klagomål mail.docx", "A 30837-2023")</f>
        <v/>
      </c>
      <c r="X247">
        <f>HYPERLINK("https://klasma.github.io/Logging_2281/tillsyn/A 30837-2023 tillsynsbegäran.docx", "A 30837-2023")</f>
        <v/>
      </c>
      <c r="Y247">
        <f>HYPERLINK("https://klasma.github.io/Logging_2281/tillsynsmail/A 30837-2023 tillsynsbegäran mail.docx", "A 30837-2023")</f>
        <v/>
      </c>
    </row>
    <row r="248" ht="15" customHeight="1">
      <c r="A248" t="inlineStr">
        <is>
          <t>A 30827-2023</t>
        </is>
      </c>
      <c r="B248" s="1" t="n">
        <v>45112</v>
      </c>
      <c r="C248" s="1" t="n">
        <v>45825</v>
      </c>
      <c r="D248" t="inlineStr">
        <is>
          <t>VÄSTERNORRLANDS LÄN</t>
        </is>
      </c>
      <c r="E248" t="inlineStr">
        <is>
          <t>SUNDSVALL</t>
        </is>
      </c>
      <c r="F248" t="inlineStr">
        <is>
          <t>SCA</t>
        </is>
      </c>
      <c r="G248" t="n">
        <v>21.9</v>
      </c>
      <c r="H248" t="n">
        <v>0</v>
      </c>
      <c r="I248" t="n">
        <v>1</v>
      </c>
      <c r="J248" t="n">
        <v>0</v>
      </c>
      <c r="K248" t="n">
        <v>0</v>
      </c>
      <c r="L248" t="n">
        <v>0</v>
      </c>
      <c r="M248" t="n">
        <v>0</v>
      </c>
      <c r="N248" t="n">
        <v>0</v>
      </c>
      <c r="O248" t="n">
        <v>0</v>
      </c>
      <c r="P248" t="n">
        <v>0</v>
      </c>
      <c r="Q248" t="n">
        <v>1</v>
      </c>
      <c r="R248" s="2" t="inlineStr">
        <is>
          <t>Dropptaggsvamp</t>
        </is>
      </c>
      <c r="S248">
        <f>HYPERLINK("https://klasma.github.io/Logging_2281/artfynd/A 30827-2023 artfynd.xlsx", "A 30827-2023")</f>
        <v/>
      </c>
      <c r="T248">
        <f>HYPERLINK("https://klasma.github.io/Logging_2281/kartor/A 30827-2023 karta.png", "A 30827-2023")</f>
        <v/>
      </c>
      <c r="V248">
        <f>HYPERLINK("https://klasma.github.io/Logging_2281/klagomål/A 30827-2023 FSC-klagomål.docx", "A 30827-2023")</f>
        <v/>
      </c>
      <c r="W248">
        <f>HYPERLINK("https://klasma.github.io/Logging_2281/klagomålsmail/A 30827-2023 FSC-klagomål mail.docx", "A 30827-2023")</f>
        <v/>
      </c>
      <c r="X248">
        <f>HYPERLINK("https://klasma.github.io/Logging_2281/tillsyn/A 30827-2023 tillsynsbegäran.docx", "A 30827-2023")</f>
        <v/>
      </c>
      <c r="Y248">
        <f>HYPERLINK("https://klasma.github.io/Logging_2281/tillsynsmail/A 30827-2023 tillsynsbegäran mail.docx", "A 30827-2023")</f>
        <v/>
      </c>
    </row>
    <row r="249" ht="15" customHeight="1">
      <c r="A249" t="inlineStr">
        <is>
          <t>A 35751-2023</t>
        </is>
      </c>
      <c r="B249" s="1" t="n">
        <v>45147</v>
      </c>
      <c r="C249" s="1" t="n">
        <v>45825</v>
      </c>
      <c r="D249" t="inlineStr">
        <is>
          <t>VÄSTERNORRLANDS LÄN</t>
        </is>
      </c>
      <c r="E249" t="inlineStr">
        <is>
          <t>SUNDSVALL</t>
        </is>
      </c>
      <c r="F249" t="inlineStr">
        <is>
          <t>SCA</t>
        </is>
      </c>
      <c r="G249" t="n">
        <v>5</v>
      </c>
      <c r="H249" t="n">
        <v>1</v>
      </c>
      <c r="I249" t="n">
        <v>0</v>
      </c>
      <c r="J249" t="n">
        <v>1</v>
      </c>
      <c r="K249" t="n">
        <v>0</v>
      </c>
      <c r="L249" t="n">
        <v>0</v>
      </c>
      <c r="M249" t="n">
        <v>0</v>
      </c>
      <c r="N249" t="n">
        <v>0</v>
      </c>
      <c r="O249" t="n">
        <v>1</v>
      </c>
      <c r="P249" t="n">
        <v>0</v>
      </c>
      <c r="Q249" t="n">
        <v>1</v>
      </c>
      <c r="R249" s="2" t="inlineStr">
        <is>
          <t>Nordfladdermus</t>
        </is>
      </c>
      <c r="S249">
        <f>HYPERLINK("https://klasma.github.io/Logging_2281/artfynd/A 35751-2023 artfynd.xlsx", "A 35751-2023")</f>
        <v/>
      </c>
      <c r="T249">
        <f>HYPERLINK("https://klasma.github.io/Logging_2281/kartor/A 35751-2023 karta.png", "A 35751-2023")</f>
        <v/>
      </c>
      <c r="V249">
        <f>HYPERLINK("https://klasma.github.io/Logging_2281/klagomål/A 35751-2023 FSC-klagomål.docx", "A 35751-2023")</f>
        <v/>
      </c>
      <c r="W249">
        <f>HYPERLINK("https://klasma.github.io/Logging_2281/klagomålsmail/A 35751-2023 FSC-klagomål mail.docx", "A 35751-2023")</f>
        <v/>
      </c>
      <c r="X249">
        <f>HYPERLINK("https://klasma.github.io/Logging_2281/tillsyn/A 35751-2023 tillsynsbegäran.docx", "A 35751-2023")</f>
        <v/>
      </c>
      <c r="Y249">
        <f>HYPERLINK("https://klasma.github.io/Logging_2281/tillsynsmail/A 35751-2023 tillsynsbegäran mail.docx", "A 35751-2023")</f>
        <v/>
      </c>
    </row>
    <row r="250" ht="15" customHeight="1">
      <c r="A250" t="inlineStr">
        <is>
          <t>A 37253-2023</t>
        </is>
      </c>
      <c r="B250" s="1" t="n">
        <v>45156</v>
      </c>
      <c r="C250" s="1" t="n">
        <v>45825</v>
      </c>
      <c r="D250" t="inlineStr">
        <is>
          <t>VÄSTERNORRLANDS LÄN</t>
        </is>
      </c>
      <c r="E250" t="inlineStr">
        <is>
          <t>SUNDSVALL</t>
        </is>
      </c>
      <c r="F250" t="inlineStr">
        <is>
          <t>SCA</t>
        </is>
      </c>
      <c r="G250" t="n">
        <v>3.7</v>
      </c>
      <c r="H250" t="n">
        <v>0</v>
      </c>
      <c r="I250" t="n">
        <v>0</v>
      </c>
      <c r="J250" t="n">
        <v>1</v>
      </c>
      <c r="K250" t="n">
        <v>0</v>
      </c>
      <c r="L250" t="n">
        <v>0</v>
      </c>
      <c r="M250" t="n">
        <v>0</v>
      </c>
      <c r="N250" t="n">
        <v>0</v>
      </c>
      <c r="O250" t="n">
        <v>1</v>
      </c>
      <c r="P250" t="n">
        <v>0</v>
      </c>
      <c r="Q250" t="n">
        <v>1</v>
      </c>
      <c r="R250" s="2" t="inlineStr">
        <is>
          <t>Garnlav</t>
        </is>
      </c>
      <c r="S250">
        <f>HYPERLINK("https://klasma.github.io/Logging_2281/artfynd/A 37253-2023 artfynd.xlsx", "A 37253-2023")</f>
        <v/>
      </c>
      <c r="T250">
        <f>HYPERLINK("https://klasma.github.io/Logging_2281/kartor/A 37253-2023 karta.png", "A 37253-2023")</f>
        <v/>
      </c>
      <c r="V250">
        <f>HYPERLINK("https://klasma.github.io/Logging_2281/klagomål/A 37253-2023 FSC-klagomål.docx", "A 37253-2023")</f>
        <v/>
      </c>
      <c r="W250">
        <f>HYPERLINK("https://klasma.github.io/Logging_2281/klagomålsmail/A 37253-2023 FSC-klagomål mail.docx", "A 37253-2023")</f>
        <v/>
      </c>
      <c r="X250">
        <f>HYPERLINK("https://klasma.github.io/Logging_2281/tillsyn/A 37253-2023 tillsynsbegäran.docx", "A 37253-2023")</f>
        <v/>
      </c>
      <c r="Y250">
        <f>HYPERLINK("https://klasma.github.io/Logging_2281/tillsynsmail/A 37253-2023 tillsynsbegäran mail.docx", "A 37253-2023")</f>
        <v/>
      </c>
    </row>
    <row r="251" ht="15" customHeight="1">
      <c r="A251" t="inlineStr">
        <is>
          <t>A 42148-2023</t>
        </is>
      </c>
      <c r="B251" s="1" t="n">
        <v>45178</v>
      </c>
      <c r="C251" s="1" t="n">
        <v>45825</v>
      </c>
      <c r="D251" t="inlineStr">
        <is>
          <t>VÄSTERNORRLANDS LÄN</t>
        </is>
      </c>
      <c r="E251" t="inlineStr">
        <is>
          <t>SUNDSVALL</t>
        </is>
      </c>
      <c r="F251" t="inlineStr">
        <is>
          <t>SCA</t>
        </is>
      </c>
      <c r="G251" t="n">
        <v>4.2</v>
      </c>
      <c r="H251" t="n">
        <v>1</v>
      </c>
      <c r="I251" t="n">
        <v>0</v>
      </c>
      <c r="J251" t="n">
        <v>0</v>
      </c>
      <c r="K251" t="n">
        <v>0</v>
      </c>
      <c r="L251" t="n">
        <v>0</v>
      </c>
      <c r="M251" t="n">
        <v>0</v>
      </c>
      <c r="N251" t="n">
        <v>0</v>
      </c>
      <c r="O251" t="n">
        <v>0</v>
      </c>
      <c r="P251" t="n">
        <v>0</v>
      </c>
      <c r="Q251" t="n">
        <v>1</v>
      </c>
      <c r="R251" s="2" t="inlineStr">
        <is>
          <t>Tjäder</t>
        </is>
      </c>
      <c r="S251">
        <f>HYPERLINK("https://klasma.github.io/Logging_2281/artfynd/A 42148-2023 artfynd.xlsx", "A 42148-2023")</f>
        <v/>
      </c>
      <c r="T251">
        <f>HYPERLINK("https://klasma.github.io/Logging_2281/kartor/A 42148-2023 karta.png", "A 42148-2023")</f>
        <v/>
      </c>
      <c r="V251">
        <f>HYPERLINK("https://klasma.github.io/Logging_2281/klagomål/A 42148-2023 FSC-klagomål.docx", "A 42148-2023")</f>
        <v/>
      </c>
      <c r="W251">
        <f>HYPERLINK("https://klasma.github.io/Logging_2281/klagomålsmail/A 42148-2023 FSC-klagomål mail.docx", "A 42148-2023")</f>
        <v/>
      </c>
      <c r="X251">
        <f>HYPERLINK("https://klasma.github.io/Logging_2281/tillsyn/A 42148-2023 tillsynsbegäran.docx", "A 42148-2023")</f>
        <v/>
      </c>
      <c r="Y251">
        <f>HYPERLINK("https://klasma.github.io/Logging_2281/tillsynsmail/A 42148-2023 tillsynsbegäran mail.docx", "A 42148-2023")</f>
        <v/>
      </c>
      <c r="Z251">
        <f>HYPERLINK("https://klasma.github.io/Logging_2281/fåglar/A 42148-2023 prioriterade fågelarter.docx", "A 42148-2023")</f>
        <v/>
      </c>
    </row>
    <row r="252" ht="15" customHeight="1">
      <c r="A252" t="inlineStr">
        <is>
          <t>A 43424-2023</t>
        </is>
      </c>
      <c r="B252" s="1" t="n">
        <v>45183</v>
      </c>
      <c r="C252" s="1" t="n">
        <v>45825</v>
      </c>
      <c r="D252" t="inlineStr">
        <is>
          <t>VÄSTERNORRLANDS LÄN</t>
        </is>
      </c>
      <c r="E252" t="inlineStr">
        <is>
          <t>SUNDSVALL</t>
        </is>
      </c>
      <c r="F252" t="inlineStr">
        <is>
          <t>SCA</t>
        </is>
      </c>
      <c r="G252" t="n">
        <v>2.8</v>
      </c>
      <c r="H252" t="n">
        <v>0</v>
      </c>
      <c r="I252" t="n">
        <v>0</v>
      </c>
      <c r="J252" t="n">
        <v>1</v>
      </c>
      <c r="K252" t="n">
        <v>0</v>
      </c>
      <c r="L252" t="n">
        <v>0</v>
      </c>
      <c r="M252" t="n">
        <v>0</v>
      </c>
      <c r="N252" t="n">
        <v>0</v>
      </c>
      <c r="O252" t="n">
        <v>1</v>
      </c>
      <c r="P252" t="n">
        <v>0</v>
      </c>
      <c r="Q252" t="n">
        <v>1</v>
      </c>
      <c r="R252" s="2" t="inlineStr">
        <is>
          <t>Garnlav</t>
        </is>
      </c>
      <c r="S252">
        <f>HYPERLINK("https://klasma.github.io/Logging_2281/artfynd/A 43424-2023 artfynd.xlsx", "A 43424-2023")</f>
        <v/>
      </c>
      <c r="T252">
        <f>HYPERLINK("https://klasma.github.io/Logging_2281/kartor/A 43424-2023 karta.png", "A 43424-2023")</f>
        <v/>
      </c>
      <c r="V252">
        <f>HYPERLINK("https://klasma.github.io/Logging_2281/klagomål/A 43424-2023 FSC-klagomål.docx", "A 43424-2023")</f>
        <v/>
      </c>
      <c r="W252">
        <f>HYPERLINK("https://klasma.github.io/Logging_2281/klagomålsmail/A 43424-2023 FSC-klagomål mail.docx", "A 43424-2023")</f>
        <v/>
      </c>
      <c r="X252">
        <f>HYPERLINK("https://klasma.github.io/Logging_2281/tillsyn/A 43424-2023 tillsynsbegäran.docx", "A 43424-2023")</f>
        <v/>
      </c>
      <c r="Y252">
        <f>HYPERLINK("https://klasma.github.io/Logging_2281/tillsynsmail/A 43424-2023 tillsynsbegäran mail.docx", "A 43424-2023")</f>
        <v/>
      </c>
    </row>
    <row r="253" ht="15" customHeight="1">
      <c r="A253" t="inlineStr">
        <is>
          <t>A 44193-2023</t>
        </is>
      </c>
      <c r="B253" s="1" t="n">
        <v>45188</v>
      </c>
      <c r="C253" s="1" t="n">
        <v>45825</v>
      </c>
      <c r="D253" t="inlineStr">
        <is>
          <t>VÄSTERNORRLANDS LÄN</t>
        </is>
      </c>
      <c r="E253" t="inlineStr">
        <is>
          <t>SUNDSVALL</t>
        </is>
      </c>
      <c r="F253" t="inlineStr">
        <is>
          <t>Holmen skog AB</t>
        </is>
      </c>
      <c r="G253" t="n">
        <v>15.1</v>
      </c>
      <c r="H253" t="n">
        <v>1</v>
      </c>
      <c r="I253" t="n">
        <v>0</v>
      </c>
      <c r="J253" t="n">
        <v>0</v>
      </c>
      <c r="K253" t="n">
        <v>0</v>
      </c>
      <c r="L253" t="n">
        <v>0</v>
      </c>
      <c r="M253" t="n">
        <v>0</v>
      </c>
      <c r="N253" t="n">
        <v>0</v>
      </c>
      <c r="O253" t="n">
        <v>0</v>
      </c>
      <c r="P253" t="n">
        <v>0</v>
      </c>
      <c r="Q253" t="n">
        <v>1</v>
      </c>
      <c r="R253" s="2" t="inlineStr">
        <is>
          <t>Tjäder</t>
        </is>
      </c>
      <c r="S253">
        <f>HYPERLINK("https://klasma.github.io/Logging_2281/artfynd/A 44193-2023 artfynd.xlsx", "A 44193-2023")</f>
        <v/>
      </c>
      <c r="T253">
        <f>HYPERLINK("https://klasma.github.io/Logging_2281/kartor/A 44193-2023 karta.png", "A 44193-2023")</f>
        <v/>
      </c>
      <c r="V253">
        <f>HYPERLINK("https://klasma.github.io/Logging_2281/klagomål/A 44193-2023 FSC-klagomål.docx", "A 44193-2023")</f>
        <v/>
      </c>
      <c r="W253">
        <f>HYPERLINK("https://klasma.github.io/Logging_2281/klagomålsmail/A 44193-2023 FSC-klagomål mail.docx", "A 44193-2023")</f>
        <v/>
      </c>
      <c r="X253">
        <f>HYPERLINK("https://klasma.github.io/Logging_2281/tillsyn/A 44193-2023 tillsynsbegäran.docx", "A 44193-2023")</f>
        <v/>
      </c>
      <c r="Y253">
        <f>HYPERLINK("https://klasma.github.io/Logging_2281/tillsynsmail/A 44193-2023 tillsynsbegäran mail.docx", "A 44193-2023")</f>
        <v/>
      </c>
      <c r="Z253">
        <f>HYPERLINK("https://klasma.github.io/Logging_2281/fåglar/A 44193-2023 prioriterade fågelarter.docx", "A 44193-2023")</f>
        <v/>
      </c>
    </row>
    <row r="254" ht="15" customHeight="1">
      <c r="A254" t="inlineStr">
        <is>
          <t>A 45023-2023</t>
        </is>
      </c>
      <c r="B254" s="1" t="n">
        <v>45191</v>
      </c>
      <c r="C254" s="1" t="n">
        <v>45825</v>
      </c>
      <c r="D254" t="inlineStr">
        <is>
          <t>VÄSTERNORRLANDS LÄN</t>
        </is>
      </c>
      <c r="E254" t="inlineStr">
        <is>
          <t>SUNDSVALL</t>
        </is>
      </c>
      <c r="F254" t="inlineStr">
        <is>
          <t>SCA</t>
        </is>
      </c>
      <c r="G254" t="n">
        <v>2.2</v>
      </c>
      <c r="H254" t="n">
        <v>0</v>
      </c>
      <c r="I254" t="n">
        <v>0</v>
      </c>
      <c r="J254" t="n">
        <v>1</v>
      </c>
      <c r="K254" t="n">
        <v>0</v>
      </c>
      <c r="L254" t="n">
        <v>0</v>
      </c>
      <c r="M254" t="n">
        <v>0</v>
      </c>
      <c r="N254" t="n">
        <v>0</v>
      </c>
      <c r="O254" t="n">
        <v>1</v>
      </c>
      <c r="P254" t="n">
        <v>0</v>
      </c>
      <c r="Q254" t="n">
        <v>1</v>
      </c>
      <c r="R254" s="2" t="inlineStr">
        <is>
          <t>Skogshare</t>
        </is>
      </c>
      <c r="S254">
        <f>HYPERLINK("https://klasma.github.io/Logging_2281/artfynd/A 45023-2023 artfynd.xlsx", "A 45023-2023")</f>
        <v/>
      </c>
      <c r="T254">
        <f>HYPERLINK("https://klasma.github.io/Logging_2281/kartor/A 45023-2023 karta.png", "A 45023-2023")</f>
        <v/>
      </c>
      <c r="V254">
        <f>HYPERLINK("https://klasma.github.io/Logging_2281/klagomål/A 45023-2023 FSC-klagomål.docx", "A 45023-2023")</f>
        <v/>
      </c>
      <c r="W254">
        <f>HYPERLINK("https://klasma.github.io/Logging_2281/klagomålsmail/A 45023-2023 FSC-klagomål mail.docx", "A 45023-2023")</f>
        <v/>
      </c>
      <c r="X254">
        <f>HYPERLINK("https://klasma.github.io/Logging_2281/tillsyn/A 45023-2023 tillsynsbegäran.docx", "A 45023-2023")</f>
        <v/>
      </c>
      <c r="Y254">
        <f>HYPERLINK("https://klasma.github.io/Logging_2281/tillsynsmail/A 45023-2023 tillsynsbegäran mail.docx", "A 45023-2023")</f>
        <v/>
      </c>
    </row>
    <row r="255" ht="15" customHeight="1">
      <c r="A255" t="inlineStr">
        <is>
          <t>A 45332-2023</t>
        </is>
      </c>
      <c r="B255" s="1" t="n">
        <v>45191</v>
      </c>
      <c r="C255" s="1" t="n">
        <v>45825</v>
      </c>
      <c r="D255" t="inlineStr">
        <is>
          <t>VÄSTERNORRLANDS LÄN</t>
        </is>
      </c>
      <c r="E255" t="inlineStr">
        <is>
          <t>SUNDSVALL</t>
        </is>
      </c>
      <c r="F255" t="inlineStr">
        <is>
          <t>SCA</t>
        </is>
      </c>
      <c r="G255" t="n">
        <v>3.8</v>
      </c>
      <c r="H255" t="n">
        <v>1</v>
      </c>
      <c r="I255" t="n">
        <v>0</v>
      </c>
      <c r="J255" t="n">
        <v>0</v>
      </c>
      <c r="K255" t="n">
        <v>0</v>
      </c>
      <c r="L255" t="n">
        <v>0</v>
      </c>
      <c r="M255" t="n">
        <v>0</v>
      </c>
      <c r="N255" t="n">
        <v>0</v>
      </c>
      <c r="O255" t="n">
        <v>0</v>
      </c>
      <c r="P255" t="n">
        <v>0</v>
      </c>
      <c r="Q255" t="n">
        <v>1</v>
      </c>
      <c r="R255" s="2" t="inlineStr">
        <is>
          <t>Fläcknycklar</t>
        </is>
      </c>
      <c r="S255">
        <f>HYPERLINK("https://klasma.github.io/Logging_2281/artfynd/A 45332-2023 artfynd.xlsx", "A 45332-2023")</f>
        <v/>
      </c>
      <c r="T255">
        <f>HYPERLINK("https://klasma.github.io/Logging_2281/kartor/A 45332-2023 karta.png", "A 45332-2023")</f>
        <v/>
      </c>
      <c r="V255">
        <f>HYPERLINK("https://klasma.github.io/Logging_2281/klagomål/A 45332-2023 FSC-klagomål.docx", "A 45332-2023")</f>
        <v/>
      </c>
      <c r="W255">
        <f>HYPERLINK("https://klasma.github.io/Logging_2281/klagomålsmail/A 45332-2023 FSC-klagomål mail.docx", "A 45332-2023")</f>
        <v/>
      </c>
      <c r="X255">
        <f>HYPERLINK("https://klasma.github.io/Logging_2281/tillsyn/A 45332-2023 tillsynsbegäran.docx", "A 45332-2023")</f>
        <v/>
      </c>
      <c r="Y255">
        <f>HYPERLINK("https://klasma.github.io/Logging_2281/tillsynsmail/A 45332-2023 tillsynsbegäran mail.docx", "A 45332-2023")</f>
        <v/>
      </c>
    </row>
    <row r="256" ht="15" customHeight="1">
      <c r="A256" t="inlineStr">
        <is>
          <t>A 46260-2023</t>
        </is>
      </c>
      <c r="B256" s="1" t="n">
        <v>45196</v>
      </c>
      <c r="C256" s="1" t="n">
        <v>45825</v>
      </c>
      <c r="D256" t="inlineStr">
        <is>
          <t>VÄSTERNORRLANDS LÄN</t>
        </is>
      </c>
      <c r="E256" t="inlineStr">
        <is>
          <t>SUNDSVALL</t>
        </is>
      </c>
      <c r="F256" t="inlineStr">
        <is>
          <t>SCA</t>
        </is>
      </c>
      <c r="G256" t="n">
        <v>3</v>
      </c>
      <c r="H256" t="n">
        <v>1</v>
      </c>
      <c r="I256" t="n">
        <v>0</v>
      </c>
      <c r="J256" t="n">
        <v>1</v>
      </c>
      <c r="K256" t="n">
        <v>0</v>
      </c>
      <c r="L256" t="n">
        <v>0</v>
      </c>
      <c r="M256" t="n">
        <v>0</v>
      </c>
      <c r="N256" t="n">
        <v>0</v>
      </c>
      <c r="O256" t="n">
        <v>1</v>
      </c>
      <c r="P256" t="n">
        <v>0</v>
      </c>
      <c r="Q256" t="n">
        <v>1</v>
      </c>
      <c r="R256" s="2" t="inlineStr">
        <is>
          <t>Spillkråka</t>
        </is>
      </c>
      <c r="S256">
        <f>HYPERLINK("https://klasma.github.io/Logging_2281/artfynd/A 46260-2023 artfynd.xlsx", "A 46260-2023")</f>
        <v/>
      </c>
      <c r="T256">
        <f>HYPERLINK("https://klasma.github.io/Logging_2281/kartor/A 46260-2023 karta.png", "A 46260-2023")</f>
        <v/>
      </c>
      <c r="V256">
        <f>HYPERLINK("https://klasma.github.io/Logging_2281/klagomål/A 46260-2023 FSC-klagomål.docx", "A 46260-2023")</f>
        <v/>
      </c>
      <c r="W256">
        <f>HYPERLINK("https://klasma.github.io/Logging_2281/klagomålsmail/A 46260-2023 FSC-klagomål mail.docx", "A 46260-2023")</f>
        <v/>
      </c>
      <c r="X256">
        <f>HYPERLINK("https://klasma.github.io/Logging_2281/tillsyn/A 46260-2023 tillsynsbegäran.docx", "A 46260-2023")</f>
        <v/>
      </c>
      <c r="Y256">
        <f>HYPERLINK("https://klasma.github.io/Logging_2281/tillsynsmail/A 46260-2023 tillsynsbegäran mail.docx", "A 46260-2023")</f>
        <v/>
      </c>
      <c r="Z256">
        <f>HYPERLINK("https://klasma.github.io/Logging_2281/fåglar/A 46260-2023 prioriterade fågelarter.docx", "A 46260-2023")</f>
        <v/>
      </c>
    </row>
    <row r="257" ht="15" customHeight="1">
      <c r="A257" t="inlineStr">
        <is>
          <t>A 47245-2023</t>
        </is>
      </c>
      <c r="B257" s="1" t="n">
        <v>45202</v>
      </c>
      <c r="C257" s="1" t="n">
        <v>45825</v>
      </c>
      <c r="D257" t="inlineStr">
        <is>
          <t>VÄSTERNORRLANDS LÄN</t>
        </is>
      </c>
      <c r="E257" t="inlineStr">
        <is>
          <t>SUNDSVALL</t>
        </is>
      </c>
      <c r="G257" t="n">
        <v>1.6</v>
      </c>
      <c r="H257" t="n">
        <v>1</v>
      </c>
      <c r="I257" t="n">
        <v>1</v>
      </c>
      <c r="J257" t="n">
        <v>0</v>
      </c>
      <c r="K257" t="n">
        <v>0</v>
      </c>
      <c r="L257" t="n">
        <v>0</v>
      </c>
      <c r="M257" t="n">
        <v>0</v>
      </c>
      <c r="N257" t="n">
        <v>0</v>
      </c>
      <c r="O257" t="n">
        <v>0</v>
      </c>
      <c r="P257" t="n">
        <v>0</v>
      </c>
      <c r="Q257" t="n">
        <v>1</v>
      </c>
      <c r="R257" s="2" t="inlineStr">
        <is>
          <t>Tvåblad</t>
        </is>
      </c>
      <c r="S257">
        <f>HYPERLINK("https://klasma.github.io/Logging_2281/artfynd/A 47245-2023 artfynd.xlsx", "A 47245-2023")</f>
        <v/>
      </c>
      <c r="T257">
        <f>HYPERLINK("https://klasma.github.io/Logging_2281/kartor/A 47245-2023 karta.png", "A 47245-2023")</f>
        <v/>
      </c>
      <c r="V257">
        <f>HYPERLINK("https://klasma.github.io/Logging_2281/klagomål/A 47245-2023 FSC-klagomål.docx", "A 47245-2023")</f>
        <v/>
      </c>
      <c r="W257">
        <f>HYPERLINK("https://klasma.github.io/Logging_2281/klagomålsmail/A 47245-2023 FSC-klagomål mail.docx", "A 47245-2023")</f>
        <v/>
      </c>
      <c r="X257">
        <f>HYPERLINK("https://klasma.github.io/Logging_2281/tillsyn/A 47245-2023 tillsynsbegäran.docx", "A 47245-2023")</f>
        <v/>
      </c>
      <c r="Y257">
        <f>HYPERLINK("https://klasma.github.io/Logging_2281/tillsynsmail/A 47245-2023 tillsynsbegäran mail.docx", "A 47245-2023")</f>
        <v/>
      </c>
    </row>
    <row r="258" ht="15" customHeight="1">
      <c r="A258" t="inlineStr">
        <is>
          <t>A 49863-2023</t>
        </is>
      </c>
      <c r="B258" s="1" t="n">
        <v>45212</v>
      </c>
      <c r="C258" s="1" t="n">
        <v>45825</v>
      </c>
      <c r="D258" t="inlineStr">
        <is>
          <t>VÄSTERNORRLANDS LÄN</t>
        </is>
      </c>
      <c r="E258" t="inlineStr">
        <is>
          <t>SUNDSVALL</t>
        </is>
      </c>
      <c r="F258" t="inlineStr">
        <is>
          <t>SCA</t>
        </is>
      </c>
      <c r="G258" t="n">
        <v>2.3</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49863-2023 artfynd.xlsx", "A 49863-2023")</f>
        <v/>
      </c>
      <c r="T258">
        <f>HYPERLINK("https://klasma.github.io/Logging_2281/kartor/A 49863-2023 karta.png", "A 49863-2023")</f>
        <v/>
      </c>
      <c r="V258">
        <f>HYPERLINK("https://klasma.github.io/Logging_2281/klagomål/A 49863-2023 FSC-klagomål.docx", "A 49863-2023")</f>
        <v/>
      </c>
      <c r="W258">
        <f>HYPERLINK("https://klasma.github.io/Logging_2281/klagomålsmail/A 49863-2023 FSC-klagomål mail.docx", "A 49863-2023")</f>
        <v/>
      </c>
      <c r="X258">
        <f>HYPERLINK("https://klasma.github.io/Logging_2281/tillsyn/A 49863-2023 tillsynsbegäran.docx", "A 49863-2023")</f>
        <v/>
      </c>
      <c r="Y258">
        <f>HYPERLINK("https://klasma.github.io/Logging_2281/tillsynsmail/A 49863-2023 tillsynsbegäran mail.docx", "A 49863-2023")</f>
        <v/>
      </c>
      <c r="Z258">
        <f>HYPERLINK("https://klasma.github.io/Logging_2281/fåglar/A 49863-2023 prioriterade fågelarter.docx", "A 49863-2023")</f>
        <v/>
      </c>
    </row>
    <row r="259" ht="15" customHeight="1">
      <c r="A259" t="inlineStr">
        <is>
          <t>A 50214-2023</t>
        </is>
      </c>
      <c r="B259" s="1" t="n">
        <v>45216</v>
      </c>
      <c r="C259" s="1" t="n">
        <v>45825</v>
      </c>
      <c r="D259" t="inlineStr">
        <is>
          <t>VÄSTERNORRLANDS LÄN</t>
        </is>
      </c>
      <c r="E259" t="inlineStr">
        <is>
          <t>SUNDSVALL</t>
        </is>
      </c>
      <c r="F259" t="inlineStr">
        <is>
          <t>SCA</t>
        </is>
      </c>
      <c r="G259" t="n">
        <v>5.7</v>
      </c>
      <c r="H259" t="n">
        <v>1</v>
      </c>
      <c r="I259" t="n">
        <v>0</v>
      </c>
      <c r="J259" t="n">
        <v>1</v>
      </c>
      <c r="K259" t="n">
        <v>0</v>
      </c>
      <c r="L259" t="n">
        <v>0</v>
      </c>
      <c r="M259" t="n">
        <v>0</v>
      </c>
      <c r="N259" t="n">
        <v>0</v>
      </c>
      <c r="O259" t="n">
        <v>1</v>
      </c>
      <c r="P259" t="n">
        <v>0</v>
      </c>
      <c r="Q259" t="n">
        <v>1</v>
      </c>
      <c r="R259" s="2" t="inlineStr">
        <is>
          <t>Spillkråka</t>
        </is>
      </c>
      <c r="S259">
        <f>HYPERLINK("https://klasma.github.io/Logging_2281/artfynd/A 50214-2023 artfynd.xlsx", "A 50214-2023")</f>
        <v/>
      </c>
      <c r="T259">
        <f>HYPERLINK("https://klasma.github.io/Logging_2281/kartor/A 50214-2023 karta.png", "A 50214-2023")</f>
        <v/>
      </c>
      <c r="V259">
        <f>HYPERLINK("https://klasma.github.io/Logging_2281/klagomål/A 50214-2023 FSC-klagomål.docx", "A 50214-2023")</f>
        <v/>
      </c>
      <c r="W259">
        <f>HYPERLINK("https://klasma.github.io/Logging_2281/klagomålsmail/A 50214-2023 FSC-klagomål mail.docx", "A 50214-2023")</f>
        <v/>
      </c>
      <c r="X259">
        <f>HYPERLINK("https://klasma.github.io/Logging_2281/tillsyn/A 50214-2023 tillsynsbegäran.docx", "A 50214-2023")</f>
        <v/>
      </c>
      <c r="Y259">
        <f>HYPERLINK("https://klasma.github.io/Logging_2281/tillsynsmail/A 50214-2023 tillsynsbegäran mail.docx", "A 50214-2023")</f>
        <v/>
      </c>
      <c r="Z259">
        <f>HYPERLINK("https://klasma.github.io/Logging_2281/fåglar/A 50214-2023 prioriterade fågelarter.docx", "A 50214-2023")</f>
        <v/>
      </c>
    </row>
    <row r="260" ht="15" customHeight="1">
      <c r="A260" t="inlineStr">
        <is>
          <t>A 50213-2023</t>
        </is>
      </c>
      <c r="B260" s="1" t="n">
        <v>45216</v>
      </c>
      <c r="C260" s="1" t="n">
        <v>45825</v>
      </c>
      <c r="D260" t="inlineStr">
        <is>
          <t>VÄSTERNORRLANDS LÄN</t>
        </is>
      </c>
      <c r="E260" t="inlineStr">
        <is>
          <t>SUNDSVALL</t>
        </is>
      </c>
      <c r="F260" t="inlineStr">
        <is>
          <t>SCA</t>
        </is>
      </c>
      <c r="G260" t="n">
        <v>10.9</v>
      </c>
      <c r="H260" t="n">
        <v>1</v>
      </c>
      <c r="I260" t="n">
        <v>0</v>
      </c>
      <c r="J260" t="n">
        <v>1</v>
      </c>
      <c r="K260" t="n">
        <v>0</v>
      </c>
      <c r="L260" t="n">
        <v>0</v>
      </c>
      <c r="M260" t="n">
        <v>0</v>
      </c>
      <c r="N260" t="n">
        <v>0</v>
      </c>
      <c r="O260" t="n">
        <v>1</v>
      </c>
      <c r="P260" t="n">
        <v>0</v>
      </c>
      <c r="Q260" t="n">
        <v>1</v>
      </c>
      <c r="R260" s="2" t="inlineStr">
        <is>
          <t>Talltita</t>
        </is>
      </c>
      <c r="S260">
        <f>HYPERLINK("https://klasma.github.io/Logging_2281/artfynd/A 50213-2023 artfynd.xlsx", "A 50213-2023")</f>
        <v/>
      </c>
      <c r="T260">
        <f>HYPERLINK("https://klasma.github.io/Logging_2281/kartor/A 50213-2023 karta.png", "A 50213-2023")</f>
        <v/>
      </c>
      <c r="V260">
        <f>HYPERLINK("https://klasma.github.io/Logging_2281/klagomål/A 50213-2023 FSC-klagomål.docx", "A 50213-2023")</f>
        <v/>
      </c>
      <c r="W260">
        <f>HYPERLINK("https://klasma.github.io/Logging_2281/klagomålsmail/A 50213-2023 FSC-klagomål mail.docx", "A 50213-2023")</f>
        <v/>
      </c>
      <c r="X260">
        <f>HYPERLINK("https://klasma.github.io/Logging_2281/tillsyn/A 50213-2023 tillsynsbegäran.docx", "A 50213-2023")</f>
        <v/>
      </c>
      <c r="Y260">
        <f>HYPERLINK("https://klasma.github.io/Logging_2281/tillsynsmail/A 50213-2023 tillsynsbegäran mail.docx", "A 50213-2023")</f>
        <v/>
      </c>
      <c r="Z260">
        <f>HYPERLINK("https://klasma.github.io/Logging_2281/fåglar/A 50213-2023 prioriterade fågelarter.docx", "A 50213-2023")</f>
        <v/>
      </c>
    </row>
    <row r="261" ht="15" customHeight="1">
      <c r="A261" t="inlineStr">
        <is>
          <t>A 51737-2023</t>
        </is>
      </c>
      <c r="B261" s="1" t="n">
        <v>45222</v>
      </c>
      <c r="C261" s="1" t="n">
        <v>45825</v>
      </c>
      <c r="D261" t="inlineStr">
        <is>
          <t>VÄSTERNORRLANDS LÄN</t>
        </is>
      </c>
      <c r="E261" t="inlineStr">
        <is>
          <t>SUNDSVALL</t>
        </is>
      </c>
      <c r="G261" t="n">
        <v>10.9</v>
      </c>
      <c r="H261" t="n">
        <v>0</v>
      </c>
      <c r="I261" t="n">
        <v>0</v>
      </c>
      <c r="J261" t="n">
        <v>1</v>
      </c>
      <c r="K261" t="n">
        <v>0</v>
      </c>
      <c r="L261" t="n">
        <v>0</v>
      </c>
      <c r="M261" t="n">
        <v>0</v>
      </c>
      <c r="N261" t="n">
        <v>0</v>
      </c>
      <c r="O261" t="n">
        <v>1</v>
      </c>
      <c r="P261" t="n">
        <v>0</v>
      </c>
      <c r="Q261" t="n">
        <v>1</v>
      </c>
      <c r="R261" s="2" t="inlineStr">
        <is>
          <t>Garnlav</t>
        </is>
      </c>
      <c r="S261">
        <f>HYPERLINK("https://klasma.github.io/Logging_2281/artfynd/A 51737-2023 artfynd.xlsx", "A 51737-2023")</f>
        <v/>
      </c>
      <c r="T261">
        <f>HYPERLINK("https://klasma.github.io/Logging_2281/kartor/A 51737-2023 karta.png", "A 51737-2023")</f>
        <v/>
      </c>
      <c r="V261">
        <f>HYPERLINK("https://klasma.github.io/Logging_2281/klagomål/A 51737-2023 FSC-klagomål.docx", "A 51737-2023")</f>
        <v/>
      </c>
      <c r="W261">
        <f>HYPERLINK("https://klasma.github.io/Logging_2281/klagomålsmail/A 51737-2023 FSC-klagomål mail.docx", "A 51737-2023")</f>
        <v/>
      </c>
      <c r="X261">
        <f>HYPERLINK("https://klasma.github.io/Logging_2281/tillsyn/A 51737-2023 tillsynsbegäran.docx", "A 51737-2023")</f>
        <v/>
      </c>
      <c r="Y261">
        <f>HYPERLINK("https://klasma.github.io/Logging_2281/tillsynsmail/A 51737-2023 tillsynsbegäran mail.docx", "A 51737-2023")</f>
        <v/>
      </c>
    </row>
    <row r="262" ht="15" customHeight="1">
      <c r="A262" t="inlineStr">
        <is>
          <t>A 54325-2023</t>
        </is>
      </c>
      <c r="B262" s="1" t="n">
        <v>45232</v>
      </c>
      <c r="C262" s="1" t="n">
        <v>45825</v>
      </c>
      <c r="D262" t="inlineStr">
        <is>
          <t>VÄSTERNORRLANDS LÄN</t>
        </is>
      </c>
      <c r="E262" t="inlineStr">
        <is>
          <t>SUNDSVALL</t>
        </is>
      </c>
      <c r="F262" t="inlineStr">
        <is>
          <t>SCA</t>
        </is>
      </c>
      <c r="G262" t="n">
        <v>5.7</v>
      </c>
      <c r="H262" t="n">
        <v>0</v>
      </c>
      <c r="I262" t="n">
        <v>0</v>
      </c>
      <c r="J262" t="n">
        <v>1</v>
      </c>
      <c r="K262" t="n">
        <v>0</v>
      </c>
      <c r="L262" t="n">
        <v>0</v>
      </c>
      <c r="M262" t="n">
        <v>0</v>
      </c>
      <c r="N262" t="n">
        <v>0</v>
      </c>
      <c r="O262" t="n">
        <v>1</v>
      </c>
      <c r="P262" t="n">
        <v>0</v>
      </c>
      <c r="Q262" t="n">
        <v>1</v>
      </c>
      <c r="R262" s="2" t="inlineStr">
        <is>
          <t>Igelkott</t>
        </is>
      </c>
      <c r="S262">
        <f>HYPERLINK("https://klasma.github.io/Logging_2281/artfynd/A 54325-2023 artfynd.xlsx", "A 54325-2023")</f>
        <v/>
      </c>
      <c r="T262">
        <f>HYPERLINK("https://klasma.github.io/Logging_2281/kartor/A 54325-2023 karta.png", "A 54325-2023")</f>
        <v/>
      </c>
      <c r="V262">
        <f>HYPERLINK("https://klasma.github.io/Logging_2281/klagomål/A 54325-2023 FSC-klagomål.docx", "A 54325-2023")</f>
        <v/>
      </c>
      <c r="W262">
        <f>HYPERLINK("https://klasma.github.io/Logging_2281/klagomålsmail/A 54325-2023 FSC-klagomål mail.docx", "A 54325-2023")</f>
        <v/>
      </c>
      <c r="X262">
        <f>HYPERLINK("https://klasma.github.io/Logging_2281/tillsyn/A 54325-2023 tillsynsbegäran.docx", "A 54325-2023")</f>
        <v/>
      </c>
      <c r="Y262">
        <f>HYPERLINK("https://klasma.github.io/Logging_2281/tillsynsmail/A 54325-2023 tillsynsbegäran mail.docx", "A 54325-2023")</f>
        <v/>
      </c>
    </row>
    <row r="263" ht="15" customHeight="1">
      <c r="A263" t="inlineStr">
        <is>
          <t>A 54674-2023</t>
        </is>
      </c>
      <c r="B263" s="1" t="n">
        <v>45235</v>
      </c>
      <c r="C263" s="1" t="n">
        <v>45825</v>
      </c>
      <c r="D263" t="inlineStr">
        <is>
          <t>VÄSTERNORRLANDS LÄN</t>
        </is>
      </c>
      <c r="E263" t="inlineStr">
        <is>
          <t>SUNDSVALL</t>
        </is>
      </c>
      <c r="G263" t="n">
        <v>1.1</v>
      </c>
      <c r="H263" t="n">
        <v>1</v>
      </c>
      <c r="I263" t="n">
        <v>0</v>
      </c>
      <c r="J263" t="n">
        <v>0</v>
      </c>
      <c r="K263" t="n">
        <v>0</v>
      </c>
      <c r="L263" t="n">
        <v>0</v>
      </c>
      <c r="M263" t="n">
        <v>0</v>
      </c>
      <c r="N263" t="n">
        <v>0</v>
      </c>
      <c r="O263" t="n">
        <v>0</v>
      </c>
      <c r="P263" t="n">
        <v>0</v>
      </c>
      <c r="Q263" t="n">
        <v>1</v>
      </c>
      <c r="R263" s="2" t="inlineStr">
        <is>
          <t>Trana</t>
        </is>
      </c>
      <c r="S263">
        <f>HYPERLINK("https://klasma.github.io/Logging_2281/artfynd/A 54674-2023 artfynd.xlsx", "A 54674-2023")</f>
        <v/>
      </c>
      <c r="T263">
        <f>HYPERLINK("https://klasma.github.io/Logging_2281/kartor/A 54674-2023 karta.png", "A 54674-2023")</f>
        <v/>
      </c>
      <c r="V263">
        <f>HYPERLINK("https://klasma.github.io/Logging_2281/klagomål/A 54674-2023 FSC-klagomål.docx", "A 54674-2023")</f>
        <v/>
      </c>
      <c r="W263">
        <f>HYPERLINK("https://klasma.github.io/Logging_2281/klagomålsmail/A 54674-2023 FSC-klagomål mail.docx", "A 54674-2023")</f>
        <v/>
      </c>
      <c r="X263">
        <f>HYPERLINK("https://klasma.github.io/Logging_2281/tillsyn/A 54674-2023 tillsynsbegäran.docx", "A 54674-2023")</f>
        <v/>
      </c>
      <c r="Y263">
        <f>HYPERLINK("https://klasma.github.io/Logging_2281/tillsynsmail/A 54674-2023 tillsynsbegäran mail.docx", "A 54674-2023")</f>
        <v/>
      </c>
      <c r="Z263">
        <f>HYPERLINK("https://klasma.github.io/Logging_2281/fåglar/A 54674-2023 prioriterade fågelarter.docx", "A 54674-2023")</f>
        <v/>
      </c>
    </row>
    <row r="264" ht="15" customHeight="1">
      <c r="A264" t="inlineStr">
        <is>
          <t>A 56698-2023</t>
        </is>
      </c>
      <c r="B264" s="1" t="n">
        <v>45244</v>
      </c>
      <c r="C264" s="1" t="n">
        <v>45825</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45825</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45825</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45825</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45825</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45825</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45825</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45825</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45825</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45825</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45825</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45825</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45825</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45825</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45825</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45825</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45825</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45825</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45825</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45825</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45825</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45825</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45825</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45825</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45825</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45825</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45825</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45825</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45825</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45825</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45825</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45825</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45825</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45825</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45825</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45825</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45825</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45825</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45825</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45825</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45825</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45825</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45825</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45825</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45825</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45825</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45825</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45825</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45825</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45825</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45825</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45825</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45825</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45825</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45825</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45825</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45825</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45825</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45825</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45825</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45825</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45825</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45825</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45825</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45825</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45825</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45825</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45825</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45825</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45825</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45825</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45825</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45825</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45825</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45825</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45825</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45825</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45825</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45825</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45825</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45825</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45825</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45825</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45825</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45825</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45825</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45825</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45825</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45825</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45825</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45825</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45825</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45825</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45825</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45825</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45825</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45825</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45825</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45825</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45825</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45825</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45825</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45825</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45825</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45825</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45825</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45825</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45825</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45825</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45825</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45825</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45825</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45825</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45825</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45825</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45825</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45825</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45825</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45825</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45825</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45825</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45825</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45825</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45825</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45825</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45825</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45825</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45825</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45825</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45825</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45825</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45825</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45825</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45825</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45825</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45825</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45825</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45825</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45825</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45825</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45825</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45825</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45825</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45825</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45825</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45825</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45825</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45825</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45825</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45825</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45825</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45825</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45825</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45825</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45825</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45825</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45825</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45825</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45825</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45825</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45825</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45825</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45825</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45825</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45825</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45825</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45825</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45825</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45825</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45825</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45825</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45825</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45825</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45825</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45825</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45825</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45825</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45825</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45825</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45825</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45825</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45825</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45825</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45825</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45825</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45825</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45825</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45825</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45825</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45825</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45825</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45825</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45825</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45825</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45825</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45825</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45825</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45825</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45825</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45825</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45825</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45825</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45825</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45825</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45825</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45825</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45825</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45825</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45825</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45825</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45825</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45825</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45825</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45825</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45825</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45825</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45825</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45825</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45825</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45825</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45825</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45825</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45825</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45825</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45825</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45825</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45825</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45825</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45825</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45825</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45825</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45825</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45825</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45825</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45825</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45825</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45825</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45825</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45825</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45825</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45825</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45825</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45825</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45825</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45825</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45825</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45825</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45825</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45825</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45825</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45825</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45825</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45825</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45825</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45825</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45825</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45825</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45825</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45825</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45825</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45825</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45825</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45825</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45825</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45825</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45825</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45825</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45825</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45825</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45825</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45825</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45825</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45825</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45825</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45825</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45825</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45825</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45825</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45825</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45825</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45825</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45825</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45825</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45825</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45825</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45825</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45825</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45825</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45825</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45825</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45825</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45825</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45825</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45825</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45825</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45825</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45825</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45825</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45825</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45825</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45825</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45825</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45825</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45825</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45825</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45825</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45825</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45825</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45825</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45825</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45825</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45825</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45825</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45825</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45825</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45825</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45825</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45825</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45825</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45825</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45825</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45825</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45825</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45825</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45825</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45825</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45825</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45825</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45825</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45825</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45825</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45825</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45825</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45825</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45825</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45825</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45825</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45825</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45825</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45825</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45825</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45825</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45825</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45825</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45825</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45825</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45825</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45825</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45825</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45825</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45825</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45825</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45825</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45825</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45825</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45825</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45825</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45825</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45825</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45825</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45825</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45825</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45825</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45825</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45825</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45825</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45825</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45825</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45825</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45825</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45825</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45825</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45825</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45825</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45825</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45825</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45825</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45825</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45825</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45825</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45825</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45825</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45825</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45825</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45825</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45825</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45825</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45825</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45825</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45825</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45825</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45825</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45825</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45825</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45825</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45825</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45825</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45825</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45825</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45825</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45825</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45825</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45825</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45825</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45825</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45825</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45825</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45825</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45825</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45825</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45825</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45825</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45825</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45825</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45825</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45825</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45825</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45825</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45825</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45825</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45825</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45825</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45825</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45825</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45825</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45825</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45825</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45825</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45825</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45825</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45825</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45825</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45825</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45825</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45825</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45825</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45825</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45825</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45825</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45825</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45825</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45825</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45825</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45825</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45825</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45825</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45825</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45825</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45825</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45825</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45825</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45825</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45825</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45825</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45825</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45825</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45825</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45825</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45825</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45825</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45825</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45825</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45825</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45825</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45825</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45825</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45825</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45825</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45825</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45825</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45825</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45825</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45825</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45825</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45825</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45825</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45825</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45825</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45825</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45825</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45825</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45825</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45825</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45825</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45825</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45825</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45825</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45825</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45825</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45825</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45825</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45825</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45825</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45825</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45825</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45825</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45825</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45825</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45825</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45825</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45825</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45825</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45825</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45825</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45825</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45825</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45825</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45825</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45825</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45825</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45825</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45825</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45825</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45825</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45825</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45825</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45825</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45825</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45825</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45825</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45825</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45825</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45825</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45825</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45825</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45825</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45825</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45825</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45825</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45825</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45825</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45825</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45825</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45825</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45825</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45825</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45825</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45825</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45825</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45825</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45825</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45825</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45825</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45825</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45825</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45825</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45825</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45825</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45825</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45825</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45825</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45825</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45825</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45825</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45825</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45825</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45825</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45825</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45825</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45825</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45825</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45825</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45825</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45825</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45825</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45825</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45825</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45825</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45825</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45825</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45825</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45825</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45825</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45825</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45825</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45825</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45825</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45825</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45825</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45825</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45825</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45825</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45825</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45825</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45825</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45825</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45825</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45825</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45825</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45825</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45825</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45825</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45825</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45825</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45825</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45825</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45825</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45825</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45825</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45825</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45825</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45825</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45825</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45825</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45825</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45825</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45825</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45825</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45825</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45825</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45825</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45825</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45825</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45825</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45825</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45825</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45825</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45825</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45825</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45825</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45825</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45825</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45825</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45825</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45825</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45825</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45825</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45825</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45825</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45825</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45825</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45825</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45825</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45825</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45825</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45825</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45825</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45825</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45825</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45825</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45825</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45825</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45825</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45825</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45825</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45825</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45825</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45825</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45825</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45825</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45825</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45825</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45825</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45825</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45825</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45825</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45825</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45825</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45825</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45825</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45825</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45825</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45825</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45825</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45825</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45825</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45825</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45825</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45825</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45825</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45825</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45825</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45825</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45825</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45825</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45825</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45825</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45825</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45825</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45825</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45825</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45825</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45825</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45825</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45825</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45825</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45825</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45825</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45825</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45825</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45825</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45825</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45825</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45825</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45825</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45825</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45825</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45825</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45825</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45825</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45825</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45825</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45825</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45825</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45825</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45825</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45825</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45825</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45825</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45825</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45825</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45825</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45825</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45825</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45825</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45825</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45825</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45825</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45825</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45825</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45825</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45825</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45825</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45825</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45825</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45825</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45825</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45825</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45825</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45825</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45825</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45825</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45825</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45825</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45825</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45825</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45825</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45825</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45825</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45825</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45825</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45825</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45825</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45825</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45825</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45825</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45825</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45825</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45825</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45825</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45825</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45825</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45825</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45825</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45825</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45825</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45825</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45825</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45825</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45825</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45825</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45825</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45825</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45825</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45825</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45825</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45825</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45825</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45825</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45825</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45825</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45825</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45825</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45825</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45825</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45825</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45825</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45825</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45825</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45825</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45825</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45825</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45825</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45825</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45825</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45825</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45825</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45825</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45825</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45825</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45825</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45825</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45825</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45825</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45825</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45825</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45825</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45825</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45825</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45825</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45825</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45825</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45825</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45825</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45825</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45825</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45825</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45825</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45825</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45825</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45825</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45825</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45825</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45825</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45825</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45825</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45825</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45825</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45825</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45825</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45825</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45825</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45825</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45825</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45825</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45825</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45825</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45825</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45825</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45825</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45825</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45825</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45825</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45825</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45825</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45825</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45825</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45825</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45825</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45825</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45825</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45825</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45825</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45825</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45825</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45825</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45825</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45825</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45825</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45825</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45825</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45825</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45825</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45825</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45825</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45825</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45825</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45825</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45825</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45825</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45825</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45825</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45825</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45825</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45825</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45825</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45825</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45825</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45825</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45825</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45825</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45825</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45825</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45825</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45825</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45825</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45825</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45825</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45825</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45825</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45825</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45825</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45825</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45825</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45825</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45825</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45825</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45825</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45825</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45825</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45825</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45825</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45825</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45825</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45825</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45825</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45825</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45825</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45825</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45825</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45825</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45825</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45825</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45825</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45825</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45825</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45825</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45825</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45825</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45825</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45825</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45825</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45825</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45825</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45825</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45825</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45825</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45825</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45825</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45825</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45825</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45825</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45825</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45825</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45825</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45825</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45825</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45825</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45825</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45825</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45825</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45825</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45825</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45825</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45825</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45825</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45825</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45825</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45825</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45825</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45825</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45825</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45825</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45825</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45825</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45825</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45825</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45825</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45825</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45825</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45825</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45825</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45825</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45825</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45825</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45825</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45825</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45825</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45825</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45825</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45825</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45825</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45825</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45825</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45825</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45825</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45825</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45825</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45825</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45825</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45825</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45825</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45825</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45825</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45825</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45825</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45825</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45825</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45825</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45825</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45825</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45825</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45825</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45825</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45825</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45825</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45825</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45825</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45825</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45825</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45825</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45825</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45825</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45825</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45825</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45825</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45825</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45825</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45825</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45825</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45825</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45825</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45825</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45825</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45825</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45825</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45825</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45825</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45825</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45825</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45825</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45825</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45825</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45825</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45825</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45825</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45825</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45825</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45825</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45825</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45825</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45825</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45825</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45825</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45825</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45825</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45825</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45825</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45825</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45825</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45825</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45825</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45825</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45825</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45825</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45825</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45825</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45825</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45825</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45825</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45825</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45825</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45825</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45825</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45825</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45825</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45825</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45825</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45825</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45825</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45825</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45825</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45825</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45825</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45825</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45825</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45825</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45825</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45825</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45825</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45825</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45825</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45825</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45825</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45825</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45825</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45825</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45825</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45825</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45825</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45825</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45825</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45825</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45825</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45825</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45825</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45825</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45825</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45825</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45825</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45825</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45825</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45825</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45825</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45825</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45825</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45825</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45825</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45825</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45825</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45825</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45825</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45825</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45825</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45825</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45825</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45825</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45825</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45825</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45825</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45825</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45825</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45825</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45825</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45825</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45825</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45825</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45825</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45825</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45825</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45825</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45825</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45825</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45825</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45825</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45825</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45825</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45825</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45825</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45825</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45825</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45825</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45825</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45825</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45825</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45825</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45825</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45825</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45825</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45825</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45825</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45825</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45825</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45825</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45825</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45825</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45825</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45825</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45825</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45825</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45825</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45825</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45825</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45825</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45825</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45825</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45825</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45825</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45825</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45825</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45825</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45825</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45825</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45825</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45825</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45825</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45825</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45825</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45825</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45825</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45825</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45825</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45825</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45825</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45825</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45825</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45825</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45825</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45825</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45825</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45825</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45825</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45825</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45825</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45825</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45825</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45825</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45825</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45825</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45825</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45825</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45825</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45825</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45825</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45825</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45825</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45825</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45825</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45825</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45825</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45825</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45825</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45825</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45825</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45825</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45825</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45825</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45825</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45825</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45825</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45825</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45825</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45825</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45825</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45825</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45825</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45825</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45825</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45825</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45825</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45825</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45825</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45825</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45825</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45825</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45825</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45825</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45825</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45825</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45825</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45825</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45825</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45825</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45825</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45825</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45825</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45825</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45825</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45825</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45825</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45825</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45825</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45825</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45825</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45825</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45825</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45825</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45825</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45825</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45825</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45825</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45825</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45825</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45825</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45825</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45825</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45825</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45825</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45825</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45825</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45825</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45825</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45825</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45825</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45825</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45825</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45825</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45825</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45825</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45825</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45825</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45825</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45825</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45825</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45825</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45825</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45825</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45825</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45825</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45825</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45825</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45825</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45825</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45825</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45825</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45825</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45825</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45825</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45825</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45825</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45825</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45825</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45825</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45825</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45825</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45825</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45825</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45825</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45825</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45825</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45825</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45825</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45825</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45825</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45825</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45825</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45825</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45825</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45825</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45825</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45825</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45825</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45825</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45825</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45825</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45825</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45825</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45825</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45825</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45825</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45825</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45825</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45825</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45825</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45825</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45825</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45825</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45825</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45825</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45825</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45825</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45825</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45825</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45825</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45825</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45825</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45825</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45825</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45825</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45825</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45825</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45825</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45825</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45825</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45825</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45825</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45825</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45825</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45825</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45825</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45825</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45825</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45825</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45825</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45825</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45825</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45825</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45825</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45825</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45825</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45825</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45825</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45825</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45825</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45825</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45825</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45825</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45825</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45825</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45825</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45825</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45825</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45825</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45825</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45825</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45825</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45825</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45825</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45825</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45825</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45825</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45825</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45825</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45825</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45825</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45825</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45825</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45825</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45825</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45825</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45825</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45825</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45825</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45825</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45825</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45825</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45825</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45825</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45825</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45825</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45825</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45825</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45825</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45825</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45825</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45825</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45825</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45825</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45825</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45825</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45825</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45825</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45825</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45825</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45825</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45825</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45825</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45825</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45825</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45825</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45825</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45825</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45825</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45825</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45825</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45825</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45825</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45825</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45825</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45825</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45825</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45825</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45825</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45825</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45825</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45825</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45825</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45825</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45825</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45825</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45825</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45825</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45825</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45825</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45825</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45825</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45825</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45825</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45825</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45825</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45825</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45825</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45825</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45825</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45825</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45825</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45825</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45825</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45825</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45825</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45825</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45825</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45825</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45825</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45825</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45825</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45825</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45825</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45825</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45825</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45825</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45825</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45825</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45825</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45825</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45825</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45825</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45825</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45825</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45825</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45825</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45825</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45825</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45825</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45825</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45825</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45825</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45825</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45825</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45825</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45825</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45825</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45825</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45825</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45825</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45825</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45825</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45825</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45825</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45825</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45825</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45825</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45825</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45825</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45825</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45825</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45825</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45825</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45825</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45825</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45825</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45825</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45825</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45825</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45825</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45825</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45825</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45825</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45825</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45825</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45825</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45825</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45825</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45825</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45825</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45825</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45825</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45825</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45825</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45825</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45825</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45825</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45825</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45825</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45825</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45825</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45825</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45825</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45825</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45825</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45825</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45825</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45825</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45825</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45825</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45825</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45825</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45825</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45825</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45825</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45825</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45825</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45825</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45825</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45825</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45825</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45825</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45825</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45825</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45825</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45825</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45825</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45825</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45825</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45825</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45825</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45825</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45825</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45825</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45825</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45825</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45825</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45825</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45825</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45825</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45825</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45825</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45825</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45825</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45825</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45825</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45825</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45825</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45825</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45825</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45825</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45825</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45825</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45825</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45825</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45825</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45825</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45825</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45825</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45825</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45825</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45825</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45825</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45825</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45825</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45825</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45825</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45825</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45825</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45825</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45825</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45825</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45825</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45825</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45825</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45825</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45825</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45825</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45825</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45825</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45825</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45825</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45825</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45825</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45825</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45825</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45825</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45825</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45825</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45825</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45825</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45825</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45825</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45825</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45825</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45825</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45825</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45825</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45825</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45825</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45825</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45825</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45825</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45825</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45825</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45825</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45825</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45825</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45825</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45825</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45825</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45825</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45825</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45825</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45825</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45825</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45825</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45825</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45825</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45825</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45825</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45825</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45825</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45825</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45825</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45825</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45825</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45825</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45825</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45825</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45825</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45825</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45825</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45825</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45825</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45825</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45825</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45825</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45825</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45825</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45825</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45825</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45825</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45825</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45825</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45825</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45825</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45825</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45825</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45825</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45825</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45825</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45825</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45825</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45825</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45825</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45825</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45825</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45825</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45825</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45825</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45825</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45825</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45825</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45825</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45825</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45825</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45825</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45825</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45825</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45825</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45825</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45825</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45825</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45825</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45825</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45825</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45825</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45825</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45825</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45825</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45825</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45825</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45825</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45825</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45825</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45825</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45825</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45825</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45825</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45825</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45825</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45825</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45825</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45825</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45825</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45825</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45825</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45825</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45825</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45825</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45825</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45825</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45825</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45825</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45825</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45825</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45825</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45825</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45825</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45825</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45825</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45825</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45825</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45825</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45825</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45825</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45825</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45825</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45825</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45825</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45825</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45825</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45825</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45825</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45825</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45825</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45825</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45825</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45825</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45825</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45825</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45825</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45825</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45825</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45825</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45825</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45825</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45825</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45825</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45825</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45825</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45825</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45825</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45825</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45825</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45825</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45825</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45825</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45825</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45825</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45825</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45825</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45825</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45825</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45825</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45825</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45825</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45825</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45825</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45825</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45825</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45825</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45825</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45825</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45825</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45825</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45825</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45825</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45825</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45825</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45825</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45825</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45825</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45825</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45825</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45825</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45825</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45825</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45825</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45825</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45825</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45825</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45825</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45825</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45825</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45825</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45825</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45825</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45825</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45825</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45825</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45825</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45825</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45825</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45825</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45825</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45825</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45825</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45825</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45825</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45825</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45825</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45825</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45825</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45825</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45825</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45825</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45825</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45825</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45825</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45825</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45825</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45825</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45825</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45825</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45825</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45825</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45825</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45825</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45825</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45825</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45825</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45825</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45825</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45825</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45825</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45825</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45825</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45825</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45825</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45825</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45825</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45825</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45825</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45825</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45825</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45825</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45825</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45825</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45825</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45825</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45825</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45825</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45825</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45825</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45825</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45825</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45825</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45825</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45825</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45825</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45825</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45825</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45825</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45825</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45825</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45825</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45825</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45825</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45825</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45825</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45825</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45825</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45825</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45825</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45825</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45825</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45825</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45825</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45825</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45825</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45825</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45825</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45825</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45825</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45825</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45825</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45825</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45825</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45825</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45825</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45825</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45825</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45825</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45825</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45825</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45825</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45825</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45825</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45825</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45825</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45825</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45825</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45825</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45825</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45825</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45825</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45825</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45825</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45825</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45825</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45825</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45825</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45825</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45825</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45825</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45825</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45825</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45825</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45825</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45825</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45825</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45825</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45825</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45825</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45825</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45825</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45825</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45825</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45825</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45825</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45825</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45825</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45825</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45825</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45825</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45825</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45825</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45825</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45825</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45825</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45825</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45825</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45825</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45825</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45825</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45825</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45825</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45825</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45825</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45825</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45825</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45825</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45825</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45825</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45825</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45825</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45825</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45825</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45825</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45825</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45825</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45825</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45825</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45825</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45825</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45825</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45825</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45825</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45825</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45825</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45825</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45825</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45825</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45825</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45825</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45825</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45825</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45825</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45825</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45825</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45825</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45825</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45825</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45825</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45825</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45825</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45825</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45825</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45825</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45825</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45825</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45825</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45825</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45825</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45825</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45825</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45825</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45825</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45825</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45825</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45825</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45825</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45825</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45825</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45825</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45825</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45825</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45825</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45825</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45825</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45825</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45825</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45825</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45825</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45825</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45825</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45825</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45825</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45825</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45825</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45825</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45825</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45825</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45825</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45825</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45825</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45825</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45825</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45825</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45825</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45825</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45825</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45825</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45825</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45825</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45825</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45825</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45825</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45825</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45825</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45825</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45825</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45825</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45825</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45825</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45825</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45825</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45825</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45825</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45825</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45825</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45825</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45825</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45825</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45825</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45825</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45825</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45825</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45825</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45825</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45825</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45825</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45825</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45825</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45825</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45825</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45825</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45825</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45825</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45825</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45825</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45825</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45825</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45825</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45825</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45825</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45825</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45825</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45825</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45825</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45825</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45825</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45825</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45825</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45825</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45825</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45825</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45825</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45825</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45825</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45825</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45825</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45825</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45825</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45825</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45825</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45825</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45825</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45825</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45825</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45825</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45825</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45825</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45825</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45825</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45825</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45825</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45825</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45825</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45825</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45825</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45825</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45825</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45825</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45825</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45825</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45825</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45825</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45825</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45825</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45825</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45825</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45825</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45825</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45825</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45825</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45825</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45825</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45825</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45825</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45825</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45825</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45825</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45825</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45825</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45825</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45825</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45825</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45825</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45825</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45825</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45825</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45825</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45825</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45825</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45825</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45825</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45825</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45825</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45825</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45825</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45825</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45825</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45825</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45825</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45825</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45825</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45825</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45825</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45825</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45825</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45825</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45825</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45825</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45825</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45825</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45825</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45825</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45825</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45825</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45825</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45825</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45825</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45825</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45825</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45825</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45825</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45825</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45825</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45825</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45825</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45825</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45825</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45825</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45825</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45825</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45825</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45825</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45825</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45825</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45825</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45825</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45825</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45825</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45825</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45825</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45825</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45825</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45825</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45825</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45825</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45825</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45825</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45825</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45825</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45825</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45825</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45825</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45825</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45825</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45825</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45825</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45825</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45825</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45825</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45825</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45825</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45825</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45825</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45825</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45825</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45825</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45825</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45825</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45825</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45825</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45825</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45825</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45825</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45825</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45825</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45825</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45825</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45825</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45825</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45825</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45825</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45825</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45825</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45825</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45825</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45825</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45825</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45825</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45825</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45825</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45825</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45825</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45825</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45825</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45825</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45825</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45825</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45825</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45825</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45825</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45825</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45825</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45825</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45825</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45825</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45825</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45825</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45825</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45825</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45825</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45825</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45825</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45825</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45825</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45825</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45825</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45825</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45825</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45825</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45825</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45825</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45825</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45825</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45825</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45825</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45825</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45825</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45825</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45825</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45825</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45825</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45825</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45825</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45825</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45825</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45825</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45825</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45825</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45825</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45825</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45825</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45825</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45825</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45825</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45825</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45825</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45825</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45825</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45825</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45825</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45825</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45825</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45825</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45825</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45825</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45825</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45825</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45825</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45825</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45825</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45825</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45825</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45825</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45825</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45825</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45825</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45825</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45825</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45825</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45825</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45825</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45825</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45825</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45825</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45825</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45825</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45825</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45825</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45825</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45825</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45825</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45825</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45825</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45825</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45825</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45825</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45825</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45825</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45825</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45825</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45825</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45825</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45825</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45825</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45825</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45825</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45825</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45825</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45825</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45825</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45825</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45825</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45825</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45825</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45825</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45825</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45825</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45825</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45825</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45825</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45825</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45825</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45825</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45825</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45825</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45825</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45825</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45825</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45825</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45825</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45825</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45825</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45825</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45825</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45825</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45825</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45825</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45825</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45825</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45825</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45825</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45825</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45825</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45825</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45825</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45825</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45825</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45825</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45825</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45825</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45825</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45825</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45825</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45825</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45825</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45825</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45825</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45825</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45825</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45825</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45825</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45825</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45825</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45825</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45825</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45825</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45825</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45825</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45825</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45825</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45825</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45825</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45825</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45825</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45825</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45825</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45825</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45825</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45825</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45825</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45825</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45825</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45825</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45825</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45825</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45825</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45825</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45825</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45825</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45825</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45825</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45825</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45825</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45825</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45825</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45825</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45825</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45825</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45825</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45825</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45825</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45825</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45825</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45825</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45825</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45825</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45825</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45825</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45825</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45825</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45825</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45825</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45825</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45825</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45825</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45825</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45825</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45825</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45825</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45825</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45825</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45825</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45825</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45825</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45825</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45825</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45825</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45825</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45825</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45825</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45825</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45825</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45825</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45825</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45825</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45825</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45825</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45825</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45825</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45825</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45825</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45825</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45825</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45825</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45825</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45825</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45825</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45825</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45825</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45825</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45825</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45825</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45825</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45825</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45825</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45825</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45825</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45825</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45825</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45825</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45825</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45825</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45825</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45825</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45825</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45825</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45825</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45825</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45825</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45825</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45825</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45825</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45825</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45825</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45825</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45825</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45825</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45825</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45825</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45825</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45825</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45825</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45825</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45825</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45825</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45825</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45825</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45825</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45825</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45825</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45825</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45825</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45825</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45825</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45825</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45825</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45825</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45825</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45825</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45825</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45825</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45825</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45825</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45825</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45825</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45825</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45825</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45825</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45825</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45825</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45825</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45825</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45825</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45825</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45825</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45825</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45825</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45825</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45825</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45825</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45825</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45825</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45825</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45825</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45825</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45825</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45825</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45825</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45825</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45825</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45825</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45825</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45825</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45825</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45825</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45825</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45825</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45825</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45825</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45825</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45825</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45825</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45825</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45825</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45825</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45825</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45825</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45825</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45825</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45825</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45825</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45825</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45825</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45825</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45825</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45825</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45825</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45825</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45825</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45825</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45825</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45825</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45825</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45825</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45825</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45825</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45825</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45825</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45825</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45825</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45825</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45825</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45825</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45825</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45825</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45825</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45825</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45825</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45825</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45825</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45825</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45825</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45825</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45825</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45825</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45825</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45825</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45825</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45825</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45825</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45825</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45825</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45825</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45825</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45825</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45825</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45825</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45825</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45825</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45825</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45825</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45825</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45825</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45825</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45825</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45825</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45825</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45825</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45825</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45825</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45825</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45825</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45825</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45825</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45825</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45825</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45825</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45825</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45825</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45825</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45825</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45825</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45825</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45825</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45825</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45825</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45825</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45825</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45825</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45825</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45825</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45825</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45825</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45825</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45825</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45825</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45825</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45825</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45825</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45825</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45825</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45825</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45825</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45825</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45825</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45825</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45825</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45825</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45825</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45825</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45825</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45825</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45825</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45825</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45825</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45825</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45825</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45825</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45825</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45825</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45825</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45825</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45825</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45825</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45825</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45825</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45825</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45825</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45825</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45825</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45825</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45825</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45825</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45825</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45825</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45825</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45825</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45825</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45825</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45825</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45825</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45825</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45825</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45825</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45825</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45825</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45825</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45825</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45825</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45825</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45825</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45825</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45825</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45825</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45825</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45825</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45825</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45825</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45825</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45825</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45825</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45825</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45825</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45825</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45825</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45825</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45825</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45825</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45825</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45825</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45825</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45825</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45825</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45825</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45825</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45825</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45825</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45825</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45825</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45825</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45825</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45825</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45825</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45825</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45825</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45825</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45825</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45825</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45825</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45825</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45825</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45825</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45825</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45825</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45825</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45825</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45825</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45825</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45825</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45825</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45825</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45825</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45825</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45825</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45825</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45825</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45825</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45825</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45825</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45825</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45825</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45825</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45825</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45825</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45825</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45825</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45825</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45825</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45825</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45825</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45825</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45825</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45825</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45825</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45825</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45825</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45825</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45825</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45825</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45825</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45825</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45825</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45825</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45825</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45825</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45825</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45825</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45825</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45825</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45825</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45825</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45825</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45825</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45825</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45825</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45825</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45825</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45825</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45825</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45825</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45825</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45825</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45825</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45825</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45825</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45825</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45825</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45825</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45825</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45825</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45825</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45825</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45825</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45825</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45825</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45825</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45825</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45825</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45825</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45825</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45825</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45825</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45825</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45825</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45825</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45825</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45825</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45825</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45825</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45825</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45825</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45825</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45825</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45825</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45825</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45825</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45825</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45825</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45825</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45825</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45825</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45825</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45825</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45825</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45825</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45825</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45825</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45825</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45825</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45825</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45825</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45825</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45825</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45825</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45825</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45825</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45825</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45825</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45825</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45825</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45825</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45825</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45825</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45825</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45825</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45825</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45825</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45825</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45825</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45825</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45825</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45825</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45825</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45825</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45825</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45825</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45825</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45825</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45825</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45825</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45825</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45825</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45825</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45825</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45825</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45825</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45825</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45825</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45825</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45825</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45825</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45825</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45825</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45825</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45825</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45825</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45825</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45825</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45825</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45825</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45825</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45825</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45825</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45825</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45825</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45825</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45825</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45825</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45825</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45825</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45825</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45825</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45825</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45825</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45825</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45825</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45825</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45825</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45825</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45825</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45825</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45825</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45825</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45825</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45825</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45825</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45825</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45825</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45825</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45825</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45825</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45825</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45825</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45825</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45825</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45825</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45825</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45825</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45825</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45825</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45825</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45825</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45825</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45825</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45825</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45825</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45825</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45825</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45825</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45825</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45825</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45825</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45825</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45825</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45825</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45825</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45825</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45825</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45825</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45825</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45825</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45825</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45825</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45825</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45825</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45825</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45825</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45825</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45825</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45825</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45825</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45825</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45825</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45825</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45825</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45825</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45825</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45825</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45825</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45825</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45825</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45825</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45825</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45825</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45825</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45825</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45825</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45825</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45825</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45825</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45825</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45825</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45825</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45825</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45825</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45825</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45825</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45825</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45825</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45825</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45825</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45825</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45825</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45825</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45825</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45825</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45825</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45825</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45825</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45825</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45825</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45825</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45825</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45825</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45825</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45825</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45825</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45825</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45825</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45825</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45825</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45825</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45825</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45825</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45825</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45825</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45825</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45825</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45825</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45825</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45825</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45825</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45825</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45825</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45825</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45825</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45825</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45825</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45825</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45825</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45825</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45825</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45825</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45825</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45825</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45825</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45825</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45825</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45825</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45825</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45825</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45825</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45825</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45825</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45825</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45825</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45825</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45825</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45825</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45825</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45825</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45825</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45825</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45825</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45825</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45825</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45825</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45825</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45825</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45825</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24498-2025</t>
        </is>
      </c>
      <c r="B3387" s="1" t="n">
        <v>45798</v>
      </c>
      <c r="C3387" s="1" t="n">
        <v>45825</v>
      </c>
      <c r="D3387" t="inlineStr">
        <is>
          <t>VÄSTERNORRLANDS LÄN</t>
        </is>
      </c>
      <c r="E3387" t="inlineStr">
        <is>
          <t>SUNDSVALL</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45825</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45825</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25258-2025</t>
        </is>
      </c>
      <c r="B3390" s="1" t="n">
        <v>45800</v>
      </c>
      <c r="C3390" s="1" t="n">
        <v>45825</v>
      </c>
      <c r="D3390" t="inlineStr">
        <is>
          <t>VÄSTERNORRLANDS LÄN</t>
        </is>
      </c>
      <c r="E3390" t="inlineStr">
        <is>
          <t>SUNDSVALL</t>
        </is>
      </c>
      <c r="F3390" t="inlineStr">
        <is>
          <t>Naturvårdsverket</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25154-2025</t>
        </is>
      </c>
      <c r="B3391" s="1" t="n">
        <v>45800</v>
      </c>
      <c r="C3391" s="1" t="n">
        <v>45825</v>
      </c>
      <c r="D3391" t="inlineStr">
        <is>
          <t>VÄSTERNORRLANDS LÄN</t>
        </is>
      </c>
      <c r="E3391" t="inlineStr">
        <is>
          <t>SUNDSVALL</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25329-2025</t>
        </is>
      </c>
      <c r="B3392" s="1" t="n">
        <v>45800</v>
      </c>
      <c r="C3392" s="1" t="n">
        <v>45825</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25179-2025</t>
        </is>
      </c>
      <c r="B3393" s="1" t="n">
        <v>45800</v>
      </c>
      <c r="C3393" s="1" t="n">
        <v>45825</v>
      </c>
      <c r="D3393" t="inlineStr">
        <is>
          <t>VÄSTERNORRLANDS LÄN</t>
        </is>
      </c>
      <c r="E3393" t="inlineStr">
        <is>
          <t>SUNDSVALL</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25351-2025</t>
        </is>
      </c>
      <c r="B3394" s="1" t="n">
        <v>45800</v>
      </c>
      <c r="C3394" s="1" t="n">
        <v>45825</v>
      </c>
      <c r="D3394" t="inlineStr">
        <is>
          <t>VÄSTERNORRLANDS LÄN</t>
        </is>
      </c>
      <c r="E3394" t="inlineStr">
        <is>
          <t>SUNDSVALL</t>
        </is>
      </c>
      <c r="F3394" t="inlineStr">
        <is>
          <t>Kyrkan</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45825</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45825</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45825</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25422-2025</t>
        </is>
      </c>
      <c r="B3398" s="1" t="n">
        <v>45800</v>
      </c>
      <c r="C3398" s="1" t="n">
        <v>45825</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45825</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45825</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45825</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45825</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45825</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45825</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45825</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26012-2025</t>
        </is>
      </c>
      <c r="B3406" s="1" t="n">
        <v>45804</v>
      </c>
      <c r="C3406" s="1" t="n">
        <v>45825</v>
      </c>
      <c r="D3406" t="inlineStr">
        <is>
          <t>VÄSTERNORRLANDS LÄN</t>
        </is>
      </c>
      <c r="E3406" t="inlineStr">
        <is>
          <t>SUNDSVALL</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25834-2025</t>
        </is>
      </c>
      <c r="B3407" s="1" t="n">
        <v>45804</v>
      </c>
      <c r="C3407" s="1" t="n">
        <v>45825</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45825</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26114-2025</t>
        </is>
      </c>
      <c r="B3409" s="1" t="n">
        <v>45805</v>
      </c>
      <c r="C3409" s="1" t="n">
        <v>45825</v>
      </c>
      <c r="D3409" t="inlineStr">
        <is>
          <t>VÄSTERNORRLANDS LÄN</t>
        </is>
      </c>
      <c r="E3409" t="inlineStr">
        <is>
          <t>SUNDSVALL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45825</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45825</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45825</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45825</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45825</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45825</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45825</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45825</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45825</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45825</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26408-2025</t>
        </is>
      </c>
      <c r="B3420" s="1" t="n">
        <v>45807</v>
      </c>
      <c r="C3420" s="1" t="n">
        <v>45825</v>
      </c>
      <c r="D3420" t="inlineStr">
        <is>
          <t>VÄSTERNORRLANDS LÄN</t>
        </is>
      </c>
      <c r="E3420" t="inlineStr">
        <is>
          <t>SUNDSVALL</t>
        </is>
      </c>
      <c r="F3420" t="inlineStr">
        <is>
          <t>Naturvårdsverket</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26430-2025</t>
        </is>
      </c>
      <c r="B3421" s="1" t="n">
        <v>45807</v>
      </c>
      <c r="C3421" s="1" t="n">
        <v>45825</v>
      </c>
      <c r="D3421" t="inlineStr">
        <is>
          <t>VÄSTERNORRLANDS LÄN</t>
        </is>
      </c>
      <c r="E3421" t="inlineStr">
        <is>
          <t>SUNDSVALL</t>
        </is>
      </c>
      <c r="F3421" t="inlineStr">
        <is>
          <t>SCA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26427-2025</t>
        </is>
      </c>
      <c r="B3422" s="1" t="n">
        <v>45807</v>
      </c>
      <c r="C3422" s="1" t="n">
        <v>45825</v>
      </c>
      <c r="D3422" t="inlineStr">
        <is>
          <t>VÄSTERNORRLANDS LÄN</t>
        </is>
      </c>
      <c r="E3422" t="inlineStr">
        <is>
          <t>SUNDSVALL</t>
        </is>
      </c>
      <c r="F3422" t="inlineStr">
        <is>
          <t>Naturvårdsverket</t>
        </is>
      </c>
      <c r="G3422" t="n">
        <v>16.6</v>
      </c>
      <c r="H3422" t="n">
        <v>0</v>
      </c>
      <c r="I3422" t="n">
        <v>0</v>
      </c>
      <c r="J3422" t="n">
        <v>0</v>
      </c>
      <c r="K3422" t="n">
        <v>0</v>
      </c>
      <c r="L3422" t="n">
        <v>0</v>
      </c>
      <c r="M3422" t="n">
        <v>0</v>
      </c>
      <c r="N3422" t="n">
        <v>0</v>
      </c>
      <c r="O3422" t="n">
        <v>0</v>
      </c>
      <c r="P3422" t="n">
        <v>0</v>
      </c>
      <c r="Q3422" t="n">
        <v>0</v>
      </c>
      <c r="R3422" s="2" t="inlineStr"/>
    </row>
    <row r="3423" ht="15" customHeight="1">
      <c r="A3423" t="inlineStr">
        <is>
          <t>A 26459-2025</t>
        </is>
      </c>
      <c r="B3423" s="1" t="n">
        <v>45807</v>
      </c>
      <c r="C3423" s="1" t="n">
        <v>45825</v>
      </c>
      <c r="D3423" t="inlineStr">
        <is>
          <t>VÄSTERNORRLANDS LÄN</t>
        </is>
      </c>
      <c r="E3423" t="inlineStr">
        <is>
          <t>SUNDSVALL</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45825</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45825</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45825</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45825</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45825</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45825</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45825</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27099-2025</t>
        </is>
      </c>
      <c r="B3431" s="1" t="n">
        <v>45811</v>
      </c>
      <c r="C3431" s="1" t="n">
        <v>45825</v>
      </c>
      <c r="D3431" t="inlineStr">
        <is>
          <t>VÄSTERNORRLANDS LÄN</t>
        </is>
      </c>
      <c r="E3431" t="inlineStr">
        <is>
          <t>SUNDSVALL</t>
        </is>
      </c>
      <c r="F3431" t="inlineStr">
        <is>
          <t>Naturvårdsverket</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45825</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45825</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45825</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45825</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45825</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45825</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45825</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45825</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45825</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45825</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45825</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45825</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45825</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45825</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45825</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c r="A3447" t="inlineStr">
        <is>
          <t>A 29231-2025</t>
        </is>
      </c>
      <c r="B3447" s="1" t="n">
        <v>45824</v>
      </c>
      <c r="C3447" s="1" t="n">
        <v>45825</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2025-06-17T18:49:10Z</dcterms:created>
  <dcterms:modified xmlns:dcterms="http://purl.org/dc/terms/" xmlns:xsi="http://www.w3.org/2001/XMLSchema-instance" xsi:type="dcterms:W3CDTF">2025-06-17T18:49:13Z</dcterms:modified>
</cp:coreProperties>
</file>