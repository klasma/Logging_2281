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45845</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45845</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45845</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45845</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45845</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45845</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45845</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45845</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45845</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45845</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45845</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45845</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45845</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45845</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45845</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45845</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45845</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45845</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45845</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45845</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45845</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45845</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45845</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45845</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45976-2024</t>
        </is>
      </c>
      <c r="B29" s="1" t="n">
        <v>45580</v>
      </c>
      <c r="C29" s="1" t="n">
        <v>45845</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v>
      </c>
      <c r="C30" s="1" t="n">
        <v>45845</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15274-2025</t>
        </is>
      </c>
      <c r="B31" s="1" t="n">
        <v>45744</v>
      </c>
      <c r="C31" s="1" t="n">
        <v>45845</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HYPERLINK("https://klasma.github.io/Logging_222281/artfynd/A 15274-2025 artfynd.xlsx", "A 15274-2025")</f>
        <v/>
      </c>
      <c r="T31">
        <f>HYPERLINK("https://klasma.github.io/Logging_222281/kartor/A 15274-2025 karta.png", "A 15274-2025")</f>
        <v/>
      </c>
      <c r="U31">
        <f>HYPERLINK("https://klasma.github.io/Logging_222281/knärot/A 15274-2025 karta knärot.png", "A 15274-2025")</f>
        <v/>
      </c>
      <c r="V31">
        <f>HYPERLINK("https://klasma.github.io/Logging_222281/klagomål/A 15274-2025 FSC-klagomål.docx", "A 15274-2025")</f>
        <v/>
      </c>
      <c r="W31">
        <f>HYPERLINK("https://klasma.github.io/Logging_222281/klagomålsmail/A 15274-2025 FSC-klagomål mail.docx", "A 15274-2025")</f>
        <v/>
      </c>
      <c r="X31">
        <f>HYPERLINK("https://klasma.github.io/Logging_222281/tillsyn/A 15274-2025 tillsynsbegäran.docx", "A 15274-2025")</f>
        <v/>
      </c>
      <c r="Y31">
        <f>HYPERLINK("https://klasma.github.io/Logging_222281/tillsynsmail/A 15274-2025 tillsynsbegäran mail.docx", "A 15274-2025")</f>
        <v/>
      </c>
      <c r="Z31">
        <f>HYPERLINK("https://klasma.github.io/Logging_222281/fåglar/A 15274-2025 prioriterade fågelarter.docx", "A 15274-2025")</f>
        <v/>
      </c>
    </row>
    <row r="32" ht="15" customHeight="1">
      <c r="A32" t="inlineStr">
        <is>
          <t>A 19827-2025</t>
        </is>
      </c>
      <c r="B32" s="1" t="n">
        <v>45771</v>
      </c>
      <c r="C32" s="1" t="n">
        <v>45845</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c r="Z32">
        <f>HYPERLINK("https://klasma.github.io/Logging_222281/fåglar/A 19827-2025 prioriterade fågelarter.docx", "A 19827-2025")</f>
        <v/>
      </c>
    </row>
    <row r="33" ht="15" customHeight="1">
      <c r="A33" t="inlineStr">
        <is>
          <t>A 24498-2025</t>
        </is>
      </c>
      <c r="B33" s="1" t="n">
        <v>45798</v>
      </c>
      <c r="C33" s="1" t="n">
        <v>45845</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HYPERLINK("https://klasma.github.io/Logging_222281/artfynd/A 24498-2025 artfynd.xlsx", "A 24498-2025")</f>
        <v/>
      </c>
      <c r="T33">
        <f>HYPERLINK("https://klasma.github.io/Logging_222281/kartor/A 24498-2025 karta.png", "A 24498-2025")</f>
        <v/>
      </c>
      <c r="V33">
        <f>HYPERLINK("https://klasma.github.io/Logging_222281/klagomål/A 24498-2025 FSC-klagomål.docx", "A 24498-2025")</f>
        <v/>
      </c>
      <c r="W33">
        <f>HYPERLINK("https://klasma.github.io/Logging_222281/klagomålsmail/A 24498-2025 FSC-klagomål mail.docx", "A 24498-2025")</f>
        <v/>
      </c>
      <c r="X33">
        <f>HYPERLINK("https://klasma.github.io/Logging_222281/tillsyn/A 24498-2025 tillsynsbegäran.docx", "A 24498-2025")</f>
        <v/>
      </c>
      <c r="Y33">
        <f>HYPERLINK("https://klasma.github.io/Logging_222281/tillsynsmail/A 24498-2025 tillsynsbegäran mail.docx", "A 24498-2025")</f>
        <v/>
      </c>
      <c r="Z33">
        <f>HYPERLINK("https://klasma.github.io/Logging_222281/fåglar/A 24498-2025 prioriterade fågelarter.docx", "A 24498-2025")</f>
        <v/>
      </c>
    </row>
    <row r="34" ht="15" customHeight="1">
      <c r="A34" t="inlineStr">
        <is>
          <t>A 27404-2020</t>
        </is>
      </c>
      <c r="B34" s="1" t="n">
        <v>43992</v>
      </c>
      <c r="C34" s="1" t="n">
        <v>45845</v>
      </c>
      <c r="D34" t="inlineStr">
        <is>
          <t>VÄSTERNORRLANDS LÄN</t>
        </is>
      </c>
      <c r="E34" t="inlineStr">
        <is>
          <t>SUNDSVALL</t>
        </is>
      </c>
      <c r="G34" t="n">
        <v>6.5</v>
      </c>
      <c r="H34" t="n">
        <v>2</v>
      </c>
      <c r="I34" t="n">
        <v>3</v>
      </c>
      <c r="J34" t="n">
        <v>5</v>
      </c>
      <c r="K34" t="n">
        <v>1</v>
      </c>
      <c r="L34" t="n">
        <v>0</v>
      </c>
      <c r="M34" t="n">
        <v>0</v>
      </c>
      <c r="N34" t="n">
        <v>0</v>
      </c>
      <c r="O34" t="n">
        <v>6</v>
      </c>
      <c r="P34" t="n">
        <v>1</v>
      </c>
      <c r="Q34" t="n">
        <v>9</v>
      </c>
      <c r="R34" s="2" t="inlineStr">
        <is>
          <t>Knärot
Duvhök
Grynig filtlav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44496-2020</t>
        </is>
      </c>
      <c r="B35" s="1" t="n">
        <v>44084</v>
      </c>
      <c r="C35" s="1" t="n">
        <v>45845</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22621-2023</t>
        </is>
      </c>
      <c r="B36" s="1" t="n">
        <v>45071</v>
      </c>
      <c r="C36" s="1" t="n">
        <v>45845</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45845</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20751-2024</t>
        </is>
      </c>
      <c r="B38" s="1" t="n">
        <v>45436</v>
      </c>
      <c r="C38" s="1" t="n">
        <v>45845</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45845</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47177-2024</t>
        </is>
      </c>
      <c r="B40" s="1" t="n">
        <v>45586</v>
      </c>
      <c r="C40" s="1" t="n">
        <v>45845</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57857-2022</t>
        </is>
      </c>
      <c r="B41" s="1" t="n">
        <v>44898</v>
      </c>
      <c r="C41" s="1" t="n">
        <v>45845</v>
      </c>
      <c r="D41" t="inlineStr">
        <is>
          <t>VÄSTERNORRLANDS LÄN</t>
        </is>
      </c>
      <c r="E41" t="inlineStr">
        <is>
          <t>SUNDSVALL</t>
        </is>
      </c>
      <c r="F41" t="inlineStr">
        <is>
          <t>SCA</t>
        </is>
      </c>
      <c r="G41" t="n">
        <v>20.6</v>
      </c>
      <c r="H41" t="n">
        <v>2</v>
      </c>
      <c r="I41" t="n">
        <v>3</v>
      </c>
      <c r="J41" t="n">
        <v>3</v>
      </c>
      <c r="K41" t="n">
        <v>0</v>
      </c>
      <c r="L41" t="n">
        <v>0</v>
      </c>
      <c r="M41" t="n">
        <v>0</v>
      </c>
      <c r="N41" t="n">
        <v>0</v>
      </c>
      <c r="O41" t="n">
        <v>3</v>
      </c>
      <c r="P41" t="n">
        <v>0</v>
      </c>
      <c r="Q41" t="n">
        <v>8</v>
      </c>
      <c r="R41" s="2" t="inlineStr">
        <is>
          <t>Granticka
Orange taggsvamp
Ullticka
Björksplintborre
Grönpyrola
Vågbandad barkbock
Nattviol
Blåsippa</t>
        </is>
      </c>
      <c r="S41">
        <f>HYPERLINK("https://klasma.github.io/Logging_2281/artfynd/A 57857-2022 artfynd.xlsx", "A 57857-2022")</f>
        <v/>
      </c>
      <c r="T41">
        <f>HYPERLINK("https://klasma.github.io/Logging_2281/kartor/A 57857-2022 karta.png", "A 57857-2022")</f>
        <v/>
      </c>
      <c r="V41">
        <f>HYPERLINK("https://klasma.github.io/Logging_2281/klagomål/A 57857-2022 FSC-klagomål.docx", "A 57857-2022")</f>
        <v/>
      </c>
      <c r="W41">
        <f>HYPERLINK("https://klasma.github.io/Logging_2281/klagomålsmail/A 57857-2022 FSC-klagomål mail.docx", "A 57857-2022")</f>
        <v/>
      </c>
      <c r="X41">
        <f>HYPERLINK("https://klasma.github.io/Logging_2281/tillsyn/A 57857-2022 tillsynsbegäran.docx", "A 57857-2022")</f>
        <v/>
      </c>
      <c r="Y41">
        <f>HYPERLINK("https://klasma.github.io/Logging_2281/tillsynsmail/A 57857-2022 tillsynsbegäran mail.docx", "A 57857-2022")</f>
        <v/>
      </c>
    </row>
    <row r="42" ht="15" customHeight="1">
      <c r="A42" t="inlineStr">
        <is>
          <t>A 62083-2022</t>
        </is>
      </c>
      <c r="B42" s="1" t="n">
        <v>44918</v>
      </c>
      <c r="C42" s="1" t="n">
        <v>45845</v>
      </c>
      <c r="D42" t="inlineStr">
        <is>
          <t>VÄSTERNORRLANDS LÄN</t>
        </is>
      </c>
      <c r="E42" t="inlineStr">
        <is>
          <t>SUNDSVALL</t>
        </is>
      </c>
      <c r="F42" t="inlineStr">
        <is>
          <t>SCA</t>
        </is>
      </c>
      <c r="G42" t="n">
        <v>3.5</v>
      </c>
      <c r="H42" t="n">
        <v>1</v>
      </c>
      <c r="I42" t="n">
        <v>3</v>
      </c>
      <c r="J42" t="n">
        <v>4</v>
      </c>
      <c r="K42" t="n">
        <v>1</v>
      </c>
      <c r="L42" t="n">
        <v>0</v>
      </c>
      <c r="M42" t="n">
        <v>0</v>
      </c>
      <c r="N42" t="n">
        <v>0</v>
      </c>
      <c r="O42" t="n">
        <v>5</v>
      </c>
      <c r="P42" t="n">
        <v>1</v>
      </c>
      <c r="Q42" t="n">
        <v>8</v>
      </c>
      <c r="R42" s="2" t="inlineStr">
        <is>
          <t>Knärot
Garnlav
Lunglav
Ullticka
Vitgrynig nållav
Kattfotslav
Vedticka
Vågbandad barkbock</t>
        </is>
      </c>
      <c r="S42">
        <f>HYPERLINK("https://klasma.github.io/Logging_2281/artfynd/A 62083-2022 artfynd.xlsx", "A 62083-2022")</f>
        <v/>
      </c>
      <c r="T42">
        <f>HYPERLINK("https://klasma.github.io/Logging_2281/kartor/A 62083-2022 karta.png", "A 62083-2022")</f>
        <v/>
      </c>
      <c r="U42">
        <f>HYPERLINK("https://klasma.github.io/Logging_2281/knärot/A 62083-2022 karta knärot.png", "A 62083-2022")</f>
        <v/>
      </c>
      <c r="V42">
        <f>HYPERLINK("https://klasma.github.io/Logging_2281/klagomål/A 62083-2022 FSC-klagomål.docx", "A 62083-2022")</f>
        <v/>
      </c>
      <c r="W42">
        <f>HYPERLINK("https://klasma.github.io/Logging_2281/klagomålsmail/A 62083-2022 FSC-klagomål mail.docx", "A 62083-2022")</f>
        <v/>
      </c>
      <c r="X42">
        <f>HYPERLINK("https://klasma.github.io/Logging_2281/tillsyn/A 62083-2022 tillsynsbegäran.docx", "A 62083-2022")</f>
        <v/>
      </c>
      <c r="Y42">
        <f>HYPERLINK("https://klasma.github.io/Logging_2281/tillsynsmail/A 62083-2022 tillsynsbegäran mail.docx", "A 62083-2022")</f>
        <v/>
      </c>
    </row>
    <row r="43" ht="15" customHeight="1">
      <c r="A43" t="inlineStr">
        <is>
          <t>A 22228-2023</t>
        </is>
      </c>
      <c r="B43" s="1" t="n">
        <v>45069</v>
      </c>
      <c r="C43" s="1" t="n">
        <v>45845</v>
      </c>
      <c r="D43" t="inlineStr">
        <is>
          <t>VÄSTERNORRLANDS LÄN</t>
        </is>
      </c>
      <c r="E43" t="inlineStr">
        <is>
          <t>SUNDSVALL</t>
        </is>
      </c>
      <c r="F43" t="inlineStr">
        <is>
          <t>SCA</t>
        </is>
      </c>
      <c r="G43" t="n">
        <v>5.1</v>
      </c>
      <c r="H43" t="n">
        <v>2</v>
      </c>
      <c r="I43" t="n">
        <v>3</v>
      </c>
      <c r="J43" t="n">
        <v>4</v>
      </c>
      <c r="K43" t="n">
        <v>1</v>
      </c>
      <c r="L43" t="n">
        <v>0</v>
      </c>
      <c r="M43" t="n">
        <v>0</v>
      </c>
      <c r="N43" t="n">
        <v>0</v>
      </c>
      <c r="O43" t="n">
        <v>5</v>
      </c>
      <c r="P43" t="n">
        <v>1</v>
      </c>
      <c r="Q43" t="n">
        <v>8</v>
      </c>
      <c r="R43" s="2" t="inlineStr">
        <is>
          <t>Knärot
Garnlav
Kolflarnlav
Lunglav
Ullticka
Plattlummer
Skinnlav
Stuplav</t>
        </is>
      </c>
      <c r="S43">
        <f>HYPERLINK("https://klasma.github.io/Logging_2281/artfynd/A 22228-2023 artfynd.xlsx", "A 22228-2023")</f>
        <v/>
      </c>
      <c r="T43">
        <f>HYPERLINK("https://klasma.github.io/Logging_2281/kartor/A 22228-2023 karta.png", "A 22228-2023")</f>
        <v/>
      </c>
      <c r="U43">
        <f>HYPERLINK("https://klasma.github.io/Logging_2281/knärot/A 22228-2023 karta knärot.png", "A 22228-2023")</f>
        <v/>
      </c>
      <c r="V43">
        <f>HYPERLINK("https://klasma.github.io/Logging_2281/klagomål/A 22228-2023 FSC-klagomål.docx", "A 22228-2023")</f>
        <v/>
      </c>
      <c r="W43">
        <f>HYPERLINK("https://klasma.github.io/Logging_2281/klagomålsmail/A 22228-2023 FSC-klagomål mail.docx", "A 22228-2023")</f>
        <v/>
      </c>
      <c r="X43">
        <f>HYPERLINK("https://klasma.github.io/Logging_2281/tillsyn/A 22228-2023 tillsynsbegäran.docx", "A 22228-2023")</f>
        <v/>
      </c>
      <c r="Y43">
        <f>HYPERLINK("https://klasma.github.io/Logging_2281/tillsynsmail/A 22228-2023 tillsynsbegäran mail.docx", "A 22228-2023")</f>
        <v/>
      </c>
    </row>
    <row r="44" ht="15" customHeight="1">
      <c r="A44" t="inlineStr">
        <is>
          <t>A 54345-2023</t>
        </is>
      </c>
      <c r="B44" s="1" t="n">
        <v>45232</v>
      </c>
      <c r="C44" s="1" t="n">
        <v>45845</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33746-2024</t>
        </is>
      </c>
      <c r="B45" s="1" t="n">
        <v>45520</v>
      </c>
      <c r="C45" s="1" t="n">
        <v>45845</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46124-2024</t>
        </is>
      </c>
      <c r="B46" s="1" t="n">
        <v>45581</v>
      </c>
      <c r="C46" s="1" t="n">
        <v>45845</v>
      </c>
      <c r="D46" t="inlineStr">
        <is>
          <t>VÄSTERNORRLANDS LÄN</t>
        </is>
      </c>
      <c r="E46" t="inlineStr">
        <is>
          <t>SUNDSVALL</t>
        </is>
      </c>
      <c r="G46" t="n">
        <v>6.2</v>
      </c>
      <c r="H46" t="n">
        <v>4</v>
      </c>
      <c r="I46" t="n">
        <v>2</v>
      </c>
      <c r="J46" t="n">
        <v>3</v>
      </c>
      <c r="K46" t="n">
        <v>1</v>
      </c>
      <c r="L46" t="n">
        <v>0</v>
      </c>
      <c r="M46" t="n">
        <v>0</v>
      </c>
      <c r="N46" t="n">
        <v>0</v>
      </c>
      <c r="O46" t="n">
        <v>4</v>
      </c>
      <c r="P46" t="n">
        <v>1</v>
      </c>
      <c r="Q46" t="n">
        <v>8</v>
      </c>
      <c r="R46" s="2" t="inlineStr">
        <is>
          <t>Knärot
Gränsticka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4856-2025</t>
        </is>
      </c>
      <c r="B47" s="1" t="n">
        <v>45688</v>
      </c>
      <c r="C47" s="1" t="n">
        <v>45845</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v>
      </c>
      <c r="C48" s="1" t="n">
        <v>45845</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HYPERLINK("https://klasma.github.io/Logging_222281/artfynd/A 9566-2025 artfynd.xlsx", "A 9566-2025")</f>
        <v/>
      </c>
      <c r="T48">
        <f>HYPERLINK("https://klasma.github.io/Logging_222281/kartor/A 9566-2025 karta.png", "A 9566-2025")</f>
        <v/>
      </c>
      <c r="U48">
        <f>HYPERLINK("https://klasma.github.io/Logging_222281/knärot/A 9566-2025 karta knärot.png", "A 9566-2025")</f>
        <v/>
      </c>
      <c r="V48">
        <f>HYPERLINK("https://klasma.github.io/Logging_222281/klagomål/A 9566-2025 FSC-klagomål.docx", "A 9566-2025")</f>
        <v/>
      </c>
      <c r="W48">
        <f>HYPERLINK("https://klasma.github.io/Logging_222281/klagomålsmail/A 9566-2025 FSC-klagomål mail.docx", "A 9566-2025")</f>
        <v/>
      </c>
      <c r="X48">
        <f>HYPERLINK("https://klasma.github.io/Logging_222281/tillsyn/A 9566-2025 tillsynsbegäran.docx", "A 9566-2025")</f>
        <v/>
      </c>
      <c r="Y48">
        <f>HYPERLINK("https://klasma.github.io/Logging_222281/tillsynsmail/A 9566-2025 tillsynsbegäran mail.docx", "A 9566-2025")</f>
        <v/>
      </c>
      <c r="Z48">
        <f>HYPERLINK("https://klasma.github.io/Logging_222281/fåglar/A 9566-2025 prioriterade fågelarter.docx", "A 9566-2025")</f>
        <v/>
      </c>
    </row>
    <row r="49" ht="15" customHeight="1">
      <c r="A49" t="inlineStr">
        <is>
          <t>A 12205-2025</t>
        </is>
      </c>
      <c r="B49" s="1" t="n">
        <v>45729</v>
      </c>
      <c r="C49" s="1" t="n">
        <v>45845</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HYPERLINK("https://klasma.github.io/Logging_222281/artfynd/A 12205-2025 artfynd.xlsx", "A 12205-2025")</f>
        <v/>
      </c>
      <c r="T49">
        <f>HYPERLINK("https://klasma.github.io/Logging_222281/kartor/A 12205-2025 karta.png", "A 12205-2025")</f>
        <v/>
      </c>
      <c r="V49">
        <f>HYPERLINK("https://klasma.github.io/Logging_222281/klagomål/A 12205-2025 FSC-klagomål.docx", "A 12205-2025")</f>
        <v/>
      </c>
      <c r="W49">
        <f>HYPERLINK("https://klasma.github.io/Logging_222281/klagomålsmail/A 12205-2025 FSC-klagomål mail.docx", "A 12205-2025")</f>
        <v/>
      </c>
      <c r="X49">
        <f>HYPERLINK("https://klasma.github.io/Logging_222281/tillsyn/A 12205-2025 tillsynsbegäran.docx", "A 12205-2025")</f>
        <v/>
      </c>
      <c r="Y49">
        <f>HYPERLINK("https://klasma.github.io/Logging_222281/tillsynsmail/A 12205-2025 tillsynsbegäran mail.docx", "A 12205-2025")</f>
        <v/>
      </c>
      <c r="Z49">
        <f>HYPERLINK("https://klasma.github.io/Logging_222281/fåglar/A 12205-2025 prioriterade fågelarter.docx", "A 12205-2025")</f>
        <v/>
      </c>
    </row>
    <row r="50" ht="15" customHeight="1">
      <c r="A50" t="inlineStr">
        <is>
          <t>A 15142-2025</t>
        </is>
      </c>
      <c r="B50" s="1" t="n">
        <v>45744</v>
      </c>
      <c r="C50" s="1" t="n">
        <v>45845</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HYPERLINK("https://klasma.github.io/Logging_222281/artfynd/A 15142-2025 artfynd.xlsx", "A 15142-2025")</f>
        <v/>
      </c>
      <c r="T50">
        <f>HYPERLINK("https://klasma.github.io/Logging_222281/kartor/A 15142-2025 karta.png", "A 15142-2025")</f>
        <v/>
      </c>
      <c r="U50">
        <f>HYPERLINK("https://klasma.github.io/Logging_222281/knärot/A 15142-2025 karta knärot.png", "A 15142-2025")</f>
        <v/>
      </c>
      <c r="V50">
        <f>HYPERLINK("https://klasma.github.io/Logging_222281/klagomål/A 15142-2025 FSC-klagomål.docx", "A 15142-2025")</f>
        <v/>
      </c>
      <c r="W50">
        <f>HYPERLINK("https://klasma.github.io/Logging_222281/klagomålsmail/A 15142-2025 FSC-klagomål mail.docx", "A 15142-2025")</f>
        <v/>
      </c>
      <c r="X50">
        <f>HYPERLINK("https://klasma.github.io/Logging_222281/tillsyn/A 15142-2025 tillsynsbegäran.docx", "A 15142-2025")</f>
        <v/>
      </c>
      <c r="Y50">
        <f>HYPERLINK("https://klasma.github.io/Logging_222281/tillsynsmail/A 15142-2025 tillsynsbegäran mail.docx", "A 15142-2025")</f>
        <v/>
      </c>
    </row>
    <row r="51" ht="15" customHeight="1">
      <c r="A51" t="inlineStr">
        <is>
          <t>A 24424-2025</t>
        </is>
      </c>
      <c r="B51" s="1" t="n">
        <v>45797</v>
      </c>
      <c r="C51" s="1" t="n">
        <v>45845</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HYPERLINK("https://klasma.github.io/Logging_222281/artfynd/A 24424-2025 artfynd.xlsx", "A 24424-2025")</f>
        <v/>
      </c>
      <c r="T51">
        <f>HYPERLINK("https://klasma.github.io/Logging_222281/kartor/A 24424-2025 karta.png", "A 24424-2025")</f>
        <v/>
      </c>
      <c r="V51">
        <f>HYPERLINK("https://klasma.github.io/Logging_222281/klagomål/A 24424-2025 FSC-klagomål.docx", "A 24424-2025")</f>
        <v/>
      </c>
      <c r="W51">
        <f>HYPERLINK("https://klasma.github.io/Logging_222281/klagomålsmail/A 24424-2025 FSC-klagomål mail.docx", "A 24424-2025")</f>
        <v/>
      </c>
      <c r="X51">
        <f>HYPERLINK("https://klasma.github.io/Logging_222281/tillsyn/A 24424-2025 tillsynsbegäran.docx", "A 24424-2025")</f>
        <v/>
      </c>
      <c r="Y51">
        <f>HYPERLINK("https://klasma.github.io/Logging_222281/tillsynsmail/A 24424-2025 tillsynsbegäran mail.docx", "A 24424-2025")</f>
        <v/>
      </c>
      <c r="Z51">
        <f>HYPERLINK("https://klasma.github.io/Logging_222281/fåglar/A 24424-2025 prioriterade fågelarter.docx", "A 24424-2025")</f>
        <v/>
      </c>
    </row>
    <row r="52" ht="15" customHeight="1">
      <c r="A52" t="inlineStr">
        <is>
          <t>A 48150-2020</t>
        </is>
      </c>
      <c r="B52" s="1" t="n">
        <v>44091</v>
      </c>
      <c r="C52" s="1" t="n">
        <v>45845</v>
      </c>
      <c r="D52" t="inlineStr">
        <is>
          <t>VÄSTERNORRLANDS LÄN</t>
        </is>
      </c>
      <c r="E52" t="inlineStr">
        <is>
          <t>SUNDSVALL</t>
        </is>
      </c>
      <c r="G52" t="n">
        <v>0.6</v>
      </c>
      <c r="H52" t="n">
        <v>1</v>
      </c>
      <c r="I52" t="n">
        <v>5</v>
      </c>
      <c r="J52" t="n">
        <v>0</v>
      </c>
      <c r="K52" t="n">
        <v>0</v>
      </c>
      <c r="L52" t="n">
        <v>1</v>
      </c>
      <c r="M52" t="n">
        <v>0</v>
      </c>
      <c r="N52" t="n">
        <v>0</v>
      </c>
      <c r="O52" t="n">
        <v>1</v>
      </c>
      <c r="P52" t="n">
        <v>1</v>
      </c>
      <c r="Q52" t="n">
        <v>7</v>
      </c>
      <c r="R52" s="2" t="inlineStr">
        <is>
          <t>Piggfjällskivling
Droppklibbskivling
Svart trolldruva
Svavelriska
Toppvaxing
Ängsvaxskivling
Blåsippa</t>
        </is>
      </c>
      <c r="S52">
        <f>HYPERLINK("https://klasma.github.io/Logging_2281/artfynd/A 48150-2020 artfynd.xlsx", "A 48150-2020")</f>
        <v/>
      </c>
      <c r="T52">
        <f>HYPERLINK("https://klasma.github.io/Logging_2281/kartor/A 48150-2020 karta.png", "A 48150-2020")</f>
        <v/>
      </c>
      <c r="V52">
        <f>HYPERLINK("https://klasma.github.io/Logging_2281/klagomål/A 48150-2020 FSC-klagomål.docx", "A 48150-2020")</f>
        <v/>
      </c>
      <c r="W52">
        <f>HYPERLINK("https://klasma.github.io/Logging_2281/klagomålsmail/A 48150-2020 FSC-klagomål mail.docx", "A 48150-2020")</f>
        <v/>
      </c>
      <c r="X52">
        <f>HYPERLINK("https://klasma.github.io/Logging_2281/tillsyn/A 48150-2020 tillsynsbegäran.docx", "A 48150-2020")</f>
        <v/>
      </c>
      <c r="Y52">
        <f>HYPERLINK("https://klasma.github.io/Logging_2281/tillsynsmail/A 48150-2020 tillsynsbegäran mail.docx", "A 48150-2020")</f>
        <v/>
      </c>
    </row>
    <row r="53" ht="15" customHeight="1">
      <c r="A53" t="inlineStr">
        <is>
          <t>A 25270-2022</t>
        </is>
      </c>
      <c r="B53" s="1" t="n">
        <v>44729</v>
      </c>
      <c r="C53" s="1" t="n">
        <v>45845</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37814-2023</t>
        </is>
      </c>
      <c r="B54" s="1" t="n">
        <v>45160</v>
      </c>
      <c r="C54" s="1" t="n">
        <v>45845</v>
      </c>
      <c r="D54" t="inlineStr">
        <is>
          <t>VÄSTERNORRLANDS LÄN</t>
        </is>
      </c>
      <c r="E54" t="inlineStr">
        <is>
          <t>SUNDSVALL</t>
        </is>
      </c>
      <c r="F54" t="inlineStr">
        <is>
          <t>SCA</t>
        </is>
      </c>
      <c r="G54" t="n">
        <v>1.8</v>
      </c>
      <c r="H54" t="n">
        <v>6</v>
      </c>
      <c r="I54" t="n">
        <v>0</v>
      </c>
      <c r="J54" t="n">
        <v>4</v>
      </c>
      <c r="K54" t="n">
        <v>0</v>
      </c>
      <c r="L54" t="n">
        <v>0</v>
      </c>
      <c r="M54" t="n">
        <v>0</v>
      </c>
      <c r="N54" t="n">
        <v>0</v>
      </c>
      <c r="O54" t="n">
        <v>4</v>
      </c>
      <c r="P54" t="n">
        <v>0</v>
      </c>
      <c r="Q54" t="n">
        <v>7</v>
      </c>
      <c r="R54" s="2" t="inlineStr">
        <is>
          <t>Garnlav
Spillkråka
Talltita
Tretåig hackspett
Kungsfågel
Tjäder
Revlummer</t>
        </is>
      </c>
      <c r="S54">
        <f>HYPERLINK("https://klasma.github.io/Logging_2281/artfynd/A 37814-2023 artfynd.xlsx", "A 37814-2023")</f>
        <v/>
      </c>
      <c r="T54">
        <f>HYPERLINK("https://klasma.github.io/Logging_2281/kartor/A 37814-2023 karta.png", "A 37814-2023")</f>
        <v/>
      </c>
      <c r="V54">
        <f>HYPERLINK("https://klasma.github.io/Logging_2281/klagomål/A 37814-2023 FSC-klagomål.docx", "A 37814-2023")</f>
        <v/>
      </c>
      <c r="W54">
        <f>HYPERLINK("https://klasma.github.io/Logging_2281/klagomålsmail/A 37814-2023 FSC-klagomål mail.docx", "A 37814-2023")</f>
        <v/>
      </c>
      <c r="X54">
        <f>HYPERLINK("https://klasma.github.io/Logging_2281/tillsyn/A 37814-2023 tillsynsbegäran.docx", "A 37814-2023")</f>
        <v/>
      </c>
      <c r="Y54">
        <f>HYPERLINK("https://klasma.github.io/Logging_2281/tillsynsmail/A 37814-2023 tillsynsbegäran mail.docx", "A 37814-2023")</f>
        <v/>
      </c>
      <c r="Z54">
        <f>HYPERLINK("https://klasma.github.io/Logging_2281/fåglar/A 37814-2023 prioriterade fågelarter.docx", "A 37814-2023")</f>
        <v/>
      </c>
    </row>
    <row r="55" ht="15" customHeight="1">
      <c r="A55" t="inlineStr">
        <is>
          <t>A 48506-2023</t>
        </is>
      </c>
      <c r="B55" s="1" t="n">
        <v>45207</v>
      </c>
      <c r="C55" s="1" t="n">
        <v>45845</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48783-2023</t>
        </is>
      </c>
      <c r="B56" s="1" t="n">
        <v>45208</v>
      </c>
      <c r="C56" s="1" t="n">
        <v>45845</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16656-2025</t>
        </is>
      </c>
      <c r="B57" s="1" t="n">
        <v>45754</v>
      </c>
      <c r="C57" s="1" t="n">
        <v>45845</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HYPERLINK("https://klasma.github.io/Logging_222281/artfynd/A 16656-2025 artfynd.xlsx", "A 16656-2025")</f>
        <v/>
      </c>
      <c r="T57">
        <f>HYPERLINK("https://klasma.github.io/Logging_222281/kartor/A 16656-2025 karta.png", "A 16656-2025")</f>
        <v/>
      </c>
      <c r="V57">
        <f>HYPERLINK("https://klasma.github.io/Logging_222281/klagomål/A 16656-2025 FSC-klagomål.docx", "A 16656-2025")</f>
        <v/>
      </c>
      <c r="W57">
        <f>HYPERLINK("https://klasma.github.io/Logging_222281/klagomålsmail/A 16656-2025 FSC-klagomål mail.docx", "A 16656-2025")</f>
        <v/>
      </c>
      <c r="X57">
        <f>HYPERLINK("https://klasma.github.io/Logging_222281/tillsyn/A 16656-2025 tillsynsbegäran.docx", "A 16656-2025")</f>
        <v/>
      </c>
      <c r="Y57">
        <f>HYPERLINK("https://klasma.github.io/Logging_222281/tillsynsmail/A 16656-2025 tillsynsbegäran mail.docx", "A 16656-2025")</f>
        <v/>
      </c>
      <c r="Z57">
        <f>HYPERLINK("https://klasma.github.io/Logging_222281/fåglar/A 16656-2025 prioriterade fågelarter.docx", "A 16656-2025")</f>
        <v/>
      </c>
    </row>
    <row r="58" ht="15" customHeight="1">
      <c r="A58" t="inlineStr">
        <is>
          <t>A 16933-2025</t>
        </is>
      </c>
      <c r="B58" s="1" t="n">
        <v>45755</v>
      </c>
      <c r="C58" s="1" t="n">
        <v>45845</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HYPERLINK("https://klasma.github.io/Logging_222281/artfynd/A 16933-2025 artfynd.xlsx", "A 16933-2025")</f>
        <v/>
      </c>
      <c r="T58">
        <f>HYPERLINK("https://klasma.github.io/Logging_222281/kartor/A 16933-2025 karta.png", "A 16933-2025")</f>
        <v/>
      </c>
      <c r="V58">
        <f>HYPERLINK("https://klasma.github.io/Logging_222281/klagomål/A 16933-2025 FSC-klagomål.docx", "A 16933-2025")</f>
        <v/>
      </c>
      <c r="W58">
        <f>HYPERLINK("https://klasma.github.io/Logging_222281/klagomålsmail/A 16933-2025 FSC-klagomål mail.docx", "A 16933-2025")</f>
        <v/>
      </c>
      <c r="X58">
        <f>HYPERLINK("https://klasma.github.io/Logging_222281/tillsyn/A 16933-2025 tillsynsbegäran.docx", "A 16933-2025")</f>
        <v/>
      </c>
      <c r="Y58">
        <f>HYPERLINK("https://klasma.github.io/Logging_222281/tillsynsmail/A 16933-2025 tillsynsbegäran mail.docx", "A 16933-2025")</f>
        <v/>
      </c>
      <c r="Z58">
        <f>HYPERLINK("https://klasma.github.io/Logging_222281/fåglar/A 16933-2025 prioriterade fågelarter.docx", "A 16933-2025")</f>
        <v/>
      </c>
    </row>
    <row r="59" ht="15" customHeight="1">
      <c r="A59" t="inlineStr">
        <is>
          <t>A 18981-2025</t>
        </is>
      </c>
      <c r="B59" s="1" t="n">
        <v>45764</v>
      </c>
      <c r="C59" s="1" t="n">
        <v>45845</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HYPERLINK("https://klasma.github.io/Logging_222281/artfynd/A 18981-2025 artfynd.xlsx", "A 18981-2025")</f>
        <v/>
      </c>
      <c r="T59">
        <f>HYPERLINK("https://klasma.github.io/Logging_222281/kartor/A 18981-2025 karta.png", "A 18981-2025")</f>
        <v/>
      </c>
      <c r="V59">
        <f>HYPERLINK("https://klasma.github.io/Logging_222281/klagomål/A 18981-2025 FSC-klagomål.docx", "A 18981-2025")</f>
        <v/>
      </c>
      <c r="W59">
        <f>HYPERLINK("https://klasma.github.io/Logging_222281/klagomålsmail/A 18981-2025 FSC-klagomål mail.docx", "A 18981-2025")</f>
        <v/>
      </c>
      <c r="X59">
        <f>HYPERLINK("https://klasma.github.io/Logging_222281/tillsyn/A 18981-2025 tillsynsbegäran.docx", "A 18981-2025")</f>
        <v/>
      </c>
      <c r="Y59">
        <f>HYPERLINK("https://klasma.github.io/Logging_222281/tillsynsmail/A 18981-2025 tillsynsbegäran mail.docx", "A 18981-2025")</f>
        <v/>
      </c>
      <c r="Z59">
        <f>HYPERLINK("https://klasma.github.io/Logging_222281/fåglar/A 18981-2025 prioriterade fågelarter.docx", "A 18981-2025")</f>
        <v/>
      </c>
    </row>
    <row r="60" ht="15" customHeight="1">
      <c r="A60" t="inlineStr">
        <is>
          <t>A 20695-2025</t>
        </is>
      </c>
      <c r="B60" s="1" t="n">
        <v>45776</v>
      </c>
      <c r="C60" s="1" t="n">
        <v>45845</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HYPERLINK("https://klasma.github.io/Logging_222281/artfynd/A 20695-2025 artfynd.xlsx", "A 20695-2025")</f>
        <v/>
      </c>
      <c r="T60">
        <f>HYPERLINK("https://klasma.github.io/Logging_222281/kartor/A 20695-2025 karta.png", "A 20695-2025")</f>
        <v/>
      </c>
      <c r="V60">
        <f>HYPERLINK("https://klasma.github.io/Logging_222281/klagomål/A 20695-2025 FSC-klagomål.docx", "A 20695-2025")</f>
        <v/>
      </c>
      <c r="W60">
        <f>HYPERLINK("https://klasma.github.io/Logging_222281/klagomålsmail/A 20695-2025 FSC-klagomål mail.docx", "A 20695-2025")</f>
        <v/>
      </c>
      <c r="X60">
        <f>HYPERLINK("https://klasma.github.io/Logging_222281/tillsyn/A 20695-2025 tillsynsbegäran.docx", "A 20695-2025")</f>
        <v/>
      </c>
      <c r="Y60">
        <f>HYPERLINK("https://klasma.github.io/Logging_222281/tillsynsmail/A 20695-2025 tillsynsbegäran mail.docx", "A 20695-2025")</f>
        <v/>
      </c>
    </row>
    <row r="61" ht="15" customHeight="1">
      <c r="A61" t="inlineStr">
        <is>
          <t>A 32491-2025</t>
        </is>
      </c>
      <c r="B61" s="1" t="n">
        <v>45838</v>
      </c>
      <c r="C61" s="1" t="n">
        <v>45845</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HYPERLINK("https://klasma.github.io/Logging_222281/artfynd/A 32491-2025 artfynd.xlsx", "A 32491-2025")</f>
        <v/>
      </c>
      <c r="T61">
        <f>HYPERLINK("https://klasma.github.io/Logging_222281/kartor/A 32491-2025 karta.png", "A 32491-2025")</f>
        <v/>
      </c>
      <c r="V61">
        <f>HYPERLINK("https://klasma.github.io/Logging_222281/klagomål/A 32491-2025 FSC-klagomål.docx", "A 32491-2025")</f>
        <v/>
      </c>
      <c r="W61">
        <f>HYPERLINK("https://klasma.github.io/Logging_222281/klagomålsmail/A 32491-2025 FSC-klagomål mail.docx", "A 32491-2025")</f>
        <v/>
      </c>
      <c r="X61">
        <f>HYPERLINK("https://klasma.github.io/Logging_222281/tillsyn/A 32491-2025 tillsynsbegäran.docx", "A 32491-2025")</f>
        <v/>
      </c>
      <c r="Y61">
        <f>HYPERLINK("https://klasma.github.io/Logging_222281/tillsynsmail/A 32491-2025 tillsynsbegäran mail.docx", "A 32491-2025")</f>
        <v/>
      </c>
      <c r="Z61">
        <f>HYPERLINK("https://klasma.github.io/Logging_222281/fåglar/A 32491-2025 prioriterade fågelarter.docx", "A 32491-2025")</f>
        <v/>
      </c>
    </row>
    <row r="62" ht="15" customHeight="1">
      <c r="A62" t="inlineStr">
        <is>
          <t>A 8894-2020</t>
        </is>
      </c>
      <c r="B62" s="1" t="n">
        <v>43878</v>
      </c>
      <c r="C62" s="1" t="n">
        <v>45845</v>
      </c>
      <c r="D62" t="inlineStr">
        <is>
          <t>VÄSTERNORRLANDS LÄN</t>
        </is>
      </c>
      <c r="E62" t="inlineStr">
        <is>
          <t>SUNDSVALL</t>
        </is>
      </c>
      <c r="G62" t="n">
        <v>7.2</v>
      </c>
      <c r="H62" t="n">
        <v>6</v>
      </c>
      <c r="I62" t="n">
        <v>0</v>
      </c>
      <c r="J62" t="n">
        <v>3</v>
      </c>
      <c r="K62" t="n">
        <v>0</v>
      </c>
      <c r="L62" t="n">
        <v>0</v>
      </c>
      <c r="M62" t="n">
        <v>0</v>
      </c>
      <c r="N62" t="n">
        <v>0</v>
      </c>
      <c r="O62" t="n">
        <v>3</v>
      </c>
      <c r="P62" t="n">
        <v>0</v>
      </c>
      <c r="Q62" t="n">
        <v>6</v>
      </c>
      <c r="R62" s="2" t="inlineStr">
        <is>
          <t>Björktrast
Rödvingetrast
Utter
Gråspett
Orre
Sångsvan</t>
        </is>
      </c>
      <c r="S62">
        <f>HYPERLINK("https://klasma.github.io/Logging_2281/artfynd/A 8894-2020 artfynd.xlsx", "A 8894-2020")</f>
        <v/>
      </c>
      <c r="T62">
        <f>HYPERLINK("https://klasma.github.io/Logging_2281/kartor/A 8894-2020 karta.png", "A 8894-2020")</f>
        <v/>
      </c>
      <c r="V62">
        <f>HYPERLINK("https://klasma.github.io/Logging_2281/klagomål/A 8894-2020 FSC-klagomål.docx", "A 8894-2020")</f>
        <v/>
      </c>
      <c r="W62">
        <f>HYPERLINK("https://klasma.github.io/Logging_2281/klagomålsmail/A 8894-2020 FSC-klagomål mail.docx", "A 8894-2020")</f>
        <v/>
      </c>
      <c r="X62">
        <f>HYPERLINK("https://klasma.github.io/Logging_2281/tillsyn/A 8894-2020 tillsynsbegäran.docx", "A 8894-2020")</f>
        <v/>
      </c>
      <c r="Y62">
        <f>HYPERLINK("https://klasma.github.io/Logging_2281/tillsynsmail/A 8894-2020 tillsynsbegäran mail.docx", "A 8894-2020")</f>
        <v/>
      </c>
      <c r="Z62">
        <f>HYPERLINK("https://klasma.github.io/Logging_2281/fåglar/A 8894-2020 prioriterade fågelarter.docx", "A 8894-2020")</f>
        <v/>
      </c>
    </row>
    <row r="63" ht="15" customHeight="1">
      <c r="A63" t="inlineStr">
        <is>
          <t>A 58518-2022</t>
        </is>
      </c>
      <c r="B63" s="1" t="n">
        <v>44902</v>
      </c>
      <c r="C63" s="1" t="n">
        <v>45845</v>
      </c>
      <c r="D63" t="inlineStr">
        <is>
          <t>VÄSTERNORRLANDS LÄN</t>
        </is>
      </c>
      <c r="E63" t="inlineStr">
        <is>
          <t>SUNDSVALL</t>
        </is>
      </c>
      <c r="G63" t="n">
        <v>11.5</v>
      </c>
      <c r="H63" t="n">
        <v>6</v>
      </c>
      <c r="I63" t="n">
        <v>0</v>
      </c>
      <c r="J63" t="n">
        <v>6</v>
      </c>
      <c r="K63" t="n">
        <v>0</v>
      </c>
      <c r="L63" t="n">
        <v>0</v>
      </c>
      <c r="M63" t="n">
        <v>0</v>
      </c>
      <c r="N63" t="n">
        <v>0</v>
      </c>
      <c r="O63" t="n">
        <v>6</v>
      </c>
      <c r="P63" t="n">
        <v>0</v>
      </c>
      <c r="Q63" t="n">
        <v>6</v>
      </c>
      <c r="R63" s="2" t="inlineStr">
        <is>
          <t>Björktrast
Drillsnäppa
Havsörn
Spillkråka
Sötgräs
Tretåig hackspett</t>
        </is>
      </c>
      <c r="S63">
        <f>HYPERLINK("https://klasma.github.io/Logging_2281/artfynd/A 58518-2022 artfynd.xlsx", "A 58518-2022")</f>
        <v/>
      </c>
      <c r="T63">
        <f>HYPERLINK("https://klasma.github.io/Logging_2281/kartor/A 58518-2022 karta.png", "A 58518-2022")</f>
        <v/>
      </c>
      <c r="V63">
        <f>HYPERLINK("https://klasma.github.io/Logging_2281/klagomål/A 58518-2022 FSC-klagomål.docx", "A 58518-2022")</f>
        <v/>
      </c>
      <c r="W63">
        <f>HYPERLINK("https://klasma.github.io/Logging_2281/klagomålsmail/A 58518-2022 FSC-klagomål mail.docx", "A 58518-2022")</f>
        <v/>
      </c>
      <c r="X63">
        <f>HYPERLINK("https://klasma.github.io/Logging_2281/tillsyn/A 58518-2022 tillsynsbegäran.docx", "A 58518-2022")</f>
        <v/>
      </c>
      <c r="Y63">
        <f>HYPERLINK("https://klasma.github.io/Logging_2281/tillsynsmail/A 58518-2022 tillsynsbegäran mail.docx", "A 58518-2022")</f>
        <v/>
      </c>
      <c r="Z63">
        <f>HYPERLINK("https://klasma.github.io/Logging_2281/fåglar/A 58518-2022 prioriterade fågelarter.docx", "A 58518-2022")</f>
        <v/>
      </c>
    </row>
    <row r="64" ht="15" customHeight="1">
      <c r="A64" t="inlineStr">
        <is>
          <t>A 19016-2023</t>
        </is>
      </c>
      <c r="B64" s="1" t="n">
        <v>45045</v>
      </c>
      <c r="C64" s="1" t="n">
        <v>45845</v>
      </c>
      <c r="D64" t="inlineStr">
        <is>
          <t>VÄSTERNORRLANDS LÄN</t>
        </is>
      </c>
      <c r="E64" t="inlineStr">
        <is>
          <t>SUNDSVALL</t>
        </is>
      </c>
      <c r="F64" t="inlineStr">
        <is>
          <t>SCA</t>
        </is>
      </c>
      <c r="G64" t="n">
        <v>13.1</v>
      </c>
      <c r="H64" t="n">
        <v>3</v>
      </c>
      <c r="I64" t="n">
        <v>2</v>
      </c>
      <c r="J64" t="n">
        <v>2</v>
      </c>
      <c r="K64" t="n">
        <v>1</v>
      </c>
      <c r="L64" t="n">
        <v>0</v>
      </c>
      <c r="M64" t="n">
        <v>0</v>
      </c>
      <c r="N64" t="n">
        <v>0</v>
      </c>
      <c r="O64" t="n">
        <v>3</v>
      </c>
      <c r="P64" t="n">
        <v>1</v>
      </c>
      <c r="Q64" t="n">
        <v>6</v>
      </c>
      <c r="R64" s="2" t="inlineStr">
        <is>
          <t>Knärot
Granticka
Spillkråka
Bronshjon
Mörk husmossa
Blåsippa</t>
        </is>
      </c>
      <c r="S64">
        <f>HYPERLINK("https://klasma.github.io/Logging_2281/artfynd/A 19016-2023 artfynd.xlsx", "A 19016-2023")</f>
        <v/>
      </c>
      <c r="T64">
        <f>HYPERLINK("https://klasma.github.io/Logging_2281/kartor/A 19016-2023 karta.png", "A 19016-2023")</f>
        <v/>
      </c>
      <c r="U64">
        <f>HYPERLINK("https://klasma.github.io/Logging_2281/knärot/A 19016-2023 karta knärot.png", "A 19016-2023")</f>
        <v/>
      </c>
      <c r="V64">
        <f>HYPERLINK("https://klasma.github.io/Logging_2281/klagomål/A 19016-2023 FSC-klagomål.docx", "A 19016-2023")</f>
        <v/>
      </c>
      <c r="W64">
        <f>HYPERLINK("https://klasma.github.io/Logging_2281/klagomålsmail/A 19016-2023 FSC-klagomål mail.docx", "A 19016-2023")</f>
        <v/>
      </c>
      <c r="X64">
        <f>HYPERLINK("https://klasma.github.io/Logging_2281/tillsyn/A 19016-2023 tillsynsbegäran.docx", "A 19016-2023")</f>
        <v/>
      </c>
      <c r="Y64">
        <f>HYPERLINK("https://klasma.github.io/Logging_2281/tillsynsmail/A 19016-2023 tillsynsbegäran mail.docx", "A 19016-2023")</f>
        <v/>
      </c>
      <c r="Z64">
        <f>HYPERLINK("https://klasma.github.io/Logging_2281/fåglar/A 19016-2023 prioriterade fågelarter.docx", "A 19016-2023")</f>
        <v/>
      </c>
    </row>
    <row r="65" ht="15" customHeight="1">
      <c r="A65" t="inlineStr">
        <is>
          <t>A 25692-2023</t>
        </is>
      </c>
      <c r="B65" s="1" t="n">
        <v>45089</v>
      </c>
      <c r="C65" s="1" t="n">
        <v>45845</v>
      </c>
      <c r="D65" t="inlineStr">
        <is>
          <t>VÄSTERNORRLANDS LÄN</t>
        </is>
      </c>
      <c r="E65" t="inlineStr">
        <is>
          <t>SUNDSVALL</t>
        </is>
      </c>
      <c r="F65" t="inlineStr">
        <is>
          <t>SCA</t>
        </is>
      </c>
      <c r="G65" t="n">
        <v>12.2</v>
      </c>
      <c r="H65" t="n">
        <v>3</v>
      </c>
      <c r="I65" t="n">
        <v>3</v>
      </c>
      <c r="J65" t="n">
        <v>2</v>
      </c>
      <c r="K65" t="n">
        <v>0</v>
      </c>
      <c r="L65" t="n">
        <v>0</v>
      </c>
      <c r="M65" t="n">
        <v>0</v>
      </c>
      <c r="N65" t="n">
        <v>0</v>
      </c>
      <c r="O65" t="n">
        <v>2</v>
      </c>
      <c r="P65" t="n">
        <v>0</v>
      </c>
      <c r="Q65" t="n">
        <v>6</v>
      </c>
      <c r="R65" s="2" t="inlineStr">
        <is>
          <t>Garnlav
Skogsfru
Rödgul trumpetsvamp
Spindelblomster
Ögonpyrola
Fläcknycklar</t>
        </is>
      </c>
      <c r="S65">
        <f>HYPERLINK("https://klasma.github.io/Logging_2281/artfynd/A 25692-2023 artfynd.xlsx", "A 25692-2023")</f>
        <v/>
      </c>
      <c r="T65">
        <f>HYPERLINK("https://klasma.github.io/Logging_2281/kartor/A 25692-2023 karta.png", "A 25692-2023")</f>
        <v/>
      </c>
      <c r="V65">
        <f>HYPERLINK("https://klasma.github.io/Logging_2281/klagomål/A 25692-2023 FSC-klagomål.docx", "A 25692-2023")</f>
        <v/>
      </c>
      <c r="W65">
        <f>HYPERLINK("https://klasma.github.io/Logging_2281/klagomålsmail/A 25692-2023 FSC-klagomål mail.docx", "A 25692-2023")</f>
        <v/>
      </c>
      <c r="X65">
        <f>HYPERLINK("https://klasma.github.io/Logging_2281/tillsyn/A 25692-2023 tillsynsbegäran.docx", "A 25692-2023")</f>
        <v/>
      </c>
      <c r="Y65">
        <f>HYPERLINK("https://klasma.github.io/Logging_2281/tillsynsmail/A 25692-2023 tillsynsbegäran mail.docx", "A 25692-2023")</f>
        <v/>
      </c>
    </row>
    <row r="66" ht="15" customHeight="1">
      <c r="A66" t="inlineStr">
        <is>
          <t>A 48777-2023</t>
        </is>
      </c>
      <c r="B66" s="1" t="n">
        <v>45208</v>
      </c>
      <c r="C66" s="1" t="n">
        <v>45845</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23553-2024</t>
        </is>
      </c>
      <c r="B67" s="1" t="n">
        <v>45454</v>
      </c>
      <c r="C67" s="1" t="n">
        <v>45845</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33777-2024</t>
        </is>
      </c>
      <c r="B68" s="1" t="n">
        <v>45520</v>
      </c>
      <c r="C68" s="1" t="n">
        <v>45845</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43818-2024</t>
        </is>
      </c>
      <c r="B69" s="1" t="n">
        <v>45571</v>
      </c>
      <c r="C69" s="1" t="n">
        <v>45845</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46087-2024</t>
        </is>
      </c>
      <c r="B70" s="1" t="n">
        <v>45581</v>
      </c>
      <c r="C70" s="1" t="n">
        <v>45845</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55548-2024</t>
        </is>
      </c>
      <c r="B71" s="1" t="n">
        <v>45622</v>
      </c>
      <c r="C71" s="1" t="n">
        <v>45845</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27209-2025</t>
        </is>
      </c>
      <c r="B72" s="1" t="n">
        <v>45812</v>
      </c>
      <c r="C72" s="1" t="n">
        <v>45845</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HYPERLINK("https://klasma.github.io/Logging_222281/artfynd/A 27209-2025 artfynd.xlsx", "A 27209-2025")</f>
        <v/>
      </c>
      <c r="T72">
        <f>HYPERLINK("https://klasma.github.io/Logging_222281/kartor/A 27209-2025 karta.png", "A 27209-2025")</f>
        <v/>
      </c>
      <c r="V72">
        <f>HYPERLINK("https://klasma.github.io/Logging_222281/klagomål/A 27209-2025 FSC-klagomål.docx", "A 27209-2025")</f>
        <v/>
      </c>
      <c r="W72">
        <f>HYPERLINK("https://klasma.github.io/Logging_222281/klagomålsmail/A 27209-2025 FSC-klagomål mail.docx", "A 27209-2025")</f>
        <v/>
      </c>
      <c r="X72">
        <f>HYPERLINK("https://klasma.github.io/Logging_222281/tillsyn/A 27209-2025 tillsynsbegäran.docx", "A 27209-2025")</f>
        <v/>
      </c>
      <c r="Y72">
        <f>HYPERLINK("https://klasma.github.io/Logging_222281/tillsynsmail/A 27209-2025 tillsynsbegäran mail.docx", "A 27209-2025")</f>
        <v/>
      </c>
    </row>
    <row r="73" ht="15" customHeight="1">
      <c r="A73" t="inlineStr">
        <is>
          <t>A 28145-2025</t>
        </is>
      </c>
      <c r="B73" s="1" t="n">
        <v>45818</v>
      </c>
      <c r="C73" s="1" t="n">
        <v>45845</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HYPERLINK("https://klasma.github.io/Logging_222281/artfynd/A 28145-2025 artfynd.xlsx", "A 28145-2025")</f>
        <v/>
      </c>
      <c r="T73">
        <f>HYPERLINK("https://klasma.github.io/Logging_222281/kartor/A 28145-2025 karta.png", "A 28145-2025")</f>
        <v/>
      </c>
      <c r="V73">
        <f>HYPERLINK("https://klasma.github.io/Logging_222281/klagomål/A 28145-2025 FSC-klagomål.docx", "A 28145-2025")</f>
        <v/>
      </c>
      <c r="W73">
        <f>HYPERLINK("https://klasma.github.io/Logging_222281/klagomålsmail/A 28145-2025 FSC-klagomål mail.docx", "A 28145-2025")</f>
        <v/>
      </c>
      <c r="X73">
        <f>HYPERLINK("https://klasma.github.io/Logging_222281/tillsyn/A 28145-2025 tillsynsbegäran.docx", "A 28145-2025")</f>
        <v/>
      </c>
      <c r="Y73">
        <f>HYPERLINK("https://klasma.github.io/Logging_222281/tillsynsmail/A 28145-2025 tillsynsbegäran mail.docx", "A 28145-2025")</f>
        <v/>
      </c>
      <c r="Z73">
        <f>HYPERLINK("https://klasma.github.io/Logging_222281/fåglar/A 28145-2025 prioriterade fågelarter.docx", "A 28145-2025")</f>
        <v/>
      </c>
    </row>
    <row r="74" ht="15" customHeight="1">
      <c r="A74" t="inlineStr">
        <is>
          <t>A 32938-2025</t>
        </is>
      </c>
      <c r="B74" s="1" t="n">
        <v>45839</v>
      </c>
      <c r="C74" s="1" t="n">
        <v>45845</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HYPERLINK("https://klasma.github.io/Logging_222281/artfynd/A 32938-2025 artfynd.xlsx", "A 32938-2025")</f>
        <v/>
      </c>
      <c r="T74">
        <f>HYPERLINK("https://klasma.github.io/Logging_222281/kartor/A 32938-2025 karta.png", "A 32938-2025")</f>
        <v/>
      </c>
      <c r="U74">
        <f>HYPERLINK("https://klasma.github.io/Logging_222281/knärot/A 32938-2025 karta knärot.png", "A 32938-2025")</f>
        <v/>
      </c>
      <c r="V74">
        <f>HYPERLINK("https://klasma.github.io/Logging_222281/klagomål/A 32938-2025 FSC-klagomål.docx", "A 32938-2025")</f>
        <v/>
      </c>
      <c r="W74">
        <f>HYPERLINK("https://klasma.github.io/Logging_222281/klagomålsmail/A 32938-2025 FSC-klagomål mail.docx", "A 32938-2025")</f>
        <v/>
      </c>
      <c r="X74">
        <f>HYPERLINK("https://klasma.github.io/Logging_222281/tillsyn/A 32938-2025 tillsynsbegäran.docx", "A 32938-2025")</f>
        <v/>
      </c>
      <c r="Y74">
        <f>HYPERLINK("https://klasma.github.io/Logging_222281/tillsynsmail/A 32938-2025 tillsynsbegäran mail.docx", "A 32938-2025")</f>
        <v/>
      </c>
      <c r="Z74">
        <f>HYPERLINK("https://klasma.github.io/Logging_222281/fåglar/A 32938-2025 prioriterade fågelarter.docx", "A 32938-2025")</f>
        <v/>
      </c>
    </row>
    <row r="75" ht="15" customHeight="1">
      <c r="A75" t="inlineStr">
        <is>
          <t>A 49980-2019</t>
        </is>
      </c>
      <c r="B75" s="1" t="n">
        <v>43733</v>
      </c>
      <c r="C75" s="1" t="n">
        <v>45845</v>
      </c>
      <c r="D75" t="inlineStr">
        <is>
          <t>VÄSTERNORRLANDS LÄN</t>
        </is>
      </c>
      <c r="E75" t="inlineStr">
        <is>
          <t>SUNDSVALL</t>
        </is>
      </c>
      <c r="G75" t="n">
        <v>6.3</v>
      </c>
      <c r="H75" t="n">
        <v>1</v>
      </c>
      <c r="I75" t="n">
        <v>0</v>
      </c>
      <c r="J75" t="n">
        <v>3</v>
      </c>
      <c r="K75" t="n">
        <v>2</v>
      </c>
      <c r="L75" t="n">
        <v>0</v>
      </c>
      <c r="M75" t="n">
        <v>0</v>
      </c>
      <c r="N75" t="n">
        <v>0</v>
      </c>
      <c r="O75" t="n">
        <v>5</v>
      </c>
      <c r="P75" t="n">
        <v>2</v>
      </c>
      <c r="Q75" t="n">
        <v>5</v>
      </c>
      <c r="R75" s="2" t="inlineStr">
        <is>
          <t>Knärot
Rynkskinn
Lunglav
Rosenticka
Ullticka</t>
        </is>
      </c>
      <c r="S75">
        <f>HYPERLINK("https://klasma.github.io/Logging_2281/artfynd/A 49980-2019 artfynd.xlsx", "A 49980-2019")</f>
        <v/>
      </c>
      <c r="T75">
        <f>HYPERLINK("https://klasma.github.io/Logging_2281/kartor/A 49980-2019 karta.png", "A 49980-2019")</f>
        <v/>
      </c>
      <c r="U75">
        <f>HYPERLINK("https://klasma.github.io/Logging_2281/knärot/A 49980-2019 karta knärot.png", "A 49980-2019")</f>
        <v/>
      </c>
      <c r="V75">
        <f>HYPERLINK("https://klasma.github.io/Logging_2281/klagomål/A 49980-2019 FSC-klagomål.docx", "A 49980-2019")</f>
        <v/>
      </c>
      <c r="W75">
        <f>HYPERLINK("https://klasma.github.io/Logging_2281/klagomålsmail/A 49980-2019 FSC-klagomål mail.docx", "A 49980-2019")</f>
        <v/>
      </c>
      <c r="X75">
        <f>HYPERLINK("https://klasma.github.io/Logging_2281/tillsyn/A 49980-2019 tillsynsbegäran.docx", "A 49980-2019")</f>
        <v/>
      </c>
      <c r="Y75">
        <f>HYPERLINK("https://klasma.github.io/Logging_2281/tillsynsmail/A 49980-2019 tillsynsbegäran mail.docx", "A 49980-2019")</f>
        <v/>
      </c>
    </row>
    <row r="76" ht="15" customHeight="1">
      <c r="A76" t="inlineStr">
        <is>
          <t>A 36967-2020</t>
        </is>
      </c>
      <c r="B76" s="1" t="n">
        <v>44053</v>
      </c>
      <c r="C76" s="1" t="n">
        <v>45845</v>
      </c>
      <c r="D76" t="inlineStr">
        <is>
          <t>VÄSTERNORRLANDS LÄN</t>
        </is>
      </c>
      <c r="E76" t="inlineStr">
        <is>
          <t>SUNDSVALL</t>
        </is>
      </c>
      <c r="F76" t="inlineStr">
        <is>
          <t>SCA</t>
        </is>
      </c>
      <c r="G76" t="n">
        <v>6.1</v>
      </c>
      <c r="H76" t="n">
        <v>1</v>
      </c>
      <c r="I76" t="n">
        <v>2</v>
      </c>
      <c r="J76" t="n">
        <v>2</v>
      </c>
      <c r="K76" t="n">
        <v>1</v>
      </c>
      <c r="L76" t="n">
        <v>0</v>
      </c>
      <c r="M76" t="n">
        <v>0</v>
      </c>
      <c r="N76" t="n">
        <v>0</v>
      </c>
      <c r="O76" t="n">
        <v>3</v>
      </c>
      <c r="P76" t="n">
        <v>1</v>
      </c>
      <c r="Q76" t="n">
        <v>5</v>
      </c>
      <c r="R76" s="2" t="inlineStr">
        <is>
          <t>Knärot
Granticka
Lunglav
Skogshakmossa
Stor aspticka</t>
        </is>
      </c>
      <c r="S76">
        <f>HYPERLINK("https://klasma.github.io/Logging_2281/artfynd/A 36967-2020 artfynd.xlsx", "A 36967-2020")</f>
        <v/>
      </c>
      <c r="T76">
        <f>HYPERLINK("https://klasma.github.io/Logging_2281/kartor/A 36967-2020 karta.png", "A 36967-2020")</f>
        <v/>
      </c>
      <c r="U76">
        <f>HYPERLINK("https://klasma.github.io/Logging_2281/knärot/A 36967-2020 karta knärot.png", "A 36967-2020")</f>
        <v/>
      </c>
      <c r="V76">
        <f>HYPERLINK("https://klasma.github.io/Logging_2281/klagomål/A 36967-2020 FSC-klagomål.docx", "A 36967-2020")</f>
        <v/>
      </c>
      <c r="W76">
        <f>HYPERLINK("https://klasma.github.io/Logging_2281/klagomålsmail/A 36967-2020 FSC-klagomål mail.docx", "A 36967-2020")</f>
        <v/>
      </c>
      <c r="X76">
        <f>HYPERLINK("https://klasma.github.io/Logging_2281/tillsyn/A 36967-2020 tillsynsbegäran.docx", "A 36967-2020")</f>
        <v/>
      </c>
      <c r="Y76">
        <f>HYPERLINK("https://klasma.github.io/Logging_2281/tillsynsmail/A 36967-2020 tillsynsbegäran mail.docx", "A 36967-2020")</f>
        <v/>
      </c>
    </row>
    <row r="77" ht="15" customHeight="1">
      <c r="A77" t="inlineStr">
        <is>
          <t>A 39080-2020</t>
        </is>
      </c>
      <c r="B77" s="1" t="n">
        <v>44062</v>
      </c>
      <c r="C77" s="1" t="n">
        <v>45845</v>
      </c>
      <c r="D77" t="inlineStr">
        <is>
          <t>VÄSTERNORRLANDS LÄN</t>
        </is>
      </c>
      <c r="E77" t="inlineStr">
        <is>
          <t>SUNDSVALL</t>
        </is>
      </c>
      <c r="F77" t="inlineStr">
        <is>
          <t>SCA</t>
        </is>
      </c>
      <c r="G77" t="n">
        <v>4.5</v>
      </c>
      <c r="H77" t="n">
        <v>2</v>
      </c>
      <c r="I77" t="n">
        <v>1</v>
      </c>
      <c r="J77" t="n">
        <v>2</v>
      </c>
      <c r="K77" t="n">
        <v>1</v>
      </c>
      <c r="L77" t="n">
        <v>0</v>
      </c>
      <c r="M77" t="n">
        <v>0</v>
      </c>
      <c r="N77" t="n">
        <v>0</v>
      </c>
      <c r="O77" t="n">
        <v>3</v>
      </c>
      <c r="P77" t="n">
        <v>1</v>
      </c>
      <c r="Q77" t="n">
        <v>5</v>
      </c>
      <c r="R77" s="2" t="inlineStr">
        <is>
          <t>Knärot
Lunglav
Skrovellav
Grönpyrola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50152-2020</t>
        </is>
      </c>
      <c r="B78" s="1" t="n">
        <v>44104</v>
      </c>
      <c r="C78" s="1" t="n">
        <v>45845</v>
      </c>
      <c r="D78" t="inlineStr">
        <is>
          <t>VÄSTERNORRLANDS LÄN</t>
        </is>
      </c>
      <c r="E78" t="inlineStr">
        <is>
          <t>SUNDSVALL</t>
        </is>
      </c>
      <c r="G78" t="n">
        <v>9.199999999999999</v>
      </c>
      <c r="H78" t="n">
        <v>0</v>
      </c>
      <c r="I78" t="n">
        <v>0</v>
      </c>
      <c r="J78" t="n">
        <v>5</v>
      </c>
      <c r="K78" t="n">
        <v>0</v>
      </c>
      <c r="L78" t="n">
        <v>0</v>
      </c>
      <c r="M78" t="n">
        <v>0</v>
      </c>
      <c r="N78" t="n">
        <v>0</v>
      </c>
      <c r="O78" t="n">
        <v>5</v>
      </c>
      <c r="P78" t="n">
        <v>0</v>
      </c>
      <c r="Q78" t="n">
        <v>5</v>
      </c>
      <c r="R78" s="2" t="inlineStr">
        <is>
          <t>Garnlav
Kolflarnlav
Lunglav
Mörk kolflarnlav
Vaddporing</t>
        </is>
      </c>
      <c r="S78">
        <f>HYPERLINK("https://klasma.github.io/Logging_2281/artfynd/A 50152-2020 artfynd.xlsx", "A 50152-2020")</f>
        <v/>
      </c>
      <c r="T78">
        <f>HYPERLINK("https://klasma.github.io/Logging_2281/kartor/A 50152-2020 karta.png", "A 50152-2020")</f>
        <v/>
      </c>
      <c r="U78">
        <f>HYPERLINK("https://klasma.github.io/Logging_2281/knärot/A 50152-2020 karta knärot.png", "A 50152-2020")</f>
        <v/>
      </c>
      <c r="V78">
        <f>HYPERLINK("https://klasma.github.io/Logging_2281/klagomål/A 50152-2020 FSC-klagomål.docx", "A 50152-2020")</f>
        <v/>
      </c>
      <c r="W78">
        <f>HYPERLINK("https://klasma.github.io/Logging_2281/klagomålsmail/A 50152-2020 FSC-klagomål mail.docx", "A 50152-2020")</f>
        <v/>
      </c>
      <c r="X78">
        <f>HYPERLINK("https://klasma.github.io/Logging_2281/tillsyn/A 50152-2020 tillsynsbegäran.docx", "A 50152-2020")</f>
        <v/>
      </c>
      <c r="Y78">
        <f>HYPERLINK("https://klasma.github.io/Logging_2281/tillsynsmail/A 50152-2020 tillsynsbegäran mail.docx", "A 50152-2020")</f>
        <v/>
      </c>
    </row>
    <row r="79" ht="15" customHeight="1">
      <c r="A79" t="inlineStr">
        <is>
          <t>A 444-2021</t>
        </is>
      </c>
      <c r="B79" s="1" t="n">
        <v>44201</v>
      </c>
      <c r="C79" s="1" t="n">
        <v>45845</v>
      </c>
      <c r="D79" t="inlineStr">
        <is>
          <t>VÄSTERNORRLANDS LÄN</t>
        </is>
      </c>
      <c r="E79" t="inlineStr">
        <is>
          <t>SUNDSVALL</t>
        </is>
      </c>
      <c r="F79" t="inlineStr">
        <is>
          <t>SCA</t>
        </is>
      </c>
      <c r="G79" t="n">
        <v>1.8</v>
      </c>
      <c r="H79" t="n">
        <v>3</v>
      </c>
      <c r="I79" t="n">
        <v>0</v>
      </c>
      <c r="J79" t="n">
        <v>4</v>
      </c>
      <c r="K79" t="n">
        <v>0</v>
      </c>
      <c r="L79" t="n">
        <v>0</v>
      </c>
      <c r="M79" t="n">
        <v>0</v>
      </c>
      <c r="N79" t="n">
        <v>0</v>
      </c>
      <c r="O79" t="n">
        <v>4</v>
      </c>
      <c r="P79" t="n">
        <v>0</v>
      </c>
      <c r="Q79" t="n">
        <v>5</v>
      </c>
      <c r="R79" s="2" t="inlineStr">
        <is>
          <t>Garnlav
Spillkråka
Tretåig hackspett
Ullticka
Tjäder</t>
        </is>
      </c>
      <c r="S79">
        <f>HYPERLINK("https://klasma.github.io/Logging_2281/artfynd/A 444-2021 artfynd.xlsx", "A 444-2021")</f>
        <v/>
      </c>
      <c r="T79">
        <f>HYPERLINK("https://klasma.github.io/Logging_2281/kartor/A 444-2021 karta.png", "A 444-2021")</f>
        <v/>
      </c>
      <c r="V79">
        <f>HYPERLINK("https://klasma.github.io/Logging_2281/klagomål/A 444-2021 FSC-klagomål.docx", "A 444-2021")</f>
        <v/>
      </c>
      <c r="W79">
        <f>HYPERLINK("https://klasma.github.io/Logging_2281/klagomålsmail/A 444-2021 FSC-klagomål mail.docx", "A 444-2021")</f>
        <v/>
      </c>
      <c r="X79">
        <f>HYPERLINK("https://klasma.github.io/Logging_2281/tillsyn/A 444-2021 tillsynsbegäran.docx", "A 444-2021")</f>
        <v/>
      </c>
      <c r="Y79">
        <f>HYPERLINK("https://klasma.github.io/Logging_2281/tillsynsmail/A 444-2021 tillsynsbegäran mail.docx", "A 444-2021")</f>
        <v/>
      </c>
      <c r="Z79">
        <f>HYPERLINK("https://klasma.github.io/Logging_2281/fåglar/A 444-2021 prioriterade fågelarter.docx", "A 444-2021")</f>
        <v/>
      </c>
    </row>
    <row r="80" ht="15" customHeight="1">
      <c r="A80" t="inlineStr">
        <is>
          <t>A 7567-2021</t>
        </is>
      </c>
      <c r="B80" s="1" t="n">
        <v>44239</v>
      </c>
      <c r="C80" s="1" t="n">
        <v>45845</v>
      </c>
      <c r="D80" t="inlineStr">
        <is>
          <t>VÄSTERNORRLANDS LÄN</t>
        </is>
      </c>
      <c r="E80" t="inlineStr">
        <is>
          <t>SUNDSVALL</t>
        </is>
      </c>
      <c r="G80" t="n">
        <v>6.8</v>
      </c>
      <c r="H80" t="n">
        <v>2</v>
      </c>
      <c r="I80" t="n">
        <v>1</v>
      </c>
      <c r="J80" t="n">
        <v>3</v>
      </c>
      <c r="K80" t="n">
        <v>1</v>
      </c>
      <c r="L80" t="n">
        <v>0</v>
      </c>
      <c r="M80" t="n">
        <v>0</v>
      </c>
      <c r="N80" t="n">
        <v>0</v>
      </c>
      <c r="O80" t="n">
        <v>4</v>
      </c>
      <c r="P80" t="n">
        <v>1</v>
      </c>
      <c r="Q80" t="n">
        <v>5</v>
      </c>
      <c r="R80" s="2" t="inlineStr">
        <is>
          <t>Knärot
Lunglav
Spillkråka
Ullticka
Vedticka</t>
        </is>
      </c>
      <c r="S80">
        <f>HYPERLINK("https://klasma.github.io/Logging_2281/artfynd/A 7567-2021 artfynd.xlsx", "A 7567-2021")</f>
        <v/>
      </c>
      <c r="T80">
        <f>HYPERLINK("https://klasma.github.io/Logging_2281/kartor/A 7567-2021 karta.png", "A 7567-2021")</f>
        <v/>
      </c>
      <c r="U80">
        <f>HYPERLINK("https://klasma.github.io/Logging_2281/knärot/A 7567-2021 karta knärot.png",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c r="Z80">
        <f>HYPERLINK("https://klasma.github.io/Logging_2281/fåglar/A 7567-2021 prioriterade fågelarter.docx", "A 7567-2021")</f>
        <v/>
      </c>
    </row>
    <row r="81" ht="15" customHeight="1">
      <c r="A81" t="inlineStr">
        <is>
          <t>A 55854-2022</t>
        </is>
      </c>
      <c r="B81" s="1" t="n">
        <v>44886</v>
      </c>
      <c r="C81" s="1" t="n">
        <v>45845</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22578-2023</t>
        </is>
      </c>
      <c r="B82" s="1" t="n">
        <v>45071</v>
      </c>
      <c r="C82" s="1" t="n">
        <v>45845</v>
      </c>
      <c r="D82" t="inlineStr">
        <is>
          <t>VÄSTERNORRLANDS LÄN</t>
        </is>
      </c>
      <c r="E82" t="inlineStr">
        <is>
          <t>SUNDSVALL</t>
        </is>
      </c>
      <c r="F82" t="inlineStr">
        <is>
          <t>Holmen skog AB</t>
        </is>
      </c>
      <c r="G82" t="n">
        <v>4.2</v>
      </c>
      <c r="H82" t="n">
        <v>0</v>
      </c>
      <c r="I82" t="n">
        <v>3</v>
      </c>
      <c r="J82" t="n">
        <v>2</v>
      </c>
      <c r="K82" t="n">
        <v>0</v>
      </c>
      <c r="L82" t="n">
        <v>0</v>
      </c>
      <c r="M82" t="n">
        <v>0</v>
      </c>
      <c r="N82" t="n">
        <v>0</v>
      </c>
      <c r="O82" t="n">
        <v>2</v>
      </c>
      <c r="P82" t="n">
        <v>0</v>
      </c>
      <c r="Q82" t="n">
        <v>5</v>
      </c>
      <c r="R82" s="2" t="inlineStr">
        <is>
          <t>Garnlav
Lunglav
Skinnlav
Stuplav
Tibast</t>
        </is>
      </c>
      <c r="S82">
        <f>HYPERLINK("https://klasma.github.io/Logging_2281/artfynd/A 22578-2023 artfynd.xlsx", "A 22578-2023")</f>
        <v/>
      </c>
      <c r="T82">
        <f>HYPERLINK("https://klasma.github.io/Logging_2281/kartor/A 22578-2023 karta.png", "A 22578-2023")</f>
        <v/>
      </c>
      <c r="V82">
        <f>HYPERLINK("https://klasma.github.io/Logging_2281/klagomål/A 22578-2023 FSC-klagomål.docx", "A 22578-2023")</f>
        <v/>
      </c>
      <c r="W82">
        <f>HYPERLINK("https://klasma.github.io/Logging_2281/klagomålsmail/A 22578-2023 FSC-klagomål mail.docx", "A 22578-2023")</f>
        <v/>
      </c>
      <c r="X82">
        <f>HYPERLINK("https://klasma.github.io/Logging_2281/tillsyn/A 22578-2023 tillsynsbegäran.docx", "A 22578-2023")</f>
        <v/>
      </c>
      <c r="Y82">
        <f>HYPERLINK("https://klasma.github.io/Logging_2281/tillsynsmail/A 22578-2023 tillsynsbegäran mail.docx", "A 22578-2023")</f>
        <v/>
      </c>
    </row>
    <row r="83" ht="15" customHeight="1">
      <c r="A83" t="inlineStr">
        <is>
          <t>A 27782-2023</t>
        </is>
      </c>
      <c r="B83" s="1" t="n">
        <v>45098</v>
      </c>
      <c r="C83" s="1" t="n">
        <v>45845</v>
      </c>
      <c r="D83" t="inlineStr">
        <is>
          <t>VÄSTERNORRLANDS LÄN</t>
        </is>
      </c>
      <c r="E83" t="inlineStr">
        <is>
          <t>SUNDSVALL</t>
        </is>
      </c>
      <c r="G83" t="n">
        <v>2.8</v>
      </c>
      <c r="H83" t="n">
        <v>5</v>
      </c>
      <c r="I83" t="n">
        <v>0</v>
      </c>
      <c r="J83" t="n">
        <v>1</v>
      </c>
      <c r="K83" t="n">
        <v>0</v>
      </c>
      <c r="L83" t="n">
        <v>1</v>
      </c>
      <c r="M83" t="n">
        <v>0</v>
      </c>
      <c r="N83" t="n">
        <v>0</v>
      </c>
      <c r="O83" t="n">
        <v>2</v>
      </c>
      <c r="P83" t="n">
        <v>1</v>
      </c>
      <c r="Q83" t="n">
        <v>5</v>
      </c>
      <c r="R83" s="2" t="inlineStr">
        <is>
          <t>Grönfink
Björktrast
Gråkråka
Gröngöling
Sångsvan</t>
        </is>
      </c>
      <c r="S83">
        <f>HYPERLINK("https://klasma.github.io/Logging_2281/artfynd/A 27782-2023 artfynd.xlsx", "A 27782-2023")</f>
        <v/>
      </c>
      <c r="T83">
        <f>HYPERLINK("https://klasma.github.io/Logging_2281/kartor/A 27782-2023 karta.png", "A 27782-2023")</f>
        <v/>
      </c>
      <c r="V83">
        <f>HYPERLINK("https://klasma.github.io/Logging_2281/klagomål/A 27782-2023 FSC-klagomål.docx", "A 27782-2023")</f>
        <v/>
      </c>
      <c r="W83">
        <f>HYPERLINK("https://klasma.github.io/Logging_2281/klagomålsmail/A 27782-2023 FSC-klagomål mail.docx", "A 27782-2023")</f>
        <v/>
      </c>
      <c r="X83">
        <f>HYPERLINK("https://klasma.github.io/Logging_2281/tillsyn/A 27782-2023 tillsynsbegäran.docx", "A 27782-2023")</f>
        <v/>
      </c>
      <c r="Y83">
        <f>HYPERLINK("https://klasma.github.io/Logging_2281/tillsynsmail/A 27782-2023 tillsynsbegäran mail.docx", "A 27782-2023")</f>
        <v/>
      </c>
      <c r="Z83">
        <f>HYPERLINK("https://klasma.github.io/Logging_2281/fåglar/A 27782-2023 prioriterade fågelarter.docx", "A 27782-2023")</f>
        <v/>
      </c>
    </row>
    <row r="84" ht="15" customHeight="1">
      <c r="A84" t="inlineStr">
        <is>
          <t>A 42153-2023</t>
        </is>
      </c>
      <c r="B84" s="1" t="n">
        <v>45178</v>
      </c>
      <c r="C84" s="1" t="n">
        <v>45845</v>
      </c>
      <c r="D84" t="inlineStr">
        <is>
          <t>VÄSTERNORRLANDS LÄN</t>
        </is>
      </c>
      <c r="E84" t="inlineStr">
        <is>
          <t>SUNDSVALL</t>
        </is>
      </c>
      <c r="F84" t="inlineStr">
        <is>
          <t>SCA</t>
        </is>
      </c>
      <c r="G84" t="n">
        <v>6.8</v>
      </c>
      <c r="H84" t="n">
        <v>3</v>
      </c>
      <c r="I84" t="n">
        <v>1</v>
      </c>
      <c r="J84" t="n">
        <v>2</v>
      </c>
      <c r="K84" t="n">
        <v>1</v>
      </c>
      <c r="L84" t="n">
        <v>0</v>
      </c>
      <c r="M84" t="n">
        <v>0</v>
      </c>
      <c r="N84" t="n">
        <v>0</v>
      </c>
      <c r="O84" t="n">
        <v>3</v>
      </c>
      <c r="P84" t="n">
        <v>1</v>
      </c>
      <c r="Q84" t="n">
        <v>5</v>
      </c>
      <c r="R84" s="2" t="inlineStr">
        <is>
          <t>Laxporing
Talltita
Vedskivlav
Spindelblomster
Fläcknycklar</t>
        </is>
      </c>
      <c r="S84">
        <f>HYPERLINK("https://klasma.github.io/Logging_2281/artfynd/A 42153-2023 artfynd.xlsx", "A 42153-2023")</f>
        <v/>
      </c>
      <c r="T84">
        <f>HYPERLINK("https://klasma.github.io/Logging_2281/kartor/A 42153-2023 karta.png", "A 42153-2023")</f>
        <v/>
      </c>
      <c r="V84">
        <f>HYPERLINK("https://klasma.github.io/Logging_2281/klagomål/A 42153-2023 FSC-klagomål.docx", "A 42153-2023")</f>
        <v/>
      </c>
      <c r="W84">
        <f>HYPERLINK("https://klasma.github.io/Logging_2281/klagomålsmail/A 42153-2023 FSC-klagomål mail.docx", "A 42153-2023")</f>
        <v/>
      </c>
      <c r="X84">
        <f>HYPERLINK("https://klasma.github.io/Logging_2281/tillsyn/A 42153-2023 tillsynsbegäran.docx", "A 42153-2023")</f>
        <v/>
      </c>
      <c r="Y84">
        <f>HYPERLINK("https://klasma.github.io/Logging_2281/tillsynsmail/A 42153-2023 tillsynsbegäran mail.docx", "A 42153-2023")</f>
        <v/>
      </c>
      <c r="Z84">
        <f>HYPERLINK("https://klasma.github.io/Logging_2281/fåglar/A 42153-2023 prioriterade fågelarter.docx", "A 42153-2023")</f>
        <v/>
      </c>
    </row>
    <row r="85" ht="15" customHeight="1">
      <c r="A85" t="inlineStr">
        <is>
          <t>A 42518-2023</t>
        </is>
      </c>
      <c r="B85" s="1" t="n">
        <v>45180</v>
      </c>
      <c r="C85" s="1" t="n">
        <v>45845</v>
      </c>
      <c r="D85" t="inlineStr">
        <is>
          <t>VÄSTERNORRLANDS LÄN</t>
        </is>
      </c>
      <c r="E85" t="inlineStr">
        <is>
          <t>SUNDSVALL</t>
        </is>
      </c>
      <c r="F85" t="inlineStr">
        <is>
          <t>SCA</t>
        </is>
      </c>
      <c r="G85" t="n">
        <v>3.1</v>
      </c>
      <c r="H85" t="n">
        <v>0</v>
      </c>
      <c r="I85" t="n">
        <v>0</v>
      </c>
      <c r="J85" t="n">
        <v>4</v>
      </c>
      <c r="K85" t="n">
        <v>1</v>
      </c>
      <c r="L85" t="n">
        <v>0</v>
      </c>
      <c r="M85" t="n">
        <v>0</v>
      </c>
      <c r="N85" t="n">
        <v>0</v>
      </c>
      <c r="O85" t="n">
        <v>5</v>
      </c>
      <c r="P85" t="n">
        <v>1</v>
      </c>
      <c r="Q85" t="n">
        <v>5</v>
      </c>
      <c r="R85" s="2" t="inlineStr">
        <is>
          <t>Aspgelélav
Kolflarnlav
Lunglav
Vedflamlav
Vedskivlav</t>
        </is>
      </c>
      <c r="S85">
        <f>HYPERLINK("https://klasma.github.io/Logging_2281/artfynd/A 42518-2023 artfynd.xlsx", "A 42518-2023")</f>
        <v/>
      </c>
      <c r="T85">
        <f>HYPERLINK("https://klasma.github.io/Logging_2281/kartor/A 42518-2023 karta.png", "A 42518-2023")</f>
        <v/>
      </c>
      <c r="V85">
        <f>HYPERLINK("https://klasma.github.io/Logging_2281/klagomål/A 42518-2023 FSC-klagomål.docx", "A 42518-2023")</f>
        <v/>
      </c>
      <c r="W85">
        <f>HYPERLINK("https://klasma.github.io/Logging_2281/klagomålsmail/A 42518-2023 FSC-klagomål mail.docx", "A 42518-2023")</f>
        <v/>
      </c>
      <c r="X85">
        <f>HYPERLINK("https://klasma.github.io/Logging_2281/tillsyn/A 42518-2023 tillsynsbegäran.docx", "A 42518-2023")</f>
        <v/>
      </c>
      <c r="Y85">
        <f>HYPERLINK("https://klasma.github.io/Logging_2281/tillsynsmail/A 42518-2023 tillsynsbegäran mail.docx", "A 42518-2023")</f>
        <v/>
      </c>
    </row>
    <row r="86" ht="15" customHeight="1">
      <c r="A86" t="inlineStr">
        <is>
          <t>A 13556-2024</t>
        </is>
      </c>
      <c r="B86" s="1" t="n">
        <v>45387</v>
      </c>
      <c r="C86" s="1" t="n">
        <v>45845</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45845</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45845</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51286-2024</t>
        </is>
      </c>
      <c r="B89" s="1" t="n">
        <v>45600</v>
      </c>
      <c r="C89" s="1" t="n">
        <v>45845</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57859-2024</t>
        </is>
      </c>
      <c r="B90" s="1" t="n">
        <v>45631</v>
      </c>
      <c r="C90" s="1" t="n">
        <v>45845</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60009-2024</t>
        </is>
      </c>
      <c r="B91" s="1" t="n">
        <v>45642</v>
      </c>
      <c r="C91" s="1" t="n">
        <v>45845</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4878-2025</t>
        </is>
      </c>
      <c r="B92" s="1" t="n">
        <v>45688</v>
      </c>
      <c r="C92" s="1" t="n">
        <v>45845</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4865-2025</t>
        </is>
      </c>
      <c r="B93" s="1" t="n">
        <v>45688</v>
      </c>
      <c r="C93" s="1" t="n">
        <v>45845</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16943-2025</t>
        </is>
      </c>
      <c r="B94" s="1" t="n">
        <v>45755</v>
      </c>
      <c r="C94" s="1" t="n">
        <v>45845</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HYPERLINK("https://klasma.github.io/Logging_222281/artfynd/A 16943-2025 artfynd.xlsx", "A 16943-2025")</f>
        <v/>
      </c>
      <c r="T94">
        <f>HYPERLINK("https://klasma.github.io/Logging_222281/kartor/A 16943-2025 karta.png", "A 16943-2025")</f>
        <v/>
      </c>
      <c r="V94">
        <f>HYPERLINK("https://klasma.github.io/Logging_222281/klagomål/A 16943-2025 FSC-klagomål.docx", "A 16943-2025")</f>
        <v/>
      </c>
      <c r="W94">
        <f>HYPERLINK("https://klasma.github.io/Logging_222281/klagomålsmail/A 16943-2025 FSC-klagomål mail.docx", "A 16943-2025")</f>
        <v/>
      </c>
      <c r="X94">
        <f>HYPERLINK("https://klasma.github.io/Logging_222281/tillsyn/A 16943-2025 tillsynsbegäran.docx", "A 16943-2025")</f>
        <v/>
      </c>
      <c r="Y94">
        <f>HYPERLINK("https://klasma.github.io/Logging_222281/tillsynsmail/A 16943-2025 tillsynsbegäran mail.docx", "A 16943-2025")</f>
        <v/>
      </c>
      <c r="Z94">
        <f>HYPERLINK("https://klasma.github.io/Logging_222281/fåglar/A 16943-2025 prioriterade fågelarter.docx", "A 16943-2025")</f>
        <v/>
      </c>
    </row>
    <row r="95" ht="15" customHeight="1">
      <c r="A95" t="inlineStr">
        <is>
          <t>A 20628-2025</t>
        </is>
      </c>
      <c r="B95" s="1" t="n">
        <v>45776</v>
      </c>
      <c r="C95" s="1" t="n">
        <v>45845</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HYPERLINK("https://klasma.github.io/Logging_222281/artfynd/A 20628-2025 artfynd.xlsx", "A 20628-2025")</f>
        <v/>
      </c>
      <c r="T95">
        <f>HYPERLINK("https://klasma.github.io/Logging_222281/kartor/A 20628-2025 karta.png", "A 20628-2025")</f>
        <v/>
      </c>
      <c r="V95">
        <f>HYPERLINK("https://klasma.github.io/Logging_222281/klagomål/A 20628-2025 FSC-klagomål.docx", "A 20628-2025")</f>
        <v/>
      </c>
      <c r="W95">
        <f>HYPERLINK("https://klasma.github.io/Logging_222281/klagomålsmail/A 20628-2025 FSC-klagomål mail.docx", "A 20628-2025")</f>
        <v/>
      </c>
      <c r="X95">
        <f>HYPERLINK("https://klasma.github.io/Logging_222281/tillsyn/A 20628-2025 tillsynsbegäran.docx", "A 20628-2025")</f>
        <v/>
      </c>
      <c r="Y95">
        <f>HYPERLINK("https://klasma.github.io/Logging_222281/tillsynsmail/A 20628-2025 tillsynsbegäran mail.docx", "A 20628-2025")</f>
        <v/>
      </c>
    </row>
    <row r="96" ht="15" customHeight="1">
      <c r="A96" t="inlineStr">
        <is>
          <t>A 28406-2025</t>
        </is>
      </c>
      <c r="B96" s="1" t="n">
        <v>45819</v>
      </c>
      <c r="C96" s="1" t="n">
        <v>45845</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HYPERLINK("https://klasma.github.io/Logging_222281/artfynd/A 28406-2025 artfynd.xlsx", "A 28406-2025")</f>
        <v/>
      </c>
      <c r="T96">
        <f>HYPERLINK("https://klasma.github.io/Logging_222281/kartor/A 28406-2025 karta.png", "A 28406-2025")</f>
        <v/>
      </c>
      <c r="V96">
        <f>HYPERLINK("https://klasma.github.io/Logging_222281/klagomål/A 28406-2025 FSC-klagomål.docx", "A 28406-2025")</f>
        <v/>
      </c>
      <c r="W96">
        <f>HYPERLINK("https://klasma.github.io/Logging_222281/klagomålsmail/A 28406-2025 FSC-klagomål mail.docx", "A 28406-2025")</f>
        <v/>
      </c>
      <c r="X96">
        <f>HYPERLINK("https://klasma.github.io/Logging_222281/tillsyn/A 28406-2025 tillsynsbegäran.docx", "A 28406-2025")</f>
        <v/>
      </c>
      <c r="Y96">
        <f>HYPERLINK("https://klasma.github.io/Logging_222281/tillsynsmail/A 28406-2025 tillsynsbegäran mail.docx", "A 28406-2025")</f>
        <v/>
      </c>
    </row>
    <row r="97" ht="15" customHeight="1">
      <c r="A97" t="inlineStr">
        <is>
          <t>A 30394-2025</t>
        </is>
      </c>
      <c r="B97" s="1" t="n">
        <v>45827</v>
      </c>
      <c r="C97" s="1" t="n">
        <v>45845</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HYPERLINK("https://klasma.github.io/Logging_222281/artfynd/A 30394-2025 artfynd.xlsx", "A 30394-2025")</f>
        <v/>
      </c>
      <c r="T97">
        <f>HYPERLINK("https://klasma.github.io/Logging_222281/kartor/A 30394-2025 karta.png", "A 30394-2025")</f>
        <v/>
      </c>
      <c r="V97">
        <f>HYPERLINK("https://klasma.github.io/Logging_222281/klagomål/A 30394-2025 FSC-klagomål.docx", "A 30394-2025")</f>
        <v/>
      </c>
      <c r="W97">
        <f>HYPERLINK("https://klasma.github.io/Logging_222281/klagomålsmail/A 30394-2025 FSC-klagomål mail.docx", "A 30394-2025")</f>
        <v/>
      </c>
      <c r="X97">
        <f>HYPERLINK("https://klasma.github.io/Logging_222281/tillsyn/A 30394-2025 tillsynsbegäran.docx", "A 30394-2025")</f>
        <v/>
      </c>
      <c r="Y97">
        <f>HYPERLINK("https://klasma.github.io/Logging_222281/tillsynsmail/A 30394-2025 tillsynsbegäran mail.docx", "A 30394-2025")</f>
        <v/>
      </c>
      <c r="Z97">
        <f>HYPERLINK("https://klasma.github.io/Logging_222281/fåglar/A 30394-2025 prioriterade fågelarter.docx", "A 30394-2025")</f>
        <v/>
      </c>
    </row>
    <row r="98" ht="15" customHeight="1">
      <c r="A98" t="inlineStr">
        <is>
          <t>A 34686-2019</t>
        </is>
      </c>
      <c r="B98" s="1" t="n">
        <v>43657</v>
      </c>
      <c r="C98" s="1" t="n">
        <v>45845</v>
      </c>
      <c r="D98" t="inlineStr">
        <is>
          <t>VÄSTERNORRLANDS LÄN</t>
        </is>
      </c>
      <c r="E98" t="inlineStr">
        <is>
          <t>SUNDSVALL</t>
        </is>
      </c>
      <c r="G98" t="n">
        <v>11.3</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34686-2019 artfynd.xlsx", "A 34686-2019")</f>
        <v/>
      </c>
      <c r="T98">
        <f>HYPERLINK("https://klasma.github.io/Logging_2281/kartor/A 34686-2019 karta.png", "A 34686-2019")</f>
        <v/>
      </c>
      <c r="V98">
        <f>HYPERLINK("https://klasma.github.io/Logging_2281/klagomål/A 34686-2019 FSC-klagomål.docx", "A 34686-2019")</f>
        <v/>
      </c>
      <c r="W98">
        <f>HYPERLINK("https://klasma.github.io/Logging_2281/klagomålsmail/A 34686-2019 FSC-klagomål mail.docx", "A 34686-2019")</f>
        <v/>
      </c>
      <c r="X98">
        <f>HYPERLINK("https://klasma.github.io/Logging_2281/tillsyn/A 34686-2019 tillsynsbegäran.docx", "A 34686-2019")</f>
        <v/>
      </c>
      <c r="Y98">
        <f>HYPERLINK("https://klasma.github.io/Logging_2281/tillsynsmail/A 34686-2019 tillsynsbegäran mail.docx", "A 34686-2019")</f>
        <v/>
      </c>
    </row>
    <row r="99" ht="15" customHeight="1">
      <c r="A99" t="inlineStr">
        <is>
          <t>A 3002-2020</t>
        </is>
      </c>
      <c r="B99" s="1" t="n">
        <v>43850</v>
      </c>
      <c r="C99" s="1" t="n">
        <v>45845</v>
      </c>
      <c r="D99" t="inlineStr">
        <is>
          <t>VÄSTERNORRLANDS LÄN</t>
        </is>
      </c>
      <c r="E99" t="inlineStr">
        <is>
          <t>SUNDSVALL</t>
        </is>
      </c>
      <c r="G99" t="n">
        <v>14</v>
      </c>
      <c r="H99" t="n">
        <v>4</v>
      </c>
      <c r="I99" t="n">
        <v>0</v>
      </c>
      <c r="J99" t="n">
        <v>3</v>
      </c>
      <c r="K99" t="n">
        <v>0</v>
      </c>
      <c r="L99" t="n">
        <v>0</v>
      </c>
      <c r="M99" t="n">
        <v>0</v>
      </c>
      <c r="N99" t="n">
        <v>0</v>
      </c>
      <c r="O99" t="n">
        <v>3</v>
      </c>
      <c r="P99" t="n">
        <v>0</v>
      </c>
      <c r="Q99" t="n">
        <v>4</v>
      </c>
      <c r="R99" s="2" t="inlineStr">
        <is>
          <t>Grönsångare
Lundsångare
Rosenfink
Törnskata</t>
        </is>
      </c>
      <c r="S99">
        <f>HYPERLINK("https://klasma.github.io/Logging_2281/artfynd/A 3002-2020 artfynd.xlsx", "A 3002-2020")</f>
        <v/>
      </c>
      <c r="T99">
        <f>HYPERLINK("https://klasma.github.io/Logging_2281/kartor/A 3002-2020 karta.png", "A 3002-2020")</f>
        <v/>
      </c>
      <c r="V99">
        <f>HYPERLINK("https://klasma.github.io/Logging_2281/klagomål/A 3002-2020 FSC-klagomål.docx", "A 3002-2020")</f>
        <v/>
      </c>
      <c r="W99">
        <f>HYPERLINK("https://klasma.github.io/Logging_2281/klagomålsmail/A 3002-2020 FSC-klagomål mail.docx", "A 3002-2020")</f>
        <v/>
      </c>
      <c r="X99">
        <f>HYPERLINK("https://klasma.github.io/Logging_2281/tillsyn/A 3002-2020 tillsynsbegäran.docx", "A 3002-2020")</f>
        <v/>
      </c>
      <c r="Y99">
        <f>HYPERLINK("https://klasma.github.io/Logging_2281/tillsynsmail/A 3002-2020 tillsynsbegäran mail.docx", "A 3002-2020")</f>
        <v/>
      </c>
      <c r="Z99">
        <f>HYPERLINK("https://klasma.github.io/Logging_2281/fåglar/A 3002-2020 prioriterade fågelarter.docx", "A 3002-2020")</f>
        <v/>
      </c>
    </row>
    <row r="100" ht="15" customHeight="1">
      <c r="A100" t="inlineStr">
        <is>
          <t>A 22480-2020</t>
        </is>
      </c>
      <c r="B100" s="1" t="n">
        <v>43963</v>
      </c>
      <c r="C100" s="1" t="n">
        <v>45845</v>
      </c>
      <c r="D100" t="inlineStr">
        <is>
          <t>VÄSTERNORRLANDS LÄN</t>
        </is>
      </c>
      <c r="E100" t="inlineStr">
        <is>
          <t>SUNDSVALL</t>
        </is>
      </c>
      <c r="G100" t="n">
        <v>8.300000000000001</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22480-2020 artfynd.xlsx", "A 22480-2020")</f>
        <v/>
      </c>
      <c r="T100">
        <f>HYPERLINK("https://klasma.github.io/Logging_2281/kartor/A 22480-2020 karta.png", "A 22480-2020")</f>
        <v/>
      </c>
      <c r="V100">
        <f>HYPERLINK("https://klasma.github.io/Logging_2281/klagomål/A 22480-2020 FSC-klagomål.docx", "A 22480-2020")</f>
        <v/>
      </c>
      <c r="W100">
        <f>HYPERLINK("https://klasma.github.io/Logging_2281/klagomålsmail/A 22480-2020 FSC-klagomål mail.docx", "A 22480-2020")</f>
        <v/>
      </c>
      <c r="X100">
        <f>HYPERLINK("https://klasma.github.io/Logging_2281/tillsyn/A 22480-2020 tillsynsbegäran.docx", "A 22480-2020")</f>
        <v/>
      </c>
      <c r="Y100">
        <f>HYPERLINK("https://klasma.github.io/Logging_2281/tillsynsmail/A 22480-2020 tillsynsbegäran mail.docx", "A 22480-2020")</f>
        <v/>
      </c>
    </row>
    <row r="101" ht="15" customHeight="1">
      <c r="A101" t="inlineStr">
        <is>
          <t>A 36968-2020</t>
        </is>
      </c>
      <c r="B101" s="1" t="n">
        <v>44053</v>
      </c>
      <c r="C101" s="1" t="n">
        <v>45845</v>
      </c>
      <c r="D101" t="inlineStr">
        <is>
          <t>VÄSTERNORRLANDS LÄN</t>
        </is>
      </c>
      <c r="E101" t="inlineStr">
        <is>
          <t>SUNDSVALL</t>
        </is>
      </c>
      <c r="F101" t="inlineStr">
        <is>
          <t>SCA</t>
        </is>
      </c>
      <c r="G101" t="n">
        <v>5.8</v>
      </c>
      <c r="H101" t="n">
        <v>2</v>
      </c>
      <c r="I101" t="n">
        <v>1</v>
      </c>
      <c r="J101" t="n">
        <v>1</v>
      </c>
      <c r="K101" t="n">
        <v>1</v>
      </c>
      <c r="L101" t="n">
        <v>0</v>
      </c>
      <c r="M101" t="n">
        <v>0</v>
      </c>
      <c r="N101" t="n">
        <v>0</v>
      </c>
      <c r="O101" t="n">
        <v>2</v>
      </c>
      <c r="P101" t="n">
        <v>1</v>
      </c>
      <c r="Q101" t="n">
        <v>4</v>
      </c>
      <c r="R101" s="2" t="inlineStr">
        <is>
          <t>Knärot
Lunglav
Stor aspticka
Nattviol</t>
        </is>
      </c>
      <c r="S101">
        <f>HYPERLINK("https://klasma.github.io/Logging_2281/artfynd/A 36968-2020 artfynd.xlsx", "A 36968-2020")</f>
        <v/>
      </c>
      <c r="T101">
        <f>HYPERLINK("https://klasma.github.io/Logging_2281/kartor/A 36968-2020 karta.png", "A 36968-2020")</f>
        <v/>
      </c>
      <c r="U101">
        <f>HYPERLINK("https://klasma.github.io/Logging_2281/knärot/A 36968-2020 karta knärot.png", "A 36968-2020")</f>
        <v/>
      </c>
      <c r="V101">
        <f>HYPERLINK("https://klasma.github.io/Logging_2281/klagomål/A 36968-2020 FSC-klagomål.docx", "A 36968-2020")</f>
        <v/>
      </c>
      <c r="W101">
        <f>HYPERLINK("https://klasma.github.io/Logging_2281/klagomålsmail/A 36968-2020 FSC-klagomål mail.docx", "A 36968-2020")</f>
        <v/>
      </c>
      <c r="X101">
        <f>HYPERLINK("https://klasma.github.io/Logging_2281/tillsyn/A 36968-2020 tillsynsbegäran.docx", "A 36968-2020")</f>
        <v/>
      </c>
      <c r="Y101">
        <f>HYPERLINK("https://klasma.github.io/Logging_2281/tillsynsmail/A 36968-2020 tillsynsbegäran mail.docx", "A 36968-2020")</f>
        <v/>
      </c>
    </row>
    <row r="102" ht="15" customHeight="1">
      <c r="A102" t="inlineStr">
        <is>
          <t>A 36969-2020</t>
        </is>
      </c>
      <c r="B102" s="1" t="n">
        <v>44053</v>
      </c>
      <c r="C102" s="1" t="n">
        <v>45845</v>
      </c>
      <c r="D102" t="inlineStr">
        <is>
          <t>VÄSTERNORRLANDS LÄN</t>
        </is>
      </c>
      <c r="E102" t="inlineStr">
        <is>
          <t>SUNDSVALL</t>
        </is>
      </c>
      <c r="F102" t="inlineStr">
        <is>
          <t>SCA</t>
        </is>
      </c>
      <c r="G102" t="n">
        <v>17.4</v>
      </c>
      <c r="H102" t="n">
        <v>2</v>
      </c>
      <c r="I102" t="n">
        <v>0</v>
      </c>
      <c r="J102" t="n">
        <v>2</v>
      </c>
      <c r="K102" t="n">
        <v>1</v>
      </c>
      <c r="L102" t="n">
        <v>0</v>
      </c>
      <c r="M102" t="n">
        <v>0</v>
      </c>
      <c r="N102" t="n">
        <v>0</v>
      </c>
      <c r="O102" t="n">
        <v>3</v>
      </c>
      <c r="P102" t="n">
        <v>1</v>
      </c>
      <c r="Q102" t="n">
        <v>4</v>
      </c>
      <c r="R102" s="2" t="inlineStr">
        <is>
          <t>Knärot
Doftskinn
Lunglav
Nattviol</t>
        </is>
      </c>
      <c r="S102">
        <f>HYPERLINK("https://klasma.github.io/Logging_2281/artfynd/A 36969-2020 artfynd.xlsx", "A 36969-2020")</f>
        <v/>
      </c>
      <c r="T102">
        <f>HYPERLINK("https://klasma.github.io/Logging_2281/kartor/A 36969-2020 karta.png", "A 36969-2020")</f>
        <v/>
      </c>
      <c r="U102">
        <f>HYPERLINK("https://klasma.github.io/Logging_2281/knärot/A 36969-2020 karta knärot.png", "A 36969-2020")</f>
        <v/>
      </c>
      <c r="V102">
        <f>HYPERLINK("https://klasma.github.io/Logging_2281/klagomål/A 36969-2020 FSC-klagomål.docx", "A 36969-2020")</f>
        <v/>
      </c>
      <c r="W102">
        <f>HYPERLINK("https://klasma.github.io/Logging_2281/klagomålsmail/A 36969-2020 FSC-klagomål mail.docx", "A 36969-2020")</f>
        <v/>
      </c>
      <c r="X102">
        <f>HYPERLINK("https://klasma.github.io/Logging_2281/tillsyn/A 36969-2020 tillsynsbegäran.docx", "A 36969-2020")</f>
        <v/>
      </c>
      <c r="Y102">
        <f>HYPERLINK("https://klasma.github.io/Logging_2281/tillsynsmail/A 36969-2020 tillsynsbegäran mail.docx", "A 36969-2020")</f>
        <v/>
      </c>
    </row>
    <row r="103" ht="15" customHeight="1">
      <c r="A103" t="inlineStr">
        <is>
          <t>A 44497-2020</t>
        </is>
      </c>
      <c r="B103" s="1" t="n">
        <v>44084</v>
      </c>
      <c r="C103" s="1" t="n">
        <v>45845</v>
      </c>
      <c r="D103" t="inlineStr">
        <is>
          <t>VÄSTERNORRLANDS LÄN</t>
        </is>
      </c>
      <c r="E103" t="inlineStr">
        <is>
          <t>SUNDSVALL</t>
        </is>
      </c>
      <c r="F103" t="inlineStr">
        <is>
          <t>SCA</t>
        </is>
      </c>
      <c r="G103" t="n">
        <v>20.1</v>
      </c>
      <c r="H103" t="n">
        <v>1</v>
      </c>
      <c r="I103" t="n">
        <v>2</v>
      </c>
      <c r="J103" t="n">
        <v>1</v>
      </c>
      <c r="K103" t="n">
        <v>1</v>
      </c>
      <c r="L103" t="n">
        <v>0</v>
      </c>
      <c r="M103" t="n">
        <v>0</v>
      </c>
      <c r="N103" t="n">
        <v>0</v>
      </c>
      <c r="O103" t="n">
        <v>2</v>
      </c>
      <c r="P103" t="n">
        <v>1</v>
      </c>
      <c r="Q103" t="n">
        <v>4</v>
      </c>
      <c r="R103" s="2" t="inlineStr">
        <is>
          <t>Knärot
Granticka
Korallblylav
Stor aspticka</t>
        </is>
      </c>
      <c r="S103">
        <f>HYPERLINK("https://klasma.github.io/Logging_2281/artfynd/A 44497-2020 artfynd.xlsx", "A 44497-2020")</f>
        <v/>
      </c>
      <c r="T103">
        <f>HYPERLINK("https://klasma.github.io/Logging_2281/kartor/A 44497-2020 karta.png", "A 44497-2020")</f>
        <v/>
      </c>
      <c r="U103">
        <f>HYPERLINK("https://klasma.github.io/Logging_2281/knärot/A 44497-2020 karta knärot.png", "A 44497-2020")</f>
        <v/>
      </c>
      <c r="V103">
        <f>HYPERLINK("https://klasma.github.io/Logging_2281/klagomål/A 44497-2020 FSC-klagomål.docx", "A 44497-2020")</f>
        <v/>
      </c>
      <c r="W103">
        <f>HYPERLINK("https://klasma.github.io/Logging_2281/klagomålsmail/A 44497-2020 FSC-klagomål mail.docx", "A 44497-2020")</f>
        <v/>
      </c>
      <c r="X103">
        <f>HYPERLINK("https://klasma.github.io/Logging_2281/tillsyn/A 44497-2020 tillsynsbegäran.docx", "A 44497-2020")</f>
        <v/>
      </c>
      <c r="Y103">
        <f>HYPERLINK("https://klasma.github.io/Logging_2281/tillsynsmail/A 44497-2020 tillsynsbegäran mail.docx", "A 44497-2020")</f>
        <v/>
      </c>
    </row>
    <row r="104" ht="15" customHeight="1">
      <c r="A104" t="inlineStr">
        <is>
          <t>A 3094-2021</t>
        </is>
      </c>
      <c r="B104" s="1" t="n">
        <v>44216</v>
      </c>
      <c r="C104" s="1" t="n">
        <v>45845</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24268-2021</t>
        </is>
      </c>
      <c r="B105" s="1" t="n">
        <v>44336</v>
      </c>
      <c r="C105" s="1" t="n">
        <v>45845</v>
      </c>
      <c r="D105" t="inlineStr">
        <is>
          <t>VÄSTERNORRLANDS LÄN</t>
        </is>
      </c>
      <c r="E105" t="inlineStr">
        <is>
          <t>SUNDSVALL</t>
        </is>
      </c>
      <c r="F105" t="inlineStr">
        <is>
          <t>SCA</t>
        </is>
      </c>
      <c r="G105" t="n">
        <v>5.4</v>
      </c>
      <c r="H105" t="n">
        <v>3</v>
      </c>
      <c r="I105" t="n">
        <v>0</v>
      </c>
      <c r="J105" t="n">
        <v>1</v>
      </c>
      <c r="K105" t="n">
        <v>1</v>
      </c>
      <c r="L105" t="n">
        <v>0</v>
      </c>
      <c r="M105" t="n">
        <v>0</v>
      </c>
      <c r="N105" t="n">
        <v>0</v>
      </c>
      <c r="O105" t="n">
        <v>2</v>
      </c>
      <c r="P105" t="n">
        <v>1</v>
      </c>
      <c r="Q105" t="n">
        <v>4</v>
      </c>
      <c r="R105" s="2" t="inlineStr">
        <is>
          <t>Knärot
Lunglav
Fläcknycklar
Revlummer</t>
        </is>
      </c>
      <c r="S105">
        <f>HYPERLINK("https://klasma.github.io/Logging_2281/artfynd/A 24268-2021 artfynd.xlsx", "A 24268-2021")</f>
        <v/>
      </c>
      <c r="T105">
        <f>HYPERLINK("https://klasma.github.io/Logging_2281/kartor/A 24268-2021 karta.png", "A 24268-2021")</f>
        <v/>
      </c>
      <c r="U105">
        <f>HYPERLINK("https://klasma.github.io/Logging_2281/knärot/A 24268-2021 karta knärot.png", "A 24268-2021")</f>
        <v/>
      </c>
      <c r="V105">
        <f>HYPERLINK("https://klasma.github.io/Logging_2281/klagomål/A 24268-2021 FSC-klagomål.docx", "A 24268-2021")</f>
        <v/>
      </c>
      <c r="W105">
        <f>HYPERLINK("https://klasma.github.io/Logging_2281/klagomålsmail/A 24268-2021 FSC-klagomål mail.docx", "A 24268-2021")</f>
        <v/>
      </c>
      <c r="X105">
        <f>HYPERLINK("https://klasma.github.io/Logging_2281/tillsyn/A 24268-2021 tillsynsbegäran.docx", "A 24268-2021")</f>
        <v/>
      </c>
      <c r="Y105">
        <f>HYPERLINK("https://klasma.github.io/Logging_2281/tillsynsmail/A 24268-2021 tillsynsbegäran mail.docx", "A 24268-2021")</f>
        <v/>
      </c>
    </row>
    <row r="106" ht="15" customHeight="1">
      <c r="A106" t="inlineStr">
        <is>
          <t>A 27556-2021</t>
        </is>
      </c>
      <c r="B106" s="1" t="n">
        <v>44352</v>
      </c>
      <c r="C106" s="1" t="n">
        <v>45845</v>
      </c>
      <c r="D106" t="inlineStr">
        <is>
          <t>VÄSTERNORRLANDS LÄN</t>
        </is>
      </c>
      <c r="E106" t="inlineStr">
        <is>
          <t>SUNDSVALL</t>
        </is>
      </c>
      <c r="F106" t="inlineStr">
        <is>
          <t>SCA</t>
        </is>
      </c>
      <c r="G106" t="n">
        <v>9.4</v>
      </c>
      <c r="H106" t="n">
        <v>1</v>
      </c>
      <c r="I106" t="n">
        <v>0</v>
      </c>
      <c r="J106" t="n">
        <v>3</v>
      </c>
      <c r="K106" t="n">
        <v>0</v>
      </c>
      <c r="L106" t="n">
        <v>0</v>
      </c>
      <c r="M106" t="n">
        <v>0</v>
      </c>
      <c r="N106" t="n">
        <v>0</v>
      </c>
      <c r="O106" t="n">
        <v>3</v>
      </c>
      <c r="P106" t="n">
        <v>0</v>
      </c>
      <c r="Q106" t="n">
        <v>4</v>
      </c>
      <c r="R106" s="2" t="inlineStr">
        <is>
          <t>Doftskinn
Gränsticka
Ullticka
Revlummer</t>
        </is>
      </c>
      <c r="S106">
        <f>HYPERLINK("https://klasma.github.io/Logging_2281/artfynd/A 27556-2021 artfynd.xlsx", "A 27556-2021")</f>
        <v/>
      </c>
      <c r="T106">
        <f>HYPERLINK("https://klasma.github.io/Logging_2281/kartor/A 27556-2021 karta.png", "A 27556-2021")</f>
        <v/>
      </c>
      <c r="V106">
        <f>HYPERLINK("https://klasma.github.io/Logging_2281/klagomål/A 27556-2021 FSC-klagomål.docx", "A 27556-2021")</f>
        <v/>
      </c>
      <c r="W106">
        <f>HYPERLINK("https://klasma.github.io/Logging_2281/klagomålsmail/A 27556-2021 FSC-klagomål mail.docx", "A 27556-2021")</f>
        <v/>
      </c>
      <c r="X106">
        <f>HYPERLINK("https://klasma.github.io/Logging_2281/tillsyn/A 27556-2021 tillsynsbegäran.docx", "A 27556-2021")</f>
        <v/>
      </c>
      <c r="Y106">
        <f>HYPERLINK("https://klasma.github.io/Logging_2281/tillsynsmail/A 27556-2021 tillsynsbegäran mail.docx", "A 27556-2021")</f>
        <v/>
      </c>
    </row>
    <row r="107" ht="15" customHeight="1">
      <c r="A107" t="inlineStr">
        <is>
          <t>A 49997-2021</t>
        </is>
      </c>
      <c r="B107" s="1" t="n">
        <v>44456</v>
      </c>
      <c r="C107" s="1" t="n">
        <v>45845</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21663-2022</t>
        </is>
      </c>
      <c r="B108" s="1" t="n">
        <v>44707</v>
      </c>
      <c r="C108" s="1" t="n">
        <v>45845</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21661-2022</t>
        </is>
      </c>
      <c r="B109" s="1" t="n">
        <v>44706</v>
      </c>
      <c r="C109" s="1" t="n">
        <v>45845</v>
      </c>
      <c r="D109" t="inlineStr">
        <is>
          <t>VÄSTERNORRLANDS LÄN</t>
        </is>
      </c>
      <c r="E109" t="inlineStr">
        <is>
          <t>SUNDSVALL</t>
        </is>
      </c>
      <c r="F109" t="inlineStr">
        <is>
          <t>SCA</t>
        </is>
      </c>
      <c r="G109" t="n">
        <v>1.8</v>
      </c>
      <c r="H109" t="n">
        <v>3</v>
      </c>
      <c r="I109" t="n">
        <v>0</v>
      </c>
      <c r="J109" t="n">
        <v>1</v>
      </c>
      <c r="K109" t="n">
        <v>1</v>
      </c>
      <c r="L109" t="n">
        <v>0</v>
      </c>
      <c r="M109" t="n">
        <v>0</v>
      </c>
      <c r="N109" t="n">
        <v>0</v>
      </c>
      <c r="O109" t="n">
        <v>2</v>
      </c>
      <c r="P109" t="n">
        <v>1</v>
      </c>
      <c r="Q109" t="n">
        <v>4</v>
      </c>
      <c r="R109" s="2" t="inlineStr">
        <is>
          <t>Knärot
Lunglav
Orre
Tjäder</t>
        </is>
      </c>
      <c r="S109">
        <f>HYPERLINK("https://klasma.github.io/Logging_2281/artfynd/A 21661-2022 artfynd.xlsx", "A 21661-2022")</f>
        <v/>
      </c>
      <c r="T109">
        <f>HYPERLINK("https://klasma.github.io/Logging_2281/kartor/A 21661-2022 karta.png", "A 21661-2022")</f>
        <v/>
      </c>
      <c r="U109">
        <f>HYPERLINK("https://klasma.github.io/Logging_2281/knärot/A 21661-2022 karta knärot.png", "A 21661-2022")</f>
        <v/>
      </c>
      <c r="V109">
        <f>HYPERLINK("https://klasma.github.io/Logging_2281/klagomål/A 21661-2022 FSC-klagomål.docx", "A 21661-2022")</f>
        <v/>
      </c>
      <c r="W109">
        <f>HYPERLINK("https://klasma.github.io/Logging_2281/klagomålsmail/A 21661-2022 FSC-klagomål mail.docx", "A 21661-2022")</f>
        <v/>
      </c>
      <c r="X109">
        <f>HYPERLINK("https://klasma.github.io/Logging_2281/tillsyn/A 21661-2022 tillsynsbegäran.docx", "A 21661-2022")</f>
        <v/>
      </c>
      <c r="Y109">
        <f>HYPERLINK("https://klasma.github.io/Logging_2281/tillsynsmail/A 21661-2022 tillsynsbegäran mail.docx", "A 21661-2022")</f>
        <v/>
      </c>
      <c r="Z109">
        <f>HYPERLINK("https://klasma.github.io/Logging_2281/fåglar/A 21661-2022 prioriterade fågelarter.docx", "A 21661-2022")</f>
        <v/>
      </c>
    </row>
    <row r="110" ht="15" customHeight="1">
      <c r="A110" t="inlineStr">
        <is>
          <t>A 27950-2022</t>
        </is>
      </c>
      <c r="B110" s="1" t="n">
        <v>44744</v>
      </c>
      <c r="C110" s="1" t="n">
        <v>45845</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48576-2022</t>
        </is>
      </c>
      <c r="B111" s="1" t="n">
        <v>44859</v>
      </c>
      <c r="C111" s="1" t="n">
        <v>45845</v>
      </c>
      <c r="D111" t="inlineStr">
        <is>
          <t>VÄSTERNORRLANDS LÄN</t>
        </is>
      </c>
      <c r="E111" t="inlineStr">
        <is>
          <t>SUNDSVALL</t>
        </is>
      </c>
      <c r="F111" t="inlineStr">
        <is>
          <t>Holmen skog AB</t>
        </is>
      </c>
      <c r="G111" t="n">
        <v>5</v>
      </c>
      <c r="H111" t="n">
        <v>0</v>
      </c>
      <c r="I111" t="n">
        <v>2</v>
      </c>
      <c r="J111" t="n">
        <v>2</v>
      </c>
      <c r="K111" t="n">
        <v>0</v>
      </c>
      <c r="L111" t="n">
        <v>0</v>
      </c>
      <c r="M111" t="n">
        <v>0</v>
      </c>
      <c r="N111" t="n">
        <v>0</v>
      </c>
      <c r="O111" t="n">
        <v>2</v>
      </c>
      <c r="P111" t="n">
        <v>0</v>
      </c>
      <c r="Q111" t="n">
        <v>4</v>
      </c>
      <c r="R111" s="2" t="inlineStr">
        <is>
          <t>Garnlav
Lunglav
Källmossor
Källpraktmossa</t>
        </is>
      </c>
      <c r="S111">
        <f>HYPERLINK("https://klasma.github.io/Logging_2281/artfynd/A 48576-2022 artfynd.xlsx", "A 48576-2022")</f>
        <v/>
      </c>
      <c r="T111">
        <f>HYPERLINK("https://klasma.github.io/Logging_2281/kartor/A 48576-2022 karta.png", "A 48576-2022")</f>
        <v/>
      </c>
      <c r="V111">
        <f>HYPERLINK("https://klasma.github.io/Logging_2281/klagomål/A 48576-2022 FSC-klagomål.docx", "A 48576-2022")</f>
        <v/>
      </c>
      <c r="W111">
        <f>HYPERLINK("https://klasma.github.io/Logging_2281/klagomålsmail/A 48576-2022 FSC-klagomål mail.docx", "A 48576-2022")</f>
        <v/>
      </c>
      <c r="X111">
        <f>HYPERLINK("https://klasma.github.io/Logging_2281/tillsyn/A 48576-2022 tillsynsbegäran.docx", "A 48576-2022")</f>
        <v/>
      </c>
      <c r="Y111">
        <f>HYPERLINK("https://klasma.github.io/Logging_2281/tillsynsmail/A 48576-2022 tillsynsbegäran mail.docx", "A 48576-2022")</f>
        <v/>
      </c>
    </row>
    <row r="112" ht="15" customHeight="1">
      <c r="A112" t="inlineStr">
        <is>
          <t>A 15985-2023</t>
        </is>
      </c>
      <c r="B112" s="1" t="n">
        <v>45022</v>
      </c>
      <c r="C112" s="1" t="n">
        <v>45845</v>
      </c>
      <c r="D112" t="inlineStr">
        <is>
          <t>VÄSTERNORRLANDS LÄN</t>
        </is>
      </c>
      <c r="E112" t="inlineStr">
        <is>
          <t>SUNDSVALL</t>
        </is>
      </c>
      <c r="F112" t="inlineStr">
        <is>
          <t>SCA</t>
        </is>
      </c>
      <c r="G112" t="n">
        <v>7.3</v>
      </c>
      <c r="H112" t="n">
        <v>3</v>
      </c>
      <c r="I112" t="n">
        <v>0</v>
      </c>
      <c r="J112" t="n">
        <v>1</v>
      </c>
      <c r="K112" t="n">
        <v>0</v>
      </c>
      <c r="L112" t="n">
        <v>0</v>
      </c>
      <c r="M112" t="n">
        <v>0</v>
      </c>
      <c r="N112" t="n">
        <v>0</v>
      </c>
      <c r="O112" t="n">
        <v>1</v>
      </c>
      <c r="P112" t="n">
        <v>0</v>
      </c>
      <c r="Q112" t="n">
        <v>4</v>
      </c>
      <c r="R112" s="2" t="inlineStr">
        <is>
          <t>Lunglav
Fläcknycklar
Nattviol
Revlummer</t>
        </is>
      </c>
      <c r="S112">
        <f>HYPERLINK("https://klasma.github.io/Logging_2281/artfynd/A 15985-2023 artfynd.xlsx", "A 15985-2023")</f>
        <v/>
      </c>
      <c r="T112">
        <f>HYPERLINK("https://klasma.github.io/Logging_2281/kartor/A 15985-2023 karta.png", "A 15985-2023")</f>
        <v/>
      </c>
      <c r="V112">
        <f>HYPERLINK("https://klasma.github.io/Logging_2281/klagomål/A 15985-2023 FSC-klagomål.docx", "A 15985-2023")</f>
        <v/>
      </c>
      <c r="W112">
        <f>HYPERLINK("https://klasma.github.io/Logging_2281/klagomålsmail/A 15985-2023 FSC-klagomål mail.docx", "A 15985-2023")</f>
        <v/>
      </c>
      <c r="X112">
        <f>HYPERLINK("https://klasma.github.io/Logging_2281/tillsyn/A 15985-2023 tillsynsbegäran.docx", "A 15985-2023")</f>
        <v/>
      </c>
      <c r="Y112">
        <f>HYPERLINK("https://klasma.github.io/Logging_2281/tillsynsmail/A 15985-2023 tillsynsbegäran mail.docx", "A 15985-2023")</f>
        <v/>
      </c>
    </row>
    <row r="113" ht="15" customHeight="1">
      <c r="A113" t="inlineStr">
        <is>
          <t>A 16767-2023</t>
        </is>
      </c>
      <c r="B113" s="1" t="n">
        <v>45030</v>
      </c>
      <c r="C113" s="1" t="n">
        <v>45845</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18375-2023</t>
        </is>
      </c>
      <c r="B114" s="1" t="n">
        <v>45041</v>
      </c>
      <c r="C114" s="1" t="n">
        <v>45845</v>
      </c>
      <c r="D114" t="inlineStr">
        <is>
          <t>VÄSTERNORRLANDS LÄN</t>
        </is>
      </c>
      <c r="E114" t="inlineStr">
        <is>
          <t>SUNDSVALL</t>
        </is>
      </c>
      <c r="F114" t="inlineStr">
        <is>
          <t>SCA</t>
        </is>
      </c>
      <c r="G114" t="n">
        <v>13.1</v>
      </c>
      <c r="H114" t="n">
        <v>1</v>
      </c>
      <c r="I114" t="n">
        <v>2</v>
      </c>
      <c r="J114" t="n">
        <v>2</v>
      </c>
      <c r="K114" t="n">
        <v>0</v>
      </c>
      <c r="L114" t="n">
        <v>0</v>
      </c>
      <c r="M114" t="n">
        <v>0</v>
      </c>
      <c r="N114" t="n">
        <v>0</v>
      </c>
      <c r="O114" t="n">
        <v>2</v>
      </c>
      <c r="P114" t="n">
        <v>0</v>
      </c>
      <c r="Q114" t="n">
        <v>4</v>
      </c>
      <c r="R114" s="2" t="inlineStr">
        <is>
          <t>Garnlav
Lunglav
Dropptaggsvamp
Plattlummer</t>
        </is>
      </c>
      <c r="S114">
        <f>HYPERLINK("https://klasma.github.io/Logging_2281/artfynd/A 18375-2023 artfynd.xlsx", "A 18375-2023")</f>
        <v/>
      </c>
      <c r="T114">
        <f>HYPERLINK("https://klasma.github.io/Logging_2281/kartor/A 18375-2023 karta.png", "A 18375-2023")</f>
        <v/>
      </c>
      <c r="V114">
        <f>HYPERLINK("https://klasma.github.io/Logging_2281/klagomål/A 18375-2023 FSC-klagomål.docx", "A 18375-2023")</f>
        <v/>
      </c>
      <c r="W114">
        <f>HYPERLINK("https://klasma.github.io/Logging_2281/klagomålsmail/A 18375-2023 FSC-klagomål mail.docx", "A 18375-2023")</f>
        <v/>
      </c>
      <c r="X114">
        <f>HYPERLINK("https://klasma.github.io/Logging_2281/tillsyn/A 18375-2023 tillsynsbegäran.docx", "A 18375-2023")</f>
        <v/>
      </c>
      <c r="Y114">
        <f>HYPERLINK("https://klasma.github.io/Logging_2281/tillsynsmail/A 18375-2023 tillsynsbegäran mail.docx", "A 18375-2023")</f>
        <v/>
      </c>
    </row>
    <row r="115" ht="15" customHeight="1">
      <c r="A115" t="inlineStr">
        <is>
          <t>A 18829-2023</t>
        </is>
      </c>
      <c r="B115" s="1" t="n">
        <v>45042</v>
      </c>
      <c r="C115" s="1" t="n">
        <v>45845</v>
      </c>
      <c r="D115" t="inlineStr">
        <is>
          <t>VÄSTERNORRLANDS LÄN</t>
        </is>
      </c>
      <c r="E115" t="inlineStr">
        <is>
          <t>SUNDSVALL</t>
        </is>
      </c>
      <c r="G115" t="n">
        <v>9.9</v>
      </c>
      <c r="H115" t="n">
        <v>3</v>
      </c>
      <c r="I115" t="n">
        <v>0</v>
      </c>
      <c r="J115" t="n">
        <v>2</v>
      </c>
      <c r="K115" t="n">
        <v>0</v>
      </c>
      <c r="L115" t="n">
        <v>0</v>
      </c>
      <c r="M115" t="n">
        <v>0</v>
      </c>
      <c r="N115" t="n">
        <v>0</v>
      </c>
      <c r="O115" t="n">
        <v>2</v>
      </c>
      <c r="P115" t="n">
        <v>0</v>
      </c>
      <c r="Q115" t="n">
        <v>4</v>
      </c>
      <c r="R115" s="2" t="inlineStr">
        <is>
          <t>Garnlav
Järpe
Orre
Fläcknycklar</t>
        </is>
      </c>
      <c r="S115">
        <f>HYPERLINK("https://klasma.github.io/Logging_2281/artfynd/A 18829-2023 artfynd.xlsx", "A 18829-2023")</f>
        <v/>
      </c>
      <c r="T115">
        <f>HYPERLINK("https://klasma.github.io/Logging_2281/kartor/A 18829-2023 karta.png", "A 18829-2023")</f>
        <v/>
      </c>
      <c r="V115">
        <f>HYPERLINK("https://klasma.github.io/Logging_2281/klagomål/A 18829-2023 FSC-klagomål.docx", "A 18829-2023")</f>
        <v/>
      </c>
      <c r="W115">
        <f>HYPERLINK("https://klasma.github.io/Logging_2281/klagomålsmail/A 18829-2023 FSC-klagomål mail.docx", "A 18829-2023")</f>
        <v/>
      </c>
      <c r="X115">
        <f>HYPERLINK("https://klasma.github.io/Logging_2281/tillsyn/A 18829-2023 tillsynsbegäran.docx", "A 18829-2023")</f>
        <v/>
      </c>
      <c r="Y115">
        <f>HYPERLINK("https://klasma.github.io/Logging_2281/tillsynsmail/A 18829-2023 tillsynsbegäran mail.docx", "A 18829-2023")</f>
        <v/>
      </c>
      <c r="Z115">
        <f>HYPERLINK("https://klasma.github.io/Logging_2281/fåglar/A 18829-2023 prioriterade fågelarter.docx", "A 18829-2023")</f>
        <v/>
      </c>
    </row>
    <row r="116" ht="15" customHeight="1">
      <c r="A116" t="inlineStr">
        <is>
          <t>A 44396-2023</t>
        </is>
      </c>
      <c r="B116" s="1" t="n">
        <v>45188</v>
      </c>
      <c r="C116" s="1" t="n">
        <v>45845</v>
      </c>
      <c r="D116" t="inlineStr">
        <is>
          <t>VÄSTERNORRLANDS LÄN</t>
        </is>
      </c>
      <c r="E116" t="inlineStr">
        <is>
          <t>SUNDSVALL</t>
        </is>
      </c>
      <c r="F116" t="inlineStr">
        <is>
          <t>SCA</t>
        </is>
      </c>
      <c r="G116" t="n">
        <v>11.9</v>
      </c>
      <c r="H116" t="n">
        <v>1</v>
      </c>
      <c r="I116" t="n">
        <v>0</v>
      </c>
      <c r="J116" t="n">
        <v>2</v>
      </c>
      <c r="K116" t="n">
        <v>2</v>
      </c>
      <c r="L116" t="n">
        <v>0</v>
      </c>
      <c r="M116" t="n">
        <v>0</v>
      </c>
      <c r="N116" t="n">
        <v>0</v>
      </c>
      <c r="O116" t="n">
        <v>4</v>
      </c>
      <c r="P116" t="n">
        <v>2</v>
      </c>
      <c r="Q116" t="n">
        <v>4</v>
      </c>
      <c r="R116" s="2" t="inlineStr">
        <is>
          <t>Blackticka
Långskägg
Garnlav
Lunglav</t>
        </is>
      </c>
      <c r="S116">
        <f>HYPERLINK("https://klasma.github.io/Logging_2281/artfynd/A 44396-2023 artfynd.xlsx", "A 44396-2023")</f>
        <v/>
      </c>
      <c r="T116">
        <f>HYPERLINK("https://klasma.github.io/Logging_2281/kartor/A 44396-2023 karta.png", "A 44396-2023")</f>
        <v/>
      </c>
      <c r="V116">
        <f>HYPERLINK("https://klasma.github.io/Logging_2281/klagomål/A 44396-2023 FSC-klagomål.docx", "A 44396-2023")</f>
        <v/>
      </c>
      <c r="W116">
        <f>HYPERLINK("https://klasma.github.io/Logging_2281/klagomålsmail/A 44396-2023 FSC-klagomål mail.docx", "A 44396-2023")</f>
        <v/>
      </c>
      <c r="X116">
        <f>HYPERLINK("https://klasma.github.io/Logging_2281/tillsyn/A 44396-2023 tillsynsbegäran.docx", "A 44396-2023")</f>
        <v/>
      </c>
      <c r="Y116">
        <f>HYPERLINK("https://klasma.github.io/Logging_2281/tillsynsmail/A 44396-2023 tillsynsbegäran mail.docx", "A 44396-2023")</f>
        <v/>
      </c>
    </row>
    <row r="117" ht="15" customHeight="1">
      <c r="A117" t="inlineStr">
        <is>
          <t>A 45949-2023</t>
        </is>
      </c>
      <c r="B117" s="1" t="n">
        <v>45195</v>
      </c>
      <c r="C117" s="1" t="n">
        <v>45845</v>
      </c>
      <c r="D117" t="inlineStr">
        <is>
          <t>VÄSTERNORRLANDS LÄN</t>
        </is>
      </c>
      <c r="E117" t="inlineStr">
        <is>
          <t>SUNDSVALL</t>
        </is>
      </c>
      <c r="F117" t="inlineStr">
        <is>
          <t>SCA</t>
        </is>
      </c>
      <c r="G117" t="n">
        <v>29.1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HYPERLINK("https://klasma.github.io/Logging_2281/artfynd/A 45949-2023 artfynd.xlsx", "A 45949-2023")</f>
        <v/>
      </c>
      <c r="T117">
        <f>HYPERLINK("https://klasma.github.io/Logging_2281/kartor/A 45949-2023 karta.png", "A 45949-2023")</f>
        <v/>
      </c>
      <c r="U117">
        <f>HYPERLINK("https://klasma.github.io/Logging_2281/knärot/A 45949-2023 karta knärot.png", "A 45949-2023")</f>
        <v/>
      </c>
      <c r="V117">
        <f>HYPERLINK("https://klasma.github.io/Logging_2281/klagomål/A 45949-2023 FSC-klagomål.docx", "A 45949-2023")</f>
        <v/>
      </c>
      <c r="W117">
        <f>HYPERLINK("https://klasma.github.io/Logging_2281/klagomålsmail/A 45949-2023 FSC-klagomål mail.docx", "A 45949-2023")</f>
        <v/>
      </c>
      <c r="X117">
        <f>HYPERLINK("https://klasma.github.io/Logging_2281/tillsyn/A 45949-2023 tillsynsbegäran.docx", "A 45949-2023")</f>
        <v/>
      </c>
      <c r="Y117">
        <f>HYPERLINK("https://klasma.github.io/Logging_2281/tillsynsmail/A 45949-2023 tillsynsbegäran mail.docx", "A 45949-2023")</f>
        <v/>
      </c>
      <c r="Z117">
        <f>HYPERLINK("https://klasma.github.io/Logging_2281/fåglar/A 45949-2023 prioriterade fågelarter.docx", "A 45949-2023")</f>
        <v/>
      </c>
    </row>
    <row r="118" ht="15" customHeight="1">
      <c r="A118" t="inlineStr">
        <is>
          <t>A 53044-2023</t>
        </is>
      </c>
      <c r="B118" s="1" t="n">
        <v>45226</v>
      </c>
      <c r="C118" s="1" t="n">
        <v>45845</v>
      </c>
      <c r="D118" t="inlineStr">
        <is>
          <t>VÄSTERNORRLANDS LÄN</t>
        </is>
      </c>
      <c r="E118" t="inlineStr">
        <is>
          <t>SUNDSVALL</t>
        </is>
      </c>
      <c r="F118" t="inlineStr">
        <is>
          <t>SCA</t>
        </is>
      </c>
      <c r="G118" t="n">
        <v>5.6</v>
      </c>
      <c r="H118" t="n">
        <v>0</v>
      </c>
      <c r="I118" t="n">
        <v>1</v>
      </c>
      <c r="J118" t="n">
        <v>3</v>
      </c>
      <c r="K118" t="n">
        <v>0</v>
      </c>
      <c r="L118" t="n">
        <v>0</v>
      </c>
      <c r="M118" t="n">
        <v>0</v>
      </c>
      <c r="N118" t="n">
        <v>0</v>
      </c>
      <c r="O118" t="n">
        <v>3</v>
      </c>
      <c r="P118" t="n">
        <v>0</v>
      </c>
      <c r="Q118" t="n">
        <v>4</v>
      </c>
      <c r="R118" s="2" t="inlineStr">
        <is>
          <t>Garnlav
Lunglav
Ullticka
Stuplav</t>
        </is>
      </c>
      <c r="S118">
        <f>HYPERLINK("https://klasma.github.io/Logging_2281/artfynd/A 53044-2023 artfynd.xlsx", "A 53044-2023")</f>
        <v/>
      </c>
      <c r="T118">
        <f>HYPERLINK("https://klasma.github.io/Logging_2281/kartor/A 53044-2023 karta.png", "A 53044-2023")</f>
        <v/>
      </c>
      <c r="V118">
        <f>HYPERLINK("https://klasma.github.io/Logging_2281/klagomål/A 53044-2023 FSC-klagomål.docx", "A 53044-2023")</f>
        <v/>
      </c>
      <c r="W118">
        <f>HYPERLINK("https://klasma.github.io/Logging_2281/klagomålsmail/A 53044-2023 FSC-klagomål mail.docx", "A 53044-2023")</f>
        <v/>
      </c>
      <c r="X118">
        <f>HYPERLINK("https://klasma.github.io/Logging_2281/tillsyn/A 53044-2023 tillsynsbegäran.docx", "A 53044-2023")</f>
        <v/>
      </c>
      <c r="Y118">
        <f>HYPERLINK("https://klasma.github.io/Logging_2281/tillsynsmail/A 53044-2023 tillsynsbegäran mail.docx", "A 53044-2023")</f>
        <v/>
      </c>
    </row>
    <row r="119" ht="15" customHeight="1">
      <c r="A119" t="inlineStr">
        <is>
          <t>A 54674-2023</t>
        </is>
      </c>
      <c r="B119" s="1" t="n">
        <v>45235</v>
      </c>
      <c r="C119" s="1" t="n">
        <v>45845</v>
      </c>
      <c r="D119" t="inlineStr">
        <is>
          <t>VÄSTERNORRLANDS LÄN</t>
        </is>
      </c>
      <c r="E119" t="inlineStr">
        <is>
          <t>SUNDSVALL</t>
        </is>
      </c>
      <c r="G119" t="n">
        <v>1.1</v>
      </c>
      <c r="H119" t="n">
        <v>4</v>
      </c>
      <c r="I119" t="n">
        <v>0</v>
      </c>
      <c r="J119" t="n">
        <v>2</v>
      </c>
      <c r="K119" t="n">
        <v>0</v>
      </c>
      <c r="L119" t="n">
        <v>0</v>
      </c>
      <c r="M119" t="n">
        <v>0</v>
      </c>
      <c r="N119" t="n">
        <v>0</v>
      </c>
      <c r="O119" t="n">
        <v>2</v>
      </c>
      <c r="P119" t="n">
        <v>0</v>
      </c>
      <c r="Q119" t="n">
        <v>4</v>
      </c>
      <c r="R119" s="2" t="inlineStr">
        <is>
          <t>Björktrast
Spillkråka
Grönsiska
Trana</t>
        </is>
      </c>
      <c r="S119">
        <f>HYPERLINK("https://klasma.github.io/Logging_2281/artfynd/A 54674-2023 artfynd.xlsx", "A 54674-2023")</f>
        <v/>
      </c>
      <c r="T119">
        <f>HYPERLINK("https://klasma.github.io/Logging_2281/kartor/A 54674-2023 karta.png", "A 54674-2023")</f>
        <v/>
      </c>
      <c r="V119">
        <f>HYPERLINK("https://klasma.github.io/Logging_2281/klagomål/A 54674-2023 FSC-klagomål.docx", "A 54674-2023")</f>
        <v/>
      </c>
      <c r="W119">
        <f>HYPERLINK("https://klasma.github.io/Logging_2281/klagomålsmail/A 54674-2023 FSC-klagomål mail.docx", "A 54674-2023")</f>
        <v/>
      </c>
      <c r="X119">
        <f>HYPERLINK("https://klasma.github.io/Logging_2281/tillsyn/A 54674-2023 tillsynsbegäran.docx", "A 54674-2023")</f>
        <v/>
      </c>
      <c r="Y119">
        <f>HYPERLINK("https://klasma.github.io/Logging_2281/tillsynsmail/A 54674-2023 tillsynsbegäran mail.docx", "A 54674-2023")</f>
        <v/>
      </c>
      <c r="Z119">
        <f>HYPERLINK("https://klasma.github.io/Logging_2281/fåglar/A 54674-2023 prioriterade fågelarter.docx", "A 54674-2023")</f>
        <v/>
      </c>
    </row>
    <row r="120" ht="15" customHeight="1">
      <c r="A120" t="inlineStr">
        <is>
          <t>A 29694-2024</t>
        </is>
      </c>
      <c r="B120" s="1" t="n">
        <v>45485</v>
      </c>
      <c r="C120" s="1" t="n">
        <v>45845</v>
      </c>
      <c r="D120" t="inlineStr">
        <is>
          <t>VÄSTERNORRLANDS LÄN</t>
        </is>
      </c>
      <c r="E120" t="inlineStr">
        <is>
          <t>SUNDSVALL</t>
        </is>
      </c>
      <c r="F120" t="inlineStr">
        <is>
          <t>SCA</t>
        </is>
      </c>
      <c r="G120" t="n">
        <v>13.1</v>
      </c>
      <c r="H120" t="n">
        <v>2</v>
      </c>
      <c r="I120" t="n">
        <v>1</v>
      </c>
      <c r="J120" t="n">
        <v>3</v>
      </c>
      <c r="K120" t="n">
        <v>0</v>
      </c>
      <c r="L120" t="n">
        <v>0</v>
      </c>
      <c r="M120" t="n">
        <v>0</v>
      </c>
      <c r="N120" t="n">
        <v>0</v>
      </c>
      <c r="O120" t="n">
        <v>3</v>
      </c>
      <c r="P120" t="n">
        <v>0</v>
      </c>
      <c r="Q120" t="n">
        <v>4</v>
      </c>
      <c r="R120" s="2" t="inlineStr">
        <is>
          <t>Rosenticka
Spillkråka
Talltita
Stor aspticka</t>
        </is>
      </c>
      <c r="S120">
        <f>HYPERLINK("https://klasma.github.io/Logging_2281/artfynd/A 29694-2024 artfynd.xlsx", "A 29694-2024")</f>
        <v/>
      </c>
      <c r="T120">
        <f>HYPERLINK("https://klasma.github.io/Logging_2281/kartor/A 29694-2024 karta.png", "A 29694-2024")</f>
        <v/>
      </c>
      <c r="V120">
        <f>HYPERLINK("https://klasma.github.io/Logging_2281/klagomål/A 29694-2024 FSC-klagomål.docx", "A 29694-2024")</f>
        <v/>
      </c>
      <c r="W120">
        <f>HYPERLINK("https://klasma.github.io/Logging_2281/klagomålsmail/A 29694-2024 FSC-klagomål mail.docx", "A 29694-2024")</f>
        <v/>
      </c>
      <c r="X120">
        <f>HYPERLINK("https://klasma.github.io/Logging_2281/tillsyn/A 29694-2024 tillsynsbegäran.docx", "A 29694-2024")</f>
        <v/>
      </c>
      <c r="Y120">
        <f>HYPERLINK("https://klasma.github.io/Logging_2281/tillsynsmail/A 29694-2024 tillsynsbegäran mail.docx", "A 29694-2024")</f>
        <v/>
      </c>
      <c r="Z120">
        <f>HYPERLINK("https://klasma.github.io/Logging_2281/fåglar/A 29694-2024 prioriterade fågelarter.docx", "A 29694-2024")</f>
        <v/>
      </c>
    </row>
    <row r="121" ht="15" customHeight="1">
      <c r="A121" t="inlineStr">
        <is>
          <t>A 50551-2024</t>
        </is>
      </c>
      <c r="B121" s="1" t="n">
        <v>45600</v>
      </c>
      <c r="C121" s="1" t="n">
        <v>45845</v>
      </c>
      <c r="D121" t="inlineStr">
        <is>
          <t>VÄSTERNORRLANDS LÄN</t>
        </is>
      </c>
      <c r="E121" t="inlineStr">
        <is>
          <t>SUNDSVALL</t>
        </is>
      </c>
      <c r="F121" t="inlineStr">
        <is>
          <t>Kommuner</t>
        </is>
      </c>
      <c r="G121" t="n">
        <v>19.7</v>
      </c>
      <c r="H121" t="n">
        <v>3</v>
      </c>
      <c r="I121" t="n">
        <v>0</v>
      </c>
      <c r="J121" t="n">
        <v>3</v>
      </c>
      <c r="K121" t="n">
        <v>1</v>
      </c>
      <c r="L121" t="n">
        <v>0</v>
      </c>
      <c r="M121" t="n">
        <v>0</v>
      </c>
      <c r="N121" t="n">
        <v>0</v>
      </c>
      <c r="O121" t="n">
        <v>4</v>
      </c>
      <c r="P121" t="n">
        <v>1</v>
      </c>
      <c r="Q121" t="n">
        <v>4</v>
      </c>
      <c r="R121" s="2" t="inlineStr">
        <is>
          <t>Havstrut
Flodsångare
Rödprick
Spillkråka</t>
        </is>
      </c>
      <c r="S121">
        <f>HYPERLINK("https://klasma.github.io/Logging_2281/artfynd/A 50551-2024 artfynd.xlsx", "A 50551-2024")</f>
        <v/>
      </c>
      <c r="T121">
        <f>HYPERLINK("https://klasma.github.io/Logging_2281/kartor/A 50551-2024 karta.png", "A 50551-2024")</f>
        <v/>
      </c>
      <c r="V121">
        <f>HYPERLINK("https://klasma.github.io/Logging_2281/klagomål/A 50551-2024 FSC-klagomål.docx", "A 50551-2024")</f>
        <v/>
      </c>
      <c r="W121">
        <f>HYPERLINK("https://klasma.github.io/Logging_2281/klagomålsmail/A 50551-2024 FSC-klagomål mail.docx", "A 50551-2024")</f>
        <v/>
      </c>
      <c r="X121">
        <f>HYPERLINK("https://klasma.github.io/Logging_2281/tillsyn/A 50551-2024 tillsynsbegäran.docx", "A 50551-2024")</f>
        <v/>
      </c>
      <c r="Y121">
        <f>HYPERLINK("https://klasma.github.io/Logging_2281/tillsynsmail/A 50551-2024 tillsynsbegäran mail.docx", "A 50551-2024")</f>
        <v/>
      </c>
      <c r="Z121">
        <f>HYPERLINK("https://klasma.github.io/Logging_2281/fåglar/A 50551-2024 prioriterade fågelarter.docx", "A 50551-2024")</f>
        <v/>
      </c>
    </row>
    <row r="122" ht="15" customHeight="1">
      <c r="A122" t="inlineStr">
        <is>
          <t>A 60194-2024</t>
        </is>
      </c>
      <c r="B122" s="1" t="n">
        <v>45642</v>
      </c>
      <c r="C122" s="1" t="n">
        <v>45845</v>
      </c>
      <c r="D122" t="inlineStr">
        <is>
          <t>VÄSTERNORRLANDS LÄN</t>
        </is>
      </c>
      <c r="E122" t="inlineStr">
        <is>
          <t>SUNDSVALL</t>
        </is>
      </c>
      <c r="F122" t="inlineStr">
        <is>
          <t>SCA</t>
        </is>
      </c>
      <c r="G122" t="n">
        <v>16.6</v>
      </c>
      <c r="H122" t="n">
        <v>3</v>
      </c>
      <c r="I122" t="n">
        <v>1</v>
      </c>
      <c r="J122" t="n">
        <v>2</v>
      </c>
      <c r="K122" t="n">
        <v>1</v>
      </c>
      <c r="L122" t="n">
        <v>0</v>
      </c>
      <c r="M122" t="n">
        <v>0</v>
      </c>
      <c r="N122" t="n">
        <v>0</v>
      </c>
      <c r="O122" t="n">
        <v>3</v>
      </c>
      <c r="P122" t="n">
        <v>1</v>
      </c>
      <c r="Q122" t="n">
        <v>4</v>
      </c>
      <c r="R122" s="2" t="inlineStr">
        <is>
          <t>Knärot
Mindre hackspett
Spillkråka
Björksplintborre</t>
        </is>
      </c>
      <c r="S122">
        <f>HYPERLINK("https://klasma.github.io/Logging_2281/artfynd/A 60194-2024 artfynd.xlsx", "A 60194-2024")</f>
        <v/>
      </c>
      <c r="T122">
        <f>HYPERLINK("https://klasma.github.io/Logging_2281/kartor/A 60194-2024 karta.png", "A 60194-2024")</f>
        <v/>
      </c>
      <c r="U122">
        <f>HYPERLINK("https://klasma.github.io/Logging_2281/knärot/A 60194-2024 karta knärot.png", "A 60194-2024")</f>
        <v/>
      </c>
      <c r="V122">
        <f>HYPERLINK("https://klasma.github.io/Logging_2281/klagomål/A 60194-2024 FSC-klagomål.docx", "A 60194-2024")</f>
        <v/>
      </c>
      <c r="W122">
        <f>HYPERLINK("https://klasma.github.io/Logging_2281/klagomålsmail/A 60194-2024 FSC-klagomål mail.docx", "A 60194-2024")</f>
        <v/>
      </c>
      <c r="X122">
        <f>HYPERLINK("https://klasma.github.io/Logging_2281/tillsyn/A 60194-2024 tillsynsbegäran.docx", "A 60194-2024")</f>
        <v/>
      </c>
      <c r="Y122">
        <f>HYPERLINK("https://klasma.github.io/Logging_2281/tillsynsmail/A 60194-2024 tillsynsbegäran mail.docx", "A 60194-2024")</f>
        <v/>
      </c>
      <c r="Z122">
        <f>HYPERLINK("https://klasma.github.io/Logging_2281/fåglar/A 60194-2024 prioriterade fågelarter.docx", "A 60194-2024")</f>
        <v/>
      </c>
    </row>
    <row r="123" ht="15" customHeight="1">
      <c r="A123" t="inlineStr">
        <is>
          <t>A 9509-2025</t>
        </is>
      </c>
      <c r="B123" s="1" t="n">
        <v>45715</v>
      </c>
      <c r="C123" s="1" t="n">
        <v>45845</v>
      </c>
      <c r="D123" t="inlineStr">
        <is>
          <t>VÄSTERNORRLANDS LÄN</t>
        </is>
      </c>
      <c r="E123" t="inlineStr">
        <is>
          <t>SUNDSVALL</t>
        </is>
      </c>
      <c r="G123" t="n">
        <v>5.1</v>
      </c>
      <c r="H123" t="n">
        <v>4</v>
      </c>
      <c r="I123" t="n">
        <v>1</v>
      </c>
      <c r="J123" t="n">
        <v>2</v>
      </c>
      <c r="K123" t="n">
        <v>1</v>
      </c>
      <c r="L123" t="n">
        <v>0</v>
      </c>
      <c r="M123" t="n">
        <v>0</v>
      </c>
      <c r="N123" t="n">
        <v>0</v>
      </c>
      <c r="O123" t="n">
        <v>3</v>
      </c>
      <c r="P123" t="n">
        <v>1</v>
      </c>
      <c r="Q123" t="n">
        <v>4</v>
      </c>
      <c r="R123" s="2" t="inlineStr">
        <is>
          <t>Knärot
Spillkråka
Tretåig hackspett
Plattlummer</t>
        </is>
      </c>
      <c r="S123">
        <f>HYPERLINK("https://klasma.github.io/Logging_222281/artfynd/A 9509-2025 artfynd.xlsx", "A 9509-2025")</f>
        <v/>
      </c>
      <c r="T123">
        <f>HYPERLINK("https://klasma.github.io/Logging_222281/kartor/A 9509-2025 karta.png", "A 9509-2025")</f>
        <v/>
      </c>
      <c r="U123">
        <f>HYPERLINK("https://klasma.github.io/Logging_222281/knärot/A 9509-2025 karta knärot.png", "A 9509-2025")</f>
        <v/>
      </c>
      <c r="V123">
        <f>HYPERLINK("https://klasma.github.io/Logging_222281/klagomål/A 9509-2025 FSC-klagomål.docx", "A 9509-2025")</f>
        <v/>
      </c>
      <c r="W123">
        <f>HYPERLINK("https://klasma.github.io/Logging_222281/klagomålsmail/A 9509-2025 FSC-klagomål mail.docx", "A 9509-2025")</f>
        <v/>
      </c>
      <c r="X123">
        <f>HYPERLINK("https://klasma.github.io/Logging_222281/tillsyn/A 9509-2025 tillsynsbegäran.docx", "A 9509-2025")</f>
        <v/>
      </c>
      <c r="Y123">
        <f>HYPERLINK("https://klasma.github.io/Logging_222281/tillsynsmail/A 9509-2025 tillsynsbegäran mail.docx", "A 9509-2025")</f>
        <v/>
      </c>
      <c r="Z123">
        <f>HYPERLINK("https://klasma.github.io/Logging_222281/fåglar/A 9509-2025 prioriterade fågelarter.docx", "A 9509-2025")</f>
        <v/>
      </c>
    </row>
    <row r="124" ht="15" customHeight="1">
      <c r="A124" t="inlineStr">
        <is>
          <t>A 13391-2025</t>
        </is>
      </c>
      <c r="B124" s="1" t="n">
        <v>45735</v>
      </c>
      <c r="C124" s="1" t="n">
        <v>45845</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HYPERLINK("https://klasma.github.io/Logging_222281/artfynd/A 13391-2025 artfynd.xlsx", "A 13391-2025")</f>
        <v/>
      </c>
      <c r="T124">
        <f>HYPERLINK("https://klasma.github.io/Logging_222281/kartor/A 13391-2025 karta.png", "A 13391-2025")</f>
        <v/>
      </c>
      <c r="V124">
        <f>HYPERLINK("https://klasma.github.io/Logging_222281/klagomål/A 13391-2025 FSC-klagomål.docx", "A 13391-2025")</f>
        <v/>
      </c>
      <c r="W124">
        <f>HYPERLINK("https://klasma.github.io/Logging_222281/klagomålsmail/A 13391-2025 FSC-klagomål mail.docx", "A 13391-2025")</f>
        <v/>
      </c>
      <c r="X124">
        <f>HYPERLINK("https://klasma.github.io/Logging_222281/tillsyn/A 13391-2025 tillsynsbegäran.docx", "A 13391-2025")</f>
        <v/>
      </c>
      <c r="Y124">
        <f>HYPERLINK("https://klasma.github.io/Logging_222281/tillsynsmail/A 13391-2025 tillsynsbegäran mail.docx", "A 13391-2025")</f>
        <v/>
      </c>
      <c r="Z124">
        <f>HYPERLINK("https://klasma.github.io/Logging_222281/fåglar/A 13391-2025 prioriterade fågelarter.docx", "A 13391-2025")</f>
        <v/>
      </c>
    </row>
    <row r="125" ht="15" customHeight="1">
      <c r="A125" t="inlineStr">
        <is>
          <t>A 16319-2025</t>
        </is>
      </c>
      <c r="B125" s="1" t="n">
        <v>45751</v>
      </c>
      <c r="C125" s="1" t="n">
        <v>45845</v>
      </c>
      <c r="D125" t="inlineStr">
        <is>
          <t>VÄSTERNORRLANDS LÄN</t>
        </is>
      </c>
      <c r="E125" t="inlineStr">
        <is>
          <t>SUNDSVALL</t>
        </is>
      </c>
      <c r="F125" t="inlineStr">
        <is>
          <t>SCA</t>
        </is>
      </c>
      <c r="G125" t="n">
        <v>2.1</v>
      </c>
      <c r="H125" t="n">
        <v>3</v>
      </c>
      <c r="I125" t="n">
        <v>0</v>
      </c>
      <c r="J125" t="n">
        <v>3</v>
      </c>
      <c r="K125" t="n">
        <v>0</v>
      </c>
      <c r="L125" t="n">
        <v>0</v>
      </c>
      <c r="M125" t="n">
        <v>0</v>
      </c>
      <c r="N125" t="n">
        <v>0</v>
      </c>
      <c r="O125" t="n">
        <v>3</v>
      </c>
      <c r="P125" t="n">
        <v>0</v>
      </c>
      <c r="Q125" t="n">
        <v>4</v>
      </c>
      <c r="R125" s="2" t="inlineStr">
        <is>
          <t>Lunglav
Spillkråka
Talltita
Tjäder</t>
        </is>
      </c>
      <c r="S125">
        <f>HYPERLINK("https://klasma.github.io/Logging_222281/artfynd/A 16319-2025 artfynd.xlsx", "A 16319-2025")</f>
        <v/>
      </c>
      <c r="T125">
        <f>HYPERLINK("https://klasma.github.io/Logging_222281/kartor/A 16319-2025 karta.png", "A 16319-2025")</f>
        <v/>
      </c>
      <c r="V125">
        <f>HYPERLINK("https://klasma.github.io/Logging_222281/klagomål/A 16319-2025 FSC-klagomål.docx", "A 16319-2025")</f>
        <v/>
      </c>
      <c r="W125">
        <f>HYPERLINK("https://klasma.github.io/Logging_222281/klagomålsmail/A 16319-2025 FSC-klagomål mail.docx", "A 16319-2025")</f>
        <v/>
      </c>
      <c r="X125">
        <f>HYPERLINK("https://klasma.github.io/Logging_222281/tillsyn/A 16319-2025 tillsynsbegäran.docx", "A 16319-2025")</f>
        <v/>
      </c>
      <c r="Y125">
        <f>HYPERLINK("https://klasma.github.io/Logging_222281/tillsynsmail/A 16319-2025 tillsynsbegäran mail.docx", "A 16319-2025")</f>
        <v/>
      </c>
      <c r="Z125">
        <f>HYPERLINK("https://klasma.github.io/Logging_222281/fåglar/A 16319-2025 prioriterade fågelarter.docx", "A 16319-2025")</f>
        <v/>
      </c>
    </row>
    <row r="126" ht="15" customHeight="1">
      <c r="A126" t="inlineStr">
        <is>
          <t>A 21594-2025</t>
        </is>
      </c>
      <c r="B126" s="1" t="n">
        <v>45783</v>
      </c>
      <c r="C126" s="1" t="n">
        <v>45845</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HYPERLINK("https://klasma.github.io/Logging_222281/artfynd/A 21594-2025 artfynd.xlsx", "A 21594-2025")</f>
        <v/>
      </c>
      <c r="T126">
        <f>HYPERLINK("https://klasma.github.io/Logging_222281/kartor/A 21594-2025 karta.png", "A 21594-2025")</f>
        <v/>
      </c>
      <c r="V126">
        <f>HYPERLINK("https://klasma.github.io/Logging_222281/klagomål/A 21594-2025 FSC-klagomål.docx", "A 21594-2025")</f>
        <v/>
      </c>
      <c r="W126">
        <f>HYPERLINK("https://klasma.github.io/Logging_222281/klagomålsmail/A 21594-2025 FSC-klagomål mail.docx", "A 21594-2025")</f>
        <v/>
      </c>
      <c r="X126">
        <f>HYPERLINK("https://klasma.github.io/Logging_222281/tillsyn/A 21594-2025 tillsynsbegäran.docx", "A 21594-2025")</f>
        <v/>
      </c>
      <c r="Y126">
        <f>HYPERLINK("https://klasma.github.io/Logging_222281/tillsynsmail/A 21594-2025 tillsynsbegäran mail.docx", "A 21594-2025")</f>
        <v/>
      </c>
    </row>
    <row r="127" ht="15" customHeight="1">
      <c r="A127" t="inlineStr">
        <is>
          <t>A 21986-2025</t>
        </is>
      </c>
      <c r="B127" s="1" t="n">
        <v>45784</v>
      </c>
      <c r="C127" s="1" t="n">
        <v>45845</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HYPERLINK("https://klasma.github.io/Logging_222281/artfynd/A 21986-2025 artfynd.xlsx", "A 21986-2025")</f>
        <v/>
      </c>
      <c r="T127">
        <f>HYPERLINK("https://klasma.github.io/Logging_222281/kartor/A 21986-2025 karta.png", "A 21986-2025")</f>
        <v/>
      </c>
      <c r="V127">
        <f>HYPERLINK("https://klasma.github.io/Logging_222281/klagomål/A 21986-2025 FSC-klagomål.docx", "A 21986-2025")</f>
        <v/>
      </c>
      <c r="W127">
        <f>HYPERLINK("https://klasma.github.io/Logging_222281/klagomålsmail/A 21986-2025 FSC-klagomål mail.docx", "A 21986-2025")</f>
        <v/>
      </c>
      <c r="X127">
        <f>HYPERLINK("https://klasma.github.io/Logging_222281/tillsyn/A 21986-2025 tillsynsbegäran.docx", "A 21986-2025")</f>
        <v/>
      </c>
      <c r="Y127">
        <f>HYPERLINK("https://klasma.github.io/Logging_222281/tillsynsmail/A 21986-2025 tillsynsbegäran mail.docx", "A 21986-2025")</f>
        <v/>
      </c>
    </row>
    <row r="128" ht="15" customHeight="1">
      <c r="A128" t="inlineStr">
        <is>
          <t>A 22114-2025</t>
        </is>
      </c>
      <c r="B128" s="1" t="n">
        <v>45785</v>
      </c>
      <c r="C128" s="1" t="n">
        <v>45845</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HYPERLINK("https://klasma.github.io/Logging_222281/artfynd/A 22114-2025 artfynd.xlsx", "A 22114-2025")</f>
        <v/>
      </c>
      <c r="T128">
        <f>HYPERLINK("https://klasma.github.io/Logging_222281/kartor/A 22114-2025 karta.png", "A 22114-2025")</f>
        <v/>
      </c>
      <c r="V128">
        <f>HYPERLINK("https://klasma.github.io/Logging_222281/klagomål/A 22114-2025 FSC-klagomål.docx", "A 22114-2025")</f>
        <v/>
      </c>
      <c r="W128">
        <f>HYPERLINK("https://klasma.github.io/Logging_222281/klagomålsmail/A 22114-2025 FSC-klagomål mail.docx", "A 22114-2025")</f>
        <v/>
      </c>
      <c r="X128">
        <f>HYPERLINK("https://klasma.github.io/Logging_222281/tillsyn/A 22114-2025 tillsynsbegäran.docx", "A 22114-2025")</f>
        <v/>
      </c>
      <c r="Y128">
        <f>HYPERLINK("https://klasma.github.io/Logging_222281/tillsynsmail/A 22114-2025 tillsynsbegäran mail.docx", "A 22114-2025")</f>
        <v/>
      </c>
    </row>
    <row r="129" ht="15" customHeight="1">
      <c r="A129" t="inlineStr">
        <is>
          <t>A 24422-2025</t>
        </is>
      </c>
      <c r="B129" s="1" t="n">
        <v>45797</v>
      </c>
      <c r="C129" s="1" t="n">
        <v>45845</v>
      </c>
      <c r="D129" t="inlineStr">
        <is>
          <t>VÄSTERNORRLANDS LÄN</t>
        </is>
      </c>
      <c r="E129" t="inlineStr">
        <is>
          <t>SUNDSVALL</t>
        </is>
      </c>
      <c r="F129" t="inlineStr">
        <is>
          <t>SCA</t>
        </is>
      </c>
      <c r="G129" t="n">
        <v>2.2</v>
      </c>
      <c r="H129" t="n">
        <v>2</v>
      </c>
      <c r="I129" t="n">
        <v>0</v>
      </c>
      <c r="J129" t="n">
        <v>3</v>
      </c>
      <c r="K129" t="n">
        <v>0</v>
      </c>
      <c r="L129" t="n">
        <v>0</v>
      </c>
      <c r="M129" t="n">
        <v>0</v>
      </c>
      <c r="N129" t="n">
        <v>0</v>
      </c>
      <c r="O129" t="n">
        <v>3</v>
      </c>
      <c r="P129" t="n">
        <v>0</v>
      </c>
      <c r="Q129" t="n">
        <v>4</v>
      </c>
      <c r="R129" s="2" t="inlineStr">
        <is>
          <t>Garnlav
Lunglav
Tretåig hackspett
Revlummer</t>
        </is>
      </c>
      <c r="S129">
        <f>HYPERLINK("https://klasma.github.io/Logging_222281/artfynd/A 24422-2025 artfynd.xlsx", "A 24422-2025")</f>
        <v/>
      </c>
      <c r="T129">
        <f>HYPERLINK("https://klasma.github.io/Logging_222281/kartor/A 24422-2025 karta.png", "A 24422-2025")</f>
        <v/>
      </c>
      <c r="V129">
        <f>HYPERLINK("https://klasma.github.io/Logging_222281/klagomål/A 24422-2025 FSC-klagomål.docx", "A 24422-2025")</f>
        <v/>
      </c>
      <c r="W129">
        <f>HYPERLINK("https://klasma.github.io/Logging_222281/klagomålsmail/A 24422-2025 FSC-klagomål mail.docx", "A 24422-2025")</f>
        <v/>
      </c>
      <c r="X129">
        <f>HYPERLINK("https://klasma.github.io/Logging_222281/tillsyn/A 24422-2025 tillsynsbegäran.docx", "A 24422-2025")</f>
        <v/>
      </c>
      <c r="Y129">
        <f>HYPERLINK("https://klasma.github.io/Logging_222281/tillsynsmail/A 24422-2025 tillsynsbegäran mail.docx", "A 24422-2025")</f>
        <v/>
      </c>
      <c r="Z129">
        <f>HYPERLINK("https://klasma.github.io/Logging_222281/fåglar/A 24422-2025 prioriterade fågelarter.docx", "A 24422-2025")</f>
        <v/>
      </c>
    </row>
    <row r="130" ht="15" customHeight="1">
      <c r="A130" t="inlineStr">
        <is>
          <t>A 44607-2019</t>
        </is>
      </c>
      <c r="B130" s="1" t="n">
        <v>43711</v>
      </c>
      <c r="C130" s="1" t="n">
        <v>45845</v>
      </c>
      <c r="D130" t="inlineStr">
        <is>
          <t>VÄSTERNORRLANDS LÄN</t>
        </is>
      </c>
      <c r="E130" t="inlineStr">
        <is>
          <t>SUNDSVALL</t>
        </is>
      </c>
      <c r="G130" t="n">
        <v>1.6</v>
      </c>
      <c r="H130" t="n">
        <v>3</v>
      </c>
      <c r="I130" t="n">
        <v>0</v>
      </c>
      <c r="J130" t="n">
        <v>2</v>
      </c>
      <c r="K130" t="n">
        <v>0</v>
      </c>
      <c r="L130" t="n">
        <v>0</v>
      </c>
      <c r="M130" t="n">
        <v>0</v>
      </c>
      <c r="N130" t="n">
        <v>0</v>
      </c>
      <c r="O130" t="n">
        <v>2</v>
      </c>
      <c r="P130" t="n">
        <v>0</v>
      </c>
      <c r="Q130" t="n">
        <v>3</v>
      </c>
      <c r="R130" s="2" t="inlineStr">
        <is>
          <t>Järpe
Talltita
Grönsiska</t>
        </is>
      </c>
      <c r="S130">
        <f>HYPERLINK("https://klasma.github.io/Logging_2281/artfynd/A 44607-2019 artfynd.xlsx", "A 44607-2019")</f>
        <v/>
      </c>
      <c r="T130">
        <f>HYPERLINK("https://klasma.github.io/Logging_2281/kartor/A 44607-2019 karta.png", "A 44607-2019")</f>
        <v/>
      </c>
      <c r="V130">
        <f>HYPERLINK("https://klasma.github.io/Logging_2281/klagomål/A 44607-2019 FSC-klagomål.docx", "A 44607-2019")</f>
        <v/>
      </c>
      <c r="W130">
        <f>HYPERLINK("https://klasma.github.io/Logging_2281/klagomålsmail/A 44607-2019 FSC-klagomål mail.docx", "A 44607-2019")</f>
        <v/>
      </c>
      <c r="X130">
        <f>HYPERLINK("https://klasma.github.io/Logging_2281/tillsyn/A 44607-2019 tillsynsbegäran.docx", "A 44607-2019")</f>
        <v/>
      </c>
      <c r="Y130">
        <f>HYPERLINK("https://klasma.github.io/Logging_2281/tillsynsmail/A 44607-2019 tillsynsbegäran mail.docx", "A 44607-2019")</f>
        <v/>
      </c>
      <c r="Z130">
        <f>HYPERLINK("https://klasma.github.io/Logging_2281/fåglar/A 44607-2019 prioriterade fågelarter.docx", "A 44607-2019")</f>
        <v/>
      </c>
    </row>
    <row r="131" ht="15" customHeight="1">
      <c r="A131" t="inlineStr">
        <is>
          <t>A 65041-2019</t>
        </is>
      </c>
      <c r="B131" s="1" t="n">
        <v>43801</v>
      </c>
      <c r="C131" s="1" t="n">
        <v>45845</v>
      </c>
      <c r="D131" t="inlineStr">
        <is>
          <t>VÄSTERNORRLANDS LÄN</t>
        </is>
      </c>
      <c r="E131" t="inlineStr">
        <is>
          <t>SUNDSVALL</t>
        </is>
      </c>
      <c r="F131" t="inlineStr">
        <is>
          <t>Naturvårdsverket</t>
        </is>
      </c>
      <c r="G131" t="n">
        <v>33.1</v>
      </c>
      <c r="H131" t="n">
        <v>2</v>
      </c>
      <c r="I131" t="n">
        <v>0</v>
      </c>
      <c r="J131" t="n">
        <v>3</v>
      </c>
      <c r="K131" t="n">
        <v>0</v>
      </c>
      <c r="L131" t="n">
        <v>0</v>
      </c>
      <c r="M131" t="n">
        <v>0</v>
      </c>
      <c r="N131" t="n">
        <v>0</v>
      </c>
      <c r="O131" t="n">
        <v>3</v>
      </c>
      <c r="P131" t="n">
        <v>0</v>
      </c>
      <c r="Q131" t="n">
        <v>3</v>
      </c>
      <c r="R131" s="2" t="inlineStr">
        <is>
          <t>Dvärgbägarlav
Spillkråka
Tretåig hackspett</t>
        </is>
      </c>
      <c r="S131">
        <f>HYPERLINK("https://klasma.github.io/Logging_2281/artfynd/A 65041-2019 artfynd.xlsx", "A 65041-2019")</f>
        <v/>
      </c>
      <c r="T131">
        <f>HYPERLINK("https://klasma.github.io/Logging_2281/kartor/A 65041-2019 karta.png", "A 65041-2019")</f>
        <v/>
      </c>
      <c r="V131">
        <f>HYPERLINK("https://klasma.github.io/Logging_2281/klagomål/A 65041-2019 FSC-klagomål.docx", "A 65041-2019")</f>
        <v/>
      </c>
      <c r="W131">
        <f>HYPERLINK("https://klasma.github.io/Logging_2281/klagomålsmail/A 65041-2019 FSC-klagomål mail.docx", "A 65041-2019")</f>
        <v/>
      </c>
      <c r="X131">
        <f>HYPERLINK("https://klasma.github.io/Logging_2281/tillsyn/A 65041-2019 tillsynsbegäran.docx", "A 65041-2019")</f>
        <v/>
      </c>
      <c r="Y131">
        <f>HYPERLINK("https://klasma.github.io/Logging_2281/tillsynsmail/A 65041-2019 tillsynsbegäran mail.docx", "A 65041-2019")</f>
        <v/>
      </c>
      <c r="Z131">
        <f>HYPERLINK("https://klasma.github.io/Logging_2281/fåglar/A 65041-2019 prioriterade fågelarter.docx", "A 65041-2019")</f>
        <v/>
      </c>
    </row>
    <row r="132" ht="15" customHeight="1">
      <c r="A132" t="inlineStr">
        <is>
          <t>A 22407-2020</t>
        </is>
      </c>
      <c r="B132" s="1" t="n">
        <v>43962</v>
      </c>
      <c r="C132" s="1" t="n">
        <v>45845</v>
      </c>
      <c r="D132" t="inlineStr">
        <is>
          <t>VÄSTERNORRLANDS LÄN</t>
        </is>
      </c>
      <c r="E132" t="inlineStr">
        <is>
          <t>SUNDSVALL</t>
        </is>
      </c>
      <c r="G132" t="n">
        <v>1</v>
      </c>
      <c r="H132" t="n">
        <v>0</v>
      </c>
      <c r="I132" t="n">
        <v>1</v>
      </c>
      <c r="J132" t="n">
        <v>2</v>
      </c>
      <c r="K132" t="n">
        <v>0</v>
      </c>
      <c r="L132" t="n">
        <v>0</v>
      </c>
      <c r="M132" t="n">
        <v>0</v>
      </c>
      <c r="N132" t="n">
        <v>0</v>
      </c>
      <c r="O132" t="n">
        <v>2</v>
      </c>
      <c r="P132" t="n">
        <v>0</v>
      </c>
      <c r="Q132" t="n">
        <v>3</v>
      </c>
      <c r="R132" s="2" t="inlineStr">
        <is>
          <t>Slåtterfibbla
Ullticka
Dropptaggsvamp</t>
        </is>
      </c>
      <c r="S132">
        <f>HYPERLINK("https://klasma.github.io/Logging_2281/artfynd/A 22407-2020 artfynd.xlsx", "A 22407-2020")</f>
        <v/>
      </c>
      <c r="T132">
        <f>HYPERLINK("https://klasma.github.io/Logging_2281/kartor/A 22407-2020 karta.png", "A 22407-2020")</f>
        <v/>
      </c>
      <c r="U132">
        <f>HYPERLINK("https://klasma.github.io/Logging_2281/knärot/A 22407-2020 karta knärot.png", "A 22407-2020")</f>
        <v/>
      </c>
      <c r="V132">
        <f>HYPERLINK("https://klasma.github.io/Logging_2281/klagomål/A 22407-2020 FSC-klagomål.docx", "A 22407-2020")</f>
        <v/>
      </c>
      <c r="W132">
        <f>HYPERLINK("https://klasma.github.io/Logging_2281/klagomålsmail/A 22407-2020 FSC-klagomål mail.docx", "A 22407-2020")</f>
        <v/>
      </c>
      <c r="X132">
        <f>HYPERLINK("https://klasma.github.io/Logging_2281/tillsyn/A 22407-2020 tillsynsbegäran.docx", "A 22407-2020")</f>
        <v/>
      </c>
      <c r="Y132">
        <f>HYPERLINK("https://klasma.github.io/Logging_2281/tillsynsmail/A 22407-2020 tillsynsbegäran mail.docx", "A 22407-2020")</f>
        <v/>
      </c>
    </row>
    <row r="133" ht="15" customHeight="1">
      <c r="A133" t="inlineStr">
        <is>
          <t>A 50336-2020</t>
        </is>
      </c>
      <c r="B133" s="1" t="n">
        <v>44110</v>
      </c>
      <c r="C133" s="1" t="n">
        <v>45845</v>
      </c>
      <c r="D133" t="inlineStr">
        <is>
          <t>VÄSTERNORRLANDS LÄN</t>
        </is>
      </c>
      <c r="E133" t="inlineStr">
        <is>
          <t>SUNDSVALL</t>
        </is>
      </c>
      <c r="F133" t="inlineStr">
        <is>
          <t>Kommuner</t>
        </is>
      </c>
      <c r="G133" t="n">
        <v>6.9</v>
      </c>
      <c r="H133" t="n">
        <v>3</v>
      </c>
      <c r="I133" t="n">
        <v>0</v>
      </c>
      <c r="J133" t="n">
        <v>1</v>
      </c>
      <c r="K133" t="n">
        <v>0</v>
      </c>
      <c r="L133" t="n">
        <v>0</v>
      </c>
      <c r="M133" t="n">
        <v>0</v>
      </c>
      <c r="N133" t="n">
        <v>0</v>
      </c>
      <c r="O133" t="n">
        <v>1</v>
      </c>
      <c r="P133" t="n">
        <v>0</v>
      </c>
      <c r="Q133" t="n">
        <v>3</v>
      </c>
      <c r="R133" s="2" t="inlineStr">
        <is>
          <t>Rödvingetrast
Gråkråka
Gråspett</t>
        </is>
      </c>
      <c r="S133">
        <f>HYPERLINK("https://klasma.github.io/Logging_2281/artfynd/A 50336-2020 artfynd.xlsx", "A 50336-2020")</f>
        <v/>
      </c>
      <c r="T133">
        <f>HYPERLINK("https://klasma.github.io/Logging_2281/kartor/A 50336-2020 karta.png", "A 50336-2020")</f>
        <v/>
      </c>
      <c r="V133">
        <f>HYPERLINK("https://klasma.github.io/Logging_2281/klagomål/A 50336-2020 FSC-klagomål.docx", "A 50336-2020")</f>
        <v/>
      </c>
      <c r="W133">
        <f>HYPERLINK("https://klasma.github.io/Logging_2281/klagomålsmail/A 50336-2020 FSC-klagomål mail.docx", "A 50336-2020")</f>
        <v/>
      </c>
      <c r="X133">
        <f>HYPERLINK("https://klasma.github.io/Logging_2281/tillsyn/A 50336-2020 tillsynsbegäran.docx", "A 50336-2020")</f>
        <v/>
      </c>
      <c r="Y133">
        <f>HYPERLINK("https://klasma.github.io/Logging_2281/tillsynsmail/A 50336-2020 tillsynsbegäran mail.docx", "A 50336-2020")</f>
        <v/>
      </c>
      <c r="Z133">
        <f>HYPERLINK("https://klasma.github.io/Logging_2281/fåglar/A 50336-2020 prioriterade fågelarter.docx", "A 50336-2020")</f>
        <v/>
      </c>
    </row>
    <row r="134" ht="15" customHeight="1">
      <c r="A134" t="inlineStr">
        <is>
          <t>A 11351-2022</t>
        </is>
      </c>
      <c r="B134" s="1" t="n">
        <v>44630</v>
      </c>
      <c r="C134" s="1" t="n">
        <v>45845</v>
      </c>
      <c r="D134" t="inlineStr">
        <is>
          <t>VÄSTERNORRLANDS LÄN</t>
        </is>
      </c>
      <c r="E134" t="inlineStr">
        <is>
          <t>SUNDSVALL</t>
        </is>
      </c>
      <c r="G134" t="n">
        <v>12.1</v>
      </c>
      <c r="H134" t="n">
        <v>1</v>
      </c>
      <c r="I134" t="n">
        <v>1</v>
      </c>
      <c r="J134" t="n">
        <v>1</v>
      </c>
      <c r="K134" t="n">
        <v>1</v>
      </c>
      <c r="L134" t="n">
        <v>0</v>
      </c>
      <c r="M134" t="n">
        <v>0</v>
      </c>
      <c r="N134" t="n">
        <v>0</v>
      </c>
      <c r="O134" t="n">
        <v>2</v>
      </c>
      <c r="P134" t="n">
        <v>1</v>
      </c>
      <c r="Q134" t="n">
        <v>3</v>
      </c>
      <c r="R134" s="2" t="inlineStr">
        <is>
          <t>Knärot
Vedskivlav
Kornig nållav</t>
        </is>
      </c>
      <c r="S134">
        <f>HYPERLINK("https://klasma.github.io/Logging_2281/artfynd/A 11351-2022 artfynd.xlsx", "A 11351-2022")</f>
        <v/>
      </c>
      <c r="T134">
        <f>HYPERLINK("https://klasma.github.io/Logging_2281/kartor/A 11351-2022 karta.png", "A 11351-2022")</f>
        <v/>
      </c>
      <c r="U134">
        <f>HYPERLINK("https://klasma.github.io/Logging_2281/knärot/A 11351-2022 karta knärot.png", "A 11351-2022")</f>
        <v/>
      </c>
      <c r="V134">
        <f>HYPERLINK("https://klasma.github.io/Logging_2281/klagomål/A 11351-2022 FSC-klagomål.docx", "A 11351-2022")</f>
        <v/>
      </c>
      <c r="W134">
        <f>HYPERLINK("https://klasma.github.io/Logging_2281/klagomålsmail/A 11351-2022 FSC-klagomål mail.docx", "A 11351-2022")</f>
        <v/>
      </c>
      <c r="X134">
        <f>HYPERLINK("https://klasma.github.io/Logging_2281/tillsyn/A 11351-2022 tillsynsbegäran.docx", "A 11351-2022")</f>
        <v/>
      </c>
      <c r="Y134">
        <f>HYPERLINK("https://klasma.github.io/Logging_2281/tillsynsmail/A 11351-2022 tillsynsbegäran mail.docx", "A 11351-2022")</f>
        <v/>
      </c>
    </row>
    <row r="135" ht="15" customHeight="1">
      <c r="A135" t="inlineStr">
        <is>
          <t>A 14677-2022</t>
        </is>
      </c>
      <c r="B135" s="1" t="n">
        <v>44655</v>
      </c>
      <c r="C135" s="1" t="n">
        <v>45845</v>
      </c>
      <c r="D135" t="inlineStr">
        <is>
          <t>VÄSTERNORRLANDS LÄN</t>
        </is>
      </c>
      <c r="E135" t="inlineStr">
        <is>
          <t>SUNDSVALL</t>
        </is>
      </c>
      <c r="G135" t="n">
        <v>12.9</v>
      </c>
      <c r="H135" t="n">
        <v>2</v>
      </c>
      <c r="I135" t="n">
        <v>0</v>
      </c>
      <c r="J135" t="n">
        <v>2</v>
      </c>
      <c r="K135" t="n">
        <v>1</v>
      </c>
      <c r="L135" t="n">
        <v>0</v>
      </c>
      <c r="M135" t="n">
        <v>0</v>
      </c>
      <c r="N135" t="n">
        <v>0</v>
      </c>
      <c r="O135" t="n">
        <v>3</v>
      </c>
      <c r="P135" t="n">
        <v>1</v>
      </c>
      <c r="Q135" t="n">
        <v>3</v>
      </c>
      <c r="R135" s="2" t="inlineStr">
        <is>
          <t>Knärot
Gammelgransskål
Tretåig hackspett</t>
        </is>
      </c>
      <c r="S135">
        <f>HYPERLINK("https://klasma.github.io/Logging_2281/artfynd/A 14677-2022 artfynd.xlsx", "A 14677-2022")</f>
        <v/>
      </c>
      <c r="T135">
        <f>HYPERLINK("https://klasma.github.io/Logging_2281/kartor/A 14677-2022 karta.png", "A 14677-2022")</f>
        <v/>
      </c>
      <c r="U135">
        <f>HYPERLINK("https://klasma.github.io/Logging_2281/knärot/A 14677-2022 karta knärot.png", "A 14677-2022")</f>
        <v/>
      </c>
      <c r="V135">
        <f>HYPERLINK("https://klasma.github.io/Logging_2281/klagomål/A 14677-2022 FSC-klagomål.docx", "A 14677-2022")</f>
        <v/>
      </c>
      <c r="W135">
        <f>HYPERLINK("https://klasma.github.io/Logging_2281/klagomålsmail/A 14677-2022 FSC-klagomål mail.docx", "A 14677-2022")</f>
        <v/>
      </c>
      <c r="X135">
        <f>HYPERLINK("https://klasma.github.io/Logging_2281/tillsyn/A 14677-2022 tillsynsbegäran.docx", "A 14677-2022")</f>
        <v/>
      </c>
      <c r="Y135">
        <f>HYPERLINK("https://klasma.github.io/Logging_2281/tillsynsmail/A 14677-2022 tillsynsbegäran mail.docx", "A 14677-2022")</f>
        <v/>
      </c>
      <c r="Z135">
        <f>HYPERLINK("https://klasma.github.io/Logging_2281/fåglar/A 14677-2022 prioriterade fågelarter.docx", "A 14677-2022")</f>
        <v/>
      </c>
    </row>
    <row r="136" ht="15" customHeight="1">
      <c r="A136" t="inlineStr">
        <is>
          <t>A 22566-2022</t>
        </is>
      </c>
      <c r="B136" s="1" t="n">
        <v>44714</v>
      </c>
      <c r="C136" s="1" t="n">
        <v>45845</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6795-2023</t>
        </is>
      </c>
      <c r="B137" s="1" t="n">
        <v>44966</v>
      </c>
      <c r="C137" s="1" t="n">
        <v>45845</v>
      </c>
      <c r="D137" t="inlineStr">
        <is>
          <t>VÄSTERNORRLANDS LÄN</t>
        </is>
      </c>
      <c r="E137" t="inlineStr">
        <is>
          <t>SUNDSVALL</t>
        </is>
      </c>
      <c r="F137" t="inlineStr">
        <is>
          <t>Naturvårdsverket</t>
        </is>
      </c>
      <c r="G137" t="n">
        <v>2.4</v>
      </c>
      <c r="H137" t="n">
        <v>1</v>
      </c>
      <c r="I137" t="n">
        <v>0</v>
      </c>
      <c r="J137" t="n">
        <v>2</v>
      </c>
      <c r="K137" t="n">
        <v>0</v>
      </c>
      <c r="L137" t="n">
        <v>0</v>
      </c>
      <c r="M137" t="n">
        <v>0</v>
      </c>
      <c r="N137" t="n">
        <v>0</v>
      </c>
      <c r="O137" t="n">
        <v>2</v>
      </c>
      <c r="P137" t="n">
        <v>0</v>
      </c>
      <c r="Q137" t="n">
        <v>3</v>
      </c>
      <c r="R137" s="2" t="inlineStr">
        <is>
          <t>Garnlav
Kolflarnlav
Vanlig groda</t>
        </is>
      </c>
      <c r="S137">
        <f>HYPERLINK("https://klasma.github.io/Logging_2281/artfynd/A 6795-2023 artfynd.xlsx", "A 6795-2023")</f>
        <v/>
      </c>
      <c r="T137">
        <f>HYPERLINK("https://klasma.github.io/Logging_2281/kartor/A 6795-2023 karta.png", "A 6795-2023")</f>
        <v/>
      </c>
      <c r="V137">
        <f>HYPERLINK("https://klasma.github.io/Logging_2281/klagomål/A 6795-2023 FSC-klagomål.docx", "A 6795-2023")</f>
        <v/>
      </c>
      <c r="W137">
        <f>HYPERLINK("https://klasma.github.io/Logging_2281/klagomålsmail/A 6795-2023 FSC-klagomål mail.docx", "A 6795-2023")</f>
        <v/>
      </c>
      <c r="X137">
        <f>HYPERLINK("https://klasma.github.io/Logging_2281/tillsyn/A 6795-2023 tillsynsbegäran.docx", "A 6795-2023")</f>
        <v/>
      </c>
      <c r="Y137">
        <f>HYPERLINK("https://klasma.github.io/Logging_2281/tillsynsmail/A 6795-2023 tillsynsbegäran mail.docx", "A 6795-2023")</f>
        <v/>
      </c>
    </row>
    <row r="138" ht="15" customHeight="1">
      <c r="A138" t="inlineStr">
        <is>
          <t>A 8680-2023</t>
        </is>
      </c>
      <c r="B138" s="1" t="n">
        <v>44977</v>
      </c>
      <c r="C138" s="1" t="n">
        <v>45845</v>
      </c>
      <c r="D138" t="inlineStr">
        <is>
          <t>VÄSTERNORRLANDS LÄN</t>
        </is>
      </c>
      <c r="E138" t="inlineStr">
        <is>
          <t>SUNDSVALL</t>
        </is>
      </c>
      <c r="F138" t="inlineStr">
        <is>
          <t>Naturvårdsverket</t>
        </is>
      </c>
      <c r="G138" t="n">
        <v>10.1</v>
      </c>
      <c r="H138" t="n">
        <v>0</v>
      </c>
      <c r="I138" t="n">
        <v>0</v>
      </c>
      <c r="J138" t="n">
        <v>3</v>
      </c>
      <c r="K138" t="n">
        <v>0</v>
      </c>
      <c r="L138" t="n">
        <v>0</v>
      </c>
      <c r="M138" t="n">
        <v>0</v>
      </c>
      <c r="N138" t="n">
        <v>0</v>
      </c>
      <c r="O138" t="n">
        <v>3</v>
      </c>
      <c r="P138" t="n">
        <v>0</v>
      </c>
      <c r="Q138" t="n">
        <v>3</v>
      </c>
      <c r="R138" s="2" t="inlineStr">
        <is>
          <t>Dvärgbägarlav
Kolflarnlav
Ullticka</t>
        </is>
      </c>
      <c r="S138">
        <f>HYPERLINK("https://klasma.github.io/Logging_2281/artfynd/A 8680-2023 artfynd.xlsx", "A 8680-2023")</f>
        <v/>
      </c>
      <c r="T138">
        <f>HYPERLINK("https://klasma.github.io/Logging_2281/kartor/A 8680-2023 karta.png", "A 8680-2023")</f>
        <v/>
      </c>
      <c r="V138">
        <f>HYPERLINK("https://klasma.github.io/Logging_2281/klagomål/A 8680-2023 FSC-klagomål.docx", "A 8680-2023")</f>
        <v/>
      </c>
      <c r="W138">
        <f>HYPERLINK("https://klasma.github.io/Logging_2281/klagomålsmail/A 8680-2023 FSC-klagomål mail.docx", "A 8680-2023")</f>
        <v/>
      </c>
      <c r="X138">
        <f>HYPERLINK("https://klasma.github.io/Logging_2281/tillsyn/A 8680-2023 tillsynsbegäran.docx", "A 8680-2023")</f>
        <v/>
      </c>
      <c r="Y138">
        <f>HYPERLINK("https://klasma.github.io/Logging_2281/tillsynsmail/A 8680-2023 tillsynsbegäran mail.docx", "A 8680-2023")</f>
        <v/>
      </c>
    </row>
    <row r="139" ht="15" customHeight="1">
      <c r="A139" t="inlineStr">
        <is>
          <t>A 16377-2023</t>
        </is>
      </c>
      <c r="B139" s="1" t="n">
        <v>45028</v>
      </c>
      <c r="C139" s="1" t="n">
        <v>45845</v>
      </c>
      <c r="D139" t="inlineStr">
        <is>
          <t>VÄSTERNORRLANDS LÄN</t>
        </is>
      </c>
      <c r="E139" t="inlineStr">
        <is>
          <t>SUNDSVALL</t>
        </is>
      </c>
      <c r="F139" t="inlineStr">
        <is>
          <t>SCA</t>
        </is>
      </c>
      <c r="G139" t="n">
        <v>4.9</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HYPERLINK("https://klasma.github.io/Logging_2281/artfynd/A 16377-2023 artfynd.xlsx", "A 16377-2023")</f>
        <v/>
      </c>
      <c r="T139">
        <f>HYPERLINK("https://klasma.github.io/Logging_2281/kartor/A 16377-2023 karta.png", "A 16377-2023")</f>
        <v/>
      </c>
      <c r="V139">
        <f>HYPERLINK("https://klasma.github.io/Logging_2281/klagomål/A 16377-2023 FSC-klagomål.docx", "A 16377-2023")</f>
        <v/>
      </c>
      <c r="W139">
        <f>HYPERLINK("https://klasma.github.io/Logging_2281/klagomålsmail/A 16377-2023 FSC-klagomål mail.docx", "A 16377-2023")</f>
        <v/>
      </c>
      <c r="X139">
        <f>HYPERLINK("https://klasma.github.io/Logging_2281/tillsyn/A 16377-2023 tillsynsbegäran.docx", "A 16377-2023")</f>
        <v/>
      </c>
      <c r="Y139">
        <f>HYPERLINK("https://klasma.github.io/Logging_2281/tillsynsmail/A 16377-2023 tillsynsbegäran mail.docx", "A 16377-2023")</f>
        <v/>
      </c>
    </row>
    <row r="140" ht="15" customHeight="1">
      <c r="A140" t="inlineStr">
        <is>
          <t>A 27390-2023</t>
        </is>
      </c>
      <c r="B140" s="1" t="n">
        <v>45096</v>
      </c>
      <c r="C140" s="1" t="n">
        <v>45845</v>
      </c>
      <c r="D140" t="inlineStr">
        <is>
          <t>VÄSTERNORRLANDS LÄN</t>
        </is>
      </c>
      <c r="E140" t="inlineStr">
        <is>
          <t>SUNDSVALL</t>
        </is>
      </c>
      <c r="F140" t="inlineStr">
        <is>
          <t>SCA</t>
        </is>
      </c>
      <c r="G140" t="n">
        <v>14.3</v>
      </c>
      <c r="H140" t="n">
        <v>1</v>
      </c>
      <c r="I140" t="n">
        <v>1</v>
      </c>
      <c r="J140" t="n">
        <v>1</v>
      </c>
      <c r="K140" t="n">
        <v>0</v>
      </c>
      <c r="L140" t="n">
        <v>0</v>
      </c>
      <c r="M140" t="n">
        <v>0</v>
      </c>
      <c r="N140" t="n">
        <v>0</v>
      </c>
      <c r="O140" t="n">
        <v>1</v>
      </c>
      <c r="P140" t="n">
        <v>0</v>
      </c>
      <c r="Q140" t="n">
        <v>3</v>
      </c>
      <c r="R140" s="2" t="inlineStr">
        <is>
          <t>Lunglav
Vedticka
Blåsippa</t>
        </is>
      </c>
      <c r="S140">
        <f>HYPERLINK("https://klasma.github.io/Logging_2281/artfynd/A 27390-2023 artfynd.xlsx", "A 27390-2023")</f>
        <v/>
      </c>
      <c r="T140">
        <f>HYPERLINK("https://klasma.github.io/Logging_2281/kartor/A 27390-2023 karta.png", "A 27390-2023")</f>
        <v/>
      </c>
      <c r="V140">
        <f>HYPERLINK("https://klasma.github.io/Logging_2281/klagomål/A 27390-2023 FSC-klagomål.docx", "A 27390-2023")</f>
        <v/>
      </c>
      <c r="W140">
        <f>HYPERLINK("https://klasma.github.io/Logging_2281/klagomålsmail/A 27390-2023 FSC-klagomål mail.docx", "A 27390-2023")</f>
        <v/>
      </c>
      <c r="X140">
        <f>HYPERLINK("https://klasma.github.io/Logging_2281/tillsyn/A 27390-2023 tillsynsbegäran.docx", "A 27390-2023")</f>
        <v/>
      </c>
      <c r="Y140">
        <f>HYPERLINK("https://klasma.github.io/Logging_2281/tillsynsmail/A 27390-2023 tillsynsbegäran mail.docx", "A 27390-2023")</f>
        <v/>
      </c>
    </row>
    <row r="141" ht="15" customHeight="1">
      <c r="A141" t="inlineStr">
        <is>
          <t>A 27734-2023</t>
        </is>
      </c>
      <c r="B141" s="1" t="n">
        <v>45098</v>
      </c>
      <c r="C141" s="1" t="n">
        <v>45845</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30287-2023</t>
        </is>
      </c>
      <c r="B142" s="1" t="n">
        <v>45110</v>
      </c>
      <c r="C142" s="1" t="n">
        <v>45845</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38096-2023</t>
        </is>
      </c>
      <c r="B143" s="1" t="n">
        <v>45160</v>
      </c>
      <c r="C143" s="1" t="n">
        <v>45845</v>
      </c>
      <c r="D143" t="inlineStr">
        <is>
          <t>VÄSTERNORRLANDS LÄN</t>
        </is>
      </c>
      <c r="E143" t="inlineStr">
        <is>
          <t>SUNDSVALL</t>
        </is>
      </c>
      <c r="F143" t="inlineStr">
        <is>
          <t>SCA</t>
        </is>
      </c>
      <c r="G143" t="n">
        <v>3.6</v>
      </c>
      <c r="H143" t="n">
        <v>0</v>
      </c>
      <c r="I143" t="n">
        <v>1</v>
      </c>
      <c r="J143" t="n">
        <v>2</v>
      </c>
      <c r="K143" t="n">
        <v>0</v>
      </c>
      <c r="L143" t="n">
        <v>0</v>
      </c>
      <c r="M143" t="n">
        <v>0</v>
      </c>
      <c r="N143" t="n">
        <v>0</v>
      </c>
      <c r="O143" t="n">
        <v>2</v>
      </c>
      <c r="P143" t="n">
        <v>0</v>
      </c>
      <c r="Q143" t="n">
        <v>3</v>
      </c>
      <c r="R143" s="2" t="inlineStr">
        <is>
          <t>Blå taggsvamp
Lunglav
Dropptaggsvamp</t>
        </is>
      </c>
      <c r="S143">
        <f>HYPERLINK("https://klasma.github.io/Logging_2281/artfynd/A 38096-2023 artfynd.xlsx", "A 38096-2023")</f>
        <v/>
      </c>
      <c r="T143">
        <f>HYPERLINK("https://klasma.github.io/Logging_2281/kartor/A 38096-2023 karta.png", "A 38096-2023")</f>
        <v/>
      </c>
      <c r="V143">
        <f>HYPERLINK("https://klasma.github.io/Logging_2281/klagomål/A 38096-2023 FSC-klagomål.docx", "A 38096-2023")</f>
        <v/>
      </c>
      <c r="W143">
        <f>HYPERLINK("https://klasma.github.io/Logging_2281/klagomålsmail/A 38096-2023 FSC-klagomål mail.docx", "A 38096-2023")</f>
        <v/>
      </c>
      <c r="X143">
        <f>HYPERLINK("https://klasma.github.io/Logging_2281/tillsyn/A 38096-2023 tillsynsbegäran.docx", "A 38096-2023")</f>
        <v/>
      </c>
      <c r="Y143">
        <f>HYPERLINK("https://klasma.github.io/Logging_2281/tillsynsmail/A 38096-2023 tillsynsbegäran mail.docx", "A 38096-2023")</f>
        <v/>
      </c>
    </row>
    <row r="144" ht="15" customHeight="1">
      <c r="A144" t="inlineStr">
        <is>
          <t>A 54621-2023</t>
        </is>
      </c>
      <c r="B144" s="1" t="n">
        <v>45233</v>
      </c>
      <c r="C144" s="1" t="n">
        <v>45845</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60864-2023</t>
        </is>
      </c>
      <c r="B145" s="1" t="n">
        <v>45260</v>
      </c>
      <c r="C145" s="1" t="n">
        <v>45845</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14820-2024</t>
        </is>
      </c>
      <c r="B146" s="1" t="n">
        <v>45397</v>
      </c>
      <c r="C146" s="1" t="n">
        <v>45845</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24782-2024</t>
        </is>
      </c>
      <c r="B147" s="1" t="n">
        <v>45460</v>
      </c>
      <c r="C147" s="1" t="n">
        <v>45845</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31515-2024</t>
        </is>
      </c>
      <c r="B148" s="1" t="n">
        <v>45505</v>
      </c>
      <c r="C148" s="1" t="n">
        <v>45845</v>
      </c>
      <c r="D148" t="inlineStr">
        <is>
          <t>VÄSTERNORRLANDS LÄN</t>
        </is>
      </c>
      <c r="E148" t="inlineStr">
        <is>
          <t>SUNDSVALL</t>
        </is>
      </c>
      <c r="F148" t="inlineStr">
        <is>
          <t>SCA</t>
        </is>
      </c>
      <c r="G148" t="n">
        <v>2.7</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HYPERLINK("https://klasma.github.io/Logging_2281/artfynd/A 31515-2024 artfynd.xlsx", "A 31515-2024")</f>
        <v/>
      </c>
      <c r="T148">
        <f>HYPERLINK("https://klasma.github.io/Logging_2281/kartor/A 31515-2024 karta.png", "A 31515-2024")</f>
        <v/>
      </c>
      <c r="V148">
        <f>HYPERLINK("https://klasma.github.io/Logging_2281/klagomål/A 31515-2024 FSC-klagomål.docx", "A 31515-2024")</f>
        <v/>
      </c>
      <c r="W148">
        <f>HYPERLINK("https://klasma.github.io/Logging_2281/klagomålsmail/A 31515-2024 FSC-klagomål mail.docx", "A 31515-2024")</f>
        <v/>
      </c>
      <c r="X148">
        <f>HYPERLINK("https://klasma.github.io/Logging_2281/tillsyn/A 31515-2024 tillsynsbegäran.docx", "A 31515-2024")</f>
        <v/>
      </c>
      <c r="Y148">
        <f>HYPERLINK("https://klasma.github.io/Logging_2281/tillsynsmail/A 31515-2024 tillsynsbegäran mail.docx", "A 31515-2024")</f>
        <v/>
      </c>
    </row>
    <row r="149" ht="15" customHeight="1">
      <c r="A149" t="inlineStr">
        <is>
          <t>A 55550-2024</t>
        </is>
      </c>
      <c r="B149" s="1" t="n">
        <v>45622</v>
      </c>
      <c r="C149" s="1" t="n">
        <v>45845</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12894-2025</t>
        </is>
      </c>
      <c r="B150" s="1" t="n">
        <v>45733</v>
      </c>
      <c r="C150" s="1" t="n">
        <v>45845</v>
      </c>
      <c r="D150" t="inlineStr">
        <is>
          <t>VÄSTERNORRLANDS LÄN</t>
        </is>
      </c>
      <c r="E150" t="inlineStr">
        <is>
          <t>SUNDSVALL</t>
        </is>
      </c>
      <c r="G150" t="n">
        <v>8.199999999999999</v>
      </c>
      <c r="H150" t="n">
        <v>1</v>
      </c>
      <c r="I150" t="n">
        <v>0</v>
      </c>
      <c r="J150" t="n">
        <v>2</v>
      </c>
      <c r="K150" t="n">
        <v>1</v>
      </c>
      <c r="L150" t="n">
        <v>0</v>
      </c>
      <c r="M150" t="n">
        <v>0</v>
      </c>
      <c r="N150" t="n">
        <v>0</v>
      </c>
      <c r="O150" t="n">
        <v>3</v>
      </c>
      <c r="P150" t="n">
        <v>1</v>
      </c>
      <c r="Q150" t="n">
        <v>3</v>
      </c>
      <c r="R150" s="2" t="inlineStr">
        <is>
          <t>Knärot
Lunglav
Ullticka</t>
        </is>
      </c>
      <c r="S150">
        <f>HYPERLINK("https://klasma.github.io/Logging_222281/artfynd/A 12894-2025 artfynd.xlsx", "A 12894-2025")</f>
        <v/>
      </c>
      <c r="T150">
        <f>HYPERLINK("https://klasma.github.io/Logging_222281/kartor/A 12894-2025 karta.png", "A 12894-2025")</f>
        <v/>
      </c>
      <c r="U150">
        <f>HYPERLINK("https://klasma.github.io/Logging_222281/knärot/A 12894-2025 karta knärot.png", "A 12894-2025")</f>
        <v/>
      </c>
      <c r="V150">
        <f>HYPERLINK("https://klasma.github.io/Logging_222281/klagomål/A 12894-2025 FSC-klagomål.docx", "A 12894-2025")</f>
        <v/>
      </c>
      <c r="W150">
        <f>HYPERLINK("https://klasma.github.io/Logging_222281/klagomålsmail/A 12894-2025 FSC-klagomål mail.docx", "A 12894-2025")</f>
        <v/>
      </c>
      <c r="X150">
        <f>HYPERLINK("https://klasma.github.io/Logging_222281/tillsyn/A 12894-2025 tillsynsbegäran.docx", "A 12894-2025")</f>
        <v/>
      </c>
      <c r="Y150">
        <f>HYPERLINK("https://klasma.github.io/Logging_222281/tillsynsmail/A 12894-2025 tillsynsbegäran mail.docx", "A 12894-2025")</f>
        <v/>
      </c>
    </row>
    <row r="151" ht="15" customHeight="1">
      <c r="A151" t="inlineStr">
        <is>
          <t>A 14545-2025</t>
        </is>
      </c>
      <c r="B151" s="1" t="n">
        <v>45741</v>
      </c>
      <c r="C151" s="1" t="n">
        <v>45845</v>
      </c>
      <c r="D151" t="inlineStr">
        <is>
          <t>VÄSTERNORRLANDS LÄN</t>
        </is>
      </c>
      <c r="E151" t="inlineStr">
        <is>
          <t>SUNDSVALL</t>
        </is>
      </c>
      <c r="F151" t="inlineStr">
        <is>
          <t>SCA</t>
        </is>
      </c>
      <c r="G151" t="n">
        <v>6.2</v>
      </c>
      <c r="H151" t="n">
        <v>2</v>
      </c>
      <c r="I151" t="n">
        <v>0</v>
      </c>
      <c r="J151" t="n">
        <v>1</v>
      </c>
      <c r="K151" t="n">
        <v>1</v>
      </c>
      <c r="L151" t="n">
        <v>0</v>
      </c>
      <c r="M151" t="n">
        <v>0</v>
      </c>
      <c r="N151" t="n">
        <v>0</v>
      </c>
      <c r="O151" t="n">
        <v>2</v>
      </c>
      <c r="P151" t="n">
        <v>1</v>
      </c>
      <c r="Q151" t="n">
        <v>3</v>
      </c>
      <c r="R151" s="2" t="inlineStr">
        <is>
          <t>Knärot
Garnlav
Revlummer</t>
        </is>
      </c>
      <c r="S151">
        <f>HYPERLINK("https://klasma.github.io/Logging_222281/artfynd/A 14545-2025 artfynd.xlsx", "A 14545-2025")</f>
        <v/>
      </c>
      <c r="T151">
        <f>HYPERLINK("https://klasma.github.io/Logging_222281/kartor/A 14545-2025 karta.png", "A 14545-2025")</f>
        <v/>
      </c>
      <c r="U151">
        <f>HYPERLINK("https://klasma.github.io/Logging_222281/knärot/A 14545-2025 karta knärot.png", "A 14545-2025")</f>
        <v/>
      </c>
      <c r="V151">
        <f>HYPERLINK("https://klasma.github.io/Logging_222281/klagomål/A 14545-2025 FSC-klagomål.docx", "A 14545-2025")</f>
        <v/>
      </c>
      <c r="W151">
        <f>HYPERLINK("https://klasma.github.io/Logging_222281/klagomålsmail/A 14545-2025 FSC-klagomål mail.docx", "A 14545-2025")</f>
        <v/>
      </c>
      <c r="X151">
        <f>HYPERLINK("https://klasma.github.io/Logging_222281/tillsyn/A 14545-2025 tillsynsbegäran.docx", "A 14545-2025")</f>
        <v/>
      </c>
      <c r="Y151">
        <f>HYPERLINK("https://klasma.github.io/Logging_222281/tillsynsmail/A 14545-2025 tillsynsbegäran mail.docx", "A 14545-2025")</f>
        <v/>
      </c>
    </row>
    <row r="152" ht="15" customHeight="1">
      <c r="A152" t="inlineStr">
        <is>
          <t>A 20077-2025</t>
        </is>
      </c>
      <c r="B152" s="1" t="n">
        <v>45772</v>
      </c>
      <c r="C152" s="1" t="n">
        <v>45845</v>
      </c>
      <c r="D152" t="inlineStr">
        <is>
          <t>VÄSTERNORRLANDS LÄN</t>
        </is>
      </c>
      <c r="E152" t="inlineStr">
        <is>
          <t>SUNDSVALL</t>
        </is>
      </c>
      <c r="F152" t="inlineStr">
        <is>
          <t>Naturvårdsverket</t>
        </is>
      </c>
      <c r="G152" t="n">
        <v>7</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HYPERLINK("https://klasma.github.io/Logging_222281/artfynd/A 20077-2025 artfynd.xlsx", "A 20077-2025")</f>
        <v/>
      </c>
      <c r="T152">
        <f>HYPERLINK("https://klasma.github.io/Logging_222281/kartor/A 20077-2025 karta.png", "A 20077-2025")</f>
        <v/>
      </c>
      <c r="V152">
        <f>HYPERLINK("https://klasma.github.io/Logging_222281/klagomål/A 20077-2025 FSC-klagomål.docx", "A 20077-2025")</f>
        <v/>
      </c>
      <c r="W152">
        <f>HYPERLINK("https://klasma.github.io/Logging_222281/klagomålsmail/A 20077-2025 FSC-klagomål mail.docx", "A 20077-2025")</f>
        <v/>
      </c>
      <c r="X152">
        <f>HYPERLINK("https://klasma.github.io/Logging_222281/tillsyn/A 20077-2025 tillsynsbegäran.docx", "A 20077-2025")</f>
        <v/>
      </c>
      <c r="Y152">
        <f>HYPERLINK("https://klasma.github.io/Logging_222281/tillsynsmail/A 20077-2025 tillsynsbegäran mail.docx", "A 20077-2025")</f>
        <v/>
      </c>
    </row>
    <row r="153" ht="15" customHeight="1">
      <c r="A153" t="inlineStr">
        <is>
          <t>A 21036-2025</t>
        </is>
      </c>
      <c r="B153" s="1" t="n">
        <v>45777</v>
      </c>
      <c r="C153" s="1" t="n">
        <v>45845</v>
      </c>
      <c r="D153" t="inlineStr">
        <is>
          <t>VÄSTERNORRLANDS LÄN</t>
        </is>
      </c>
      <c r="E153" t="inlineStr">
        <is>
          <t>SUNDSVALL</t>
        </is>
      </c>
      <c r="F153" t="inlineStr">
        <is>
          <t>Naturvårdsverket</t>
        </is>
      </c>
      <c r="G153" t="n">
        <v>5.5</v>
      </c>
      <c r="H153" t="n">
        <v>0</v>
      </c>
      <c r="I153" t="n">
        <v>1</v>
      </c>
      <c r="J153" t="n">
        <v>2</v>
      </c>
      <c r="K153" t="n">
        <v>0</v>
      </c>
      <c r="L153" t="n">
        <v>0</v>
      </c>
      <c r="M153" t="n">
        <v>0</v>
      </c>
      <c r="N153" t="n">
        <v>0</v>
      </c>
      <c r="O153" t="n">
        <v>2</v>
      </c>
      <c r="P153" t="n">
        <v>0</v>
      </c>
      <c r="Q153" t="n">
        <v>3</v>
      </c>
      <c r="R153" s="2" t="inlineStr">
        <is>
          <t>Doftskinn
Lunglav
Stuplav</t>
        </is>
      </c>
      <c r="S153">
        <f>HYPERLINK("https://klasma.github.io/Logging_222281/artfynd/A 21036-2025 artfynd.xlsx", "A 21036-2025")</f>
        <v/>
      </c>
      <c r="T153">
        <f>HYPERLINK("https://klasma.github.io/Logging_222281/kartor/A 21036-2025 karta.png", "A 21036-2025")</f>
        <v/>
      </c>
      <c r="V153">
        <f>HYPERLINK("https://klasma.github.io/Logging_222281/klagomål/A 21036-2025 FSC-klagomål.docx", "A 21036-2025")</f>
        <v/>
      </c>
      <c r="W153">
        <f>HYPERLINK("https://klasma.github.io/Logging_222281/klagomålsmail/A 21036-2025 FSC-klagomål mail.docx", "A 21036-2025")</f>
        <v/>
      </c>
      <c r="X153">
        <f>HYPERLINK("https://klasma.github.io/Logging_222281/tillsyn/A 21036-2025 tillsynsbegäran.docx", "A 21036-2025")</f>
        <v/>
      </c>
      <c r="Y153">
        <f>HYPERLINK("https://klasma.github.io/Logging_222281/tillsynsmail/A 21036-2025 tillsynsbegäran mail.docx", "A 21036-2025")</f>
        <v/>
      </c>
    </row>
    <row r="154" ht="15" customHeight="1">
      <c r="A154" t="inlineStr">
        <is>
          <t>A 24057-2025</t>
        </is>
      </c>
      <c r="B154" s="1" t="n">
        <v>45796</v>
      </c>
      <c r="C154" s="1" t="n">
        <v>45845</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HYPERLINK("https://klasma.github.io/Logging_222281/artfynd/A 24057-2025 artfynd.xlsx", "A 24057-2025")</f>
        <v/>
      </c>
      <c r="T154">
        <f>HYPERLINK("https://klasma.github.io/Logging_222281/kartor/A 24057-2025 karta.png", "A 24057-2025")</f>
        <v/>
      </c>
      <c r="V154">
        <f>HYPERLINK("https://klasma.github.io/Logging_222281/klagomål/A 24057-2025 FSC-klagomål.docx", "A 24057-2025")</f>
        <v/>
      </c>
      <c r="W154">
        <f>HYPERLINK("https://klasma.github.io/Logging_222281/klagomålsmail/A 24057-2025 FSC-klagomål mail.docx", "A 24057-2025")</f>
        <v/>
      </c>
      <c r="X154">
        <f>HYPERLINK("https://klasma.github.io/Logging_222281/tillsyn/A 24057-2025 tillsynsbegäran.docx", "A 24057-2025")</f>
        <v/>
      </c>
      <c r="Y154">
        <f>HYPERLINK("https://klasma.github.io/Logging_222281/tillsynsmail/A 24057-2025 tillsynsbegäran mail.docx", "A 24057-2025")</f>
        <v/>
      </c>
    </row>
    <row r="155" ht="15" customHeight="1">
      <c r="A155" t="inlineStr">
        <is>
          <t>A 24392-2025</t>
        </is>
      </c>
      <c r="B155" s="1" t="n">
        <v>45797</v>
      </c>
      <c r="C155" s="1" t="n">
        <v>45845</v>
      </c>
      <c r="D155" t="inlineStr">
        <is>
          <t>VÄSTERNORRLANDS LÄN</t>
        </is>
      </c>
      <c r="E155" t="inlineStr">
        <is>
          <t>SUNDSVALL</t>
        </is>
      </c>
      <c r="F155" t="inlineStr">
        <is>
          <t>SCA</t>
        </is>
      </c>
      <c r="G155" t="n">
        <v>8.800000000000001</v>
      </c>
      <c r="H155" t="n">
        <v>3</v>
      </c>
      <c r="I155" t="n">
        <v>0</v>
      </c>
      <c r="J155" t="n">
        <v>2</v>
      </c>
      <c r="K155" t="n">
        <v>0</v>
      </c>
      <c r="L155" t="n">
        <v>0</v>
      </c>
      <c r="M155" t="n">
        <v>0</v>
      </c>
      <c r="N155" t="n">
        <v>0</v>
      </c>
      <c r="O155" t="n">
        <v>2</v>
      </c>
      <c r="P155" t="n">
        <v>0</v>
      </c>
      <c r="Q155" t="n">
        <v>3</v>
      </c>
      <c r="R155" s="2" t="inlineStr">
        <is>
          <t>Spillkråka
Tretåig hackspett
Tjäder</t>
        </is>
      </c>
      <c r="S155">
        <f>HYPERLINK("https://klasma.github.io/Logging_222281/artfynd/A 24392-2025 artfynd.xlsx", "A 24392-2025")</f>
        <v/>
      </c>
      <c r="T155">
        <f>HYPERLINK("https://klasma.github.io/Logging_222281/kartor/A 24392-2025 karta.png", "A 24392-2025")</f>
        <v/>
      </c>
      <c r="V155">
        <f>HYPERLINK("https://klasma.github.io/Logging_222281/klagomål/A 24392-2025 FSC-klagomål.docx", "A 24392-2025")</f>
        <v/>
      </c>
      <c r="W155">
        <f>HYPERLINK("https://klasma.github.io/Logging_222281/klagomålsmail/A 24392-2025 FSC-klagomål mail.docx", "A 24392-2025")</f>
        <v/>
      </c>
      <c r="X155">
        <f>HYPERLINK("https://klasma.github.io/Logging_222281/tillsyn/A 24392-2025 tillsynsbegäran.docx", "A 24392-2025")</f>
        <v/>
      </c>
      <c r="Y155">
        <f>HYPERLINK("https://klasma.github.io/Logging_222281/tillsynsmail/A 24392-2025 tillsynsbegäran mail.docx", "A 24392-2025")</f>
        <v/>
      </c>
      <c r="Z155">
        <f>HYPERLINK("https://klasma.github.io/Logging_222281/fåglar/A 24392-2025 prioriterade fågelarter.docx", "A 24392-2025")</f>
        <v/>
      </c>
    </row>
    <row r="156" ht="15" customHeight="1">
      <c r="A156" t="inlineStr">
        <is>
          <t>A 30684-2025</t>
        </is>
      </c>
      <c r="B156" s="1" t="n">
        <v>45831</v>
      </c>
      <c r="C156" s="1" t="n">
        <v>45845</v>
      </c>
      <c r="D156" t="inlineStr">
        <is>
          <t>VÄSTERNORRLANDS LÄN</t>
        </is>
      </c>
      <c r="E156" t="inlineStr">
        <is>
          <t>SUNDSVALL</t>
        </is>
      </c>
      <c r="F156" t="inlineStr">
        <is>
          <t>SCA</t>
        </is>
      </c>
      <c r="G156" t="n">
        <v>3</v>
      </c>
      <c r="H156" t="n">
        <v>0</v>
      </c>
      <c r="I156" t="n">
        <v>2</v>
      </c>
      <c r="J156" t="n">
        <v>1</v>
      </c>
      <c r="K156" t="n">
        <v>0</v>
      </c>
      <c r="L156" t="n">
        <v>0</v>
      </c>
      <c r="M156" t="n">
        <v>0</v>
      </c>
      <c r="N156" t="n">
        <v>0</v>
      </c>
      <c r="O156" t="n">
        <v>1</v>
      </c>
      <c r="P156" t="n">
        <v>0</v>
      </c>
      <c r="Q156" t="n">
        <v>3</v>
      </c>
      <c r="R156" s="2" t="inlineStr">
        <is>
          <t>Ullticka
Stuplav
Vedticka</t>
        </is>
      </c>
      <c r="S156">
        <f>HYPERLINK("https://klasma.github.io/Logging_222281/artfynd/A 30684-2025 artfynd.xlsx", "A 30684-2025")</f>
        <v/>
      </c>
      <c r="T156">
        <f>HYPERLINK("https://klasma.github.io/Logging_222281/kartor/A 30684-2025 karta.png", "A 30684-2025")</f>
        <v/>
      </c>
      <c r="U156">
        <f>HYPERLINK("https://klasma.github.io/Logging_222281/knärot/A 30684-2025 karta knärot.png", "A 30684-2025")</f>
        <v/>
      </c>
      <c r="V156">
        <f>HYPERLINK("https://klasma.github.io/Logging_222281/klagomål/A 30684-2025 FSC-klagomål.docx", "A 30684-2025")</f>
        <v/>
      </c>
      <c r="W156">
        <f>HYPERLINK("https://klasma.github.io/Logging_222281/klagomålsmail/A 30684-2025 FSC-klagomål mail.docx", "A 30684-2025")</f>
        <v/>
      </c>
      <c r="X156">
        <f>HYPERLINK("https://klasma.github.io/Logging_222281/tillsyn/A 30684-2025 tillsynsbegäran.docx", "A 30684-2025")</f>
        <v/>
      </c>
      <c r="Y156">
        <f>HYPERLINK("https://klasma.github.io/Logging_222281/tillsynsmail/A 30684-2025 tillsynsbegäran mail.docx", "A 30684-2025")</f>
        <v/>
      </c>
    </row>
    <row r="157" ht="15" customHeight="1">
      <c r="A157" t="inlineStr">
        <is>
          <t>A 47808-2019</t>
        </is>
      </c>
      <c r="B157" s="1" t="n">
        <v>43724</v>
      </c>
      <c r="C157" s="1" t="n">
        <v>45845</v>
      </c>
      <c r="D157" t="inlineStr">
        <is>
          <t>VÄSTERNORRLANDS LÄN</t>
        </is>
      </c>
      <c r="E157" t="inlineStr">
        <is>
          <t>SUNDSVALL</t>
        </is>
      </c>
      <c r="F157" t="inlineStr">
        <is>
          <t>SCA</t>
        </is>
      </c>
      <c r="G157" t="n">
        <v>3.6</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47808-2019 artfynd.xlsx", "A 47808-2019")</f>
        <v/>
      </c>
      <c r="T157">
        <f>HYPERLINK("https://klasma.github.io/Logging_2281/kartor/A 47808-2019 karta.png", "A 47808-2019")</f>
        <v/>
      </c>
      <c r="V157">
        <f>HYPERLINK("https://klasma.github.io/Logging_2281/klagomål/A 47808-2019 FSC-klagomål.docx", "A 47808-2019")</f>
        <v/>
      </c>
      <c r="W157">
        <f>HYPERLINK("https://klasma.github.io/Logging_2281/klagomålsmail/A 47808-2019 FSC-klagomål mail.docx", "A 47808-2019")</f>
        <v/>
      </c>
      <c r="X157">
        <f>HYPERLINK("https://klasma.github.io/Logging_2281/tillsyn/A 47808-2019 tillsynsbegäran.docx", "A 47808-2019")</f>
        <v/>
      </c>
      <c r="Y157">
        <f>HYPERLINK("https://klasma.github.io/Logging_2281/tillsynsmail/A 47808-2019 tillsynsbegäran mail.docx", "A 47808-2019")</f>
        <v/>
      </c>
    </row>
    <row r="158" ht="15" customHeight="1">
      <c r="A158" t="inlineStr">
        <is>
          <t>A 7637-2021</t>
        </is>
      </c>
      <c r="B158" s="1" t="n">
        <v>44242</v>
      </c>
      <c r="C158" s="1" t="n">
        <v>45845</v>
      </c>
      <c r="D158" t="inlineStr">
        <is>
          <t>VÄSTERNORRLANDS LÄN</t>
        </is>
      </c>
      <c r="E158" t="inlineStr">
        <is>
          <t>SUNDSVALL</t>
        </is>
      </c>
      <c r="G158" t="n">
        <v>3.9</v>
      </c>
      <c r="H158" t="n">
        <v>2</v>
      </c>
      <c r="I158" t="n">
        <v>0</v>
      </c>
      <c r="J158" t="n">
        <v>1</v>
      </c>
      <c r="K158" t="n">
        <v>0</v>
      </c>
      <c r="L158" t="n">
        <v>0</v>
      </c>
      <c r="M158" t="n">
        <v>0</v>
      </c>
      <c r="N158" t="n">
        <v>0</v>
      </c>
      <c r="O158" t="n">
        <v>1</v>
      </c>
      <c r="P158" t="n">
        <v>0</v>
      </c>
      <c r="Q158" t="n">
        <v>2</v>
      </c>
      <c r="R158" s="2" t="inlineStr">
        <is>
          <t>Spillkråka
Gröngöling</t>
        </is>
      </c>
      <c r="S158">
        <f>HYPERLINK("https://klasma.github.io/Logging_2281/artfynd/A 7637-2021 artfynd.xlsx", "A 7637-2021")</f>
        <v/>
      </c>
      <c r="T158">
        <f>HYPERLINK("https://klasma.github.io/Logging_2281/kartor/A 7637-2021 karta.png", "A 7637-2021")</f>
        <v/>
      </c>
      <c r="V158">
        <f>HYPERLINK("https://klasma.github.io/Logging_2281/klagomål/A 7637-2021 FSC-klagomål.docx", "A 7637-2021")</f>
        <v/>
      </c>
      <c r="W158">
        <f>HYPERLINK("https://klasma.github.io/Logging_2281/klagomålsmail/A 7637-2021 FSC-klagomål mail.docx", "A 7637-2021")</f>
        <v/>
      </c>
      <c r="X158">
        <f>HYPERLINK("https://klasma.github.io/Logging_2281/tillsyn/A 7637-2021 tillsynsbegäran.docx", "A 7637-2021")</f>
        <v/>
      </c>
      <c r="Y158">
        <f>HYPERLINK("https://klasma.github.io/Logging_2281/tillsynsmail/A 7637-2021 tillsynsbegäran mail.docx", "A 7637-2021")</f>
        <v/>
      </c>
      <c r="Z158">
        <f>HYPERLINK("https://klasma.github.io/Logging_2281/fåglar/A 7637-2021 prioriterade fågelarter.docx", "A 7637-2021")</f>
        <v/>
      </c>
    </row>
    <row r="159" ht="15" customHeight="1">
      <c r="A159" t="inlineStr">
        <is>
          <t>A 39929-2021</t>
        </is>
      </c>
      <c r="B159" s="1" t="n">
        <v>44417</v>
      </c>
      <c r="C159" s="1" t="n">
        <v>45845</v>
      </c>
      <c r="D159" t="inlineStr">
        <is>
          <t>VÄSTERNORRLANDS LÄN</t>
        </is>
      </c>
      <c r="E159" t="inlineStr">
        <is>
          <t>SUNDSVALL</t>
        </is>
      </c>
      <c r="F159" t="inlineStr">
        <is>
          <t>SCA</t>
        </is>
      </c>
      <c r="G159" t="n">
        <v>3.3</v>
      </c>
      <c r="H159" t="n">
        <v>2</v>
      </c>
      <c r="I159" t="n">
        <v>0</v>
      </c>
      <c r="J159" t="n">
        <v>1</v>
      </c>
      <c r="K159" t="n">
        <v>0</v>
      </c>
      <c r="L159" t="n">
        <v>0</v>
      </c>
      <c r="M159" t="n">
        <v>0</v>
      </c>
      <c r="N159" t="n">
        <v>0</v>
      </c>
      <c r="O159" t="n">
        <v>1</v>
      </c>
      <c r="P159" t="n">
        <v>0</v>
      </c>
      <c r="Q159" t="n">
        <v>2</v>
      </c>
      <c r="R159" s="2" t="inlineStr">
        <is>
          <t>Tretåig hackspett
Nattviol</t>
        </is>
      </c>
      <c r="S159">
        <f>HYPERLINK("https://klasma.github.io/Logging_2281/artfynd/A 39929-2021 artfynd.xlsx", "A 39929-2021")</f>
        <v/>
      </c>
      <c r="T159">
        <f>HYPERLINK("https://klasma.github.io/Logging_2281/kartor/A 39929-2021 karta.png", "A 39929-2021")</f>
        <v/>
      </c>
      <c r="V159">
        <f>HYPERLINK("https://klasma.github.io/Logging_2281/klagomål/A 39929-2021 FSC-klagomål.docx", "A 39929-2021")</f>
        <v/>
      </c>
      <c r="W159">
        <f>HYPERLINK("https://klasma.github.io/Logging_2281/klagomålsmail/A 39929-2021 FSC-klagomål mail.docx", "A 39929-2021")</f>
        <v/>
      </c>
      <c r="X159">
        <f>HYPERLINK("https://klasma.github.io/Logging_2281/tillsyn/A 39929-2021 tillsynsbegäran.docx", "A 39929-2021")</f>
        <v/>
      </c>
      <c r="Y159">
        <f>HYPERLINK("https://klasma.github.io/Logging_2281/tillsynsmail/A 39929-2021 tillsynsbegäran mail.docx", "A 39929-2021")</f>
        <v/>
      </c>
      <c r="Z159">
        <f>HYPERLINK("https://klasma.github.io/Logging_2281/fåglar/A 39929-2021 prioriterade fågelarter.docx", "A 39929-2021")</f>
        <v/>
      </c>
    </row>
    <row r="160" ht="15" customHeight="1">
      <c r="A160" t="inlineStr">
        <is>
          <t>A 43196-2021</t>
        </is>
      </c>
      <c r="B160" s="1" t="n">
        <v>44431</v>
      </c>
      <c r="C160" s="1" t="n">
        <v>45845</v>
      </c>
      <c r="D160" t="inlineStr">
        <is>
          <t>VÄSTERNORRLANDS LÄN</t>
        </is>
      </c>
      <c r="E160" t="inlineStr">
        <is>
          <t>SUNDSVALL</t>
        </is>
      </c>
      <c r="G160" t="n">
        <v>1.9</v>
      </c>
      <c r="H160" t="n">
        <v>1</v>
      </c>
      <c r="I160" t="n">
        <v>0</v>
      </c>
      <c r="J160" t="n">
        <v>1</v>
      </c>
      <c r="K160" t="n">
        <v>0</v>
      </c>
      <c r="L160" t="n">
        <v>0</v>
      </c>
      <c r="M160" t="n">
        <v>0</v>
      </c>
      <c r="N160" t="n">
        <v>0</v>
      </c>
      <c r="O160" t="n">
        <v>1</v>
      </c>
      <c r="P160" t="n">
        <v>0</v>
      </c>
      <c r="Q160" t="n">
        <v>2</v>
      </c>
      <c r="R160" s="2" t="inlineStr">
        <is>
          <t>Garnlav
Revlummer</t>
        </is>
      </c>
      <c r="S160">
        <f>HYPERLINK("https://klasma.github.io/Logging_2281/artfynd/A 43196-2021 artfynd.xlsx", "A 43196-2021")</f>
        <v/>
      </c>
      <c r="T160">
        <f>HYPERLINK("https://klasma.github.io/Logging_2281/kartor/A 43196-2021 karta.png", "A 43196-2021")</f>
        <v/>
      </c>
      <c r="V160">
        <f>HYPERLINK("https://klasma.github.io/Logging_2281/klagomål/A 43196-2021 FSC-klagomål.docx", "A 43196-2021")</f>
        <v/>
      </c>
      <c r="W160">
        <f>HYPERLINK("https://klasma.github.io/Logging_2281/klagomålsmail/A 43196-2021 FSC-klagomål mail.docx", "A 43196-2021")</f>
        <v/>
      </c>
      <c r="X160">
        <f>HYPERLINK("https://klasma.github.io/Logging_2281/tillsyn/A 43196-2021 tillsynsbegäran.docx", "A 43196-2021")</f>
        <v/>
      </c>
      <c r="Y160">
        <f>HYPERLINK("https://klasma.github.io/Logging_2281/tillsynsmail/A 43196-2021 tillsynsbegäran mail.docx", "A 43196-2021")</f>
        <v/>
      </c>
    </row>
    <row r="161" ht="15" customHeight="1">
      <c r="A161" t="inlineStr">
        <is>
          <t>A 49380-2021</t>
        </is>
      </c>
      <c r="B161" s="1" t="n">
        <v>44454</v>
      </c>
      <c r="C161" s="1" t="n">
        <v>45845</v>
      </c>
      <c r="D161" t="inlineStr">
        <is>
          <t>VÄSTERNORRLANDS LÄN</t>
        </is>
      </c>
      <c r="E161" t="inlineStr">
        <is>
          <t>SUNDSVALL</t>
        </is>
      </c>
      <c r="F161" t="inlineStr">
        <is>
          <t>Kommuner</t>
        </is>
      </c>
      <c r="G161" t="n">
        <v>4.5</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49380-2021 artfynd.xlsx", "A 49380-2021")</f>
        <v/>
      </c>
      <c r="T161">
        <f>HYPERLINK("https://klasma.github.io/Logging_2281/kartor/A 49380-2021 karta.png", "A 49380-2021")</f>
        <v/>
      </c>
      <c r="V161">
        <f>HYPERLINK("https://klasma.github.io/Logging_2281/klagomål/A 49380-2021 FSC-klagomål.docx", "A 49380-2021")</f>
        <v/>
      </c>
      <c r="W161">
        <f>HYPERLINK("https://klasma.github.io/Logging_2281/klagomålsmail/A 49380-2021 FSC-klagomål mail.docx", "A 49380-2021")</f>
        <v/>
      </c>
      <c r="X161">
        <f>HYPERLINK("https://klasma.github.io/Logging_2281/tillsyn/A 49380-2021 tillsynsbegäran.docx", "A 49380-2021")</f>
        <v/>
      </c>
      <c r="Y161">
        <f>HYPERLINK("https://klasma.github.io/Logging_2281/tillsynsmail/A 49380-2021 tillsynsbegäran mail.docx", "A 49380-2021")</f>
        <v/>
      </c>
    </row>
    <row r="162" ht="15" customHeight="1">
      <c r="A162" t="inlineStr">
        <is>
          <t>A 64919-2021</t>
        </is>
      </c>
      <c r="B162" s="1" t="n">
        <v>44512</v>
      </c>
      <c r="C162" s="1" t="n">
        <v>45845</v>
      </c>
      <c r="D162" t="inlineStr">
        <is>
          <t>VÄSTERNORRLANDS LÄN</t>
        </is>
      </c>
      <c r="E162" t="inlineStr">
        <is>
          <t>SUNDSVALL</t>
        </is>
      </c>
      <c r="F162" t="inlineStr">
        <is>
          <t>Kommuner</t>
        </is>
      </c>
      <c r="G162" t="n">
        <v>4.1</v>
      </c>
      <c r="H162" t="n">
        <v>1</v>
      </c>
      <c r="I162" t="n">
        <v>1</v>
      </c>
      <c r="J162" t="n">
        <v>1</v>
      </c>
      <c r="K162" t="n">
        <v>0</v>
      </c>
      <c r="L162" t="n">
        <v>0</v>
      </c>
      <c r="M162" t="n">
        <v>0</v>
      </c>
      <c r="N162" t="n">
        <v>0</v>
      </c>
      <c r="O162" t="n">
        <v>1</v>
      </c>
      <c r="P162" t="n">
        <v>0</v>
      </c>
      <c r="Q162" t="n">
        <v>2</v>
      </c>
      <c r="R162" s="2" t="inlineStr">
        <is>
          <t>Mindre hackspett
Scharlakansskål</t>
        </is>
      </c>
      <c r="S162">
        <f>HYPERLINK("https://klasma.github.io/Logging_2281/artfynd/A 64919-2021 artfynd.xlsx", "A 64919-2021")</f>
        <v/>
      </c>
      <c r="T162">
        <f>HYPERLINK("https://klasma.github.io/Logging_2281/kartor/A 64919-2021 karta.png", "A 64919-2021")</f>
        <v/>
      </c>
      <c r="V162">
        <f>HYPERLINK("https://klasma.github.io/Logging_2281/klagomål/A 64919-2021 FSC-klagomål.docx", "A 64919-2021")</f>
        <v/>
      </c>
      <c r="W162">
        <f>HYPERLINK("https://klasma.github.io/Logging_2281/klagomålsmail/A 64919-2021 FSC-klagomål mail.docx", "A 64919-2021")</f>
        <v/>
      </c>
      <c r="X162">
        <f>HYPERLINK("https://klasma.github.io/Logging_2281/tillsyn/A 64919-2021 tillsynsbegäran.docx", "A 64919-2021")</f>
        <v/>
      </c>
      <c r="Y162">
        <f>HYPERLINK("https://klasma.github.io/Logging_2281/tillsynsmail/A 64919-2021 tillsynsbegäran mail.docx", "A 64919-2021")</f>
        <v/>
      </c>
      <c r="Z162">
        <f>HYPERLINK("https://klasma.github.io/Logging_2281/fåglar/A 64919-2021 prioriterade fågelarter.docx", "A 64919-2021")</f>
        <v/>
      </c>
    </row>
    <row r="163" ht="15" customHeight="1">
      <c r="A163" t="inlineStr">
        <is>
          <t>A 5115-2022</t>
        </is>
      </c>
      <c r="B163" s="1" t="n">
        <v>44593</v>
      </c>
      <c r="C163" s="1" t="n">
        <v>45845</v>
      </c>
      <c r="D163" t="inlineStr">
        <is>
          <t>VÄSTERNORRLANDS LÄN</t>
        </is>
      </c>
      <c r="E163" t="inlineStr">
        <is>
          <t>SUNDSVALL</t>
        </is>
      </c>
      <c r="F163" t="inlineStr">
        <is>
          <t>SCA</t>
        </is>
      </c>
      <c r="G163" t="n">
        <v>13.6</v>
      </c>
      <c r="H163" t="n">
        <v>0</v>
      </c>
      <c r="I163" t="n">
        <v>1</v>
      </c>
      <c r="J163" t="n">
        <v>1</v>
      </c>
      <c r="K163" t="n">
        <v>0</v>
      </c>
      <c r="L163" t="n">
        <v>0</v>
      </c>
      <c r="M163" t="n">
        <v>0</v>
      </c>
      <c r="N163" t="n">
        <v>0</v>
      </c>
      <c r="O163" t="n">
        <v>1</v>
      </c>
      <c r="P163" t="n">
        <v>0</v>
      </c>
      <c r="Q163" t="n">
        <v>2</v>
      </c>
      <c r="R163" s="2" t="inlineStr">
        <is>
          <t>Lunglav
Norrlandslav</t>
        </is>
      </c>
      <c r="S163">
        <f>HYPERLINK("https://klasma.github.io/Logging_2281/artfynd/A 5115-2022 artfynd.xlsx", "A 5115-2022")</f>
        <v/>
      </c>
      <c r="T163">
        <f>HYPERLINK("https://klasma.github.io/Logging_2281/kartor/A 5115-2022 karta.png", "A 5115-2022")</f>
        <v/>
      </c>
      <c r="V163">
        <f>HYPERLINK("https://klasma.github.io/Logging_2281/klagomål/A 5115-2022 FSC-klagomål.docx", "A 5115-2022")</f>
        <v/>
      </c>
      <c r="W163">
        <f>HYPERLINK("https://klasma.github.io/Logging_2281/klagomålsmail/A 5115-2022 FSC-klagomål mail.docx", "A 5115-2022")</f>
        <v/>
      </c>
      <c r="X163">
        <f>HYPERLINK("https://klasma.github.io/Logging_2281/tillsyn/A 5115-2022 tillsynsbegäran.docx", "A 5115-2022")</f>
        <v/>
      </c>
      <c r="Y163">
        <f>HYPERLINK("https://klasma.github.io/Logging_2281/tillsynsmail/A 5115-2022 tillsynsbegäran mail.docx", "A 5115-2022")</f>
        <v/>
      </c>
    </row>
    <row r="164" ht="15" customHeight="1">
      <c r="A164" t="inlineStr">
        <is>
          <t>A 22567-2022</t>
        </is>
      </c>
      <c r="B164" s="1" t="n">
        <v>44713</v>
      </c>
      <c r="C164" s="1" t="n">
        <v>45845</v>
      </c>
      <c r="D164" t="inlineStr">
        <is>
          <t>VÄSTERNORRLANDS LÄN</t>
        </is>
      </c>
      <c r="E164" t="inlineStr">
        <is>
          <t>SUNDSVALL</t>
        </is>
      </c>
      <c r="F164" t="inlineStr">
        <is>
          <t>SCA</t>
        </is>
      </c>
      <c r="G164" t="n">
        <v>4.5</v>
      </c>
      <c r="H164" t="n">
        <v>0</v>
      </c>
      <c r="I164" t="n">
        <v>0</v>
      </c>
      <c r="J164" t="n">
        <v>2</v>
      </c>
      <c r="K164" t="n">
        <v>0</v>
      </c>
      <c r="L164" t="n">
        <v>0</v>
      </c>
      <c r="M164" t="n">
        <v>0</v>
      </c>
      <c r="N164" t="n">
        <v>0</v>
      </c>
      <c r="O164" t="n">
        <v>2</v>
      </c>
      <c r="P164" t="n">
        <v>0</v>
      </c>
      <c r="Q164" t="n">
        <v>2</v>
      </c>
      <c r="R164" s="2" t="inlineStr">
        <is>
          <t>Garnlav
Granticka</t>
        </is>
      </c>
      <c r="S164">
        <f>HYPERLINK("https://klasma.github.io/Logging_2281/artfynd/A 22567-2022 artfynd.xlsx", "A 22567-2022")</f>
        <v/>
      </c>
      <c r="T164">
        <f>HYPERLINK("https://klasma.github.io/Logging_2281/kartor/A 22567-2022 karta.png", "A 22567-2022")</f>
        <v/>
      </c>
      <c r="V164">
        <f>HYPERLINK("https://klasma.github.io/Logging_2281/klagomål/A 22567-2022 FSC-klagomål.docx", "A 22567-2022")</f>
        <v/>
      </c>
      <c r="W164">
        <f>HYPERLINK("https://klasma.github.io/Logging_2281/klagomålsmail/A 22567-2022 FSC-klagomål mail.docx", "A 22567-2022")</f>
        <v/>
      </c>
      <c r="X164">
        <f>HYPERLINK("https://klasma.github.io/Logging_2281/tillsyn/A 22567-2022 tillsynsbegäran.docx", "A 22567-2022")</f>
        <v/>
      </c>
      <c r="Y164">
        <f>HYPERLINK("https://klasma.github.io/Logging_2281/tillsynsmail/A 22567-2022 tillsynsbegäran mail.docx", "A 22567-2022")</f>
        <v/>
      </c>
    </row>
    <row r="165" ht="15" customHeight="1">
      <c r="A165" t="inlineStr">
        <is>
          <t>A 32766-2022</t>
        </is>
      </c>
      <c r="B165" s="1" t="n">
        <v>44783</v>
      </c>
      <c r="C165" s="1" t="n">
        <v>45845</v>
      </c>
      <c r="D165" t="inlineStr">
        <is>
          <t>VÄSTERNORRLANDS LÄN</t>
        </is>
      </c>
      <c r="E165" t="inlineStr">
        <is>
          <t>SUNDSVALL</t>
        </is>
      </c>
      <c r="F165" t="inlineStr">
        <is>
          <t>SCA</t>
        </is>
      </c>
      <c r="G165" t="n">
        <v>6.3</v>
      </c>
      <c r="H165" t="n">
        <v>0</v>
      </c>
      <c r="I165" t="n">
        <v>1</v>
      </c>
      <c r="J165" t="n">
        <v>1</v>
      </c>
      <c r="K165" t="n">
        <v>0</v>
      </c>
      <c r="L165" t="n">
        <v>0</v>
      </c>
      <c r="M165" t="n">
        <v>0</v>
      </c>
      <c r="N165" t="n">
        <v>0</v>
      </c>
      <c r="O165" t="n">
        <v>1</v>
      </c>
      <c r="P165" t="n">
        <v>0</v>
      </c>
      <c r="Q165" t="n">
        <v>2</v>
      </c>
      <c r="R165" s="2" t="inlineStr">
        <is>
          <t>Lunglav
Stor aspticka</t>
        </is>
      </c>
      <c r="S165">
        <f>HYPERLINK("https://klasma.github.io/Logging_2281/artfynd/A 32766-2022 artfynd.xlsx", "A 32766-2022")</f>
        <v/>
      </c>
      <c r="T165">
        <f>HYPERLINK("https://klasma.github.io/Logging_2281/kartor/A 32766-2022 karta.png", "A 32766-2022")</f>
        <v/>
      </c>
      <c r="V165">
        <f>HYPERLINK("https://klasma.github.io/Logging_2281/klagomål/A 32766-2022 FSC-klagomål.docx", "A 32766-2022")</f>
        <v/>
      </c>
      <c r="W165">
        <f>HYPERLINK("https://klasma.github.io/Logging_2281/klagomålsmail/A 32766-2022 FSC-klagomål mail.docx", "A 32766-2022")</f>
        <v/>
      </c>
      <c r="X165">
        <f>HYPERLINK("https://klasma.github.io/Logging_2281/tillsyn/A 32766-2022 tillsynsbegäran.docx", "A 32766-2022")</f>
        <v/>
      </c>
      <c r="Y165">
        <f>HYPERLINK("https://klasma.github.io/Logging_2281/tillsynsmail/A 32766-2022 tillsynsbegäran mail.docx", "A 32766-2022")</f>
        <v/>
      </c>
    </row>
    <row r="166" ht="15" customHeight="1">
      <c r="A166" t="inlineStr">
        <is>
          <t>A 35307-2022</t>
        </is>
      </c>
      <c r="B166" s="1" t="n">
        <v>44798</v>
      </c>
      <c r="C166" s="1" t="n">
        <v>45845</v>
      </c>
      <c r="D166" t="inlineStr">
        <is>
          <t>VÄSTERNORRLANDS LÄN</t>
        </is>
      </c>
      <c r="E166" t="inlineStr">
        <is>
          <t>SUNDSVALL</t>
        </is>
      </c>
      <c r="F166" t="inlineStr">
        <is>
          <t>Holmen skog AB</t>
        </is>
      </c>
      <c r="G166" t="n">
        <v>13.4</v>
      </c>
      <c r="H166" t="n">
        <v>0</v>
      </c>
      <c r="I166" t="n">
        <v>1</v>
      </c>
      <c r="J166" t="n">
        <v>1</v>
      </c>
      <c r="K166" t="n">
        <v>0</v>
      </c>
      <c r="L166" t="n">
        <v>0</v>
      </c>
      <c r="M166" t="n">
        <v>0</v>
      </c>
      <c r="N166" t="n">
        <v>0</v>
      </c>
      <c r="O166" t="n">
        <v>1</v>
      </c>
      <c r="P166" t="n">
        <v>0</v>
      </c>
      <c r="Q166" t="n">
        <v>2</v>
      </c>
      <c r="R166" s="2" t="inlineStr">
        <is>
          <t>Månlåsbräken
Ögonpyrola</t>
        </is>
      </c>
      <c r="S166">
        <f>HYPERLINK("https://klasma.github.io/Logging_2281/artfynd/A 35307-2022 artfynd.xlsx", "A 35307-2022")</f>
        <v/>
      </c>
      <c r="T166">
        <f>HYPERLINK("https://klasma.github.io/Logging_2281/kartor/A 35307-2022 karta.png", "A 35307-2022")</f>
        <v/>
      </c>
      <c r="V166">
        <f>HYPERLINK("https://klasma.github.io/Logging_2281/klagomål/A 35307-2022 FSC-klagomål.docx", "A 35307-2022")</f>
        <v/>
      </c>
      <c r="W166">
        <f>HYPERLINK("https://klasma.github.io/Logging_2281/klagomålsmail/A 35307-2022 FSC-klagomål mail.docx", "A 35307-2022")</f>
        <v/>
      </c>
      <c r="X166">
        <f>HYPERLINK("https://klasma.github.io/Logging_2281/tillsyn/A 35307-2022 tillsynsbegäran.docx", "A 35307-2022")</f>
        <v/>
      </c>
      <c r="Y166">
        <f>HYPERLINK("https://klasma.github.io/Logging_2281/tillsynsmail/A 35307-2022 tillsynsbegäran mail.docx", "A 35307-2022")</f>
        <v/>
      </c>
    </row>
    <row r="167" ht="15" customHeight="1">
      <c r="A167" t="inlineStr">
        <is>
          <t>A 41814-2022</t>
        </is>
      </c>
      <c r="B167" s="1" t="n">
        <v>44827</v>
      </c>
      <c r="C167" s="1" t="n">
        <v>45845</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46214-2022</t>
        </is>
      </c>
      <c r="B168" s="1" t="n">
        <v>44845</v>
      </c>
      <c r="C168" s="1" t="n">
        <v>45845</v>
      </c>
      <c r="D168" t="inlineStr">
        <is>
          <t>VÄSTERNORRLANDS LÄN</t>
        </is>
      </c>
      <c r="E168" t="inlineStr">
        <is>
          <t>SUNDSVALL</t>
        </is>
      </c>
      <c r="G168" t="n">
        <v>46.2</v>
      </c>
      <c r="H168" t="n">
        <v>2</v>
      </c>
      <c r="I168" t="n">
        <v>0</v>
      </c>
      <c r="J168" t="n">
        <v>0</v>
      </c>
      <c r="K168" t="n">
        <v>0</v>
      </c>
      <c r="L168" t="n">
        <v>0</v>
      </c>
      <c r="M168" t="n">
        <v>0</v>
      </c>
      <c r="N168" t="n">
        <v>0</v>
      </c>
      <c r="O168" t="n">
        <v>0</v>
      </c>
      <c r="P168" t="n">
        <v>0</v>
      </c>
      <c r="Q168" t="n">
        <v>2</v>
      </c>
      <c r="R168" s="2" t="inlineStr">
        <is>
          <t>Orre
Tjäder</t>
        </is>
      </c>
      <c r="S168">
        <f>HYPERLINK("https://klasma.github.io/Logging_2281/artfynd/A 46214-2022 artfynd.xlsx", "A 46214-2022")</f>
        <v/>
      </c>
      <c r="T168">
        <f>HYPERLINK("https://klasma.github.io/Logging_2281/kartor/A 46214-2022 karta.png", "A 46214-2022")</f>
        <v/>
      </c>
      <c r="V168">
        <f>HYPERLINK("https://klasma.github.io/Logging_2281/klagomål/A 46214-2022 FSC-klagomål.docx", "A 46214-2022")</f>
        <v/>
      </c>
      <c r="W168">
        <f>HYPERLINK("https://klasma.github.io/Logging_2281/klagomålsmail/A 46214-2022 FSC-klagomål mail.docx", "A 46214-2022")</f>
        <v/>
      </c>
      <c r="X168">
        <f>HYPERLINK("https://klasma.github.io/Logging_2281/tillsyn/A 46214-2022 tillsynsbegäran.docx", "A 46214-2022")</f>
        <v/>
      </c>
      <c r="Y168">
        <f>HYPERLINK("https://klasma.github.io/Logging_2281/tillsynsmail/A 46214-2022 tillsynsbegäran mail.docx", "A 46214-2022")</f>
        <v/>
      </c>
      <c r="Z168">
        <f>HYPERLINK("https://klasma.github.io/Logging_2281/fåglar/A 46214-2022 prioriterade fågelarter.docx", "A 46214-2022")</f>
        <v/>
      </c>
    </row>
    <row r="169" ht="15" customHeight="1">
      <c r="A169" t="inlineStr">
        <is>
          <t>A 52350-2022</t>
        </is>
      </c>
      <c r="B169" s="1" t="n">
        <v>44873</v>
      </c>
      <c r="C169" s="1" t="n">
        <v>45845</v>
      </c>
      <c r="D169" t="inlineStr">
        <is>
          <t>VÄSTERNORRLANDS LÄN</t>
        </is>
      </c>
      <c r="E169" t="inlineStr">
        <is>
          <t>SUNDSVALL</t>
        </is>
      </c>
      <c r="F169" t="inlineStr">
        <is>
          <t>SCA</t>
        </is>
      </c>
      <c r="G169" t="n">
        <v>4.4</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52350-2022 artfynd.xlsx", "A 52350-2022")</f>
        <v/>
      </c>
      <c r="T169">
        <f>HYPERLINK("https://klasma.github.io/Logging_2281/kartor/A 52350-2022 karta.png", "A 52350-2022")</f>
        <v/>
      </c>
      <c r="V169">
        <f>HYPERLINK("https://klasma.github.io/Logging_2281/klagomål/A 52350-2022 FSC-klagomål.docx", "A 52350-2022")</f>
        <v/>
      </c>
      <c r="W169">
        <f>HYPERLINK("https://klasma.github.io/Logging_2281/klagomålsmail/A 52350-2022 FSC-klagomål mail.docx", "A 52350-2022")</f>
        <v/>
      </c>
      <c r="X169">
        <f>HYPERLINK("https://klasma.github.io/Logging_2281/tillsyn/A 52350-2022 tillsynsbegäran.docx", "A 52350-2022")</f>
        <v/>
      </c>
      <c r="Y169">
        <f>HYPERLINK("https://klasma.github.io/Logging_2281/tillsynsmail/A 52350-2022 tillsynsbegäran mail.docx", "A 52350-2022")</f>
        <v/>
      </c>
    </row>
    <row r="170" ht="15" customHeight="1">
      <c r="A170" t="inlineStr">
        <is>
          <t>A 52741-2022</t>
        </is>
      </c>
      <c r="B170" s="1" t="n">
        <v>44874</v>
      </c>
      <c r="C170" s="1" t="n">
        <v>45845</v>
      </c>
      <c r="D170" t="inlineStr">
        <is>
          <t>VÄSTERNORRLANDS LÄN</t>
        </is>
      </c>
      <c r="E170" t="inlineStr">
        <is>
          <t>SUNDSVALL</t>
        </is>
      </c>
      <c r="F170" t="inlineStr">
        <is>
          <t>SCA</t>
        </is>
      </c>
      <c r="G170" t="n">
        <v>5.2</v>
      </c>
      <c r="H170" t="n">
        <v>1</v>
      </c>
      <c r="I170" t="n">
        <v>1</v>
      </c>
      <c r="J170" t="n">
        <v>1</v>
      </c>
      <c r="K170" t="n">
        <v>0</v>
      </c>
      <c r="L170" t="n">
        <v>0</v>
      </c>
      <c r="M170" t="n">
        <v>0</v>
      </c>
      <c r="N170" t="n">
        <v>0</v>
      </c>
      <c r="O170" t="n">
        <v>1</v>
      </c>
      <c r="P170" t="n">
        <v>0</v>
      </c>
      <c r="Q170" t="n">
        <v>2</v>
      </c>
      <c r="R170" s="2" t="inlineStr">
        <is>
          <t>Videsparv
Skuggblåslav</t>
        </is>
      </c>
      <c r="S170">
        <f>HYPERLINK("https://klasma.github.io/Logging_2281/artfynd/A 52741-2022 artfynd.xlsx", "A 52741-2022")</f>
        <v/>
      </c>
      <c r="T170">
        <f>HYPERLINK("https://klasma.github.io/Logging_2281/kartor/A 52741-2022 karta.png", "A 52741-2022")</f>
        <v/>
      </c>
      <c r="V170">
        <f>HYPERLINK("https://klasma.github.io/Logging_2281/klagomål/A 52741-2022 FSC-klagomål.docx", "A 52741-2022")</f>
        <v/>
      </c>
      <c r="W170">
        <f>HYPERLINK("https://klasma.github.io/Logging_2281/klagomålsmail/A 52741-2022 FSC-klagomål mail.docx", "A 52741-2022")</f>
        <v/>
      </c>
      <c r="X170">
        <f>HYPERLINK("https://klasma.github.io/Logging_2281/tillsyn/A 52741-2022 tillsynsbegäran.docx", "A 52741-2022")</f>
        <v/>
      </c>
      <c r="Y170">
        <f>HYPERLINK("https://klasma.github.io/Logging_2281/tillsynsmail/A 52741-2022 tillsynsbegäran mail.docx", "A 52741-2022")</f>
        <v/>
      </c>
      <c r="Z170">
        <f>HYPERLINK("https://klasma.github.io/Logging_2281/fåglar/A 52741-2022 prioriterade fågelarter.docx", "A 52741-2022")</f>
        <v/>
      </c>
    </row>
    <row r="171" ht="15" customHeight="1">
      <c r="A171" t="inlineStr">
        <is>
          <t>A 53942-2022</t>
        </is>
      </c>
      <c r="B171" s="1" t="n">
        <v>44880</v>
      </c>
      <c r="C171" s="1" t="n">
        <v>45845</v>
      </c>
      <c r="D171" t="inlineStr">
        <is>
          <t>VÄSTERNORRLANDS LÄN</t>
        </is>
      </c>
      <c r="E171" t="inlineStr">
        <is>
          <t>SUNDSVALL</t>
        </is>
      </c>
      <c r="F171" t="inlineStr">
        <is>
          <t>SCA</t>
        </is>
      </c>
      <c r="G171" t="n">
        <v>3.5</v>
      </c>
      <c r="H171" t="n">
        <v>0</v>
      </c>
      <c r="I171" t="n">
        <v>1</v>
      </c>
      <c r="J171" t="n">
        <v>1</v>
      </c>
      <c r="K171" t="n">
        <v>0</v>
      </c>
      <c r="L171" t="n">
        <v>0</v>
      </c>
      <c r="M171" t="n">
        <v>0</v>
      </c>
      <c r="N171" t="n">
        <v>0</v>
      </c>
      <c r="O171" t="n">
        <v>1</v>
      </c>
      <c r="P171" t="n">
        <v>0</v>
      </c>
      <c r="Q171" t="n">
        <v>2</v>
      </c>
      <c r="R171" s="2" t="inlineStr">
        <is>
          <t>Lunglav
Vedticka</t>
        </is>
      </c>
      <c r="S171">
        <f>HYPERLINK("https://klasma.github.io/Logging_2281/artfynd/A 53942-2022 artfynd.xlsx", "A 53942-2022")</f>
        <v/>
      </c>
      <c r="T171">
        <f>HYPERLINK("https://klasma.github.io/Logging_2281/kartor/A 53942-2022 karta.png", "A 53942-2022")</f>
        <v/>
      </c>
      <c r="V171">
        <f>HYPERLINK("https://klasma.github.io/Logging_2281/klagomål/A 53942-2022 FSC-klagomål.docx", "A 53942-2022")</f>
        <v/>
      </c>
      <c r="W171">
        <f>HYPERLINK("https://klasma.github.io/Logging_2281/klagomålsmail/A 53942-2022 FSC-klagomål mail.docx", "A 53942-2022")</f>
        <v/>
      </c>
      <c r="X171">
        <f>HYPERLINK("https://klasma.github.io/Logging_2281/tillsyn/A 53942-2022 tillsynsbegäran.docx", "A 53942-2022")</f>
        <v/>
      </c>
      <c r="Y171">
        <f>HYPERLINK("https://klasma.github.io/Logging_2281/tillsynsmail/A 53942-2022 tillsynsbegäran mail.docx", "A 53942-2022")</f>
        <v/>
      </c>
    </row>
    <row r="172" ht="15" customHeight="1">
      <c r="A172" t="inlineStr">
        <is>
          <t>A 58191-2022</t>
        </is>
      </c>
      <c r="B172" s="1" t="n">
        <v>44900</v>
      </c>
      <c r="C172" s="1" t="n">
        <v>45845</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18998-2023</t>
        </is>
      </c>
      <c r="B173" s="1" t="n">
        <v>45044</v>
      </c>
      <c r="C173" s="1" t="n">
        <v>45845</v>
      </c>
      <c r="D173" t="inlineStr">
        <is>
          <t>VÄSTERNORRLANDS LÄN</t>
        </is>
      </c>
      <c r="E173" t="inlineStr">
        <is>
          <t>SUNDSVALL</t>
        </is>
      </c>
      <c r="F173" t="inlineStr">
        <is>
          <t>SCA</t>
        </is>
      </c>
      <c r="G173" t="n">
        <v>17.7</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18998-2023 artfynd.xlsx", "A 18998-2023")</f>
        <v/>
      </c>
      <c r="T173">
        <f>HYPERLINK("https://klasma.github.io/Logging_2281/kartor/A 18998-2023 karta.png", "A 18998-2023")</f>
        <v/>
      </c>
      <c r="U173">
        <f>HYPERLINK("https://klasma.github.io/Logging_2281/knärot/A 18998-2023 karta knärot.png", "A 18998-2023")</f>
        <v/>
      </c>
      <c r="V173">
        <f>HYPERLINK("https://klasma.github.io/Logging_2281/klagomål/A 18998-2023 FSC-klagomål.docx", "A 18998-2023")</f>
        <v/>
      </c>
      <c r="W173">
        <f>HYPERLINK("https://klasma.github.io/Logging_2281/klagomålsmail/A 18998-2023 FSC-klagomål mail.docx", "A 18998-2023")</f>
        <v/>
      </c>
      <c r="X173">
        <f>HYPERLINK("https://klasma.github.io/Logging_2281/tillsyn/A 18998-2023 tillsynsbegäran.docx", "A 18998-2023")</f>
        <v/>
      </c>
      <c r="Y173">
        <f>HYPERLINK("https://klasma.github.io/Logging_2281/tillsynsmail/A 18998-2023 tillsynsbegäran mail.docx", "A 18998-2023")</f>
        <v/>
      </c>
    </row>
    <row r="174" ht="15" customHeight="1">
      <c r="A174" t="inlineStr">
        <is>
          <t>A 18991-2023</t>
        </is>
      </c>
      <c r="B174" s="1" t="n">
        <v>45044</v>
      </c>
      <c r="C174" s="1" t="n">
        <v>45845</v>
      </c>
      <c r="D174" t="inlineStr">
        <is>
          <t>VÄSTERNORRLANDS LÄN</t>
        </is>
      </c>
      <c r="E174" t="inlineStr">
        <is>
          <t>SUNDSVALL</t>
        </is>
      </c>
      <c r="F174" t="inlineStr">
        <is>
          <t>SCA</t>
        </is>
      </c>
      <c r="G174" t="n">
        <v>10</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18991-2023 artfynd.xlsx", "A 18991-2023")</f>
        <v/>
      </c>
      <c r="T174">
        <f>HYPERLINK("https://klasma.github.io/Logging_2281/kartor/A 18991-2023 karta.png", "A 18991-2023")</f>
        <v/>
      </c>
      <c r="V174">
        <f>HYPERLINK("https://klasma.github.io/Logging_2281/klagomål/A 18991-2023 FSC-klagomål.docx", "A 18991-2023")</f>
        <v/>
      </c>
      <c r="W174">
        <f>HYPERLINK("https://klasma.github.io/Logging_2281/klagomålsmail/A 18991-2023 FSC-klagomål mail.docx", "A 18991-2023")</f>
        <v/>
      </c>
      <c r="X174">
        <f>HYPERLINK("https://klasma.github.io/Logging_2281/tillsyn/A 18991-2023 tillsynsbegäran.docx", "A 18991-2023")</f>
        <v/>
      </c>
      <c r="Y174">
        <f>HYPERLINK("https://klasma.github.io/Logging_2281/tillsynsmail/A 18991-2023 tillsynsbegäran mail.docx", "A 18991-2023")</f>
        <v/>
      </c>
    </row>
    <row r="175" ht="15" customHeight="1">
      <c r="A175" t="inlineStr">
        <is>
          <t>A 20596-2023</t>
        </is>
      </c>
      <c r="B175" s="1" t="n">
        <v>45058</v>
      </c>
      <c r="C175" s="1" t="n">
        <v>45845</v>
      </c>
      <c r="D175" t="inlineStr">
        <is>
          <t>VÄSTERNORRLANDS LÄN</t>
        </is>
      </c>
      <c r="E175" t="inlineStr">
        <is>
          <t>SUNDSVALL</t>
        </is>
      </c>
      <c r="F175" t="inlineStr">
        <is>
          <t>SCA</t>
        </is>
      </c>
      <c r="G175" t="n">
        <v>4.3</v>
      </c>
      <c r="H175" t="n">
        <v>0</v>
      </c>
      <c r="I175" t="n">
        <v>0</v>
      </c>
      <c r="J175" t="n">
        <v>2</v>
      </c>
      <c r="K175" t="n">
        <v>0</v>
      </c>
      <c r="L175" t="n">
        <v>0</v>
      </c>
      <c r="M175" t="n">
        <v>0</v>
      </c>
      <c r="N175" t="n">
        <v>0</v>
      </c>
      <c r="O175" t="n">
        <v>2</v>
      </c>
      <c r="P175" t="n">
        <v>0</v>
      </c>
      <c r="Q175" t="n">
        <v>2</v>
      </c>
      <c r="R175" s="2" t="inlineStr">
        <is>
          <t>Ullticka
Vedflamlav</t>
        </is>
      </c>
      <c r="S175">
        <f>HYPERLINK("https://klasma.github.io/Logging_2281/artfynd/A 20596-2023 artfynd.xlsx", "A 20596-2023")</f>
        <v/>
      </c>
      <c r="T175">
        <f>HYPERLINK("https://klasma.github.io/Logging_2281/kartor/A 20596-2023 karta.png", "A 20596-2023")</f>
        <v/>
      </c>
      <c r="V175">
        <f>HYPERLINK("https://klasma.github.io/Logging_2281/klagomål/A 20596-2023 FSC-klagomål.docx", "A 20596-2023")</f>
        <v/>
      </c>
      <c r="W175">
        <f>HYPERLINK("https://klasma.github.io/Logging_2281/klagomålsmail/A 20596-2023 FSC-klagomål mail.docx", "A 20596-2023")</f>
        <v/>
      </c>
      <c r="X175">
        <f>HYPERLINK("https://klasma.github.io/Logging_2281/tillsyn/A 20596-2023 tillsynsbegäran.docx", "A 20596-2023")</f>
        <v/>
      </c>
      <c r="Y175">
        <f>HYPERLINK("https://klasma.github.io/Logging_2281/tillsynsmail/A 20596-2023 tillsynsbegäran mail.docx", "A 20596-2023")</f>
        <v/>
      </c>
    </row>
    <row r="176" ht="15" customHeight="1">
      <c r="A176" t="inlineStr">
        <is>
          <t>A 20888-2023</t>
        </is>
      </c>
      <c r="B176" s="1" t="n">
        <v>45058</v>
      </c>
      <c r="C176" s="1" t="n">
        <v>45845</v>
      </c>
      <c r="D176" t="inlineStr">
        <is>
          <t>VÄSTERNORRLANDS LÄN</t>
        </is>
      </c>
      <c r="E176" t="inlineStr">
        <is>
          <t>SUNDSVALL</t>
        </is>
      </c>
      <c r="F176" t="inlineStr">
        <is>
          <t>SCA</t>
        </is>
      </c>
      <c r="G176" t="n">
        <v>3.3</v>
      </c>
      <c r="H176" t="n">
        <v>0</v>
      </c>
      <c r="I176" t="n">
        <v>1</v>
      </c>
      <c r="J176" t="n">
        <v>1</v>
      </c>
      <c r="K176" t="n">
        <v>0</v>
      </c>
      <c r="L176" t="n">
        <v>0</v>
      </c>
      <c r="M176" t="n">
        <v>0</v>
      </c>
      <c r="N176" t="n">
        <v>0</v>
      </c>
      <c r="O176" t="n">
        <v>1</v>
      </c>
      <c r="P176" t="n">
        <v>0</v>
      </c>
      <c r="Q176" t="n">
        <v>2</v>
      </c>
      <c r="R176" s="2" t="inlineStr">
        <is>
          <t>Småflikig brosklav
Skinnlav</t>
        </is>
      </c>
      <c r="S176">
        <f>HYPERLINK("https://klasma.github.io/Logging_2281/artfynd/A 20888-2023 artfynd.xlsx", "A 20888-2023")</f>
        <v/>
      </c>
      <c r="T176">
        <f>HYPERLINK("https://klasma.github.io/Logging_2281/kartor/A 20888-2023 karta.png", "A 20888-2023")</f>
        <v/>
      </c>
      <c r="V176">
        <f>HYPERLINK("https://klasma.github.io/Logging_2281/klagomål/A 20888-2023 FSC-klagomål.docx", "A 20888-2023")</f>
        <v/>
      </c>
      <c r="W176">
        <f>HYPERLINK("https://klasma.github.io/Logging_2281/klagomålsmail/A 20888-2023 FSC-klagomål mail.docx", "A 20888-2023")</f>
        <v/>
      </c>
      <c r="X176">
        <f>HYPERLINK("https://klasma.github.io/Logging_2281/tillsyn/A 20888-2023 tillsynsbegäran.docx", "A 20888-2023")</f>
        <v/>
      </c>
      <c r="Y176">
        <f>HYPERLINK("https://klasma.github.io/Logging_2281/tillsynsmail/A 20888-2023 tillsynsbegäran mail.docx", "A 20888-2023")</f>
        <v/>
      </c>
    </row>
    <row r="177" ht="15" customHeight="1">
      <c r="A177" t="inlineStr">
        <is>
          <t>A 27385-2023</t>
        </is>
      </c>
      <c r="B177" s="1" t="n">
        <v>45096</v>
      </c>
      <c r="C177" s="1" t="n">
        <v>45845</v>
      </c>
      <c r="D177" t="inlineStr">
        <is>
          <t>VÄSTERNORRLANDS LÄN</t>
        </is>
      </c>
      <c r="E177" t="inlineStr">
        <is>
          <t>SUNDSVALL</t>
        </is>
      </c>
      <c r="F177" t="inlineStr">
        <is>
          <t>SCA</t>
        </is>
      </c>
      <c r="G177" t="n">
        <v>11</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27385-2023 artfynd.xlsx", "A 27385-2023")</f>
        <v/>
      </c>
      <c r="T177">
        <f>HYPERLINK("https://klasma.github.io/Logging_2281/kartor/A 27385-2023 karta.png", "A 27385-2023")</f>
        <v/>
      </c>
      <c r="V177">
        <f>HYPERLINK("https://klasma.github.io/Logging_2281/klagomål/A 27385-2023 FSC-klagomål.docx", "A 27385-2023")</f>
        <v/>
      </c>
      <c r="W177">
        <f>HYPERLINK("https://klasma.github.io/Logging_2281/klagomålsmail/A 27385-2023 FSC-klagomål mail.docx", "A 27385-2023")</f>
        <v/>
      </c>
      <c r="X177">
        <f>HYPERLINK("https://klasma.github.io/Logging_2281/tillsyn/A 27385-2023 tillsynsbegäran.docx", "A 27385-2023")</f>
        <v/>
      </c>
      <c r="Y177">
        <f>HYPERLINK("https://klasma.github.io/Logging_2281/tillsynsmail/A 27385-2023 tillsynsbegäran mail.docx", "A 27385-2023")</f>
        <v/>
      </c>
    </row>
    <row r="178" ht="15" customHeight="1">
      <c r="A178" t="inlineStr">
        <is>
          <t>A 27380-2023</t>
        </is>
      </c>
      <c r="B178" s="1" t="n">
        <v>45096</v>
      </c>
      <c r="C178" s="1" t="n">
        <v>45845</v>
      </c>
      <c r="D178" t="inlineStr">
        <is>
          <t>VÄSTERNORRLANDS LÄN</t>
        </is>
      </c>
      <c r="E178" t="inlineStr">
        <is>
          <t>SUNDSVALL</t>
        </is>
      </c>
      <c r="F178" t="inlineStr">
        <is>
          <t>Naturvårdsverket</t>
        </is>
      </c>
      <c r="G178" t="n">
        <v>6.2</v>
      </c>
      <c r="H178" t="n">
        <v>0</v>
      </c>
      <c r="I178" t="n">
        <v>0</v>
      </c>
      <c r="J178" t="n">
        <v>2</v>
      </c>
      <c r="K178" t="n">
        <v>0</v>
      </c>
      <c r="L178" t="n">
        <v>0</v>
      </c>
      <c r="M178" t="n">
        <v>0</v>
      </c>
      <c r="N178" t="n">
        <v>0</v>
      </c>
      <c r="O178" t="n">
        <v>2</v>
      </c>
      <c r="P178" t="n">
        <v>0</v>
      </c>
      <c r="Q178" t="n">
        <v>2</v>
      </c>
      <c r="R178" s="2" t="inlineStr">
        <is>
          <t>Granticka
Gränsticka</t>
        </is>
      </c>
      <c r="S178">
        <f>HYPERLINK("https://klasma.github.io/Logging_2281/artfynd/A 27380-2023 artfynd.xlsx", "A 27380-2023")</f>
        <v/>
      </c>
      <c r="T178">
        <f>HYPERLINK("https://klasma.github.io/Logging_2281/kartor/A 27380-2023 karta.png", "A 27380-2023")</f>
        <v/>
      </c>
      <c r="V178">
        <f>HYPERLINK("https://klasma.github.io/Logging_2281/klagomål/A 27380-2023 FSC-klagomål.docx", "A 27380-2023")</f>
        <v/>
      </c>
      <c r="W178">
        <f>HYPERLINK("https://klasma.github.io/Logging_2281/klagomålsmail/A 27380-2023 FSC-klagomål mail.docx", "A 27380-2023")</f>
        <v/>
      </c>
      <c r="X178">
        <f>HYPERLINK("https://klasma.github.io/Logging_2281/tillsyn/A 27380-2023 tillsynsbegäran.docx", "A 27380-2023")</f>
        <v/>
      </c>
      <c r="Y178">
        <f>HYPERLINK("https://klasma.github.io/Logging_2281/tillsynsmail/A 27380-2023 tillsynsbegäran mail.docx", "A 27380-2023")</f>
        <v/>
      </c>
    </row>
    <row r="179" ht="15" customHeight="1">
      <c r="A179" t="inlineStr">
        <is>
          <t>A 28010-2023</t>
        </is>
      </c>
      <c r="B179" s="1" t="n">
        <v>45098</v>
      </c>
      <c r="C179" s="1" t="n">
        <v>45845</v>
      </c>
      <c r="D179" t="inlineStr">
        <is>
          <t>VÄSTERNORRLANDS LÄN</t>
        </is>
      </c>
      <c r="E179" t="inlineStr">
        <is>
          <t>SUNDSVALL</t>
        </is>
      </c>
      <c r="F179" t="inlineStr">
        <is>
          <t>SCA</t>
        </is>
      </c>
      <c r="G179" t="n">
        <v>8.4</v>
      </c>
      <c r="H179" t="n">
        <v>1</v>
      </c>
      <c r="I179" t="n">
        <v>0</v>
      </c>
      <c r="J179" t="n">
        <v>1</v>
      </c>
      <c r="K179" t="n">
        <v>0</v>
      </c>
      <c r="L179" t="n">
        <v>0</v>
      </c>
      <c r="M179" t="n">
        <v>0</v>
      </c>
      <c r="N179" t="n">
        <v>0</v>
      </c>
      <c r="O179" t="n">
        <v>1</v>
      </c>
      <c r="P179" t="n">
        <v>0</v>
      </c>
      <c r="Q179" t="n">
        <v>2</v>
      </c>
      <c r="R179" s="2" t="inlineStr">
        <is>
          <t>Lunglav
Revlummer</t>
        </is>
      </c>
      <c r="S179">
        <f>HYPERLINK("https://klasma.github.io/Logging_2281/artfynd/A 28010-2023 artfynd.xlsx", "A 28010-2023")</f>
        <v/>
      </c>
      <c r="T179">
        <f>HYPERLINK("https://klasma.github.io/Logging_2281/kartor/A 28010-2023 karta.png", "A 28010-2023")</f>
        <v/>
      </c>
      <c r="V179">
        <f>HYPERLINK("https://klasma.github.io/Logging_2281/klagomål/A 28010-2023 FSC-klagomål.docx", "A 28010-2023")</f>
        <v/>
      </c>
      <c r="W179">
        <f>HYPERLINK("https://klasma.github.io/Logging_2281/klagomålsmail/A 28010-2023 FSC-klagomål mail.docx", "A 28010-2023")</f>
        <v/>
      </c>
      <c r="X179">
        <f>HYPERLINK("https://klasma.github.io/Logging_2281/tillsyn/A 28010-2023 tillsynsbegäran.docx", "A 28010-2023")</f>
        <v/>
      </c>
      <c r="Y179">
        <f>HYPERLINK("https://klasma.github.io/Logging_2281/tillsynsmail/A 28010-2023 tillsynsbegäran mail.docx", "A 28010-2023")</f>
        <v/>
      </c>
    </row>
    <row r="180" ht="15" customHeight="1">
      <c r="A180" t="inlineStr">
        <is>
          <t>A 37481-2023</t>
        </is>
      </c>
      <c r="B180" s="1" t="n">
        <v>45157</v>
      </c>
      <c r="C180" s="1" t="n">
        <v>45845</v>
      </c>
      <c r="D180" t="inlineStr">
        <is>
          <t>VÄSTERNORRLANDS LÄN</t>
        </is>
      </c>
      <c r="E180" t="inlineStr">
        <is>
          <t>SUNDSVALL</t>
        </is>
      </c>
      <c r="F180" t="inlineStr">
        <is>
          <t>SCA</t>
        </is>
      </c>
      <c r="G180" t="n">
        <v>6.9</v>
      </c>
      <c r="H180" t="n">
        <v>0</v>
      </c>
      <c r="I180" t="n">
        <v>0</v>
      </c>
      <c r="J180" t="n">
        <v>2</v>
      </c>
      <c r="K180" t="n">
        <v>0</v>
      </c>
      <c r="L180" t="n">
        <v>0</v>
      </c>
      <c r="M180" t="n">
        <v>0</v>
      </c>
      <c r="N180" t="n">
        <v>0</v>
      </c>
      <c r="O180" t="n">
        <v>2</v>
      </c>
      <c r="P180" t="n">
        <v>0</v>
      </c>
      <c r="Q180" t="n">
        <v>2</v>
      </c>
      <c r="R180" s="2" t="inlineStr">
        <is>
          <t>Garnlav
Kandelabersvamp</t>
        </is>
      </c>
      <c r="S180">
        <f>HYPERLINK("https://klasma.github.io/Logging_2281/artfynd/A 37481-2023 artfynd.xlsx", "A 37481-2023")</f>
        <v/>
      </c>
      <c r="T180">
        <f>HYPERLINK("https://klasma.github.io/Logging_2281/kartor/A 37481-2023 karta.png", "A 37481-2023")</f>
        <v/>
      </c>
      <c r="V180">
        <f>HYPERLINK("https://klasma.github.io/Logging_2281/klagomål/A 37481-2023 FSC-klagomål.docx", "A 37481-2023")</f>
        <v/>
      </c>
      <c r="W180">
        <f>HYPERLINK("https://klasma.github.io/Logging_2281/klagomålsmail/A 37481-2023 FSC-klagomål mail.docx", "A 37481-2023")</f>
        <v/>
      </c>
      <c r="X180">
        <f>HYPERLINK("https://klasma.github.io/Logging_2281/tillsyn/A 37481-2023 tillsynsbegäran.docx", "A 37481-2023")</f>
        <v/>
      </c>
      <c r="Y180">
        <f>HYPERLINK("https://klasma.github.io/Logging_2281/tillsynsmail/A 37481-2023 tillsynsbegäran mail.docx", "A 37481-2023")</f>
        <v/>
      </c>
    </row>
    <row r="181" ht="15" customHeight="1">
      <c r="A181" t="inlineStr">
        <is>
          <t>A 49320-2023</t>
        </is>
      </c>
      <c r="B181" s="1" t="n">
        <v>45210</v>
      </c>
      <c r="C181" s="1" t="n">
        <v>45845</v>
      </c>
      <c r="D181" t="inlineStr">
        <is>
          <t>VÄSTERNORRLANDS LÄN</t>
        </is>
      </c>
      <c r="E181" t="inlineStr">
        <is>
          <t>SUNDSVALL</t>
        </is>
      </c>
      <c r="F181" t="inlineStr">
        <is>
          <t>SCA</t>
        </is>
      </c>
      <c r="G181" t="n">
        <v>1.3</v>
      </c>
      <c r="H181" t="n">
        <v>0</v>
      </c>
      <c r="I181" t="n">
        <v>0</v>
      </c>
      <c r="J181" t="n">
        <v>2</v>
      </c>
      <c r="K181" t="n">
        <v>0</v>
      </c>
      <c r="L181" t="n">
        <v>0</v>
      </c>
      <c r="M181" t="n">
        <v>0</v>
      </c>
      <c r="N181" t="n">
        <v>0</v>
      </c>
      <c r="O181" t="n">
        <v>2</v>
      </c>
      <c r="P181" t="n">
        <v>0</v>
      </c>
      <c r="Q181" t="n">
        <v>2</v>
      </c>
      <c r="R181" s="2" t="inlineStr">
        <is>
          <t>Garnlav
Rosenticka</t>
        </is>
      </c>
      <c r="S181">
        <f>HYPERLINK("https://klasma.github.io/Logging_2281/artfynd/A 49320-2023 artfynd.xlsx", "A 49320-2023")</f>
        <v/>
      </c>
      <c r="T181">
        <f>HYPERLINK("https://klasma.github.io/Logging_2281/kartor/A 49320-2023 karta.png", "A 49320-2023")</f>
        <v/>
      </c>
      <c r="V181">
        <f>HYPERLINK("https://klasma.github.io/Logging_2281/klagomål/A 49320-2023 FSC-klagomål.docx", "A 49320-2023")</f>
        <v/>
      </c>
      <c r="W181">
        <f>HYPERLINK("https://klasma.github.io/Logging_2281/klagomålsmail/A 49320-2023 FSC-klagomål mail.docx", "A 49320-2023")</f>
        <v/>
      </c>
      <c r="X181">
        <f>HYPERLINK("https://klasma.github.io/Logging_2281/tillsyn/A 49320-2023 tillsynsbegäran.docx", "A 49320-2023")</f>
        <v/>
      </c>
      <c r="Y181">
        <f>HYPERLINK("https://klasma.github.io/Logging_2281/tillsynsmail/A 49320-2023 tillsynsbegäran mail.docx", "A 49320-2023")</f>
        <v/>
      </c>
    </row>
    <row r="182" ht="15" customHeight="1">
      <c r="A182" t="inlineStr">
        <is>
          <t>A 57781-2023</t>
        </is>
      </c>
      <c r="B182" s="1" t="n">
        <v>45246</v>
      </c>
      <c r="C182" s="1" t="n">
        <v>45845</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62532-2023</t>
        </is>
      </c>
      <c r="B183" s="1" t="n">
        <v>45268</v>
      </c>
      <c r="C183" s="1" t="n">
        <v>45845</v>
      </c>
      <c r="D183" t="inlineStr">
        <is>
          <t>VÄSTERNORRLANDS LÄN</t>
        </is>
      </c>
      <c r="E183" t="inlineStr">
        <is>
          <t>SUNDSVALL</t>
        </is>
      </c>
      <c r="G183" t="n">
        <v>0.7</v>
      </c>
      <c r="H183" t="n">
        <v>2</v>
      </c>
      <c r="I183" t="n">
        <v>0</v>
      </c>
      <c r="J183" t="n">
        <v>1</v>
      </c>
      <c r="K183" t="n">
        <v>0</v>
      </c>
      <c r="L183" t="n">
        <v>0</v>
      </c>
      <c r="M183" t="n">
        <v>0</v>
      </c>
      <c r="N183" t="n">
        <v>0</v>
      </c>
      <c r="O183" t="n">
        <v>1</v>
      </c>
      <c r="P183" t="n">
        <v>0</v>
      </c>
      <c r="Q183" t="n">
        <v>2</v>
      </c>
      <c r="R183" s="2" t="inlineStr">
        <is>
          <t>Spillkråka
Gråspett</t>
        </is>
      </c>
      <c r="S183">
        <f>HYPERLINK("https://klasma.github.io/Logging_2281/artfynd/A 62532-2023 artfynd.xlsx", "A 62532-2023")</f>
        <v/>
      </c>
      <c r="T183">
        <f>HYPERLINK("https://klasma.github.io/Logging_2281/kartor/A 62532-2023 karta.png", "A 62532-2023")</f>
        <v/>
      </c>
      <c r="V183">
        <f>HYPERLINK("https://klasma.github.io/Logging_2281/klagomål/A 62532-2023 FSC-klagomål.docx", "A 62532-2023")</f>
        <v/>
      </c>
      <c r="W183">
        <f>HYPERLINK("https://klasma.github.io/Logging_2281/klagomålsmail/A 62532-2023 FSC-klagomål mail.docx", "A 62532-2023")</f>
        <v/>
      </c>
      <c r="X183">
        <f>HYPERLINK("https://klasma.github.io/Logging_2281/tillsyn/A 62532-2023 tillsynsbegäran.docx", "A 62532-2023")</f>
        <v/>
      </c>
      <c r="Y183">
        <f>HYPERLINK("https://klasma.github.io/Logging_2281/tillsynsmail/A 62532-2023 tillsynsbegäran mail.docx", "A 62532-2023")</f>
        <v/>
      </c>
      <c r="Z183">
        <f>HYPERLINK("https://klasma.github.io/Logging_2281/fåglar/A 62532-2023 prioriterade fågelarter.docx", "A 62532-2023")</f>
        <v/>
      </c>
    </row>
    <row r="184" ht="15" customHeight="1">
      <c r="A184" t="inlineStr">
        <is>
          <t>A 13675-2024</t>
        </is>
      </c>
      <c r="B184" s="1" t="n">
        <v>45390</v>
      </c>
      <c r="C184" s="1" t="n">
        <v>45845</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14725-2024</t>
        </is>
      </c>
      <c r="B185" s="1" t="n">
        <v>45397</v>
      </c>
      <c r="C185" s="1" t="n">
        <v>45845</v>
      </c>
      <c r="D185" t="inlineStr">
        <is>
          <t>VÄSTERNORRLANDS LÄN</t>
        </is>
      </c>
      <c r="E185" t="inlineStr">
        <is>
          <t>SUNDSVALL</t>
        </is>
      </c>
      <c r="G185" t="n">
        <v>6.9</v>
      </c>
      <c r="H185" t="n">
        <v>1</v>
      </c>
      <c r="I185" t="n">
        <v>1</v>
      </c>
      <c r="J185" t="n">
        <v>0</v>
      </c>
      <c r="K185" t="n">
        <v>1</v>
      </c>
      <c r="L185" t="n">
        <v>0</v>
      </c>
      <c r="M185" t="n">
        <v>0</v>
      </c>
      <c r="N185" t="n">
        <v>0</v>
      </c>
      <c r="O185" t="n">
        <v>1</v>
      </c>
      <c r="P185" t="n">
        <v>1</v>
      </c>
      <c r="Q185" t="n">
        <v>2</v>
      </c>
      <c r="R185" s="2" t="inlineStr">
        <is>
          <t>Knärot
Blodticka</t>
        </is>
      </c>
      <c r="S185">
        <f>HYPERLINK("https://klasma.github.io/Logging_2281/artfynd/A 14725-2024 artfynd.xlsx", "A 14725-2024")</f>
        <v/>
      </c>
      <c r="T185">
        <f>HYPERLINK("https://klasma.github.io/Logging_2281/kartor/A 14725-2024 karta.png", "A 14725-2024")</f>
        <v/>
      </c>
      <c r="U185">
        <f>HYPERLINK("https://klasma.github.io/Logging_2281/knärot/A 14725-2024 karta knärot.png", "A 14725-2024")</f>
        <v/>
      </c>
      <c r="V185">
        <f>HYPERLINK("https://klasma.github.io/Logging_2281/klagomål/A 14725-2024 FSC-klagomål.docx", "A 14725-2024")</f>
        <v/>
      </c>
      <c r="W185">
        <f>HYPERLINK("https://klasma.github.io/Logging_2281/klagomålsmail/A 14725-2024 FSC-klagomål mail.docx", "A 14725-2024")</f>
        <v/>
      </c>
      <c r="X185">
        <f>HYPERLINK("https://klasma.github.io/Logging_2281/tillsyn/A 14725-2024 tillsynsbegäran.docx", "A 14725-2024")</f>
        <v/>
      </c>
      <c r="Y185">
        <f>HYPERLINK("https://klasma.github.io/Logging_2281/tillsynsmail/A 14725-2024 tillsynsbegäran mail.docx", "A 14725-2024")</f>
        <v/>
      </c>
    </row>
    <row r="186" ht="15" customHeight="1">
      <c r="A186" t="inlineStr">
        <is>
          <t>A 21609-2024</t>
        </is>
      </c>
      <c r="B186" s="1" t="n">
        <v>45442</v>
      </c>
      <c r="C186" s="1" t="n">
        <v>45845</v>
      </c>
      <c r="D186" t="inlineStr">
        <is>
          <t>VÄSTERNORRLANDS LÄN</t>
        </is>
      </c>
      <c r="E186" t="inlineStr">
        <is>
          <t>SUNDSVALL</t>
        </is>
      </c>
      <c r="F186" t="inlineStr">
        <is>
          <t>SCA</t>
        </is>
      </c>
      <c r="G186" t="n">
        <v>11.4</v>
      </c>
      <c r="H186" t="n">
        <v>2</v>
      </c>
      <c r="I186" t="n">
        <v>0</v>
      </c>
      <c r="J186" t="n">
        <v>0</v>
      </c>
      <c r="K186" t="n">
        <v>0</v>
      </c>
      <c r="L186" t="n">
        <v>0</v>
      </c>
      <c r="M186" t="n">
        <v>0</v>
      </c>
      <c r="N186" t="n">
        <v>0</v>
      </c>
      <c r="O186" t="n">
        <v>0</v>
      </c>
      <c r="P186" t="n">
        <v>0</v>
      </c>
      <c r="Q186" t="n">
        <v>2</v>
      </c>
      <c r="R186" s="2" t="inlineStr">
        <is>
          <t>Fläcknycklar
Nattviol</t>
        </is>
      </c>
      <c r="S186">
        <f>HYPERLINK("https://klasma.github.io/Logging_2281/artfynd/A 21609-2024 artfynd.xlsx", "A 21609-2024")</f>
        <v/>
      </c>
      <c r="T186">
        <f>HYPERLINK("https://klasma.github.io/Logging_2281/kartor/A 21609-2024 karta.png", "A 21609-2024")</f>
        <v/>
      </c>
      <c r="V186">
        <f>HYPERLINK("https://klasma.github.io/Logging_2281/klagomål/A 21609-2024 FSC-klagomål.docx", "A 21609-2024")</f>
        <v/>
      </c>
      <c r="W186">
        <f>HYPERLINK("https://klasma.github.io/Logging_2281/klagomålsmail/A 21609-2024 FSC-klagomål mail.docx", "A 21609-2024")</f>
        <v/>
      </c>
      <c r="X186">
        <f>HYPERLINK("https://klasma.github.io/Logging_2281/tillsyn/A 21609-2024 tillsynsbegäran.docx", "A 21609-2024")</f>
        <v/>
      </c>
      <c r="Y186">
        <f>HYPERLINK("https://klasma.github.io/Logging_2281/tillsynsmail/A 21609-2024 tillsynsbegäran mail.docx", "A 21609-2024")</f>
        <v/>
      </c>
    </row>
    <row r="187" ht="15" customHeight="1">
      <c r="A187" t="inlineStr">
        <is>
          <t>A 26178-2024</t>
        </is>
      </c>
      <c r="B187" s="1" t="n">
        <v>45468</v>
      </c>
      <c r="C187" s="1" t="n">
        <v>45845</v>
      </c>
      <c r="D187" t="inlineStr">
        <is>
          <t>VÄSTERNORRLANDS LÄN</t>
        </is>
      </c>
      <c r="E187" t="inlineStr">
        <is>
          <t>SUNDSVALL</t>
        </is>
      </c>
      <c r="G187" t="n">
        <v>11.7</v>
      </c>
      <c r="H187" t="n">
        <v>2</v>
      </c>
      <c r="I187" t="n">
        <v>0</v>
      </c>
      <c r="J187" t="n">
        <v>1</v>
      </c>
      <c r="K187" t="n">
        <v>0</v>
      </c>
      <c r="L187" t="n">
        <v>0</v>
      </c>
      <c r="M187" t="n">
        <v>0</v>
      </c>
      <c r="N187" t="n">
        <v>0</v>
      </c>
      <c r="O187" t="n">
        <v>1</v>
      </c>
      <c r="P187" t="n">
        <v>0</v>
      </c>
      <c r="Q187" t="n">
        <v>2</v>
      </c>
      <c r="R187" s="2" t="inlineStr">
        <is>
          <t>Pilgrimsfalk
Sparvuggla</t>
        </is>
      </c>
      <c r="S187">
        <f>HYPERLINK("https://klasma.github.io/Logging_2281/artfynd/A 26178-2024 artfynd.xlsx", "A 26178-2024")</f>
        <v/>
      </c>
      <c r="T187">
        <f>HYPERLINK("https://klasma.github.io/Logging_2281/kartor/A 26178-2024 karta.png", "A 26178-2024")</f>
        <v/>
      </c>
      <c r="V187">
        <f>HYPERLINK("https://klasma.github.io/Logging_2281/klagomål/A 26178-2024 FSC-klagomål.docx", "A 26178-2024")</f>
        <v/>
      </c>
      <c r="W187">
        <f>HYPERLINK("https://klasma.github.io/Logging_2281/klagomålsmail/A 26178-2024 FSC-klagomål mail.docx", "A 26178-2024")</f>
        <v/>
      </c>
      <c r="X187">
        <f>HYPERLINK("https://klasma.github.io/Logging_2281/tillsyn/A 26178-2024 tillsynsbegäran.docx", "A 26178-2024")</f>
        <v/>
      </c>
      <c r="Y187">
        <f>HYPERLINK("https://klasma.github.io/Logging_2281/tillsynsmail/A 26178-2024 tillsynsbegäran mail.docx", "A 26178-2024")</f>
        <v/>
      </c>
      <c r="Z187">
        <f>HYPERLINK("https://klasma.github.io/Logging_2281/fåglar/A 26178-2024 prioriterade fågelarter.docx", "A 26178-2024")</f>
        <v/>
      </c>
    </row>
    <row r="188" ht="15" customHeight="1">
      <c r="A188" t="inlineStr">
        <is>
          <t>A 34766-2024</t>
        </is>
      </c>
      <c r="B188" s="1" t="n">
        <v>45526</v>
      </c>
      <c r="C188" s="1" t="n">
        <v>45845</v>
      </c>
      <c r="D188" t="inlineStr">
        <is>
          <t>VÄSTERNORRLANDS LÄN</t>
        </is>
      </c>
      <c r="E188" t="inlineStr">
        <is>
          <t>SUNDSVALL</t>
        </is>
      </c>
      <c r="F188" t="inlineStr">
        <is>
          <t>SCA</t>
        </is>
      </c>
      <c r="G188" t="n">
        <v>10</v>
      </c>
      <c r="H188" t="n">
        <v>1</v>
      </c>
      <c r="I188" t="n">
        <v>1</v>
      </c>
      <c r="J188" t="n">
        <v>0</v>
      </c>
      <c r="K188" t="n">
        <v>0</v>
      </c>
      <c r="L188" t="n">
        <v>0</v>
      </c>
      <c r="M188" t="n">
        <v>0</v>
      </c>
      <c r="N188" t="n">
        <v>0</v>
      </c>
      <c r="O188" t="n">
        <v>0</v>
      </c>
      <c r="P188" t="n">
        <v>0</v>
      </c>
      <c r="Q188" t="n">
        <v>2</v>
      </c>
      <c r="R188" s="2" t="inlineStr">
        <is>
          <t>Vårärt
Revlummer</t>
        </is>
      </c>
      <c r="S188">
        <f>HYPERLINK("https://klasma.github.io/Logging_2281/artfynd/A 34766-2024 artfynd.xlsx", "A 34766-2024")</f>
        <v/>
      </c>
      <c r="T188">
        <f>HYPERLINK("https://klasma.github.io/Logging_2281/kartor/A 34766-2024 karta.png", "A 34766-2024")</f>
        <v/>
      </c>
      <c r="V188">
        <f>HYPERLINK("https://klasma.github.io/Logging_2281/klagomål/A 34766-2024 FSC-klagomål.docx", "A 34766-2024")</f>
        <v/>
      </c>
      <c r="W188">
        <f>HYPERLINK("https://klasma.github.io/Logging_2281/klagomålsmail/A 34766-2024 FSC-klagomål mail.docx", "A 34766-2024")</f>
        <v/>
      </c>
      <c r="X188">
        <f>HYPERLINK("https://klasma.github.io/Logging_2281/tillsyn/A 34766-2024 tillsynsbegäran.docx", "A 34766-2024")</f>
        <v/>
      </c>
      <c r="Y188">
        <f>HYPERLINK("https://klasma.github.io/Logging_2281/tillsynsmail/A 34766-2024 tillsynsbegäran mail.docx", "A 34766-2024")</f>
        <v/>
      </c>
    </row>
    <row r="189" ht="15" customHeight="1">
      <c r="A189" t="inlineStr">
        <is>
          <t>A 41090-2024</t>
        </is>
      </c>
      <c r="B189" s="1" t="n">
        <v>45559</v>
      </c>
      <c r="C189" s="1" t="n">
        <v>45845</v>
      </c>
      <c r="D189" t="inlineStr">
        <is>
          <t>VÄSTERNORRLANDS LÄN</t>
        </is>
      </c>
      <c r="E189" t="inlineStr">
        <is>
          <t>SUNDSVALL</t>
        </is>
      </c>
      <c r="F189" t="inlineStr">
        <is>
          <t>SCA</t>
        </is>
      </c>
      <c r="G189" t="n">
        <v>1.7</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41090-2024 artfynd.xlsx", "A 41090-2024")</f>
        <v/>
      </c>
      <c r="T189">
        <f>HYPERLINK("https://klasma.github.io/Logging_2281/kartor/A 41090-2024 karta.png", "A 41090-2024")</f>
        <v/>
      </c>
      <c r="V189">
        <f>HYPERLINK("https://klasma.github.io/Logging_2281/klagomål/A 41090-2024 FSC-klagomål.docx", "A 41090-2024")</f>
        <v/>
      </c>
      <c r="W189">
        <f>HYPERLINK("https://klasma.github.io/Logging_2281/klagomålsmail/A 41090-2024 FSC-klagomål mail.docx", "A 41090-2024")</f>
        <v/>
      </c>
      <c r="X189">
        <f>HYPERLINK("https://klasma.github.io/Logging_2281/tillsyn/A 41090-2024 tillsynsbegäran.docx", "A 41090-2024")</f>
        <v/>
      </c>
      <c r="Y189">
        <f>HYPERLINK("https://klasma.github.io/Logging_2281/tillsynsmail/A 41090-2024 tillsynsbegäran mail.docx", "A 41090-2024")</f>
        <v/>
      </c>
    </row>
    <row r="190" ht="15" customHeight="1">
      <c r="A190" t="inlineStr">
        <is>
          <t>A 59994-2024</t>
        </is>
      </c>
      <c r="B190" s="1" t="n">
        <v>45642</v>
      </c>
      <c r="C190" s="1" t="n">
        <v>45845</v>
      </c>
      <c r="D190" t="inlineStr">
        <is>
          <t>VÄSTERNORRLANDS LÄN</t>
        </is>
      </c>
      <c r="E190" t="inlineStr">
        <is>
          <t>SUNDSVALL</t>
        </is>
      </c>
      <c r="G190" t="n">
        <v>2.1</v>
      </c>
      <c r="H190" t="n">
        <v>0</v>
      </c>
      <c r="I190" t="n">
        <v>0</v>
      </c>
      <c r="J190" t="n">
        <v>2</v>
      </c>
      <c r="K190" t="n">
        <v>0</v>
      </c>
      <c r="L190" t="n">
        <v>0</v>
      </c>
      <c r="M190" t="n">
        <v>0</v>
      </c>
      <c r="N190" t="n">
        <v>0</v>
      </c>
      <c r="O190" t="n">
        <v>2</v>
      </c>
      <c r="P190" t="n">
        <v>0</v>
      </c>
      <c r="Q190" t="n">
        <v>2</v>
      </c>
      <c r="R190" s="2" t="inlineStr">
        <is>
          <t>Rosenticka
Ullticka</t>
        </is>
      </c>
      <c r="S190">
        <f>HYPERLINK("https://klasma.github.io/Logging_2281/artfynd/A 59994-2024 artfynd.xlsx", "A 59994-2024")</f>
        <v/>
      </c>
      <c r="T190">
        <f>HYPERLINK("https://klasma.github.io/Logging_2281/kartor/A 59994-2024 karta.png", "A 59994-2024")</f>
        <v/>
      </c>
      <c r="U190">
        <f>HYPERLINK("https://klasma.github.io/Logging_2281/knärot/A 59994-2024 karta knärot.png", "A 59994-2024")</f>
        <v/>
      </c>
      <c r="V190">
        <f>HYPERLINK("https://klasma.github.io/Logging_2281/klagomål/A 59994-2024 FSC-klagomål.docx", "A 59994-2024")</f>
        <v/>
      </c>
      <c r="W190">
        <f>HYPERLINK("https://klasma.github.io/Logging_2281/klagomålsmail/A 59994-2024 FSC-klagomål mail.docx", "A 59994-2024")</f>
        <v/>
      </c>
      <c r="X190">
        <f>HYPERLINK("https://klasma.github.io/Logging_2281/tillsyn/A 59994-2024 tillsynsbegäran.docx", "A 59994-2024")</f>
        <v/>
      </c>
      <c r="Y190">
        <f>HYPERLINK("https://klasma.github.io/Logging_2281/tillsynsmail/A 59994-2024 tillsynsbegäran mail.docx", "A 59994-2024")</f>
        <v/>
      </c>
    </row>
    <row r="191" ht="15" customHeight="1">
      <c r="A191" t="inlineStr">
        <is>
          <t>A 166-2025</t>
        </is>
      </c>
      <c r="B191" s="1" t="n">
        <v>45649</v>
      </c>
      <c r="C191" s="1" t="n">
        <v>45845</v>
      </c>
      <c r="D191" t="inlineStr">
        <is>
          <t>VÄSTERNORRLANDS LÄN</t>
        </is>
      </c>
      <c r="E191" t="inlineStr">
        <is>
          <t>SUNDSVALL</t>
        </is>
      </c>
      <c r="G191" t="n">
        <v>17.1</v>
      </c>
      <c r="H191" t="n">
        <v>1</v>
      </c>
      <c r="I191" t="n">
        <v>1</v>
      </c>
      <c r="J191" t="n">
        <v>0</v>
      </c>
      <c r="K191" t="n">
        <v>0</v>
      </c>
      <c r="L191" t="n">
        <v>0</v>
      </c>
      <c r="M191" t="n">
        <v>0</v>
      </c>
      <c r="N191" t="n">
        <v>0</v>
      </c>
      <c r="O191" t="n">
        <v>0</v>
      </c>
      <c r="P191" t="n">
        <v>0</v>
      </c>
      <c r="Q191" t="n">
        <v>2</v>
      </c>
      <c r="R191" s="2" t="inlineStr">
        <is>
          <t>Bårdlav
Revlummer</t>
        </is>
      </c>
      <c r="S191">
        <f>HYPERLINK("https://klasma.github.io/Logging_2281/artfynd/A 166-2025 artfynd.xlsx", "A 166-2025")</f>
        <v/>
      </c>
      <c r="T191">
        <f>HYPERLINK("https://klasma.github.io/Logging_2281/kartor/A 166-2025 karta.png", "A 166-2025")</f>
        <v/>
      </c>
      <c r="V191">
        <f>HYPERLINK("https://klasma.github.io/Logging_2281/klagomål/A 166-2025 FSC-klagomål.docx", "A 166-2025")</f>
        <v/>
      </c>
      <c r="W191">
        <f>HYPERLINK("https://klasma.github.io/Logging_2281/klagomålsmail/A 166-2025 FSC-klagomål mail.docx", "A 166-2025")</f>
        <v/>
      </c>
      <c r="X191">
        <f>HYPERLINK("https://klasma.github.io/Logging_2281/tillsyn/A 166-2025 tillsynsbegäran.docx", "A 166-2025")</f>
        <v/>
      </c>
      <c r="Y191">
        <f>HYPERLINK("https://klasma.github.io/Logging_2281/tillsynsmail/A 166-2025 tillsynsbegäran mail.docx", "A 166-2025")</f>
        <v/>
      </c>
    </row>
    <row r="192" ht="15" customHeight="1">
      <c r="A192" t="inlineStr">
        <is>
          <t>A 4896-2025</t>
        </is>
      </c>
      <c r="B192" s="1" t="n">
        <v>45688</v>
      </c>
      <c r="C192" s="1" t="n">
        <v>45845</v>
      </c>
      <c r="D192" t="inlineStr">
        <is>
          <t>VÄSTERNORRLANDS LÄN</t>
        </is>
      </c>
      <c r="E192" t="inlineStr">
        <is>
          <t>SUNDSVALL</t>
        </is>
      </c>
      <c r="F192" t="inlineStr">
        <is>
          <t>SCA</t>
        </is>
      </c>
      <c r="G192" t="n">
        <v>6.9</v>
      </c>
      <c r="H192" t="n">
        <v>1</v>
      </c>
      <c r="I192" t="n">
        <v>1</v>
      </c>
      <c r="J192" t="n">
        <v>0</v>
      </c>
      <c r="K192" t="n">
        <v>0</v>
      </c>
      <c r="L192" t="n">
        <v>0</v>
      </c>
      <c r="M192" t="n">
        <v>0</v>
      </c>
      <c r="N192" t="n">
        <v>0</v>
      </c>
      <c r="O192" t="n">
        <v>0</v>
      </c>
      <c r="P192" t="n">
        <v>0</v>
      </c>
      <c r="Q192" t="n">
        <v>2</v>
      </c>
      <c r="R192" s="2" t="inlineStr">
        <is>
          <t>Tibast
Blåsippa</t>
        </is>
      </c>
      <c r="S192">
        <f>HYPERLINK("https://klasma.github.io/Logging_2281/artfynd/A 4896-2025 artfynd.xlsx", "A 4896-2025")</f>
        <v/>
      </c>
      <c r="T192">
        <f>HYPERLINK("https://klasma.github.io/Logging_2281/kartor/A 4896-2025 karta.png", "A 4896-2025")</f>
        <v/>
      </c>
      <c r="U192">
        <f>HYPERLINK("https://klasma.github.io/Logging_2281/knärot/A 4896-2025 karta knärot.png", "A 4896-2025")</f>
        <v/>
      </c>
      <c r="V192">
        <f>HYPERLINK("https://klasma.github.io/Logging_2281/klagomål/A 4896-2025 FSC-klagomål.docx", "A 4896-2025")</f>
        <v/>
      </c>
      <c r="W192">
        <f>HYPERLINK("https://klasma.github.io/Logging_2281/klagomålsmail/A 4896-2025 FSC-klagomål mail.docx", "A 4896-2025")</f>
        <v/>
      </c>
      <c r="X192">
        <f>HYPERLINK("https://klasma.github.io/Logging_2281/tillsyn/A 4896-2025 tillsynsbegäran.docx", "A 4896-2025")</f>
        <v/>
      </c>
      <c r="Y192">
        <f>HYPERLINK("https://klasma.github.io/Logging_2281/tillsynsmail/A 4896-2025 tillsynsbegäran mail.docx", "A 4896-2025")</f>
        <v/>
      </c>
    </row>
    <row r="193" ht="15" customHeight="1">
      <c r="A193" t="inlineStr">
        <is>
          <t>A 4871-2025</t>
        </is>
      </c>
      <c r="B193" s="1" t="n">
        <v>45688</v>
      </c>
      <c r="C193" s="1" t="n">
        <v>45845</v>
      </c>
      <c r="D193" t="inlineStr">
        <is>
          <t>VÄSTERNORRLANDS LÄN</t>
        </is>
      </c>
      <c r="E193" t="inlineStr">
        <is>
          <t>SUNDSVALL</t>
        </is>
      </c>
      <c r="F193" t="inlineStr">
        <is>
          <t>SCA</t>
        </is>
      </c>
      <c r="G193" t="n">
        <v>11.5</v>
      </c>
      <c r="H193" t="n">
        <v>1</v>
      </c>
      <c r="I193" t="n">
        <v>0</v>
      </c>
      <c r="J193" t="n">
        <v>2</v>
      </c>
      <c r="K193" t="n">
        <v>0</v>
      </c>
      <c r="L193" t="n">
        <v>0</v>
      </c>
      <c r="M193" t="n">
        <v>0</v>
      </c>
      <c r="N193" t="n">
        <v>0</v>
      </c>
      <c r="O193" t="n">
        <v>2</v>
      </c>
      <c r="P193" t="n">
        <v>0</v>
      </c>
      <c r="Q193" t="n">
        <v>2</v>
      </c>
      <c r="R193" s="2" t="inlineStr">
        <is>
          <t>Spillkråka
Ullticka</t>
        </is>
      </c>
      <c r="S193">
        <f>HYPERLINK("https://klasma.github.io/Logging_2281/artfynd/A 4871-2025 artfynd.xlsx", "A 4871-2025")</f>
        <v/>
      </c>
      <c r="T193">
        <f>HYPERLINK("https://klasma.github.io/Logging_2281/kartor/A 4871-2025 karta.png", "A 4871-2025")</f>
        <v/>
      </c>
      <c r="U193">
        <f>HYPERLINK("https://klasma.github.io/Logging_2281/knärot/A 4871-2025 karta knärot.png", "A 4871-2025")</f>
        <v/>
      </c>
      <c r="V193">
        <f>HYPERLINK("https://klasma.github.io/Logging_2281/klagomål/A 4871-2025 FSC-klagomål.docx", "A 4871-2025")</f>
        <v/>
      </c>
      <c r="W193">
        <f>HYPERLINK("https://klasma.github.io/Logging_2281/klagomålsmail/A 4871-2025 FSC-klagomål mail.docx", "A 4871-2025")</f>
        <v/>
      </c>
      <c r="X193">
        <f>HYPERLINK("https://klasma.github.io/Logging_2281/tillsyn/A 4871-2025 tillsynsbegäran.docx", "A 4871-2025")</f>
        <v/>
      </c>
      <c r="Y193">
        <f>HYPERLINK("https://klasma.github.io/Logging_2281/tillsynsmail/A 4871-2025 tillsynsbegäran mail.docx", "A 4871-2025")</f>
        <v/>
      </c>
      <c r="Z193">
        <f>HYPERLINK("https://klasma.github.io/Logging_2281/fåglar/A 4871-2025 prioriterade fågelarter.docx", "A 4871-2025")</f>
        <v/>
      </c>
    </row>
    <row r="194" ht="15" customHeight="1">
      <c r="A194" t="inlineStr">
        <is>
          <t>A 4900-2025</t>
        </is>
      </c>
      <c r="B194" s="1" t="n">
        <v>45688</v>
      </c>
      <c r="C194" s="1" t="n">
        <v>45845</v>
      </c>
      <c r="D194" t="inlineStr">
        <is>
          <t>VÄSTERNORRLANDS LÄN</t>
        </is>
      </c>
      <c r="E194" t="inlineStr">
        <is>
          <t>SUNDSVALL</t>
        </is>
      </c>
      <c r="F194" t="inlineStr">
        <is>
          <t>SCA</t>
        </is>
      </c>
      <c r="G194" t="n">
        <v>10.4</v>
      </c>
      <c r="H194" t="n">
        <v>1</v>
      </c>
      <c r="I194" t="n">
        <v>0</v>
      </c>
      <c r="J194" t="n">
        <v>1</v>
      </c>
      <c r="K194" t="n">
        <v>1</v>
      </c>
      <c r="L194" t="n">
        <v>0</v>
      </c>
      <c r="M194" t="n">
        <v>0</v>
      </c>
      <c r="N194" t="n">
        <v>0</v>
      </c>
      <c r="O194" t="n">
        <v>2</v>
      </c>
      <c r="P194" t="n">
        <v>1</v>
      </c>
      <c r="Q194" t="n">
        <v>2</v>
      </c>
      <c r="R194" s="2" t="inlineStr">
        <is>
          <t>Knärot
Ullticka</t>
        </is>
      </c>
      <c r="S194">
        <f>HYPERLINK("https://klasma.github.io/Logging_2281/artfynd/A 4900-2025 artfynd.xlsx", "A 4900-2025")</f>
        <v/>
      </c>
      <c r="T194">
        <f>HYPERLINK("https://klasma.github.io/Logging_2281/kartor/A 4900-2025 karta.png", "A 4900-2025")</f>
        <v/>
      </c>
      <c r="U194">
        <f>HYPERLINK("https://klasma.github.io/Logging_2281/knärot/A 4900-2025 karta knärot.png", "A 4900-2025")</f>
        <v/>
      </c>
      <c r="V194">
        <f>HYPERLINK("https://klasma.github.io/Logging_2281/klagomål/A 4900-2025 FSC-klagomål.docx", "A 4900-2025")</f>
        <v/>
      </c>
      <c r="W194">
        <f>HYPERLINK("https://klasma.github.io/Logging_2281/klagomålsmail/A 4900-2025 FSC-klagomål mail.docx", "A 4900-2025")</f>
        <v/>
      </c>
      <c r="X194">
        <f>HYPERLINK("https://klasma.github.io/Logging_2281/tillsyn/A 4900-2025 tillsynsbegäran.docx", "A 4900-2025")</f>
        <v/>
      </c>
      <c r="Y194">
        <f>HYPERLINK("https://klasma.github.io/Logging_2281/tillsynsmail/A 4900-2025 tillsynsbegäran mail.docx", "A 4900-2025")</f>
        <v/>
      </c>
    </row>
    <row r="195" ht="15" customHeight="1">
      <c r="A195" t="inlineStr">
        <is>
          <t>A 6672-2025</t>
        </is>
      </c>
      <c r="B195" s="1" t="n">
        <v>45700</v>
      </c>
      <c r="C195" s="1" t="n">
        <v>45845</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13154-2025</t>
        </is>
      </c>
      <c r="B196" s="1" t="n">
        <v>45735</v>
      </c>
      <c r="C196" s="1" t="n">
        <v>45845</v>
      </c>
      <c r="D196" t="inlineStr">
        <is>
          <t>VÄSTERNORRLANDS LÄN</t>
        </is>
      </c>
      <c r="E196" t="inlineStr">
        <is>
          <t>SUNDSVALL</t>
        </is>
      </c>
      <c r="G196" t="n">
        <v>2.6</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HYPERLINK("https://klasma.github.io/Logging_222281/artfynd/A 13154-2025 artfynd.xlsx", "A 13154-2025")</f>
        <v/>
      </c>
      <c r="T196">
        <f>HYPERLINK("https://klasma.github.io/Logging_222281/kartor/A 13154-2025 karta.png", "A 13154-2025")</f>
        <v/>
      </c>
      <c r="V196">
        <f>HYPERLINK("https://klasma.github.io/Logging_222281/klagomål/A 13154-2025 FSC-klagomål.docx", "A 13154-2025")</f>
        <v/>
      </c>
      <c r="W196">
        <f>HYPERLINK("https://klasma.github.io/Logging_222281/klagomålsmail/A 13154-2025 FSC-klagomål mail.docx", "A 13154-2025")</f>
        <v/>
      </c>
      <c r="X196">
        <f>HYPERLINK("https://klasma.github.io/Logging_222281/tillsyn/A 13154-2025 tillsynsbegäran.docx", "A 13154-2025")</f>
        <v/>
      </c>
      <c r="Y196">
        <f>HYPERLINK("https://klasma.github.io/Logging_222281/tillsynsmail/A 13154-2025 tillsynsbegäran mail.docx", "A 13154-2025")</f>
        <v/>
      </c>
    </row>
    <row r="197" ht="15" customHeight="1">
      <c r="A197" t="inlineStr">
        <is>
          <t>A 13441-2025</t>
        </is>
      </c>
      <c r="B197" s="1" t="n">
        <v>45736</v>
      </c>
      <c r="C197" s="1" t="n">
        <v>45845</v>
      </c>
      <c r="D197" t="inlineStr">
        <is>
          <t>VÄSTERNORRLANDS LÄN</t>
        </is>
      </c>
      <c r="E197" t="inlineStr">
        <is>
          <t>SUNDSVALL</t>
        </is>
      </c>
      <c r="F197" t="inlineStr">
        <is>
          <t>SCA</t>
        </is>
      </c>
      <c r="G197" t="n">
        <v>0.8</v>
      </c>
      <c r="H197" t="n">
        <v>0</v>
      </c>
      <c r="I197" t="n">
        <v>1</v>
      </c>
      <c r="J197" t="n">
        <v>1</v>
      </c>
      <c r="K197" t="n">
        <v>0</v>
      </c>
      <c r="L197" t="n">
        <v>0</v>
      </c>
      <c r="M197" t="n">
        <v>0</v>
      </c>
      <c r="N197" t="n">
        <v>0</v>
      </c>
      <c r="O197" t="n">
        <v>1</v>
      </c>
      <c r="P197" t="n">
        <v>0</v>
      </c>
      <c r="Q197" t="n">
        <v>2</v>
      </c>
      <c r="R197" s="2" t="inlineStr">
        <is>
          <t>Vedtrappmossa
Vedticka</t>
        </is>
      </c>
      <c r="S197">
        <f>HYPERLINK("https://klasma.github.io/Logging_222281/artfynd/A 13441-2025 artfynd.xlsx", "A 13441-2025")</f>
        <v/>
      </c>
      <c r="T197">
        <f>HYPERLINK("https://klasma.github.io/Logging_222281/kartor/A 13441-2025 karta.png", "A 13441-2025")</f>
        <v/>
      </c>
      <c r="V197">
        <f>HYPERLINK("https://klasma.github.io/Logging_222281/klagomål/A 13441-2025 FSC-klagomål.docx", "A 13441-2025")</f>
        <v/>
      </c>
      <c r="W197">
        <f>HYPERLINK("https://klasma.github.io/Logging_222281/klagomålsmail/A 13441-2025 FSC-klagomål mail.docx", "A 13441-2025")</f>
        <v/>
      </c>
      <c r="X197">
        <f>HYPERLINK("https://klasma.github.io/Logging_222281/tillsyn/A 13441-2025 tillsynsbegäran.docx", "A 13441-2025")</f>
        <v/>
      </c>
      <c r="Y197">
        <f>HYPERLINK("https://klasma.github.io/Logging_222281/tillsynsmail/A 13441-2025 tillsynsbegäran mail.docx", "A 13441-2025")</f>
        <v/>
      </c>
    </row>
    <row r="198" ht="15" customHeight="1">
      <c r="A198" t="inlineStr">
        <is>
          <t>A 16043-2025</t>
        </is>
      </c>
      <c r="B198" s="1" t="n">
        <v>45749</v>
      </c>
      <c r="C198" s="1" t="n">
        <v>45845</v>
      </c>
      <c r="D198" t="inlineStr">
        <is>
          <t>VÄSTERNORRLANDS LÄN</t>
        </is>
      </c>
      <c r="E198" t="inlineStr">
        <is>
          <t>SUNDSVALL</t>
        </is>
      </c>
      <c r="G198" t="n">
        <v>10.5</v>
      </c>
      <c r="H198" t="n">
        <v>2</v>
      </c>
      <c r="I198" t="n">
        <v>0</v>
      </c>
      <c r="J198" t="n">
        <v>1</v>
      </c>
      <c r="K198" t="n">
        <v>0</v>
      </c>
      <c r="L198" t="n">
        <v>0</v>
      </c>
      <c r="M198" t="n">
        <v>0</v>
      </c>
      <c r="N198" t="n">
        <v>0</v>
      </c>
      <c r="O198" t="n">
        <v>1</v>
      </c>
      <c r="P198" t="n">
        <v>0</v>
      </c>
      <c r="Q198" t="n">
        <v>2</v>
      </c>
      <c r="R198" s="2" t="inlineStr">
        <is>
          <t>Pilgrimsfalk
Sparvuggla</t>
        </is>
      </c>
      <c r="S198">
        <f>HYPERLINK("https://klasma.github.io/Logging_222281/artfynd/A 16043-2025 artfynd.xlsx", "A 16043-2025")</f>
        <v/>
      </c>
      <c r="T198">
        <f>HYPERLINK("https://klasma.github.io/Logging_222281/kartor/A 16043-2025 karta.png", "A 16043-2025")</f>
        <v/>
      </c>
      <c r="V198">
        <f>HYPERLINK("https://klasma.github.io/Logging_222281/klagomål/A 16043-2025 FSC-klagomål.docx", "A 16043-2025")</f>
        <v/>
      </c>
      <c r="W198">
        <f>HYPERLINK("https://klasma.github.io/Logging_222281/klagomålsmail/A 16043-2025 FSC-klagomål mail.docx", "A 16043-2025")</f>
        <v/>
      </c>
      <c r="X198">
        <f>HYPERLINK("https://klasma.github.io/Logging_222281/tillsyn/A 16043-2025 tillsynsbegäran.docx", "A 16043-2025")</f>
        <v/>
      </c>
      <c r="Y198">
        <f>HYPERLINK("https://klasma.github.io/Logging_222281/tillsynsmail/A 16043-2025 tillsynsbegäran mail.docx", "A 16043-2025")</f>
        <v/>
      </c>
      <c r="Z198">
        <f>HYPERLINK("https://klasma.github.io/Logging_222281/fåglar/A 16043-2025 prioriterade fågelarter.docx", "A 16043-2025")</f>
        <v/>
      </c>
    </row>
    <row r="199" ht="15" customHeight="1">
      <c r="A199" t="inlineStr">
        <is>
          <t>A 21373-2025</t>
        </is>
      </c>
      <c r="B199" s="1" t="n">
        <v>45782</v>
      </c>
      <c r="C199" s="1" t="n">
        <v>45845</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HYPERLINK("https://klasma.github.io/Logging_222281/artfynd/A 21373-2025 artfynd.xlsx", "A 21373-2025")</f>
        <v/>
      </c>
      <c r="T199">
        <f>HYPERLINK("https://klasma.github.io/Logging_222281/kartor/A 21373-2025 karta.png", "A 21373-2025")</f>
        <v/>
      </c>
      <c r="V199">
        <f>HYPERLINK("https://klasma.github.io/Logging_222281/klagomål/A 21373-2025 FSC-klagomål.docx", "A 21373-2025")</f>
        <v/>
      </c>
      <c r="W199">
        <f>HYPERLINK("https://klasma.github.io/Logging_222281/klagomålsmail/A 21373-2025 FSC-klagomål mail.docx", "A 21373-2025")</f>
        <v/>
      </c>
      <c r="X199">
        <f>HYPERLINK("https://klasma.github.io/Logging_222281/tillsyn/A 21373-2025 tillsynsbegäran.docx", "A 21373-2025")</f>
        <v/>
      </c>
      <c r="Y199">
        <f>HYPERLINK("https://klasma.github.io/Logging_222281/tillsynsmail/A 21373-2025 tillsynsbegäran mail.docx", "A 21373-2025")</f>
        <v/>
      </c>
    </row>
    <row r="200" ht="15" customHeight="1">
      <c r="A200" t="inlineStr">
        <is>
          <t>A 21321-2025</t>
        </is>
      </c>
      <c r="B200" s="1" t="n">
        <v>45782</v>
      </c>
      <c r="C200" s="1" t="n">
        <v>45845</v>
      </c>
      <c r="D200" t="inlineStr">
        <is>
          <t>VÄSTERNORRLANDS LÄN</t>
        </is>
      </c>
      <c r="E200" t="inlineStr">
        <is>
          <t>SUNDSVALL</t>
        </is>
      </c>
      <c r="F200" t="inlineStr">
        <is>
          <t>Naturvårdsverket</t>
        </is>
      </c>
      <c r="G200" t="n">
        <v>1.4</v>
      </c>
      <c r="H200" t="n">
        <v>0</v>
      </c>
      <c r="I200" t="n">
        <v>0</v>
      </c>
      <c r="J200" t="n">
        <v>2</v>
      </c>
      <c r="K200" t="n">
        <v>0</v>
      </c>
      <c r="L200" t="n">
        <v>0</v>
      </c>
      <c r="M200" t="n">
        <v>0</v>
      </c>
      <c r="N200" t="n">
        <v>0</v>
      </c>
      <c r="O200" t="n">
        <v>2</v>
      </c>
      <c r="P200" t="n">
        <v>0</v>
      </c>
      <c r="Q200" t="n">
        <v>2</v>
      </c>
      <c r="R200" s="2" t="inlineStr">
        <is>
          <t>Tallticka
Vedskivlav</t>
        </is>
      </c>
      <c r="S200">
        <f>HYPERLINK("https://klasma.github.io/Logging_222281/artfynd/A 21321-2025 artfynd.xlsx", "A 21321-2025")</f>
        <v/>
      </c>
      <c r="T200">
        <f>HYPERLINK("https://klasma.github.io/Logging_222281/kartor/A 21321-2025 karta.png", "A 21321-2025")</f>
        <v/>
      </c>
      <c r="V200">
        <f>HYPERLINK("https://klasma.github.io/Logging_222281/klagomål/A 21321-2025 FSC-klagomål.docx", "A 21321-2025")</f>
        <v/>
      </c>
      <c r="W200">
        <f>HYPERLINK("https://klasma.github.io/Logging_222281/klagomålsmail/A 21321-2025 FSC-klagomål mail.docx", "A 21321-2025")</f>
        <v/>
      </c>
      <c r="X200">
        <f>HYPERLINK("https://klasma.github.io/Logging_222281/tillsyn/A 21321-2025 tillsynsbegäran.docx", "A 21321-2025")</f>
        <v/>
      </c>
      <c r="Y200">
        <f>HYPERLINK("https://klasma.github.io/Logging_222281/tillsynsmail/A 21321-2025 tillsynsbegäran mail.docx", "A 21321-2025")</f>
        <v/>
      </c>
    </row>
    <row r="201" ht="15" customHeight="1">
      <c r="A201" t="inlineStr">
        <is>
          <t>A 23364-2025</t>
        </is>
      </c>
      <c r="B201" s="1" t="n">
        <v>45791</v>
      </c>
      <c r="C201" s="1" t="n">
        <v>45845</v>
      </c>
      <c r="D201" t="inlineStr">
        <is>
          <t>VÄSTERNORRLANDS LÄN</t>
        </is>
      </c>
      <c r="E201" t="inlineStr">
        <is>
          <t>SUNDSVALL</t>
        </is>
      </c>
      <c r="F201" t="inlineStr">
        <is>
          <t>SCA</t>
        </is>
      </c>
      <c r="G201" t="n">
        <v>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HYPERLINK("https://klasma.github.io/Logging_222281/artfynd/A 23364-2025 artfynd.xlsx", "A 23364-2025")</f>
        <v/>
      </c>
      <c r="T201">
        <f>HYPERLINK("https://klasma.github.io/Logging_222281/kartor/A 23364-2025 karta.png", "A 23364-2025")</f>
        <v/>
      </c>
      <c r="V201">
        <f>HYPERLINK("https://klasma.github.io/Logging_222281/klagomål/A 23364-2025 FSC-klagomål.docx", "A 23364-2025")</f>
        <v/>
      </c>
      <c r="W201">
        <f>HYPERLINK("https://klasma.github.io/Logging_222281/klagomålsmail/A 23364-2025 FSC-klagomål mail.docx", "A 23364-2025")</f>
        <v/>
      </c>
      <c r="X201">
        <f>HYPERLINK("https://klasma.github.io/Logging_222281/tillsyn/A 23364-2025 tillsynsbegäran.docx", "A 23364-2025")</f>
        <v/>
      </c>
      <c r="Y201">
        <f>HYPERLINK("https://klasma.github.io/Logging_222281/tillsynsmail/A 23364-2025 tillsynsbegäran mail.docx", "A 23364-2025")</f>
        <v/>
      </c>
      <c r="Z201">
        <f>HYPERLINK("https://klasma.github.io/Logging_222281/fåglar/A 23364-2025 prioriterade fågelarter.docx", "A 23364-2025")</f>
        <v/>
      </c>
    </row>
    <row r="202" ht="15" customHeight="1">
      <c r="A202" t="inlineStr">
        <is>
          <t>A 25500-2025</t>
        </is>
      </c>
      <c r="B202" s="1" t="n">
        <v>45803</v>
      </c>
      <c r="C202" s="1" t="n">
        <v>45845</v>
      </c>
      <c r="D202" t="inlineStr">
        <is>
          <t>VÄSTERNORRLANDS LÄN</t>
        </is>
      </c>
      <c r="E202" t="inlineStr">
        <is>
          <t>SUNDSVALL</t>
        </is>
      </c>
      <c r="F202" t="inlineStr">
        <is>
          <t>SCA</t>
        </is>
      </c>
      <c r="G202" t="n">
        <v>1.6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25500-2025 artfynd.xlsx", "A 25500-2025")</f>
        <v/>
      </c>
      <c r="T202">
        <f>HYPERLINK("https://klasma.github.io/Logging_222281/kartor/A 25500-2025 karta.png", "A 25500-2025")</f>
        <v/>
      </c>
      <c r="V202">
        <f>HYPERLINK("https://klasma.github.io/Logging_222281/klagomål/A 25500-2025 FSC-klagomål.docx", "A 25500-2025")</f>
        <v/>
      </c>
      <c r="W202">
        <f>HYPERLINK("https://klasma.github.io/Logging_222281/klagomålsmail/A 25500-2025 FSC-klagomål mail.docx", "A 25500-2025")</f>
        <v/>
      </c>
      <c r="X202">
        <f>HYPERLINK("https://klasma.github.io/Logging_222281/tillsyn/A 25500-2025 tillsynsbegäran.docx", "A 25500-2025")</f>
        <v/>
      </c>
      <c r="Y202">
        <f>HYPERLINK("https://klasma.github.io/Logging_222281/tillsynsmail/A 25500-2025 tillsynsbegäran mail.docx", "A 25500-2025")</f>
        <v/>
      </c>
      <c r="Z202">
        <f>HYPERLINK("https://klasma.github.io/Logging_222281/fåglar/A 25500-2025 prioriterade fågelarter.docx", "A 25500-2025")</f>
        <v/>
      </c>
    </row>
    <row r="203" ht="15" customHeight="1">
      <c r="A203" t="inlineStr">
        <is>
          <t>A 25870-2025</t>
        </is>
      </c>
      <c r="B203" s="1" t="n">
        <v>45804</v>
      </c>
      <c r="C203" s="1" t="n">
        <v>45845</v>
      </c>
      <c r="D203" t="inlineStr">
        <is>
          <t>VÄSTERNORRLANDS LÄN</t>
        </is>
      </c>
      <c r="E203" t="inlineStr">
        <is>
          <t>SUNDSVALL</t>
        </is>
      </c>
      <c r="F203" t="inlineStr">
        <is>
          <t>Naturvårdsverket</t>
        </is>
      </c>
      <c r="G203" t="n">
        <v>1.6</v>
      </c>
      <c r="H203" t="n">
        <v>1</v>
      </c>
      <c r="I203" t="n">
        <v>1</v>
      </c>
      <c r="J203" t="n">
        <v>1</v>
      </c>
      <c r="K203" t="n">
        <v>0</v>
      </c>
      <c r="L203" t="n">
        <v>0</v>
      </c>
      <c r="M203" t="n">
        <v>0</v>
      </c>
      <c r="N203" t="n">
        <v>0</v>
      </c>
      <c r="O203" t="n">
        <v>1</v>
      </c>
      <c r="P203" t="n">
        <v>0</v>
      </c>
      <c r="Q203" t="n">
        <v>2</v>
      </c>
      <c r="R203" s="2" t="inlineStr">
        <is>
          <t>Lunglav
Spindelblomster</t>
        </is>
      </c>
      <c r="S203">
        <f>HYPERLINK("https://klasma.github.io/Logging_222281/artfynd/A 25870-2025 artfynd.xlsx", "A 25870-2025")</f>
        <v/>
      </c>
      <c r="T203">
        <f>HYPERLINK("https://klasma.github.io/Logging_222281/kartor/A 25870-2025 karta.png", "A 25870-2025")</f>
        <v/>
      </c>
      <c r="V203">
        <f>HYPERLINK("https://klasma.github.io/Logging_222281/klagomål/A 25870-2025 FSC-klagomål.docx", "A 25870-2025")</f>
        <v/>
      </c>
      <c r="W203">
        <f>HYPERLINK("https://klasma.github.io/Logging_222281/klagomålsmail/A 25870-2025 FSC-klagomål mail.docx", "A 25870-2025")</f>
        <v/>
      </c>
      <c r="X203">
        <f>HYPERLINK("https://klasma.github.io/Logging_222281/tillsyn/A 25870-2025 tillsynsbegäran.docx", "A 25870-2025")</f>
        <v/>
      </c>
      <c r="Y203">
        <f>HYPERLINK("https://klasma.github.io/Logging_222281/tillsynsmail/A 25870-2025 tillsynsbegäran mail.docx", "A 25870-2025")</f>
        <v/>
      </c>
    </row>
    <row r="204" ht="15" customHeight="1">
      <c r="A204" t="inlineStr">
        <is>
          <t>A 26834-2025</t>
        </is>
      </c>
      <c r="B204" s="1" t="n">
        <v>45810</v>
      </c>
      <c r="C204" s="1" t="n">
        <v>45845</v>
      </c>
      <c r="D204" t="inlineStr">
        <is>
          <t>VÄSTERNORRLANDS LÄN</t>
        </is>
      </c>
      <c r="E204" t="inlineStr">
        <is>
          <t>SUNDSVALL</t>
        </is>
      </c>
      <c r="F204" t="inlineStr">
        <is>
          <t>SCA</t>
        </is>
      </c>
      <c r="G204" t="n">
        <v>1.9</v>
      </c>
      <c r="H204" t="n">
        <v>0</v>
      </c>
      <c r="I204" t="n">
        <v>0</v>
      </c>
      <c r="J204" t="n">
        <v>2</v>
      </c>
      <c r="K204" t="n">
        <v>0</v>
      </c>
      <c r="L204" t="n">
        <v>0</v>
      </c>
      <c r="M204" t="n">
        <v>0</v>
      </c>
      <c r="N204" t="n">
        <v>0</v>
      </c>
      <c r="O204" t="n">
        <v>2</v>
      </c>
      <c r="P204" t="n">
        <v>0</v>
      </c>
      <c r="Q204" t="n">
        <v>2</v>
      </c>
      <c r="R204" s="2" t="inlineStr">
        <is>
          <t>Garnlav
Kolflarnlav</t>
        </is>
      </c>
      <c r="S204">
        <f>HYPERLINK("https://klasma.github.io/Logging_222281/artfynd/A 26834-2025 artfynd.xlsx", "A 26834-2025")</f>
        <v/>
      </c>
      <c r="T204">
        <f>HYPERLINK("https://klasma.github.io/Logging_222281/kartor/A 26834-2025 karta.png", "A 26834-2025")</f>
        <v/>
      </c>
      <c r="V204">
        <f>HYPERLINK("https://klasma.github.io/Logging_222281/klagomål/A 26834-2025 FSC-klagomål.docx", "A 26834-2025")</f>
        <v/>
      </c>
      <c r="W204">
        <f>HYPERLINK("https://klasma.github.io/Logging_222281/klagomålsmail/A 26834-2025 FSC-klagomål mail.docx", "A 26834-2025")</f>
        <v/>
      </c>
      <c r="X204">
        <f>HYPERLINK("https://klasma.github.io/Logging_222281/tillsyn/A 26834-2025 tillsynsbegäran.docx", "A 26834-2025")</f>
        <v/>
      </c>
      <c r="Y204">
        <f>HYPERLINK("https://klasma.github.io/Logging_222281/tillsynsmail/A 26834-2025 tillsynsbegäran mail.docx", "A 26834-2025")</f>
        <v/>
      </c>
    </row>
    <row r="205" ht="15" customHeight="1">
      <c r="A205" t="inlineStr">
        <is>
          <t>A 26833-2025</t>
        </is>
      </c>
      <c r="B205" s="1" t="n">
        <v>45810</v>
      </c>
      <c r="C205" s="1" t="n">
        <v>45845</v>
      </c>
      <c r="D205" t="inlineStr">
        <is>
          <t>VÄSTERNORRLANDS LÄN</t>
        </is>
      </c>
      <c r="E205" t="inlineStr">
        <is>
          <t>SUNDSVALL</t>
        </is>
      </c>
      <c r="F205" t="inlineStr">
        <is>
          <t>SCA</t>
        </is>
      </c>
      <c r="G205" t="n">
        <v>6</v>
      </c>
      <c r="H205" t="n">
        <v>0</v>
      </c>
      <c r="I205" t="n">
        <v>0</v>
      </c>
      <c r="J205" t="n">
        <v>2</v>
      </c>
      <c r="K205" t="n">
        <v>0</v>
      </c>
      <c r="L205" t="n">
        <v>0</v>
      </c>
      <c r="M205" t="n">
        <v>0</v>
      </c>
      <c r="N205" t="n">
        <v>0</v>
      </c>
      <c r="O205" t="n">
        <v>2</v>
      </c>
      <c r="P205" t="n">
        <v>0</v>
      </c>
      <c r="Q205" t="n">
        <v>2</v>
      </c>
      <c r="R205" s="2" t="inlineStr">
        <is>
          <t>Kolflarnlav
Vedskivlav</t>
        </is>
      </c>
      <c r="S205">
        <f>HYPERLINK("https://klasma.github.io/Logging_222281/artfynd/A 26833-2025 artfynd.xlsx", "A 26833-2025")</f>
        <v/>
      </c>
      <c r="T205">
        <f>HYPERLINK("https://klasma.github.io/Logging_222281/kartor/A 26833-2025 karta.png", "A 26833-2025")</f>
        <v/>
      </c>
      <c r="V205">
        <f>HYPERLINK("https://klasma.github.io/Logging_222281/klagomål/A 26833-2025 FSC-klagomål.docx", "A 26833-2025")</f>
        <v/>
      </c>
      <c r="W205">
        <f>HYPERLINK("https://klasma.github.io/Logging_222281/klagomålsmail/A 26833-2025 FSC-klagomål mail.docx", "A 26833-2025")</f>
        <v/>
      </c>
      <c r="X205">
        <f>HYPERLINK("https://klasma.github.io/Logging_222281/tillsyn/A 26833-2025 tillsynsbegäran.docx", "A 26833-2025")</f>
        <v/>
      </c>
      <c r="Y205">
        <f>HYPERLINK("https://klasma.github.io/Logging_222281/tillsynsmail/A 26833-2025 tillsynsbegäran mail.docx", "A 26833-2025")</f>
        <v/>
      </c>
    </row>
    <row r="206" ht="15" customHeight="1">
      <c r="A206" t="inlineStr">
        <is>
          <t>A 27216-2019</t>
        </is>
      </c>
      <c r="B206" s="1" t="n">
        <v>43614</v>
      </c>
      <c r="C206" s="1" t="n">
        <v>45845</v>
      </c>
      <c r="D206" t="inlineStr">
        <is>
          <t>VÄSTERNORRLANDS LÄN</t>
        </is>
      </c>
      <c r="E206" t="inlineStr">
        <is>
          <t>SUNDSVALL</t>
        </is>
      </c>
      <c r="G206" t="n">
        <v>3.7</v>
      </c>
      <c r="H206" t="n">
        <v>1</v>
      </c>
      <c r="I206" t="n">
        <v>0</v>
      </c>
      <c r="J206" t="n">
        <v>0</v>
      </c>
      <c r="K206" t="n">
        <v>0</v>
      </c>
      <c r="L206" t="n">
        <v>0</v>
      </c>
      <c r="M206" t="n">
        <v>0</v>
      </c>
      <c r="N206" t="n">
        <v>0</v>
      </c>
      <c r="O206" t="n">
        <v>0</v>
      </c>
      <c r="P206" t="n">
        <v>0</v>
      </c>
      <c r="Q206" t="n">
        <v>1</v>
      </c>
      <c r="R206" s="2" t="inlineStr">
        <is>
          <t>Blåsippa</t>
        </is>
      </c>
      <c r="S206">
        <f>HYPERLINK("https://klasma.github.io/Logging_2281/artfynd/A 27216-2019 artfynd.xlsx", "A 27216-2019")</f>
        <v/>
      </c>
      <c r="T206">
        <f>HYPERLINK("https://klasma.github.io/Logging_2281/kartor/A 27216-2019 karta.png", "A 27216-2019")</f>
        <v/>
      </c>
      <c r="V206">
        <f>HYPERLINK("https://klasma.github.io/Logging_2281/klagomål/A 27216-2019 FSC-klagomål.docx", "A 27216-2019")</f>
        <v/>
      </c>
      <c r="W206">
        <f>HYPERLINK("https://klasma.github.io/Logging_2281/klagomålsmail/A 27216-2019 FSC-klagomål mail.docx", "A 27216-2019")</f>
        <v/>
      </c>
      <c r="X206">
        <f>HYPERLINK("https://klasma.github.io/Logging_2281/tillsyn/A 27216-2019 tillsynsbegäran.docx", "A 27216-2019")</f>
        <v/>
      </c>
      <c r="Y206">
        <f>HYPERLINK("https://klasma.github.io/Logging_2281/tillsynsmail/A 27216-2019 tillsynsbegäran mail.docx", "A 27216-2019")</f>
        <v/>
      </c>
    </row>
    <row r="207" ht="15" customHeight="1">
      <c r="A207" t="inlineStr">
        <is>
          <t>A 44609-2019</t>
        </is>
      </c>
      <c r="B207" s="1" t="n">
        <v>43711</v>
      </c>
      <c r="C207" s="1" t="n">
        <v>45845</v>
      </c>
      <c r="D207" t="inlineStr">
        <is>
          <t>VÄSTERNORRLANDS LÄN</t>
        </is>
      </c>
      <c r="E207" t="inlineStr">
        <is>
          <t>SUNDSVALL</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HYPERLINK("https://klasma.github.io/Logging_2281/artfynd/A 44609-2019 artfynd.xlsx", "A 44609-2019")</f>
        <v/>
      </c>
      <c r="T207">
        <f>HYPERLINK("https://klasma.github.io/Logging_2281/kartor/A 44609-2019 karta.png", "A 44609-2019")</f>
        <v/>
      </c>
      <c r="V207">
        <f>HYPERLINK("https://klasma.github.io/Logging_2281/klagomål/A 44609-2019 FSC-klagomål.docx", "A 44609-2019")</f>
        <v/>
      </c>
      <c r="W207">
        <f>HYPERLINK("https://klasma.github.io/Logging_2281/klagomålsmail/A 44609-2019 FSC-klagomål mail.docx", "A 44609-2019")</f>
        <v/>
      </c>
      <c r="X207">
        <f>HYPERLINK("https://klasma.github.io/Logging_2281/tillsyn/A 44609-2019 tillsynsbegäran.docx", "A 44609-2019")</f>
        <v/>
      </c>
      <c r="Y207">
        <f>HYPERLINK("https://klasma.github.io/Logging_2281/tillsynsmail/A 44609-2019 tillsynsbegäran mail.docx", "A 44609-2019")</f>
        <v/>
      </c>
    </row>
    <row r="208" ht="15" customHeight="1">
      <c r="A208" t="inlineStr">
        <is>
          <t>A 66374-2019</t>
        </is>
      </c>
      <c r="B208" s="1" t="n">
        <v>43808</v>
      </c>
      <c r="C208" s="1" t="n">
        <v>45845</v>
      </c>
      <c r="D208" t="inlineStr">
        <is>
          <t>VÄSTERNORRLANDS LÄN</t>
        </is>
      </c>
      <c r="E208" t="inlineStr">
        <is>
          <t>SUNDSVALL</t>
        </is>
      </c>
      <c r="G208" t="n">
        <v>0.6</v>
      </c>
      <c r="H208" t="n">
        <v>1</v>
      </c>
      <c r="I208" t="n">
        <v>0</v>
      </c>
      <c r="J208" t="n">
        <v>1</v>
      </c>
      <c r="K208" t="n">
        <v>0</v>
      </c>
      <c r="L208" t="n">
        <v>0</v>
      </c>
      <c r="M208" t="n">
        <v>0</v>
      </c>
      <c r="N208" t="n">
        <v>0</v>
      </c>
      <c r="O208" t="n">
        <v>1</v>
      </c>
      <c r="P208" t="n">
        <v>0</v>
      </c>
      <c r="Q208" t="n">
        <v>1</v>
      </c>
      <c r="R208" s="2" t="inlineStr">
        <is>
          <t>Fjällvråk</t>
        </is>
      </c>
      <c r="S208">
        <f>HYPERLINK("https://klasma.github.io/Logging_2281/artfynd/A 66374-2019 artfynd.xlsx", "A 66374-2019")</f>
        <v/>
      </c>
      <c r="T208">
        <f>HYPERLINK("https://klasma.github.io/Logging_2281/kartor/A 66374-2019 karta.png", "A 66374-2019")</f>
        <v/>
      </c>
      <c r="V208">
        <f>HYPERLINK("https://klasma.github.io/Logging_2281/klagomål/A 66374-2019 FSC-klagomål.docx", "A 66374-2019")</f>
        <v/>
      </c>
      <c r="W208">
        <f>HYPERLINK("https://klasma.github.io/Logging_2281/klagomålsmail/A 66374-2019 FSC-klagomål mail.docx", "A 66374-2019")</f>
        <v/>
      </c>
      <c r="X208">
        <f>HYPERLINK("https://klasma.github.io/Logging_2281/tillsyn/A 66374-2019 tillsynsbegäran.docx", "A 66374-2019")</f>
        <v/>
      </c>
      <c r="Y208">
        <f>HYPERLINK("https://klasma.github.io/Logging_2281/tillsynsmail/A 66374-2019 tillsynsbegäran mail.docx", "A 66374-2019")</f>
        <v/>
      </c>
      <c r="Z208">
        <f>HYPERLINK("https://klasma.github.io/Logging_2281/fåglar/A 66374-2019 prioriterade fågelarter.docx", "A 66374-2019")</f>
        <v/>
      </c>
    </row>
    <row r="209" ht="15" customHeight="1">
      <c r="A209" t="inlineStr">
        <is>
          <t>A 970-2020</t>
        </is>
      </c>
      <c r="B209" s="1" t="n">
        <v>43839</v>
      </c>
      <c r="C209" s="1" t="n">
        <v>45845</v>
      </c>
      <c r="D209" t="inlineStr">
        <is>
          <t>VÄSTERNORRLANDS LÄN</t>
        </is>
      </c>
      <c r="E209" t="inlineStr">
        <is>
          <t>SUNDSVALL</t>
        </is>
      </c>
      <c r="F209" t="inlineStr">
        <is>
          <t>Kommuner</t>
        </is>
      </c>
      <c r="G209" t="n">
        <v>0.8</v>
      </c>
      <c r="H209" t="n">
        <v>1</v>
      </c>
      <c r="I209" t="n">
        <v>0</v>
      </c>
      <c r="J209" t="n">
        <v>1</v>
      </c>
      <c r="K209" t="n">
        <v>0</v>
      </c>
      <c r="L209" t="n">
        <v>0</v>
      </c>
      <c r="M209" t="n">
        <v>0</v>
      </c>
      <c r="N209" t="n">
        <v>0</v>
      </c>
      <c r="O209" t="n">
        <v>1</v>
      </c>
      <c r="P209" t="n">
        <v>0</v>
      </c>
      <c r="Q209" t="n">
        <v>1</v>
      </c>
      <c r="R209" s="2" t="inlineStr">
        <is>
          <t>Rosenfink</t>
        </is>
      </c>
      <c r="S209">
        <f>HYPERLINK("https://klasma.github.io/Logging_2281/artfynd/A 970-2020 artfynd.xlsx", "A 970-2020")</f>
        <v/>
      </c>
      <c r="T209">
        <f>HYPERLINK("https://klasma.github.io/Logging_2281/kartor/A 970-2020 karta.png", "A 970-2020")</f>
        <v/>
      </c>
      <c r="V209">
        <f>HYPERLINK("https://klasma.github.io/Logging_2281/klagomål/A 970-2020 FSC-klagomål.docx", "A 970-2020")</f>
        <v/>
      </c>
      <c r="W209">
        <f>HYPERLINK("https://klasma.github.io/Logging_2281/klagomålsmail/A 970-2020 FSC-klagomål mail.docx", "A 970-2020")</f>
        <v/>
      </c>
      <c r="X209">
        <f>HYPERLINK("https://klasma.github.io/Logging_2281/tillsyn/A 970-2020 tillsynsbegäran.docx", "A 970-2020")</f>
        <v/>
      </c>
      <c r="Y209">
        <f>HYPERLINK("https://klasma.github.io/Logging_2281/tillsynsmail/A 970-2020 tillsynsbegäran mail.docx", "A 970-2020")</f>
        <v/>
      </c>
      <c r="Z209">
        <f>HYPERLINK("https://klasma.github.io/Logging_2281/fåglar/A 970-2020 prioriterade fågelarter.docx", "A 970-2020")</f>
        <v/>
      </c>
    </row>
    <row r="210" ht="15" customHeight="1">
      <c r="A210" t="inlineStr">
        <is>
          <t>A 7956-2020</t>
        </is>
      </c>
      <c r="B210" s="1" t="n">
        <v>43873</v>
      </c>
      <c r="C210" s="1" t="n">
        <v>45845</v>
      </c>
      <c r="D210" t="inlineStr">
        <is>
          <t>VÄSTERNORRLANDS LÄN</t>
        </is>
      </c>
      <c r="E210" t="inlineStr">
        <is>
          <t>SUNDSVALL</t>
        </is>
      </c>
      <c r="G210" t="n">
        <v>15.3</v>
      </c>
      <c r="H210" t="n">
        <v>0</v>
      </c>
      <c r="I210" t="n">
        <v>0</v>
      </c>
      <c r="J210" t="n">
        <v>1</v>
      </c>
      <c r="K210" t="n">
        <v>0</v>
      </c>
      <c r="L210" t="n">
        <v>0</v>
      </c>
      <c r="M210" t="n">
        <v>0</v>
      </c>
      <c r="N210" t="n">
        <v>0</v>
      </c>
      <c r="O210" t="n">
        <v>1</v>
      </c>
      <c r="P210" t="n">
        <v>0</v>
      </c>
      <c r="Q210" t="n">
        <v>1</v>
      </c>
      <c r="R210" s="2" t="inlineStr">
        <is>
          <t>Vedskivlav</t>
        </is>
      </c>
      <c r="S210">
        <f>HYPERLINK("https://klasma.github.io/Logging_2281/artfynd/A 7956-2020 artfynd.xlsx", "A 7956-2020")</f>
        <v/>
      </c>
      <c r="T210">
        <f>HYPERLINK("https://klasma.github.io/Logging_2281/kartor/A 7956-2020 karta.png", "A 7956-2020")</f>
        <v/>
      </c>
      <c r="V210">
        <f>HYPERLINK("https://klasma.github.io/Logging_2281/klagomål/A 7956-2020 FSC-klagomål.docx", "A 7956-2020")</f>
        <v/>
      </c>
      <c r="W210">
        <f>HYPERLINK("https://klasma.github.io/Logging_2281/klagomålsmail/A 7956-2020 FSC-klagomål mail.docx", "A 7956-2020")</f>
        <v/>
      </c>
      <c r="X210">
        <f>HYPERLINK("https://klasma.github.io/Logging_2281/tillsyn/A 7956-2020 tillsynsbegäran.docx", "A 7956-2020")</f>
        <v/>
      </c>
      <c r="Y210">
        <f>HYPERLINK("https://klasma.github.io/Logging_2281/tillsynsmail/A 7956-2020 tillsynsbegäran mail.docx", "A 7956-2020")</f>
        <v/>
      </c>
    </row>
    <row r="211" ht="15" customHeight="1">
      <c r="A211" t="inlineStr">
        <is>
          <t>A 13082-2020</t>
        </is>
      </c>
      <c r="B211" s="1" t="n">
        <v>43900</v>
      </c>
      <c r="C211" s="1" t="n">
        <v>45845</v>
      </c>
      <c r="D211" t="inlineStr">
        <is>
          <t>VÄSTERNORRLANDS LÄN</t>
        </is>
      </c>
      <c r="E211" t="inlineStr">
        <is>
          <t>SUNDSVALL</t>
        </is>
      </c>
      <c r="G211" t="n">
        <v>12.8</v>
      </c>
      <c r="H211" t="n">
        <v>1</v>
      </c>
      <c r="I211" t="n">
        <v>0</v>
      </c>
      <c r="J211" t="n">
        <v>0</v>
      </c>
      <c r="K211" t="n">
        <v>0</v>
      </c>
      <c r="L211" t="n">
        <v>0</v>
      </c>
      <c r="M211" t="n">
        <v>0</v>
      </c>
      <c r="N211" t="n">
        <v>0</v>
      </c>
      <c r="O211" t="n">
        <v>0</v>
      </c>
      <c r="P211" t="n">
        <v>0</v>
      </c>
      <c r="Q211" t="n">
        <v>1</v>
      </c>
      <c r="R211" s="2" t="inlineStr">
        <is>
          <t>Blåsippa</t>
        </is>
      </c>
      <c r="S211">
        <f>HYPERLINK("https://klasma.github.io/Logging_2281/artfynd/A 13082-2020 artfynd.xlsx", "A 13082-2020")</f>
        <v/>
      </c>
      <c r="T211">
        <f>HYPERLINK("https://klasma.github.io/Logging_2281/kartor/A 13082-2020 karta.png", "A 13082-2020")</f>
        <v/>
      </c>
      <c r="V211">
        <f>HYPERLINK("https://klasma.github.io/Logging_2281/klagomål/A 13082-2020 FSC-klagomål.docx", "A 13082-2020")</f>
        <v/>
      </c>
      <c r="W211">
        <f>HYPERLINK("https://klasma.github.io/Logging_2281/klagomålsmail/A 13082-2020 FSC-klagomål mail.docx", "A 13082-2020")</f>
        <v/>
      </c>
      <c r="X211">
        <f>HYPERLINK("https://klasma.github.io/Logging_2281/tillsyn/A 13082-2020 tillsynsbegäran.docx", "A 13082-2020")</f>
        <v/>
      </c>
      <c r="Y211">
        <f>HYPERLINK("https://klasma.github.io/Logging_2281/tillsynsmail/A 13082-2020 tillsynsbegäran mail.docx", "A 13082-2020")</f>
        <v/>
      </c>
    </row>
    <row r="212" ht="15" customHeight="1">
      <c r="A212" t="inlineStr">
        <is>
          <t>A 28764-2020</t>
        </is>
      </c>
      <c r="B212" s="1" t="n">
        <v>43999</v>
      </c>
      <c r="C212" s="1" t="n">
        <v>45845</v>
      </c>
      <c r="D212" t="inlineStr">
        <is>
          <t>VÄSTERNORRLANDS LÄN</t>
        </is>
      </c>
      <c r="E212" t="inlineStr">
        <is>
          <t>SUNDSVALL</t>
        </is>
      </c>
      <c r="F212" t="inlineStr">
        <is>
          <t>SCA</t>
        </is>
      </c>
      <c r="G212" t="n">
        <v>2.7</v>
      </c>
      <c r="H212" t="n">
        <v>1</v>
      </c>
      <c r="I212" t="n">
        <v>0</v>
      </c>
      <c r="J212" t="n">
        <v>1</v>
      </c>
      <c r="K212" t="n">
        <v>0</v>
      </c>
      <c r="L212" t="n">
        <v>0</v>
      </c>
      <c r="M212" t="n">
        <v>0</v>
      </c>
      <c r="N212" t="n">
        <v>0</v>
      </c>
      <c r="O212" t="n">
        <v>1</v>
      </c>
      <c r="P212" t="n">
        <v>0</v>
      </c>
      <c r="Q212" t="n">
        <v>1</v>
      </c>
      <c r="R212" s="2" t="inlineStr">
        <is>
          <t>Utter</t>
        </is>
      </c>
      <c r="S212">
        <f>HYPERLINK("https://klasma.github.io/Logging_2281/artfynd/A 28764-2020 artfynd.xlsx", "A 28764-2020")</f>
        <v/>
      </c>
      <c r="T212">
        <f>HYPERLINK("https://klasma.github.io/Logging_2281/kartor/A 28764-2020 karta.png", "A 28764-2020")</f>
        <v/>
      </c>
      <c r="V212">
        <f>HYPERLINK("https://klasma.github.io/Logging_2281/klagomål/A 28764-2020 FSC-klagomål.docx", "A 28764-2020")</f>
        <v/>
      </c>
      <c r="W212">
        <f>HYPERLINK("https://klasma.github.io/Logging_2281/klagomålsmail/A 28764-2020 FSC-klagomål mail.docx", "A 28764-2020")</f>
        <v/>
      </c>
      <c r="X212">
        <f>HYPERLINK("https://klasma.github.io/Logging_2281/tillsyn/A 28764-2020 tillsynsbegäran.docx", "A 28764-2020")</f>
        <v/>
      </c>
      <c r="Y212">
        <f>HYPERLINK("https://klasma.github.io/Logging_2281/tillsynsmail/A 28764-2020 tillsynsbegäran mail.docx", "A 28764-2020")</f>
        <v/>
      </c>
    </row>
    <row r="213" ht="15" customHeight="1">
      <c r="A213" t="inlineStr">
        <is>
          <t>A 50469-2020</t>
        </is>
      </c>
      <c r="B213" s="1" t="n">
        <v>44104</v>
      </c>
      <c r="C213" s="1" t="n">
        <v>45845</v>
      </c>
      <c r="D213" t="inlineStr">
        <is>
          <t>VÄSTERNORRLANDS LÄN</t>
        </is>
      </c>
      <c r="E213" t="inlineStr">
        <is>
          <t>SUNDSVALL</t>
        </is>
      </c>
      <c r="G213" t="n">
        <v>1.8</v>
      </c>
      <c r="H213" t="n">
        <v>1</v>
      </c>
      <c r="I213" t="n">
        <v>0</v>
      </c>
      <c r="J213" t="n">
        <v>1</v>
      </c>
      <c r="K213" t="n">
        <v>0</v>
      </c>
      <c r="L213" t="n">
        <v>0</v>
      </c>
      <c r="M213" t="n">
        <v>0</v>
      </c>
      <c r="N213" t="n">
        <v>0</v>
      </c>
      <c r="O213" t="n">
        <v>1</v>
      </c>
      <c r="P213" t="n">
        <v>0</v>
      </c>
      <c r="Q213" t="n">
        <v>1</v>
      </c>
      <c r="R213" s="2" t="inlineStr">
        <is>
          <t>Sötgräs</t>
        </is>
      </c>
      <c r="S213">
        <f>HYPERLINK("https://klasma.github.io/Logging_2281/artfynd/A 50469-2020 artfynd.xlsx", "A 50469-2020")</f>
        <v/>
      </c>
      <c r="T213">
        <f>HYPERLINK("https://klasma.github.io/Logging_2281/kartor/A 50469-2020 karta.png", "A 50469-2020")</f>
        <v/>
      </c>
      <c r="V213">
        <f>HYPERLINK("https://klasma.github.io/Logging_2281/klagomål/A 50469-2020 FSC-klagomål.docx", "A 50469-2020")</f>
        <v/>
      </c>
      <c r="W213">
        <f>HYPERLINK("https://klasma.github.io/Logging_2281/klagomålsmail/A 50469-2020 FSC-klagomål mail.docx", "A 50469-2020")</f>
        <v/>
      </c>
      <c r="X213">
        <f>HYPERLINK("https://klasma.github.io/Logging_2281/tillsyn/A 50469-2020 tillsynsbegäran.docx", "A 50469-2020")</f>
        <v/>
      </c>
      <c r="Y213">
        <f>HYPERLINK("https://klasma.github.io/Logging_2281/tillsynsmail/A 50469-2020 tillsynsbegäran mail.docx", "A 50469-2020")</f>
        <v/>
      </c>
    </row>
    <row r="214" ht="15" customHeight="1">
      <c r="A214" t="inlineStr">
        <is>
          <t>A 65632-2020</t>
        </is>
      </c>
      <c r="B214" s="1" t="n">
        <v>44173</v>
      </c>
      <c r="C214" s="1" t="n">
        <v>45845</v>
      </c>
      <c r="D214" t="inlineStr">
        <is>
          <t>VÄSTERNORRLANDS LÄN</t>
        </is>
      </c>
      <c r="E214" t="inlineStr">
        <is>
          <t>SUNDSVALL</t>
        </is>
      </c>
      <c r="F214" t="inlineStr">
        <is>
          <t>SCA</t>
        </is>
      </c>
      <c r="G214" t="n">
        <v>3.2</v>
      </c>
      <c r="H214" t="n">
        <v>0</v>
      </c>
      <c r="I214" t="n">
        <v>1</v>
      </c>
      <c r="J214" t="n">
        <v>0</v>
      </c>
      <c r="K214" t="n">
        <v>0</v>
      </c>
      <c r="L214" t="n">
        <v>0</v>
      </c>
      <c r="M214" t="n">
        <v>0</v>
      </c>
      <c r="N214" t="n">
        <v>0</v>
      </c>
      <c r="O214" t="n">
        <v>0</v>
      </c>
      <c r="P214" t="n">
        <v>0</v>
      </c>
      <c r="Q214" t="n">
        <v>1</v>
      </c>
      <c r="R214" s="2" t="inlineStr">
        <is>
          <t>Dropptaggsvamp</t>
        </is>
      </c>
      <c r="S214">
        <f>HYPERLINK("https://klasma.github.io/Logging_2281/artfynd/A 65632-2020 artfynd.xlsx", "A 65632-2020")</f>
        <v/>
      </c>
      <c r="T214">
        <f>HYPERLINK("https://klasma.github.io/Logging_2281/kartor/A 65632-2020 karta.png", "A 65632-2020")</f>
        <v/>
      </c>
      <c r="V214">
        <f>HYPERLINK("https://klasma.github.io/Logging_2281/klagomål/A 65632-2020 FSC-klagomål.docx", "A 65632-2020")</f>
        <v/>
      </c>
      <c r="W214">
        <f>HYPERLINK("https://klasma.github.io/Logging_2281/klagomålsmail/A 65632-2020 FSC-klagomål mail.docx", "A 65632-2020")</f>
        <v/>
      </c>
      <c r="X214">
        <f>HYPERLINK("https://klasma.github.io/Logging_2281/tillsyn/A 65632-2020 tillsynsbegäran.docx", "A 65632-2020")</f>
        <v/>
      </c>
      <c r="Y214">
        <f>HYPERLINK("https://klasma.github.io/Logging_2281/tillsynsmail/A 65632-2020 tillsynsbegäran mail.docx", "A 65632-2020")</f>
        <v/>
      </c>
    </row>
    <row r="215" ht="15" customHeight="1">
      <c r="A215" t="inlineStr">
        <is>
          <t>A 15775-2021</t>
        </is>
      </c>
      <c r="B215" s="1" t="n">
        <v>44286</v>
      </c>
      <c r="C215" s="1" t="n">
        <v>45845</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17333-2021</t>
        </is>
      </c>
      <c r="B216" s="1" t="n">
        <v>44298</v>
      </c>
      <c r="C216" s="1" t="n">
        <v>45845</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17331-2021</t>
        </is>
      </c>
      <c r="B217" s="1" t="n">
        <v>44298</v>
      </c>
      <c r="C217" s="1" t="n">
        <v>45845</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22395-2021</t>
        </is>
      </c>
      <c r="B218" s="1" t="n">
        <v>44326</v>
      </c>
      <c r="C218" s="1" t="n">
        <v>45845</v>
      </c>
      <c r="D218" t="inlineStr">
        <is>
          <t>VÄSTERNORRLANDS LÄN</t>
        </is>
      </c>
      <c r="E218" t="inlineStr">
        <is>
          <t>SUNDSVALL</t>
        </is>
      </c>
      <c r="G218" t="n">
        <v>8.6</v>
      </c>
      <c r="H218" t="n">
        <v>1</v>
      </c>
      <c r="I218" t="n">
        <v>0</v>
      </c>
      <c r="J218" t="n">
        <v>0</v>
      </c>
      <c r="K218" t="n">
        <v>0</v>
      </c>
      <c r="L218" t="n">
        <v>0</v>
      </c>
      <c r="M218" t="n">
        <v>0</v>
      </c>
      <c r="N218" t="n">
        <v>0</v>
      </c>
      <c r="O218" t="n">
        <v>0</v>
      </c>
      <c r="P218" t="n">
        <v>0</v>
      </c>
      <c r="Q218" t="n">
        <v>1</v>
      </c>
      <c r="R218" s="2" t="inlineStr">
        <is>
          <t>Gröngöling</t>
        </is>
      </c>
      <c r="S218">
        <f>HYPERLINK("https://klasma.github.io/Logging_2281/artfynd/A 22395-2021 artfynd.xlsx", "A 22395-2021")</f>
        <v/>
      </c>
      <c r="T218">
        <f>HYPERLINK("https://klasma.github.io/Logging_2281/kartor/A 22395-2021 karta.png", "A 22395-2021")</f>
        <v/>
      </c>
      <c r="V218">
        <f>HYPERLINK("https://klasma.github.io/Logging_2281/klagomål/A 22395-2021 FSC-klagomål.docx", "A 22395-2021")</f>
        <v/>
      </c>
      <c r="W218">
        <f>HYPERLINK("https://klasma.github.io/Logging_2281/klagomålsmail/A 22395-2021 FSC-klagomål mail.docx", "A 22395-2021")</f>
        <v/>
      </c>
      <c r="X218">
        <f>HYPERLINK("https://klasma.github.io/Logging_2281/tillsyn/A 22395-2021 tillsynsbegäran.docx", "A 22395-2021")</f>
        <v/>
      </c>
      <c r="Y218">
        <f>HYPERLINK("https://klasma.github.io/Logging_2281/tillsynsmail/A 22395-2021 tillsynsbegäran mail.docx", "A 22395-2021")</f>
        <v/>
      </c>
      <c r="Z218">
        <f>HYPERLINK("https://klasma.github.io/Logging_2281/fåglar/A 22395-2021 prioriterade fågelarter.docx", "A 22395-2021")</f>
        <v/>
      </c>
    </row>
    <row r="219" ht="15" customHeight="1">
      <c r="A219" t="inlineStr">
        <is>
          <t>A 22420-2021</t>
        </is>
      </c>
      <c r="B219" s="1" t="n">
        <v>44326</v>
      </c>
      <c r="C219" s="1" t="n">
        <v>45845</v>
      </c>
      <c r="D219" t="inlineStr">
        <is>
          <t>VÄSTERNORRLANDS LÄN</t>
        </is>
      </c>
      <c r="E219" t="inlineStr">
        <is>
          <t>SUNDSVALL</t>
        </is>
      </c>
      <c r="F219" t="inlineStr">
        <is>
          <t>Kyrkan</t>
        </is>
      </c>
      <c r="G219" t="n">
        <v>21.9</v>
      </c>
      <c r="H219" t="n">
        <v>1</v>
      </c>
      <c r="I219" t="n">
        <v>0</v>
      </c>
      <c r="J219" t="n">
        <v>1</v>
      </c>
      <c r="K219" t="n">
        <v>0</v>
      </c>
      <c r="L219" t="n">
        <v>0</v>
      </c>
      <c r="M219" t="n">
        <v>0</v>
      </c>
      <c r="N219" t="n">
        <v>0</v>
      </c>
      <c r="O219" t="n">
        <v>1</v>
      </c>
      <c r="P219" t="n">
        <v>0</v>
      </c>
      <c r="Q219" t="n">
        <v>1</v>
      </c>
      <c r="R219" s="2" t="inlineStr">
        <is>
          <t>Järpe</t>
        </is>
      </c>
      <c r="S219">
        <f>HYPERLINK("https://klasma.github.io/Logging_2281/artfynd/A 22420-2021 artfynd.xlsx", "A 22420-2021")</f>
        <v/>
      </c>
      <c r="T219">
        <f>HYPERLINK("https://klasma.github.io/Logging_2281/kartor/A 22420-2021 karta.png", "A 22420-2021")</f>
        <v/>
      </c>
      <c r="V219">
        <f>HYPERLINK("https://klasma.github.io/Logging_2281/klagomål/A 22420-2021 FSC-klagomål.docx", "A 22420-2021")</f>
        <v/>
      </c>
      <c r="W219">
        <f>HYPERLINK("https://klasma.github.io/Logging_2281/klagomålsmail/A 22420-2021 FSC-klagomål mail.docx", "A 22420-2021")</f>
        <v/>
      </c>
      <c r="X219">
        <f>HYPERLINK("https://klasma.github.io/Logging_2281/tillsyn/A 22420-2021 tillsynsbegäran.docx", "A 22420-2021")</f>
        <v/>
      </c>
      <c r="Y219">
        <f>HYPERLINK("https://klasma.github.io/Logging_2281/tillsynsmail/A 22420-2021 tillsynsbegäran mail.docx", "A 22420-2021")</f>
        <v/>
      </c>
      <c r="Z219">
        <f>HYPERLINK("https://klasma.github.io/Logging_2281/fåglar/A 22420-2021 prioriterade fågelarter.docx", "A 22420-2021")</f>
        <v/>
      </c>
    </row>
    <row r="220" ht="15" customHeight="1">
      <c r="A220" t="inlineStr">
        <is>
          <t>A 28332-2021</t>
        </is>
      </c>
      <c r="B220" s="1" t="n">
        <v>44356</v>
      </c>
      <c r="C220" s="1" t="n">
        <v>45845</v>
      </c>
      <c r="D220" t="inlineStr">
        <is>
          <t>VÄSTERNORRLANDS LÄN</t>
        </is>
      </c>
      <c r="E220" t="inlineStr">
        <is>
          <t>SUNDSVALL</t>
        </is>
      </c>
      <c r="G220" t="n">
        <v>11.8</v>
      </c>
      <c r="H220" t="n">
        <v>0</v>
      </c>
      <c r="I220" t="n">
        <v>1</v>
      </c>
      <c r="J220" t="n">
        <v>0</v>
      </c>
      <c r="K220" t="n">
        <v>0</v>
      </c>
      <c r="L220" t="n">
        <v>0</v>
      </c>
      <c r="M220" t="n">
        <v>0</v>
      </c>
      <c r="N220" t="n">
        <v>0</v>
      </c>
      <c r="O220" t="n">
        <v>0</v>
      </c>
      <c r="P220" t="n">
        <v>0</v>
      </c>
      <c r="Q220" t="n">
        <v>1</v>
      </c>
      <c r="R220" s="2" t="inlineStr">
        <is>
          <t>Fjällig taggsvamp s.str.</t>
        </is>
      </c>
      <c r="S220">
        <f>HYPERLINK("https://klasma.github.io/Logging_2281/artfynd/A 28332-2021 artfynd.xlsx", "A 28332-2021")</f>
        <v/>
      </c>
      <c r="T220">
        <f>HYPERLINK("https://klasma.github.io/Logging_2281/kartor/A 28332-2021 karta.png", "A 28332-2021")</f>
        <v/>
      </c>
      <c r="V220">
        <f>HYPERLINK("https://klasma.github.io/Logging_2281/klagomål/A 28332-2021 FSC-klagomål.docx", "A 28332-2021")</f>
        <v/>
      </c>
      <c r="W220">
        <f>HYPERLINK("https://klasma.github.io/Logging_2281/klagomålsmail/A 28332-2021 FSC-klagomål mail.docx", "A 28332-2021")</f>
        <v/>
      </c>
      <c r="X220">
        <f>HYPERLINK("https://klasma.github.io/Logging_2281/tillsyn/A 28332-2021 tillsynsbegäran.docx", "A 28332-2021")</f>
        <v/>
      </c>
      <c r="Y220">
        <f>HYPERLINK("https://klasma.github.io/Logging_2281/tillsynsmail/A 28332-2021 tillsynsbegäran mail.docx", "A 28332-2021")</f>
        <v/>
      </c>
    </row>
    <row r="221" ht="15" customHeight="1">
      <c r="A221" t="inlineStr">
        <is>
          <t>A 37057-2021</t>
        </is>
      </c>
      <c r="B221" s="1" t="n">
        <v>44394</v>
      </c>
      <c r="C221" s="1" t="n">
        <v>45845</v>
      </c>
      <c r="D221" t="inlineStr">
        <is>
          <t>VÄSTERNORRLANDS LÄN</t>
        </is>
      </c>
      <c r="E221" t="inlineStr">
        <is>
          <t>SUNDSVALL</t>
        </is>
      </c>
      <c r="F221" t="inlineStr">
        <is>
          <t>SCA</t>
        </is>
      </c>
      <c r="G221" t="n">
        <v>9.800000000000001</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37057-2021 artfynd.xlsx", "A 37057-2021")</f>
        <v/>
      </c>
      <c r="T221">
        <f>HYPERLINK("https://klasma.github.io/Logging_2281/kartor/A 37057-2021 karta.png", "A 37057-2021")</f>
        <v/>
      </c>
      <c r="V221">
        <f>HYPERLINK("https://klasma.github.io/Logging_2281/klagomål/A 37057-2021 FSC-klagomål.docx", "A 37057-2021")</f>
        <v/>
      </c>
      <c r="W221">
        <f>HYPERLINK("https://klasma.github.io/Logging_2281/klagomålsmail/A 37057-2021 FSC-klagomål mail.docx", "A 37057-2021")</f>
        <v/>
      </c>
      <c r="X221">
        <f>HYPERLINK("https://klasma.github.io/Logging_2281/tillsyn/A 37057-2021 tillsynsbegäran.docx", "A 37057-2021")</f>
        <v/>
      </c>
      <c r="Y221">
        <f>HYPERLINK("https://klasma.github.io/Logging_2281/tillsynsmail/A 37057-2021 tillsynsbegäran mail.docx", "A 37057-2021")</f>
        <v/>
      </c>
      <c r="Z221">
        <f>HYPERLINK("https://klasma.github.io/Logging_2281/fåglar/A 37057-2021 prioriterade fågelarter.docx", "A 37057-2021")</f>
        <v/>
      </c>
    </row>
    <row r="222" ht="15" customHeight="1">
      <c r="A222" t="inlineStr">
        <is>
          <t>A 37232-2021</t>
        </is>
      </c>
      <c r="B222" s="1" t="n">
        <v>44396</v>
      </c>
      <c r="C222" s="1" t="n">
        <v>45845</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37231-2021</t>
        </is>
      </c>
      <c r="B223" s="1" t="n">
        <v>44396</v>
      </c>
      <c r="C223" s="1" t="n">
        <v>45845</v>
      </c>
      <c r="D223" t="inlineStr">
        <is>
          <t>VÄSTERNORRLANDS LÄN</t>
        </is>
      </c>
      <c r="E223" t="inlineStr">
        <is>
          <t>SUNDSVALL</t>
        </is>
      </c>
      <c r="F223" t="inlineStr">
        <is>
          <t>SCA</t>
        </is>
      </c>
      <c r="G223" t="n">
        <v>7.3</v>
      </c>
      <c r="H223" t="n">
        <v>1</v>
      </c>
      <c r="I223" t="n">
        <v>0</v>
      </c>
      <c r="J223" t="n">
        <v>0</v>
      </c>
      <c r="K223" t="n">
        <v>0</v>
      </c>
      <c r="L223" t="n">
        <v>0</v>
      </c>
      <c r="M223" t="n">
        <v>0</v>
      </c>
      <c r="N223" t="n">
        <v>0</v>
      </c>
      <c r="O223" t="n">
        <v>0</v>
      </c>
      <c r="P223" t="n">
        <v>0</v>
      </c>
      <c r="Q223" t="n">
        <v>1</v>
      </c>
      <c r="R223" s="2" t="inlineStr">
        <is>
          <t>Orre</t>
        </is>
      </c>
      <c r="S223">
        <f>HYPERLINK("https://klasma.github.io/Logging_2281/artfynd/A 37231-2021 artfynd.xlsx", "A 37231-2021")</f>
        <v/>
      </c>
      <c r="T223">
        <f>HYPERLINK("https://klasma.github.io/Logging_2281/kartor/A 37231-2021 karta.png", "A 37231-2021")</f>
        <v/>
      </c>
      <c r="V223">
        <f>HYPERLINK("https://klasma.github.io/Logging_2281/klagomål/A 37231-2021 FSC-klagomål.docx", "A 37231-2021")</f>
        <v/>
      </c>
      <c r="W223">
        <f>HYPERLINK("https://klasma.github.io/Logging_2281/klagomålsmail/A 37231-2021 FSC-klagomål mail.docx", "A 37231-2021")</f>
        <v/>
      </c>
      <c r="X223">
        <f>HYPERLINK("https://klasma.github.io/Logging_2281/tillsyn/A 37231-2021 tillsynsbegäran.docx", "A 37231-2021")</f>
        <v/>
      </c>
      <c r="Y223">
        <f>HYPERLINK("https://klasma.github.io/Logging_2281/tillsynsmail/A 37231-2021 tillsynsbegäran mail.docx", "A 37231-2021")</f>
        <v/>
      </c>
      <c r="Z223">
        <f>HYPERLINK("https://klasma.github.io/Logging_2281/fåglar/A 37231-2021 prioriterade fågelarter.docx", "A 37231-2021")</f>
        <v/>
      </c>
    </row>
    <row r="224" ht="15" customHeight="1">
      <c r="A224" t="inlineStr">
        <is>
          <t>A 40123-2021</t>
        </is>
      </c>
      <c r="B224" s="1" t="n">
        <v>44418</v>
      </c>
      <c r="C224" s="1" t="n">
        <v>45845</v>
      </c>
      <c r="D224" t="inlineStr">
        <is>
          <t>VÄSTERNORRLANDS LÄN</t>
        </is>
      </c>
      <c r="E224" t="inlineStr">
        <is>
          <t>SUNDSVALL</t>
        </is>
      </c>
      <c r="G224" t="n">
        <v>12.2</v>
      </c>
      <c r="H224" t="n">
        <v>1</v>
      </c>
      <c r="I224" t="n">
        <v>0</v>
      </c>
      <c r="J224" t="n">
        <v>1</v>
      </c>
      <c r="K224" t="n">
        <v>0</v>
      </c>
      <c r="L224" t="n">
        <v>0</v>
      </c>
      <c r="M224" t="n">
        <v>0</v>
      </c>
      <c r="N224" t="n">
        <v>0</v>
      </c>
      <c r="O224" t="n">
        <v>1</v>
      </c>
      <c r="P224" t="n">
        <v>0</v>
      </c>
      <c r="Q224" t="n">
        <v>1</v>
      </c>
      <c r="R224" s="2" t="inlineStr">
        <is>
          <t>Skogsfru</t>
        </is>
      </c>
      <c r="S224">
        <f>HYPERLINK("https://klasma.github.io/Logging_2281/artfynd/A 40123-2021 artfynd.xlsx", "A 40123-2021")</f>
        <v/>
      </c>
      <c r="T224">
        <f>HYPERLINK("https://klasma.github.io/Logging_2281/kartor/A 40123-2021 karta.png", "A 40123-2021")</f>
        <v/>
      </c>
      <c r="V224">
        <f>HYPERLINK("https://klasma.github.io/Logging_2281/klagomål/A 40123-2021 FSC-klagomål.docx", "A 40123-2021")</f>
        <v/>
      </c>
      <c r="W224">
        <f>HYPERLINK("https://klasma.github.io/Logging_2281/klagomålsmail/A 40123-2021 FSC-klagomål mail.docx", "A 40123-2021")</f>
        <v/>
      </c>
      <c r="X224">
        <f>HYPERLINK("https://klasma.github.io/Logging_2281/tillsyn/A 40123-2021 tillsynsbegäran.docx", "A 40123-2021")</f>
        <v/>
      </c>
      <c r="Y224">
        <f>HYPERLINK("https://klasma.github.io/Logging_2281/tillsynsmail/A 40123-2021 tillsynsbegäran mail.docx", "A 40123-2021")</f>
        <v/>
      </c>
    </row>
    <row r="225" ht="15" customHeight="1">
      <c r="A225" t="inlineStr">
        <is>
          <t>A 56217-2021</t>
        </is>
      </c>
      <c r="B225" s="1" t="n">
        <v>44478</v>
      </c>
      <c r="C225" s="1" t="n">
        <v>45845</v>
      </c>
      <c r="D225" t="inlineStr">
        <is>
          <t>VÄSTERNORRLANDS LÄN</t>
        </is>
      </c>
      <c r="E225" t="inlineStr">
        <is>
          <t>SUNDSVALL</t>
        </is>
      </c>
      <c r="F225" t="inlineStr">
        <is>
          <t>SCA</t>
        </is>
      </c>
      <c r="G225" t="n">
        <v>4.5</v>
      </c>
      <c r="H225" t="n">
        <v>1</v>
      </c>
      <c r="I225" t="n">
        <v>0</v>
      </c>
      <c r="J225" t="n">
        <v>0</v>
      </c>
      <c r="K225" t="n">
        <v>0</v>
      </c>
      <c r="L225" t="n">
        <v>0</v>
      </c>
      <c r="M225" t="n">
        <v>0</v>
      </c>
      <c r="N225" t="n">
        <v>0</v>
      </c>
      <c r="O225" t="n">
        <v>0</v>
      </c>
      <c r="P225" t="n">
        <v>0</v>
      </c>
      <c r="Q225" t="n">
        <v>1</v>
      </c>
      <c r="R225" s="2" t="inlineStr">
        <is>
          <t>Tjäder</t>
        </is>
      </c>
      <c r="S225">
        <f>HYPERLINK("https://klasma.github.io/Logging_2281/artfynd/A 56217-2021 artfynd.xlsx", "A 56217-2021")</f>
        <v/>
      </c>
      <c r="T225">
        <f>HYPERLINK("https://klasma.github.io/Logging_2281/kartor/A 56217-2021 karta.png", "A 56217-2021")</f>
        <v/>
      </c>
      <c r="V225">
        <f>HYPERLINK("https://klasma.github.io/Logging_2281/klagomål/A 56217-2021 FSC-klagomål.docx", "A 56217-2021")</f>
        <v/>
      </c>
      <c r="W225">
        <f>HYPERLINK("https://klasma.github.io/Logging_2281/klagomålsmail/A 56217-2021 FSC-klagomål mail.docx", "A 56217-2021")</f>
        <v/>
      </c>
      <c r="X225">
        <f>HYPERLINK("https://klasma.github.io/Logging_2281/tillsyn/A 56217-2021 tillsynsbegäran.docx", "A 56217-2021")</f>
        <v/>
      </c>
      <c r="Y225">
        <f>HYPERLINK("https://klasma.github.io/Logging_2281/tillsynsmail/A 56217-2021 tillsynsbegäran mail.docx", "A 56217-2021")</f>
        <v/>
      </c>
      <c r="Z225">
        <f>HYPERLINK("https://klasma.github.io/Logging_2281/fåglar/A 56217-2021 prioriterade fågelarter.docx", "A 56217-2021")</f>
        <v/>
      </c>
    </row>
    <row r="226" ht="15" customHeight="1">
      <c r="A226" t="inlineStr">
        <is>
          <t>A 64922-2021</t>
        </is>
      </c>
      <c r="B226" s="1" t="n">
        <v>44512</v>
      </c>
      <c r="C226" s="1" t="n">
        <v>45845</v>
      </c>
      <c r="D226" t="inlineStr">
        <is>
          <t>VÄSTERNORRLANDS LÄN</t>
        </is>
      </c>
      <c r="E226" t="inlineStr">
        <is>
          <t>SUNDSVALL</t>
        </is>
      </c>
      <c r="F226" t="inlineStr">
        <is>
          <t>Kommuner</t>
        </is>
      </c>
      <c r="G226" t="n">
        <v>1.5</v>
      </c>
      <c r="H226" t="n">
        <v>1</v>
      </c>
      <c r="I226" t="n">
        <v>0</v>
      </c>
      <c r="J226" t="n">
        <v>0</v>
      </c>
      <c r="K226" t="n">
        <v>0</v>
      </c>
      <c r="L226" t="n">
        <v>0</v>
      </c>
      <c r="M226" t="n">
        <v>0</v>
      </c>
      <c r="N226" t="n">
        <v>0</v>
      </c>
      <c r="O226" t="n">
        <v>0</v>
      </c>
      <c r="P226" t="n">
        <v>0</v>
      </c>
      <c r="Q226" t="n">
        <v>1</v>
      </c>
      <c r="R226" s="2" t="inlineStr">
        <is>
          <t>Näktergal</t>
        </is>
      </c>
      <c r="S226">
        <f>HYPERLINK("https://klasma.github.io/Logging_2281/artfynd/A 64922-2021 artfynd.xlsx", "A 64922-2021")</f>
        <v/>
      </c>
      <c r="T226">
        <f>HYPERLINK("https://klasma.github.io/Logging_2281/kartor/A 64922-2021 karta.png", "A 64922-2021")</f>
        <v/>
      </c>
      <c r="V226">
        <f>HYPERLINK("https://klasma.github.io/Logging_2281/klagomål/A 64922-2021 FSC-klagomål.docx", "A 64922-2021")</f>
        <v/>
      </c>
      <c r="W226">
        <f>HYPERLINK("https://klasma.github.io/Logging_2281/klagomålsmail/A 64922-2021 FSC-klagomål mail.docx", "A 64922-2021")</f>
        <v/>
      </c>
      <c r="X226">
        <f>HYPERLINK("https://klasma.github.io/Logging_2281/tillsyn/A 64922-2021 tillsynsbegäran.docx", "A 64922-2021")</f>
        <v/>
      </c>
      <c r="Y226">
        <f>HYPERLINK("https://klasma.github.io/Logging_2281/tillsynsmail/A 64922-2021 tillsynsbegäran mail.docx", "A 64922-2021")</f>
        <v/>
      </c>
      <c r="Z226">
        <f>HYPERLINK("https://klasma.github.io/Logging_2281/fåglar/A 64922-2021 prioriterade fågelarter.docx", "A 64922-2021")</f>
        <v/>
      </c>
    </row>
    <row r="227" ht="15" customHeight="1">
      <c r="A227" t="inlineStr">
        <is>
          <t>A 3008-2022</t>
        </is>
      </c>
      <c r="B227" s="1" t="n">
        <v>44581</v>
      </c>
      <c r="C227" s="1" t="n">
        <v>45845</v>
      </c>
      <c r="D227" t="inlineStr">
        <is>
          <t>VÄSTERNORRLANDS LÄN</t>
        </is>
      </c>
      <c r="E227" t="inlineStr">
        <is>
          <t>SUNDSVALL</t>
        </is>
      </c>
      <c r="G227" t="n">
        <v>1</v>
      </c>
      <c r="H227" t="n">
        <v>0</v>
      </c>
      <c r="I227" t="n">
        <v>0</v>
      </c>
      <c r="J227" t="n">
        <v>1</v>
      </c>
      <c r="K227" t="n">
        <v>0</v>
      </c>
      <c r="L227" t="n">
        <v>0</v>
      </c>
      <c r="M227" t="n">
        <v>0</v>
      </c>
      <c r="N227" t="n">
        <v>0</v>
      </c>
      <c r="O227" t="n">
        <v>1</v>
      </c>
      <c r="P227" t="n">
        <v>0</v>
      </c>
      <c r="Q227" t="n">
        <v>1</v>
      </c>
      <c r="R227" s="2" t="inlineStr">
        <is>
          <t>Fjällhumla</t>
        </is>
      </c>
      <c r="S227">
        <f>HYPERLINK("https://klasma.github.io/Logging_2281/artfynd/A 3008-2022 artfynd.xlsx", "A 3008-2022")</f>
        <v/>
      </c>
      <c r="T227">
        <f>HYPERLINK("https://klasma.github.io/Logging_2281/kartor/A 3008-2022 karta.png", "A 3008-2022")</f>
        <v/>
      </c>
      <c r="V227">
        <f>HYPERLINK("https://klasma.github.io/Logging_2281/klagomål/A 3008-2022 FSC-klagomål.docx", "A 3008-2022")</f>
        <v/>
      </c>
      <c r="W227">
        <f>HYPERLINK("https://klasma.github.io/Logging_2281/klagomålsmail/A 3008-2022 FSC-klagomål mail.docx", "A 3008-2022")</f>
        <v/>
      </c>
      <c r="X227">
        <f>HYPERLINK("https://klasma.github.io/Logging_2281/tillsyn/A 3008-2022 tillsynsbegäran.docx", "A 3008-2022")</f>
        <v/>
      </c>
      <c r="Y227">
        <f>HYPERLINK("https://klasma.github.io/Logging_2281/tillsynsmail/A 3008-2022 tillsynsbegäran mail.docx", "A 3008-2022")</f>
        <v/>
      </c>
    </row>
    <row r="228" ht="15" customHeight="1">
      <c r="A228" t="inlineStr">
        <is>
          <t>A 9200-2022</t>
        </is>
      </c>
      <c r="B228" s="1" t="n">
        <v>44615</v>
      </c>
      <c r="C228" s="1" t="n">
        <v>45845</v>
      </c>
      <c r="D228" t="inlineStr">
        <is>
          <t>VÄSTERNORRLANDS LÄN</t>
        </is>
      </c>
      <c r="E228" t="inlineStr">
        <is>
          <t>SUNDSVALL</t>
        </is>
      </c>
      <c r="G228" t="n">
        <v>17.6</v>
      </c>
      <c r="H228" t="n">
        <v>0</v>
      </c>
      <c r="I228" t="n">
        <v>0</v>
      </c>
      <c r="J228" t="n">
        <v>1</v>
      </c>
      <c r="K228" t="n">
        <v>0</v>
      </c>
      <c r="L228" t="n">
        <v>0</v>
      </c>
      <c r="M228" t="n">
        <v>0</v>
      </c>
      <c r="N228" t="n">
        <v>0</v>
      </c>
      <c r="O228" t="n">
        <v>1</v>
      </c>
      <c r="P228" t="n">
        <v>0</v>
      </c>
      <c r="Q228" t="n">
        <v>1</v>
      </c>
      <c r="R228" s="2" t="inlineStr">
        <is>
          <t>Blå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14014-2022</t>
        </is>
      </c>
      <c r="B229" s="1" t="n">
        <v>44650</v>
      </c>
      <c r="C229" s="1" t="n">
        <v>45845</v>
      </c>
      <c r="D229" t="inlineStr">
        <is>
          <t>VÄSTERNORRLANDS LÄN</t>
        </is>
      </c>
      <c r="E229" t="inlineStr">
        <is>
          <t>SUNDSVALL</t>
        </is>
      </c>
      <c r="G229" t="n">
        <v>1.7</v>
      </c>
      <c r="H229" t="n">
        <v>0</v>
      </c>
      <c r="I229" t="n">
        <v>1</v>
      </c>
      <c r="J229" t="n">
        <v>0</v>
      </c>
      <c r="K229" t="n">
        <v>0</v>
      </c>
      <c r="L229" t="n">
        <v>0</v>
      </c>
      <c r="M229" t="n">
        <v>0</v>
      </c>
      <c r="N229" t="n">
        <v>0</v>
      </c>
      <c r="O229" t="n">
        <v>0</v>
      </c>
      <c r="P229" t="n">
        <v>0</v>
      </c>
      <c r="Q229" t="n">
        <v>1</v>
      </c>
      <c r="R229" s="2" t="inlineStr">
        <is>
          <t>Stor aspticka</t>
        </is>
      </c>
      <c r="S229">
        <f>HYPERLINK("https://klasma.github.io/Logging_2281/artfynd/A 14014-2022 artfynd.xlsx", "A 14014-2022")</f>
        <v/>
      </c>
      <c r="T229">
        <f>HYPERLINK("https://klasma.github.io/Logging_2281/kartor/A 14014-2022 karta.png", "A 14014-2022")</f>
        <v/>
      </c>
      <c r="V229">
        <f>HYPERLINK("https://klasma.github.io/Logging_2281/klagomål/A 14014-2022 FSC-klagomål.docx", "A 14014-2022")</f>
        <v/>
      </c>
      <c r="W229">
        <f>HYPERLINK("https://klasma.github.io/Logging_2281/klagomålsmail/A 14014-2022 FSC-klagomål mail.docx", "A 14014-2022")</f>
        <v/>
      </c>
      <c r="X229">
        <f>HYPERLINK("https://klasma.github.io/Logging_2281/tillsyn/A 14014-2022 tillsynsbegäran.docx", "A 14014-2022")</f>
        <v/>
      </c>
      <c r="Y229">
        <f>HYPERLINK("https://klasma.github.io/Logging_2281/tillsynsmail/A 14014-2022 tillsynsbegäran mail.docx", "A 14014-2022")</f>
        <v/>
      </c>
    </row>
    <row r="230" ht="15" customHeight="1">
      <c r="A230" t="inlineStr">
        <is>
          <t>A 14676-2022</t>
        </is>
      </c>
      <c r="B230" s="1" t="n">
        <v>44655</v>
      </c>
      <c r="C230" s="1" t="n">
        <v>45845</v>
      </c>
      <c r="D230" t="inlineStr">
        <is>
          <t>VÄSTERNORRLANDS LÄN</t>
        </is>
      </c>
      <c r="E230" t="inlineStr">
        <is>
          <t>SUNDSVALL</t>
        </is>
      </c>
      <c r="G230" t="n">
        <v>10.1</v>
      </c>
      <c r="H230" t="n">
        <v>0</v>
      </c>
      <c r="I230" t="n">
        <v>0</v>
      </c>
      <c r="J230" t="n">
        <v>1</v>
      </c>
      <c r="K230" t="n">
        <v>0</v>
      </c>
      <c r="L230" t="n">
        <v>0</v>
      </c>
      <c r="M230" t="n">
        <v>0</v>
      </c>
      <c r="N230" t="n">
        <v>0</v>
      </c>
      <c r="O230" t="n">
        <v>1</v>
      </c>
      <c r="P230" t="n">
        <v>0</v>
      </c>
      <c r="Q230" t="n">
        <v>1</v>
      </c>
      <c r="R230" s="2" t="inlineStr">
        <is>
          <t>Granticka</t>
        </is>
      </c>
      <c r="S230">
        <f>HYPERLINK("https://klasma.github.io/Logging_2281/artfynd/A 14676-2022 artfynd.xlsx", "A 14676-2022")</f>
        <v/>
      </c>
      <c r="T230">
        <f>HYPERLINK("https://klasma.github.io/Logging_2281/kartor/A 14676-2022 karta.png", "A 14676-2022")</f>
        <v/>
      </c>
      <c r="V230">
        <f>HYPERLINK("https://klasma.github.io/Logging_2281/klagomål/A 14676-2022 FSC-klagomål.docx", "A 14676-2022")</f>
        <v/>
      </c>
      <c r="W230">
        <f>HYPERLINK("https://klasma.github.io/Logging_2281/klagomålsmail/A 14676-2022 FSC-klagomål mail.docx", "A 14676-2022")</f>
        <v/>
      </c>
      <c r="X230">
        <f>HYPERLINK("https://klasma.github.io/Logging_2281/tillsyn/A 14676-2022 tillsynsbegäran.docx", "A 14676-2022")</f>
        <v/>
      </c>
      <c r="Y230">
        <f>HYPERLINK("https://klasma.github.io/Logging_2281/tillsynsmail/A 14676-2022 tillsynsbegäran mail.docx", "A 14676-2022")</f>
        <v/>
      </c>
    </row>
    <row r="231" ht="15" customHeight="1">
      <c r="A231" t="inlineStr">
        <is>
          <t>A 19305-2022</t>
        </is>
      </c>
      <c r="B231" s="1" t="n">
        <v>44692</v>
      </c>
      <c r="C231" s="1" t="n">
        <v>45845</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22556-2022</t>
        </is>
      </c>
      <c r="B232" s="1" t="n">
        <v>44714</v>
      </c>
      <c r="C232" s="1" t="n">
        <v>45845</v>
      </c>
      <c r="D232" t="inlineStr">
        <is>
          <t>VÄSTERNORRLANDS LÄN</t>
        </is>
      </c>
      <c r="E232" t="inlineStr">
        <is>
          <t>SUNDSVALL</t>
        </is>
      </c>
      <c r="F232" t="inlineStr">
        <is>
          <t>SCA</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HYPERLINK("https://klasma.github.io/Logging_2281/artfynd/A 22556-2022 artfynd.xlsx", "A 22556-2022")</f>
        <v/>
      </c>
      <c r="T232">
        <f>HYPERLINK("https://klasma.github.io/Logging_2281/kartor/A 22556-2022 karta.png", "A 22556-2022")</f>
        <v/>
      </c>
      <c r="V232">
        <f>HYPERLINK("https://klasma.github.io/Logging_2281/klagomål/A 22556-2022 FSC-klagomål.docx", "A 22556-2022")</f>
        <v/>
      </c>
      <c r="W232">
        <f>HYPERLINK("https://klasma.github.io/Logging_2281/klagomålsmail/A 22556-2022 FSC-klagomål mail.docx", "A 22556-2022")</f>
        <v/>
      </c>
      <c r="X232">
        <f>HYPERLINK("https://klasma.github.io/Logging_2281/tillsyn/A 22556-2022 tillsynsbegäran.docx", "A 22556-2022")</f>
        <v/>
      </c>
      <c r="Y232">
        <f>HYPERLINK("https://klasma.github.io/Logging_2281/tillsynsmail/A 22556-2022 tillsynsbegäran mail.docx", "A 22556-2022")</f>
        <v/>
      </c>
    </row>
    <row r="233" ht="15" customHeight="1">
      <c r="A233" t="inlineStr">
        <is>
          <t>A 23711-2022</t>
        </is>
      </c>
      <c r="B233" s="1" t="n">
        <v>44722</v>
      </c>
      <c r="C233" s="1" t="n">
        <v>45845</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25250-2022</t>
        </is>
      </c>
      <c r="B234" s="1" t="n">
        <v>44729</v>
      </c>
      <c r="C234" s="1" t="n">
        <v>45845</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Stor aspticka</t>
        </is>
      </c>
      <c r="S234">
        <f>HYPERLINK("https://klasma.github.io/Logging_2281/artfynd/A 25250-2022 artfynd.xlsx", "A 25250-2022")</f>
        <v/>
      </c>
      <c r="T234">
        <f>HYPERLINK("https://klasma.github.io/Logging_2281/kartor/A 25250-2022 karta.png", "A 25250-2022")</f>
        <v/>
      </c>
      <c r="V234">
        <f>HYPERLINK("https://klasma.github.io/Logging_2281/klagomål/A 25250-2022 FSC-klagomål.docx", "A 25250-2022")</f>
        <v/>
      </c>
      <c r="W234">
        <f>HYPERLINK("https://klasma.github.io/Logging_2281/klagomålsmail/A 25250-2022 FSC-klagomål mail.docx", "A 25250-2022")</f>
        <v/>
      </c>
      <c r="X234">
        <f>HYPERLINK("https://klasma.github.io/Logging_2281/tillsyn/A 25250-2022 tillsynsbegäran.docx", "A 25250-2022")</f>
        <v/>
      </c>
      <c r="Y234">
        <f>HYPERLINK("https://klasma.github.io/Logging_2281/tillsynsmail/A 25250-2022 tillsynsbegäran mail.docx", "A 25250-2022")</f>
        <v/>
      </c>
    </row>
    <row r="235" ht="15" customHeight="1">
      <c r="A235" t="inlineStr">
        <is>
          <t>A 28728-2022</t>
        </is>
      </c>
      <c r="B235" s="1" t="n">
        <v>44749</v>
      </c>
      <c r="C235" s="1" t="n">
        <v>45845</v>
      </c>
      <c r="D235" t="inlineStr">
        <is>
          <t>VÄSTERNORRLANDS LÄN</t>
        </is>
      </c>
      <c r="E235" t="inlineStr">
        <is>
          <t>SUNDSVALL</t>
        </is>
      </c>
      <c r="F235" t="inlineStr">
        <is>
          <t>SCA</t>
        </is>
      </c>
      <c r="G235" t="n">
        <v>3.4</v>
      </c>
      <c r="H235" t="n">
        <v>0</v>
      </c>
      <c r="I235" t="n">
        <v>0</v>
      </c>
      <c r="J235" t="n">
        <v>1</v>
      </c>
      <c r="K235" t="n">
        <v>0</v>
      </c>
      <c r="L235" t="n">
        <v>0</v>
      </c>
      <c r="M235" t="n">
        <v>0</v>
      </c>
      <c r="N235" t="n">
        <v>0</v>
      </c>
      <c r="O235" t="n">
        <v>1</v>
      </c>
      <c r="P235" t="n">
        <v>0</v>
      </c>
      <c r="Q235" t="n">
        <v>1</v>
      </c>
      <c r="R235" s="2" t="inlineStr">
        <is>
          <t>Garnlav</t>
        </is>
      </c>
      <c r="S235">
        <f>HYPERLINK("https://klasma.github.io/Logging_2281/artfynd/A 28728-2022 artfynd.xlsx", "A 28728-2022")</f>
        <v/>
      </c>
      <c r="T235">
        <f>HYPERLINK("https://klasma.github.io/Logging_2281/kartor/A 28728-2022 karta.png", "A 28728-2022")</f>
        <v/>
      </c>
      <c r="V235">
        <f>HYPERLINK("https://klasma.github.io/Logging_2281/klagomål/A 28728-2022 FSC-klagomål.docx", "A 28728-2022")</f>
        <v/>
      </c>
      <c r="W235">
        <f>HYPERLINK("https://klasma.github.io/Logging_2281/klagomålsmail/A 28728-2022 FSC-klagomål mail.docx", "A 28728-2022")</f>
        <v/>
      </c>
      <c r="X235">
        <f>HYPERLINK("https://klasma.github.io/Logging_2281/tillsyn/A 28728-2022 tillsynsbegäran.docx", "A 28728-2022")</f>
        <v/>
      </c>
      <c r="Y235">
        <f>HYPERLINK("https://klasma.github.io/Logging_2281/tillsynsmail/A 28728-2022 tillsynsbegäran mail.docx", "A 28728-2022")</f>
        <v/>
      </c>
    </row>
    <row r="236" ht="15" customHeight="1">
      <c r="A236" t="inlineStr">
        <is>
          <t>A 30933-2022</t>
        </is>
      </c>
      <c r="B236" s="1" t="n">
        <v>44768</v>
      </c>
      <c r="C236" s="1" t="n">
        <v>45845</v>
      </c>
      <c r="D236" t="inlineStr">
        <is>
          <t>VÄSTERNORRLANDS LÄN</t>
        </is>
      </c>
      <c r="E236" t="inlineStr">
        <is>
          <t>SUNDSVALL</t>
        </is>
      </c>
      <c r="F236" t="inlineStr">
        <is>
          <t>SCA</t>
        </is>
      </c>
      <c r="G236" t="n">
        <v>1.9</v>
      </c>
      <c r="H236" t="n">
        <v>1</v>
      </c>
      <c r="I236" t="n">
        <v>0</v>
      </c>
      <c r="J236" t="n">
        <v>1</v>
      </c>
      <c r="K236" t="n">
        <v>0</v>
      </c>
      <c r="L236" t="n">
        <v>0</v>
      </c>
      <c r="M236" t="n">
        <v>0</v>
      </c>
      <c r="N236" t="n">
        <v>0</v>
      </c>
      <c r="O236" t="n">
        <v>1</v>
      </c>
      <c r="P236" t="n">
        <v>0</v>
      </c>
      <c r="Q236" t="n">
        <v>1</v>
      </c>
      <c r="R236" s="2" t="inlineStr">
        <is>
          <t>Björktrast</t>
        </is>
      </c>
      <c r="S236">
        <f>HYPERLINK("https://klasma.github.io/Logging_2281/artfynd/A 30933-2022 artfynd.xlsx", "A 30933-2022")</f>
        <v/>
      </c>
      <c r="T236">
        <f>HYPERLINK("https://klasma.github.io/Logging_2281/kartor/A 30933-2022 karta.png", "A 30933-2022")</f>
        <v/>
      </c>
      <c r="V236">
        <f>HYPERLINK("https://klasma.github.io/Logging_2281/klagomål/A 30933-2022 FSC-klagomål.docx", "A 30933-2022")</f>
        <v/>
      </c>
      <c r="W236">
        <f>HYPERLINK("https://klasma.github.io/Logging_2281/klagomålsmail/A 30933-2022 FSC-klagomål mail.docx", "A 30933-2022")</f>
        <v/>
      </c>
      <c r="X236">
        <f>HYPERLINK("https://klasma.github.io/Logging_2281/tillsyn/A 30933-2022 tillsynsbegäran.docx", "A 30933-2022")</f>
        <v/>
      </c>
      <c r="Y236">
        <f>HYPERLINK("https://klasma.github.io/Logging_2281/tillsynsmail/A 30933-2022 tillsynsbegäran mail.docx", "A 30933-2022")</f>
        <v/>
      </c>
      <c r="Z236">
        <f>HYPERLINK("https://klasma.github.io/Logging_2281/fåglar/A 30933-2022 prioriterade fågelarter.docx", "A 30933-2022")</f>
        <v/>
      </c>
    </row>
    <row r="237" ht="15" customHeight="1">
      <c r="A237" t="inlineStr">
        <is>
          <t>A 47662-2022</t>
        </is>
      </c>
      <c r="B237" s="1" t="n">
        <v>44854</v>
      </c>
      <c r="C237" s="1" t="n">
        <v>45845</v>
      </c>
      <c r="D237" t="inlineStr">
        <is>
          <t>VÄSTERNORRLANDS LÄN</t>
        </is>
      </c>
      <c r="E237" t="inlineStr">
        <is>
          <t>SUNDSVALL</t>
        </is>
      </c>
      <c r="G237" t="n">
        <v>4.7</v>
      </c>
      <c r="H237" t="n">
        <v>1</v>
      </c>
      <c r="I237" t="n">
        <v>0</v>
      </c>
      <c r="J237" t="n">
        <v>0</v>
      </c>
      <c r="K237" t="n">
        <v>0</v>
      </c>
      <c r="L237" t="n">
        <v>0</v>
      </c>
      <c r="M237" t="n">
        <v>0</v>
      </c>
      <c r="N237" t="n">
        <v>0</v>
      </c>
      <c r="O237" t="n">
        <v>0</v>
      </c>
      <c r="P237" t="n">
        <v>0</v>
      </c>
      <c r="Q237" t="n">
        <v>1</v>
      </c>
      <c r="R237" s="2" t="inlineStr">
        <is>
          <t>Skogsödla</t>
        </is>
      </c>
      <c r="S237">
        <f>HYPERLINK("https://klasma.github.io/Logging_2281/artfynd/A 47662-2022 artfynd.xlsx", "A 47662-2022")</f>
        <v/>
      </c>
      <c r="T237">
        <f>HYPERLINK("https://klasma.github.io/Logging_2281/kartor/A 47662-2022 karta.png", "A 47662-2022")</f>
        <v/>
      </c>
      <c r="V237">
        <f>HYPERLINK("https://klasma.github.io/Logging_2281/klagomål/A 47662-2022 FSC-klagomål.docx", "A 47662-2022")</f>
        <v/>
      </c>
      <c r="W237">
        <f>HYPERLINK("https://klasma.github.io/Logging_2281/klagomålsmail/A 47662-2022 FSC-klagomål mail.docx", "A 47662-2022")</f>
        <v/>
      </c>
      <c r="X237">
        <f>HYPERLINK("https://klasma.github.io/Logging_2281/tillsyn/A 47662-2022 tillsynsbegäran.docx", "A 47662-2022")</f>
        <v/>
      </c>
      <c r="Y237">
        <f>HYPERLINK("https://klasma.github.io/Logging_2281/tillsynsmail/A 47662-2022 tillsynsbegäran mail.docx", "A 47662-2022")</f>
        <v/>
      </c>
    </row>
    <row r="238" ht="15" customHeight="1">
      <c r="A238" t="inlineStr">
        <is>
          <t>A 47807-2022</t>
        </is>
      </c>
      <c r="B238" s="1" t="n">
        <v>44854</v>
      </c>
      <c r="C238" s="1" t="n">
        <v>45845</v>
      </c>
      <c r="D238" t="inlineStr">
        <is>
          <t>VÄSTERNORRLANDS LÄN</t>
        </is>
      </c>
      <c r="E238" t="inlineStr">
        <is>
          <t>SUNDSVALL</t>
        </is>
      </c>
      <c r="F238" t="inlineStr">
        <is>
          <t>SCA</t>
        </is>
      </c>
      <c r="G238" t="n">
        <v>9.9</v>
      </c>
      <c r="H238" t="n">
        <v>0</v>
      </c>
      <c r="I238" t="n">
        <v>0</v>
      </c>
      <c r="J238" t="n">
        <v>1</v>
      </c>
      <c r="K238" t="n">
        <v>0</v>
      </c>
      <c r="L238" t="n">
        <v>0</v>
      </c>
      <c r="M238" t="n">
        <v>0</v>
      </c>
      <c r="N238" t="n">
        <v>0</v>
      </c>
      <c r="O238" t="n">
        <v>1</v>
      </c>
      <c r="P238" t="n">
        <v>0</v>
      </c>
      <c r="Q238" t="n">
        <v>1</v>
      </c>
      <c r="R238" s="2" t="inlineStr">
        <is>
          <t>Garnlav</t>
        </is>
      </c>
      <c r="S238">
        <f>HYPERLINK("https://klasma.github.io/Logging_2281/artfynd/A 47807-2022 artfynd.xlsx", "A 47807-2022")</f>
        <v/>
      </c>
      <c r="T238">
        <f>HYPERLINK("https://klasma.github.io/Logging_2281/kartor/A 47807-2022 karta.png", "A 47807-2022")</f>
        <v/>
      </c>
      <c r="V238">
        <f>HYPERLINK("https://klasma.github.io/Logging_2281/klagomål/A 47807-2022 FSC-klagomål.docx", "A 47807-2022")</f>
        <v/>
      </c>
      <c r="W238">
        <f>HYPERLINK("https://klasma.github.io/Logging_2281/klagomålsmail/A 47807-2022 FSC-klagomål mail.docx", "A 47807-2022")</f>
        <v/>
      </c>
      <c r="X238">
        <f>HYPERLINK("https://klasma.github.io/Logging_2281/tillsyn/A 47807-2022 tillsynsbegäran.docx", "A 47807-2022")</f>
        <v/>
      </c>
      <c r="Y238">
        <f>HYPERLINK("https://klasma.github.io/Logging_2281/tillsynsmail/A 47807-2022 tillsynsbegäran mail.docx", "A 47807-2022")</f>
        <v/>
      </c>
    </row>
    <row r="239" ht="15" customHeight="1">
      <c r="A239" t="inlineStr">
        <is>
          <t>A 49850-2022</t>
        </is>
      </c>
      <c r="B239" s="1" t="n">
        <v>44862</v>
      </c>
      <c r="C239" s="1" t="n">
        <v>45845</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57281-2022</t>
        </is>
      </c>
      <c r="B240" s="1" t="n">
        <v>44895</v>
      </c>
      <c r="C240" s="1" t="n">
        <v>45845</v>
      </c>
      <c r="D240" t="inlineStr">
        <is>
          <t>VÄSTERNORRLANDS LÄN</t>
        </is>
      </c>
      <c r="E240" t="inlineStr">
        <is>
          <t>SUNDSVALL</t>
        </is>
      </c>
      <c r="F240" t="inlineStr">
        <is>
          <t>Naturvårdsverket</t>
        </is>
      </c>
      <c r="G240" t="n">
        <v>9.300000000000001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57281-2022 artfynd.xlsx", "A 57281-2022")</f>
        <v/>
      </c>
      <c r="T240">
        <f>HYPERLINK("https://klasma.github.io/Logging_2281/kartor/A 57281-2022 karta.png", "A 57281-2022")</f>
        <v/>
      </c>
      <c r="V240">
        <f>HYPERLINK("https://klasma.github.io/Logging_2281/klagomål/A 57281-2022 FSC-klagomål.docx", "A 57281-2022")</f>
        <v/>
      </c>
      <c r="W240">
        <f>HYPERLINK("https://klasma.github.io/Logging_2281/klagomålsmail/A 57281-2022 FSC-klagomål mail.docx", "A 57281-2022")</f>
        <v/>
      </c>
      <c r="X240">
        <f>HYPERLINK("https://klasma.github.io/Logging_2281/tillsyn/A 57281-2022 tillsynsbegäran.docx", "A 57281-2022")</f>
        <v/>
      </c>
      <c r="Y240">
        <f>HYPERLINK("https://klasma.github.io/Logging_2281/tillsynsmail/A 57281-2022 tillsynsbegäran mail.docx", "A 57281-2022")</f>
        <v/>
      </c>
      <c r="Z240">
        <f>HYPERLINK("https://klasma.github.io/Logging_2281/fåglar/A 57281-2022 prioriterade fågelarter.docx", "A 57281-2022")</f>
        <v/>
      </c>
    </row>
    <row r="241" ht="15" customHeight="1">
      <c r="A241" t="inlineStr">
        <is>
          <t>A 58186-2022</t>
        </is>
      </c>
      <c r="B241" s="1" t="n">
        <v>44900</v>
      </c>
      <c r="C241" s="1" t="n">
        <v>45845</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311-2023</t>
        </is>
      </c>
      <c r="B242" s="1" t="n">
        <v>44929</v>
      </c>
      <c r="C242" s="1" t="n">
        <v>45845</v>
      </c>
      <c r="D242" t="inlineStr">
        <is>
          <t>VÄSTERNORRLANDS LÄN</t>
        </is>
      </c>
      <c r="E242" t="inlineStr">
        <is>
          <t>SUNDSVALL</t>
        </is>
      </c>
      <c r="G242" t="n">
        <v>16.5</v>
      </c>
      <c r="H242" t="n">
        <v>1</v>
      </c>
      <c r="I242" t="n">
        <v>0</v>
      </c>
      <c r="J242" t="n">
        <v>0</v>
      </c>
      <c r="K242" t="n">
        <v>0</v>
      </c>
      <c r="L242" t="n">
        <v>0</v>
      </c>
      <c r="M242" t="n">
        <v>0</v>
      </c>
      <c r="N242" t="n">
        <v>0</v>
      </c>
      <c r="O242" t="n">
        <v>0</v>
      </c>
      <c r="P242" t="n">
        <v>0</v>
      </c>
      <c r="Q242" t="n">
        <v>1</v>
      </c>
      <c r="R242" s="2" t="inlineStr">
        <is>
          <t>Tjäder</t>
        </is>
      </c>
      <c r="S242">
        <f>HYPERLINK("https://klasma.github.io/Logging_2281/artfynd/A 311-2023 artfynd.xlsx", "A 311-2023")</f>
        <v/>
      </c>
      <c r="T242">
        <f>HYPERLINK("https://klasma.github.io/Logging_2281/kartor/A 311-2023 karta.png", "A 311-2023")</f>
        <v/>
      </c>
      <c r="V242">
        <f>HYPERLINK("https://klasma.github.io/Logging_2281/klagomål/A 311-2023 FSC-klagomål.docx", "A 311-2023")</f>
        <v/>
      </c>
      <c r="W242">
        <f>HYPERLINK("https://klasma.github.io/Logging_2281/klagomålsmail/A 311-2023 FSC-klagomål mail.docx", "A 311-2023")</f>
        <v/>
      </c>
      <c r="X242">
        <f>HYPERLINK("https://klasma.github.io/Logging_2281/tillsyn/A 311-2023 tillsynsbegäran.docx", "A 311-2023")</f>
        <v/>
      </c>
      <c r="Y242">
        <f>HYPERLINK("https://klasma.github.io/Logging_2281/tillsynsmail/A 311-2023 tillsynsbegäran mail.docx", "A 311-2023")</f>
        <v/>
      </c>
      <c r="Z242">
        <f>HYPERLINK("https://klasma.github.io/Logging_2281/fåglar/A 311-2023 prioriterade fågelarter.docx", "A 311-2023")</f>
        <v/>
      </c>
    </row>
    <row r="243" ht="15" customHeight="1">
      <c r="A243" t="inlineStr">
        <is>
          <t>A 1220-2023</t>
        </is>
      </c>
      <c r="B243" s="1" t="n">
        <v>44935</v>
      </c>
      <c r="C243" s="1" t="n">
        <v>45845</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7524-2023</t>
        </is>
      </c>
      <c r="B244" s="1" t="n">
        <v>44971</v>
      </c>
      <c r="C244" s="1" t="n">
        <v>45845</v>
      </c>
      <c r="D244" t="inlineStr">
        <is>
          <t>VÄSTERNORRLANDS LÄN</t>
        </is>
      </c>
      <c r="E244" t="inlineStr">
        <is>
          <t>SUNDSVALL</t>
        </is>
      </c>
      <c r="F244" t="inlineStr">
        <is>
          <t>Naturvårdsverket</t>
        </is>
      </c>
      <c r="G244" t="n">
        <v>5.2</v>
      </c>
      <c r="H244" t="n">
        <v>0</v>
      </c>
      <c r="I244" t="n">
        <v>0</v>
      </c>
      <c r="J244" t="n">
        <v>0</v>
      </c>
      <c r="K244" t="n">
        <v>1</v>
      </c>
      <c r="L244" t="n">
        <v>0</v>
      </c>
      <c r="M244" t="n">
        <v>0</v>
      </c>
      <c r="N244" t="n">
        <v>0</v>
      </c>
      <c r="O244" t="n">
        <v>1</v>
      </c>
      <c r="P244" t="n">
        <v>1</v>
      </c>
      <c r="Q244" t="n">
        <v>1</v>
      </c>
      <c r="R244" s="2" t="inlineStr">
        <is>
          <t>Rynkskinn</t>
        </is>
      </c>
      <c r="S244">
        <f>HYPERLINK("https://klasma.github.io/Logging_2281/artfynd/A 7524-2023 artfynd.xlsx", "A 7524-2023")</f>
        <v/>
      </c>
      <c r="T244">
        <f>HYPERLINK("https://klasma.github.io/Logging_2281/kartor/A 7524-2023 karta.png", "A 7524-2023")</f>
        <v/>
      </c>
      <c r="V244">
        <f>HYPERLINK("https://klasma.github.io/Logging_2281/klagomål/A 7524-2023 FSC-klagomål.docx", "A 7524-2023")</f>
        <v/>
      </c>
      <c r="W244">
        <f>HYPERLINK("https://klasma.github.io/Logging_2281/klagomålsmail/A 7524-2023 FSC-klagomål mail.docx", "A 7524-2023")</f>
        <v/>
      </c>
      <c r="X244">
        <f>HYPERLINK("https://klasma.github.io/Logging_2281/tillsyn/A 7524-2023 tillsynsbegäran.docx", "A 7524-2023")</f>
        <v/>
      </c>
      <c r="Y244">
        <f>HYPERLINK("https://klasma.github.io/Logging_2281/tillsynsmail/A 7524-2023 tillsynsbegäran mail.docx", "A 7524-2023")</f>
        <v/>
      </c>
    </row>
    <row r="245" ht="15" customHeight="1">
      <c r="A245" t="inlineStr">
        <is>
          <t>A 8032-2023</t>
        </is>
      </c>
      <c r="B245" s="1" t="n">
        <v>44973</v>
      </c>
      <c r="C245" s="1" t="n">
        <v>45845</v>
      </c>
      <c r="D245" t="inlineStr">
        <is>
          <t>VÄSTERNORRLANDS LÄN</t>
        </is>
      </c>
      <c r="E245" t="inlineStr">
        <is>
          <t>SUNDSVALL</t>
        </is>
      </c>
      <c r="F245" t="inlineStr">
        <is>
          <t>SCA</t>
        </is>
      </c>
      <c r="G245" t="n">
        <v>8.6</v>
      </c>
      <c r="H245" t="n">
        <v>1</v>
      </c>
      <c r="I245" t="n">
        <v>0</v>
      </c>
      <c r="J245" t="n">
        <v>0</v>
      </c>
      <c r="K245" t="n">
        <v>0</v>
      </c>
      <c r="L245" t="n">
        <v>0</v>
      </c>
      <c r="M245" t="n">
        <v>0</v>
      </c>
      <c r="N245" t="n">
        <v>0</v>
      </c>
      <c r="O245" t="n">
        <v>0</v>
      </c>
      <c r="P245" t="n">
        <v>0</v>
      </c>
      <c r="Q245" t="n">
        <v>1</v>
      </c>
      <c r="R245" s="2" t="inlineStr">
        <is>
          <t>Vanlig padda</t>
        </is>
      </c>
      <c r="S245">
        <f>HYPERLINK("https://klasma.github.io/Logging_2281/artfynd/A 8032-2023 artfynd.xlsx", "A 8032-2023")</f>
        <v/>
      </c>
      <c r="T245">
        <f>HYPERLINK("https://klasma.github.io/Logging_2281/kartor/A 8032-2023 karta.png", "A 8032-2023")</f>
        <v/>
      </c>
      <c r="V245">
        <f>HYPERLINK("https://klasma.github.io/Logging_2281/klagomål/A 8032-2023 FSC-klagomål.docx", "A 8032-2023")</f>
        <v/>
      </c>
      <c r="W245">
        <f>HYPERLINK("https://klasma.github.io/Logging_2281/klagomålsmail/A 8032-2023 FSC-klagomål mail.docx", "A 8032-2023")</f>
        <v/>
      </c>
      <c r="X245">
        <f>HYPERLINK("https://klasma.github.io/Logging_2281/tillsyn/A 8032-2023 tillsynsbegäran.docx", "A 8032-2023")</f>
        <v/>
      </c>
      <c r="Y245">
        <f>HYPERLINK("https://klasma.github.io/Logging_2281/tillsynsmail/A 8032-2023 tillsynsbegäran mail.docx", "A 8032-2023")</f>
        <v/>
      </c>
    </row>
    <row r="246" ht="15" customHeight="1">
      <c r="A246" t="inlineStr">
        <is>
          <t>A 9584-2023</t>
        </is>
      </c>
      <c r="B246" s="1" t="n">
        <v>44982</v>
      </c>
      <c r="C246" s="1" t="n">
        <v>45845</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10774-2023</t>
        </is>
      </c>
      <c r="B247" s="1" t="n">
        <v>44988</v>
      </c>
      <c r="C247" s="1" t="n">
        <v>45845</v>
      </c>
      <c r="D247" t="inlineStr">
        <is>
          <t>VÄSTERNORRLANDS LÄN</t>
        </is>
      </c>
      <c r="E247" t="inlineStr">
        <is>
          <t>SUNDSVALL</t>
        </is>
      </c>
      <c r="F247" t="inlineStr">
        <is>
          <t>SCA</t>
        </is>
      </c>
      <c r="G247" t="n">
        <v>2</v>
      </c>
      <c r="H247" t="n">
        <v>1</v>
      </c>
      <c r="I247" t="n">
        <v>0</v>
      </c>
      <c r="J247" t="n">
        <v>1</v>
      </c>
      <c r="K247" t="n">
        <v>0</v>
      </c>
      <c r="L247" t="n">
        <v>0</v>
      </c>
      <c r="M247" t="n">
        <v>0</v>
      </c>
      <c r="N247" t="n">
        <v>0</v>
      </c>
      <c r="O247" t="n">
        <v>1</v>
      </c>
      <c r="P247" t="n">
        <v>0</v>
      </c>
      <c r="Q247" t="n">
        <v>1</v>
      </c>
      <c r="R247" s="2" t="inlineStr">
        <is>
          <t>Järpe</t>
        </is>
      </c>
      <c r="S247">
        <f>HYPERLINK("https://klasma.github.io/Logging_2281/artfynd/A 10774-2023 artfynd.xlsx", "A 10774-2023")</f>
        <v/>
      </c>
      <c r="T247">
        <f>HYPERLINK("https://klasma.github.io/Logging_2281/kartor/A 10774-2023 karta.png", "A 10774-2023")</f>
        <v/>
      </c>
      <c r="V247">
        <f>HYPERLINK("https://klasma.github.io/Logging_2281/klagomål/A 10774-2023 FSC-klagomål.docx", "A 10774-2023")</f>
        <v/>
      </c>
      <c r="W247">
        <f>HYPERLINK("https://klasma.github.io/Logging_2281/klagomålsmail/A 10774-2023 FSC-klagomål mail.docx", "A 10774-2023")</f>
        <v/>
      </c>
      <c r="X247">
        <f>HYPERLINK("https://klasma.github.io/Logging_2281/tillsyn/A 10774-2023 tillsynsbegäran.docx", "A 10774-2023")</f>
        <v/>
      </c>
      <c r="Y247">
        <f>HYPERLINK("https://klasma.github.io/Logging_2281/tillsynsmail/A 10774-2023 tillsynsbegäran mail.docx", "A 10774-2023")</f>
        <v/>
      </c>
      <c r="Z247">
        <f>HYPERLINK("https://klasma.github.io/Logging_2281/fåglar/A 10774-2023 prioriterade fågelarter.docx", "A 10774-2023")</f>
        <v/>
      </c>
    </row>
    <row r="248" ht="15" customHeight="1">
      <c r="A248" t="inlineStr">
        <is>
          <t>A 12049-2023</t>
        </is>
      </c>
      <c r="B248" s="1" t="n">
        <v>44996</v>
      </c>
      <c r="C248" s="1" t="n">
        <v>45845</v>
      </c>
      <c r="D248" t="inlineStr">
        <is>
          <t>VÄSTERNORRLANDS LÄN</t>
        </is>
      </c>
      <c r="E248" t="inlineStr">
        <is>
          <t>SUNDSVALL</t>
        </is>
      </c>
      <c r="F248" t="inlineStr">
        <is>
          <t>SCA</t>
        </is>
      </c>
      <c r="G248" t="n">
        <v>13</v>
      </c>
      <c r="H248" t="n">
        <v>1</v>
      </c>
      <c r="I248" t="n">
        <v>0</v>
      </c>
      <c r="J248" t="n">
        <v>0</v>
      </c>
      <c r="K248" t="n">
        <v>1</v>
      </c>
      <c r="L248" t="n">
        <v>0</v>
      </c>
      <c r="M248" t="n">
        <v>0</v>
      </c>
      <c r="N248" t="n">
        <v>0</v>
      </c>
      <c r="O248" t="n">
        <v>1</v>
      </c>
      <c r="P248" t="n">
        <v>1</v>
      </c>
      <c r="Q248" t="n">
        <v>1</v>
      </c>
      <c r="R248" s="2" t="inlineStr">
        <is>
          <t>Lappuggla</t>
        </is>
      </c>
      <c r="S248">
        <f>HYPERLINK("https://klasma.github.io/Logging_2281/artfynd/A 12049-2023 artfynd.xlsx", "A 12049-2023")</f>
        <v/>
      </c>
      <c r="T248">
        <f>HYPERLINK("https://klasma.github.io/Logging_2281/kartor/A 12049-2023 karta.png", "A 12049-2023")</f>
        <v/>
      </c>
      <c r="V248">
        <f>HYPERLINK("https://klasma.github.io/Logging_2281/klagomål/A 12049-2023 FSC-klagomål.docx", "A 12049-2023")</f>
        <v/>
      </c>
      <c r="W248">
        <f>HYPERLINK("https://klasma.github.io/Logging_2281/klagomålsmail/A 12049-2023 FSC-klagomål mail.docx", "A 12049-2023")</f>
        <v/>
      </c>
      <c r="X248">
        <f>HYPERLINK("https://klasma.github.io/Logging_2281/tillsyn/A 12049-2023 tillsynsbegäran.docx", "A 12049-2023")</f>
        <v/>
      </c>
      <c r="Y248">
        <f>HYPERLINK("https://klasma.github.io/Logging_2281/tillsynsmail/A 12049-2023 tillsynsbegäran mail.docx", "A 12049-2023")</f>
        <v/>
      </c>
      <c r="Z248">
        <f>HYPERLINK("https://klasma.github.io/Logging_2281/fåglar/A 12049-2023 prioriterade fågelarter.docx", "A 12049-2023")</f>
        <v/>
      </c>
    </row>
    <row r="249" ht="15" customHeight="1">
      <c r="A249" t="inlineStr">
        <is>
          <t>A 12058-2023</t>
        </is>
      </c>
      <c r="B249" s="1" t="n">
        <v>44995</v>
      </c>
      <c r="C249" s="1" t="n">
        <v>45845</v>
      </c>
      <c r="D249" t="inlineStr">
        <is>
          <t>VÄSTERNORRLANDS LÄN</t>
        </is>
      </c>
      <c r="E249" t="inlineStr">
        <is>
          <t>SUNDSVALL</t>
        </is>
      </c>
      <c r="F249" t="inlineStr">
        <is>
          <t>SCA</t>
        </is>
      </c>
      <c r="G249" t="n">
        <v>4</v>
      </c>
      <c r="H249" t="n">
        <v>1</v>
      </c>
      <c r="I249" t="n">
        <v>0</v>
      </c>
      <c r="J249" t="n">
        <v>1</v>
      </c>
      <c r="K249" t="n">
        <v>0</v>
      </c>
      <c r="L249" t="n">
        <v>0</v>
      </c>
      <c r="M249" t="n">
        <v>0</v>
      </c>
      <c r="N249" t="n">
        <v>0</v>
      </c>
      <c r="O249" t="n">
        <v>1</v>
      </c>
      <c r="P249" t="n">
        <v>0</v>
      </c>
      <c r="Q249" t="n">
        <v>1</v>
      </c>
      <c r="R249" s="2" t="inlineStr">
        <is>
          <t>Fiskmås</t>
        </is>
      </c>
      <c r="S249">
        <f>HYPERLINK("https://klasma.github.io/Logging_2281/artfynd/A 12058-2023 artfynd.xlsx", "A 12058-2023")</f>
        <v/>
      </c>
      <c r="T249">
        <f>HYPERLINK("https://klasma.github.io/Logging_2281/kartor/A 12058-2023 karta.png", "A 12058-2023")</f>
        <v/>
      </c>
      <c r="V249">
        <f>HYPERLINK("https://klasma.github.io/Logging_2281/klagomål/A 12058-2023 FSC-klagomål.docx", "A 12058-2023")</f>
        <v/>
      </c>
      <c r="W249">
        <f>HYPERLINK("https://klasma.github.io/Logging_2281/klagomålsmail/A 12058-2023 FSC-klagomål mail.docx", "A 12058-2023")</f>
        <v/>
      </c>
      <c r="X249">
        <f>HYPERLINK("https://klasma.github.io/Logging_2281/tillsyn/A 12058-2023 tillsynsbegäran.docx", "A 12058-2023")</f>
        <v/>
      </c>
      <c r="Y249">
        <f>HYPERLINK("https://klasma.github.io/Logging_2281/tillsynsmail/A 12058-2023 tillsynsbegäran mail.docx", "A 12058-2023")</f>
        <v/>
      </c>
    </row>
    <row r="250" ht="15" customHeight="1">
      <c r="A250" t="inlineStr">
        <is>
          <t>A 14665-2023</t>
        </is>
      </c>
      <c r="B250" s="1" t="n">
        <v>45014</v>
      </c>
      <c r="C250" s="1" t="n">
        <v>45845</v>
      </c>
      <c r="D250" t="inlineStr">
        <is>
          <t>VÄSTERNORRLANDS LÄN</t>
        </is>
      </c>
      <c r="E250" t="inlineStr">
        <is>
          <t>SUNDSVALL</t>
        </is>
      </c>
      <c r="G250" t="n">
        <v>1.8</v>
      </c>
      <c r="H250" t="n">
        <v>1</v>
      </c>
      <c r="I250" t="n">
        <v>0</v>
      </c>
      <c r="J250" t="n">
        <v>0</v>
      </c>
      <c r="K250" t="n">
        <v>0</v>
      </c>
      <c r="L250" t="n">
        <v>0</v>
      </c>
      <c r="M250" t="n">
        <v>0</v>
      </c>
      <c r="N250" t="n">
        <v>0</v>
      </c>
      <c r="O250" t="n">
        <v>0</v>
      </c>
      <c r="P250" t="n">
        <v>0</v>
      </c>
      <c r="Q250" t="n">
        <v>1</v>
      </c>
      <c r="R250" s="2" t="inlineStr">
        <is>
          <t>Trana</t>
        </is>
      </c>
      <c r="S250">
        <f>HYPERLINK("https://klasma.github.io/Logging_2281/artfynd/A 14665-2023 artfynd.xlsx", "A 14665-2023")</f>
        <v/>
      </c>
      <c r="T250">
        <f>HYPERLINK("https://klasma.github.io/Logging_2281/kartor/A 14665-2023 karta.png", "A 14665-2023")</f>
        <v/>
      </c>
      <c r="V250">
        <f>HYPERLINK("https://klasma.github.io/Logging_2281/klagomål/A 14665-2023 FSC-klagomål.docx", "A 14665-2023")</f>
        <v/>
      </c>
      <c r="W250">
        <f>HYPERLINK("https://klasma.github.io/Logging_2281/klagomålsmail/A 14665-2023 FSC-klagomål mail.docx", "A 14665-2023")</f>
        <v/>
      </c>
      <c r="X250">
        <f>HYPERLINK("https://klasma.github.io/Logging_2281/tillsyn/A 14665-2023 tillsynsbegäran.docx", "A 14665-2023")</f>
        <v/>
      </c>
      <c r="Y250">
        <f>HYPERLINK("https://klasma.github.io/Logging_2281/tillsynsmail/A 14665-2023 tillsynsbegäran mail.docx", "A 14665-2023")</f>
        <v/>
      </c>
      <c r="Z250">
        <f>HYPERLINK("https://klasma.github.io/Logging_2281/fåglar/A 14665-2023 prioriterade fågelarter.docx", "A 14665-2023")</f>
        <v/>
      </c>
    </row>
    <row r="251" ht="15" customHeight="1">
      <c r="A251" t="inlineStr">
        <is>
          <t>A 15346-2023</t>
        </is>
      </c>
      <c r="B251" s="1" t="n">
        <v>45016</v>
      </c>
      <c r="C251" s="1" t="n">
        <v>45845</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17772-2023</t>
        </is>
      </c>
      <c r="B252" s="1" t="n">
        <v>45036</v>
      </c>
      <c r="C252" s="1" t="n">
        <v>45845</v>
      </c>
      <c r="D252" t="inlineStr">
        <is>
          <t>VÄSTERNORRLANDS LÄN</t>
        </is>
      </c>
      <c r="E252" t="inlineStr">
        <is>
          <t>SUNDSVALL</t>
        </is>
      </c>
      <c r="G252" t="n">
        <v>4.2</v>
      </c>
      <c r="H252" t="n">
        <v>0</v>
      </c>
      <c r="I252" t="n">
        <v>0</v>
      </c>
      <c r="J252" t="n">
        <v>1</v>
      </c>
      <c r="K252" t="n">
        <v>0</v>
      </c>
      <c r="L252" t="n">
        <v>0</v>
      </c>
      <c r="M252" t="n">
        <v>0</v>
      </c>
      <c r="N252" t="n">
        <v>0</v>
      </c>
      <c r="O252" t="n">
        <v>1</v>
      </c>
      <c r="P252" t="n">
        <v>0</v>
      </c>
      <c r="Q252" t="n">
        <v>1</v>
      </c>
      <c r="R252" s="2" t="inlineStr">
        <is>
          <t>Garnlav</t>
        </is>
      </c>
      <c r="S252">
        <f>HYPERLINK("https://klasma.github.io/Logging_2281/artfynd/A 17772-2023 artfynd.xlsx", "A 17772-2023")</f>
        <v/>
      </c>
      <c r="T252">
        <f>HYPERLINK("https://klasma.github.io/Logging_2281/kartor/A 17772-2023 karta.png", "A 17772-2023")</f>
        <v/>
      </c>
      <c r="V252">
        <f>HYPERLINK("https://klasma.github.io/Logging_2281/klagomål/A 17772-2023 FSC-klagomål.docx", "A 17772-2023")</f>
        <v/>
      </c>
      <c r="W252">
        <f>HYPERLINK("https://klasma.github.io/Logging_2281/klagomålsmail/A 17772-2023 FSC-klagomål mail.docx", "A 17772-2023")</f>
        <v/>
      </c>
      <c r="X252">
        <f>HYPERLINK("https://klasma.github.io/Logging_2281/tillsyn/A 17772-2023 tillsynsbegäran.docx", "A 17772-2023")</f>
        <v/>
      </c>
      <c r="Y252">
        <f>HYPERLINK("https://klasma.github.io/Logging_2281/tillsynsmail/A 17772-2023 tillsynsbegäran mail.docx", "A 17772-2023")</f>
        <v/>
      </c>
    </row>
    <row r="253" ht="15" customHeight="1">
      <c r="A253" t="inlineStr">
        <is>
          <t>A 19441-2023</t>
        </is>
      </c>
      <c r="B253" s="1" t="n">
        <v>45049</v>
      </c>
      <c r="C253" s="1" t="n">
        <v>45845</v>
      </c>
      <c r="D253" t="inlineStr">
        <is>
          <t>VÄSTERNORRLANDS LÄN</t>
        </is>
      </c>
      <c r="E253" t="inlineStr">
        <is>
          <t>SUNDSVALL</t>
        </is>
      </c>
      <c r="F253" t="inlineStr">
        <is>
          <t>SCA</t>
        </is>
      </c>
      <c r="G253" t="n">
        <v>3.5</v>
      </c>
      <c r="H253" t="n">
        <v>0</v>
      </c>
      <c r="I253" t="n">
        <v>0</v>
      </c>
      <c r="J253" t="n">
        <v>1</v>
      </c>
      <c r="K253" t="n">
        <v>0</v>
      </c>
      <c r="L253" t="n">
        <v>0</v>
      </c>
      <c r="M253" t="n">
        <v>0</v>
      </c>
      <c r="N253" t="n">
        <v>0</v>
      </c>
      <c r="O253" t="n">
        <v>1</v>
      </c>
      <c r="P253" t="n">
        <v>0</v>
      </c>
      <c r="Q253" t="n">
        <v>1</v>
      </c>
      <c r="R253" s="2" t="inlineStr">
        <is>
          <t>Lunglav</t>
        </is>
      </c>
      <c r="S253">
        <f>HYPERLINK("https://klasma.github.io/Logging_2281/artfynd/A 19441-2023 artfynd.xlsx", "A 19441-2023")</f>
        <v/>
      </c>
      <c r="T253">
        <f>HYPERLINK("https://klasma.github.io/Logging_2281/kartor/A 19441-2023 karta.png", "A 19441-2023")</f>
        <v/>
      </c>
      <c r="V253">
        <f>HYPERLINK("https://klasma.github.io/Logging_2281/klagomål/A 19441-2023 FSC-klagomål.docx", "A 19441-2023")</f>
        <v/>
      </c>
      <c r="W253">
        <f>HYPERLINK("https://klasma.github.io/Logging_2281/klagomålsmail/A 19441-2023 FSC-klagomål mail.docx", "A 19441-2023")</f>
        <v/>
      </c>
      <c r="X253">
        <f>HYPERLINK("https://klasma.github.io/Logging_2281/tillsyn/A 19441-2023 tillsynsbegäran.docx", "A 19441-2023")</f>
        <v/>
      </c>
      <c r="Y253">
        <f>HYPERLINK("https://klasma.github.io/Logging_2281/tillsynsmail/A 19441-2023 tillsynsbegäran mail.docx", "A 19441-2023")</f>
        <v/>
      </c>
    </row>
    <row r="254" ht="15" customHeight="1">
      <c r="A254" t="inlineStr">
        <is>
          <t>A 19815-2023</t>
        </is>
      </c>
      <c r="B254" s="1" t="n">
        <v>45051</v>
      </c>
      <c r="C254" s="1" t="n">
        <v>45845</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19815-2023 artfynd.xlsx", "A 19815-2023")</f>
        <v/>
      </c>
      <c r="T254">
        <f>HYPERLINK("https://klasma.github.io/Logging_2281/kartor/A 19815-2023 karta.png", "A 19815-2023")</f>
        <v/>
      </c>
      <c r="U254">
        <f>HYPERLINK("https://klasma.github.io/Logging_2281/knärot/A 19815-2023 karta knärot.png", "A 19815-2023")</f>
        <v/>
      </c>
      <c r="V254">
        <f>HYPERLINK("https://klasma.github.io/Logging_2281/klagomål/A 19815-2023 FSC-klagomål.docx", "A 19815-2023")</f>
        <v/>
      </c>
      <c r="W254">
        <f>HYPERLINK("https://klasma.github.io/Logging_2281/klagomålsmail/A 19815-2023 FSC-klagomål mail.docx", "A 19815-2023")</f>
        <v/>
      </c>
      <c r="X254">
        <f>HYPERLINK("https://klasma.github.io/Logging_2281/tillsyn/A 19815-2023 tillsynsbegäran.docx", "A 19815-2023")</f>
        <v/>
      </c>
      <c r="Y254">
        <f>HYPERLINK("https://klasma.github.io/Logging_2281/tillsynsmail/A 19815-2023 tillsynsbegäran mail.docx", "A 19815-2023")</f>
        <v/>
      </c>
    </row>
    <row r="255" ht="15" customHeight="1">
      <c r="A255" t="inlineStr">
        <is>
          <t>A 22227-2023</t>
        </is>
      </c>
      <c r="B255" s="1" t="n">
        <v>45069</v>
      </c>
      <c r="C255" s="1" t="n">
        <v>45845</v>
      </c>
      <c r="D255" t="inlineStr">
        <is>
          <t>VÄSTERNORRLANDS LÄN</t>
        </is>
      </c>
      <c r="E255" t="inlineStr">
        <is>
          <t>SUNDSVALL</t>
        </is>
      </c>
      <c r="F255" t="inlineStr">
        <is>
          <t>Naturvårdsverket</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22227-2023 artfynd.xlsx", "A 22227-2023")</f>
        <v/>
      </c>
      <c r="T255">
        <f>HYPERLINK("https://klasma.github.io/Logging_2281/kartor/A 22227-2023 karta.png", "A 22227-2023")</f>
        <v/>
      </c>
      <c r="V255">
        <f>HYPERLINK("https://klasma.github.io/Logging_2281/klagomål/A 22227-2023 FSC-klagomål.docx", "A 22227-2023")</f>
        <v/>
      </c>
      <c r="W255">
        <f>HYPERLINK("https://klasma.github.io/Logging_2281/klagomålsmail/A 22227-2023 FSC-klagomål mail.docx", "A 22227-2023")</f>
        <v/>
      </c>
      <c r="X255">
        <f>HYPERLINK("https://klasma.github.io/Logging_2281/tillsyn/A 22227-2023 tillsynsbegäran.docx", "A 22227-2023")</f>
        <v/>
      </c>
      <c r="Y255">
        <f>HYPERLINK("https://klasma.github.io/Logging_2281/tillsynsmail/A 22227-2023 tillsynsbegäran mail.docx", "A 22227-2023")</f>
        <v/>
      </c>
      <c r="Z255">
        <f>HYPERLINK("https://klasma.github.io/Logging_2281/fåglar/A 22227-2023 prioriterade fågelarter.docx", "A 22227-2023")</f>
        <v/>
      </c>
    </row>
    <row r="256" ht="15" customHeight="1">
      <c r="A256" t="inlineStr">
        <is>
          <t>A 22993-2023</t>
        </is>
      </c>
      <c r="B256" s="1" t="n">
        <v>45072</v>
      </c>
      <c r="C256" s="1" t="n">
        <v>45845</v>
      </c>
      <c r="D256" t="inlineStr">
        <is>
          <t>VÄSTERNORRLANDS LÄN</t>
        </is>
      </c>
      <c r="E256" t="inlineStr">
        <is>
          <t>SUNDSVALL</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HYPERLINK("https://klasma.github.io/Logging_2281/artfynd/A 22993-2023 artfynd.xlsx", "A 22993-2023")</f>
        <v/>
      </c>
      <c r="T256">
        <f>HYPERLINK("https://klasma.github.io/Logging_2281/kartor/A 22993-2023 karta.png", "A 22993-2023")</f>
        <v/>
      </c>
      <c r="V256">
        <f>HYPERLINK("https://klasma.github.io/Logging_2281/klagomål/A 22993-2023 FSC-klagomål.docx", "A 22993-2023")</f>
        <v/>
      </c>
      <c r="W256">
        <f>HYPERLINK("https://klasma.github.io/Logging_2281/klagomålsmail/A 22993-2023 FSC-klagomål mail.docx", "A 22993-2023")</f>
        <v/>
      </c>
      <c r="X256">
        <f>HYPERLINK("https://klasma.github.io/Logging_2281/tillsyn/A 22993-2023 tillsynsbegäran.docx", "A 22993-2023")</f>
        <v/>
      </c>
      <c r="Y256">
        <f>HYPERLINK("https://klasma.github.io/Logging_2281/tillsynsmail/A 22993-2023 tillsynsbegäran mail.docx", "A 22993-2023")</f>
        <v/>
      </c>
    </row>
    <row r="257" ht="15" customHeight="1">
      <c r="A257" t="inlineStr">
        <is>
          <t>A 28008-2023</t>
        </is>
      </c>
      <c r="B257" s="1" t="n">
        <v>45098</v>
      </c>
      <c r="C257" s="1" t="n">
        <v>45845</v>
      </c>
      <c r="D257" t="inlineStr">
        <is>
          <t>VÄSTERNORRLANDS LÄN</t>
        </is>
      </c>
      <c r="E257" t="inlineStr">
        <is>
          <t>SUNDSVALL</t>
        </is>
      </c>
      <c r="F257" t="inlineStr">
        <is>
          <t>SCA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28008-2023 artfynd.xlsx", "A 28008-2023")</f>
        <v/>
      </c>
      <c r="T257">
        <f>HYPERLINK("https://klasma.github.io/Logging_2281/kartor/A 28008-2023 karta.png", "A 28008-2023")</f>
        <v/>
      </c>
      <c r="V257">
        <f>HYPERLINK("https://klasma.github.io/Logging_2281/klagomål/A 28008-2023 FSC-klagomål.docx", "A 28008-2023")</f>
        <v/>
      </c>
      <c r="W257">
        <f>HYPERLINK("https://klasma.github.io/Logging_2281/klagomålsmail/A 28008-2023 FSC-klagomål mail.docx", "A 28008-2023")</f>
        <v/>
      </c>
      <c r="X257">
        <f>HYPERLINK("https://klasma.github.io/Logging_2281/tillsyn/A 28008-2023 tillsynsbegäran.docx", "A 28008-2023")</f>
        <v/>
      </c>
      <c r="Y257">
        <f>HYPERLINK("https://klasma.github.io/Logging_2281/tillsynsmail/A 28008-2023 tillsynsbegäran mail.docx", "A 28008-2023")</f>
        <v/>
      </c>
      <c r="Z257">
        <f>HYPERLINK("https://klasma.github.io/Logging_2281/fåglar/A 28008-2023 prioriterade fågelarter.docx", "A 28008-2023")</f>
        <v/>
      </c>
    </row>
    <row r="258" ht="15" customHeight="1">
      <c r="A258" t="inlineStr">
        <is>
          <t>A 32077-2023</t>
        </is>
      </c>
      <c r="B258" s="1" t="n">
        <v>45107</v>
      </c>
      <c r="C258" s="1" t="n">
        <v>45845</v>
      </c>
      <c r="D258" t="inlineStr">
        <is>
          <t>VÄSTERNORRLANDS LÄN</t>
        </is>
      </c>
      <c r="E258" t="inlineStr">
        <is>
          <t>SUNDSVALL</t>
        </is>
      </c>
      <c r="G258" t="n">
        <v>5.3</v>
      </c>
      <c r="H258" t="n">
        <v>0</v>
      </c>
      <c r="I258" t="n">
        <v>0</v>
      </c>
      <c r="J258" t="n">
        <v>1</v>
      </c>
      <c r="K258" t="n">
        <v>0</v>
      </c>
      <c r="L258" t="n">
        <v>0</v>
      </c>
      <c r="M258" t="n">
        <v>0</v>
      </c>
      <c r="N258" t="n">
        <v>0</v>
      </c>
      <c r="O258" t="n">
        <v>1</v>
      </c>
      <c r="P258" t="n">
        <v>0</v>
      </c>
      <c r="Q258" t="n">
        <v>1</v>
      </c>
      <c r="R258" s="2" t="inlineStr">
        <is>
          <t>Garnlav</t>
        </is>
      </c>
      <c r="S258">
        <f>HYPERLINK("https://klasma.github.io/Logging_2281/artfynd/A 32077-2023 artfynd.xlsx", "A 32077-2023")</f>
        <v/>
      </c>
      <c r="T258">
        <f>HYPERLINK("https://klasma.github.io/Logging_2281/kartor/A 32077-2023 karta.png", "A 32077-2023")</f>
        <v/>
      </c>
      <c r="V258">
        <f>HYPERLINK("https://klasma.github.io/Logging_2281/klagomål/A 32077-2023 FSC-klagomål.docx", "A 32077-2023")</f>
        <v/>
      </c>
      <c r="W258">
        <f>HYPERLINK("https://klasma.github.io/Logging_2281/klagomålsmail/A 32077-2023 FSC-klagomål mail.docx", "A 32077-2023")</f>
        <v/>
      </c>
      <c r="X258">
        <f>HYPERLINK("https://klasma.github.io/Logging_2281/tillsyn/A 32077-2023 tillsynsbegäran.docx", "A 32077-2023")</f>
        <v/>
      </c>
      <c r="Y258">
        <f>HYPERLINK("https://klasma.github.io/Logging_2281/tillsynsmail/A 32077-2023 tillsynsbegäran mail.docx", "A 32077-2023")</f>
        <v/>
      </c>
    </row>
    <row r="259" ht="15" customHeight="1">
      <c r="A259" t="inlineStr">
        <is>
          <t>A 30837-2023</t>
        </is>
      </c>
      <c r="B259" s="1" t="n">
        <v>45112</v>
      </c>
      <c r="C259" s="1" t="n">
        <v>45845</v>
      </c>
      <c r="D259" t="inlineStr">
        <is>
          <t>VÄSTERNORRLANDS LÄN</t>
        </is>
      </c>
      <c r="E259" t="inlineStr">
        <is>
          <t>SUNDSVALL</t>
        </is>
      </c>
      <c r="F259" t="inlineStr">
        <is>
          <t>SCA</t>
        </is>
      </c>
      <c r="G259" t="n">
        <v>5.6</v>
      </c>
      <c r="H259" t="n">
        <v>0</v>
      </c>
      <c r="I259" t="n">
        <v>0</v>
      </c>
      <c r="J259" t="n">
        <v>1</v>
      </c>
      <c r="K259" t="n">
        <v>0</v>
      </c>
      <c r="L259" t="n">
        <v>0</v>
      </c>
      <c r="M259" t="n">
        <v>0</v>
      </c>
      <c r="N259" t="n">
        <v>0</v>
      </c>
      <c r="O259" t="n">
        <v>1</v>
      </c>
      <c r="P259" t="n">
        <v>0</v>
      </c>
      <c r="Q259" t="n">
        <v>1</v>
      </c>
      <c r="R259" s="2" t="inlineStr">
        <is>
          <t>Garnlav</t>
        </is>
      </c>
      <c r="S259">
        <f>HYPERLINK("https://klasma.github.io/Logging_2281/artfynd/A 30837-2023 artfynd.xlsx", "A 30837-2023")</f>
        <v/>
      </c>
      <c r="T259">
        <f>HYPERLINK("https://klasma.github.io/Logging_2281/kartor/A 30837-2023 karta.png", "A 30837-2023")</f>
        <v/>
      </c>
      <c r="V259">
        <f>HYPERLINK("https://klasma.github.io/Logging_2281/klagomål/A 30837-2023 FSC-klagomål.docx", "A 30837-2023")</f>
        <v/>
      </c>
      <c r="W259">
        <f>HYPERLINK("https://klasma.github.io/Logging_2281/klagomålsmail/A 30837-2023 FSC-klagomål mail.docx", "A 30837-2023")</f>
        <v/>
      </c>
      <c r="X259">
        <f>HYPERLINK("https://klasma.github.io/Logging_2281/tillsyn/A 30837-2023 tillsynsbegäran.docx", "A 30837-2023")</f>
        <v/>
      </c>
      <c r="Y259">
        <f>HYPERLINK("https://klasma.github.io/Logging_2281/tillsynsmail/A 30837-2023 tillsynsbegäran mail.docx", "A 30837-2023")</f>
        <v/>
      </c>
    </row>
    <row r="260" ht="15" customHeight="1">
      <c r="A260" t="inlineStr">
        <is>
          <t>A 30827-2023</t>
        </is>
      </c>
      <c r="B260" s="1" t="n">
        <v>45112</v>
      </c>
      <c r="C260" s="1" t="n">
        <v>45845</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35751-2023</t>
        </is>
      </c>
      <c r="B261" s="1" t="n">
        <v>45147</v>
      </c>
      <c r="C261" s="1" t="n">
        <v>45845</v>
      </c>
      <c r="D261" t="inlineStr">
        <is>
          <t>VÄSTERNORRLANDS LÄN</t>
        </is>
      </c>
      <c r="E261" t="inlineStr">
        <is>
          <t>SUNDSVALL</t>
        </is>
      </c>
      <c r="F261" t="inlineStr">
        <is>
          <t>SCA</t>
        </is>
      </c>
      <c r="G261" t="n">
        <v>5</v>
      </c>
      <c r="H261" t="n">
        <v>1</v>
      </c>
      <c r="I261" t="n">
        <v>0</v>
      </c>
      <c r="J261" t="n">
        <v>1</v>
      </c>
      <c r="K261" t="n">
        <v>0</v>
      </c>
      <c r="L261" t="n">
        <v>0</v>
      </c>
      <c r="M261" t="n">
        <v>0</v>
      </c>
      <c r="N261" t="n">
        <v>0</v>
      </c>
      <c r="O261" t="n">
        <v>1</v>
      </c>
      <c r="P261" t="n">
        <v>0</v>
      </c>
      <c r="Q261" t="n">
        <v>1</v>
      </c>
      <c r="R261" s="2" t="inlineStr">
        <is>
          <t>Nordfladdermus</t>
        </is>
      </c>
      <c r="S261">
        <f>HYPERLINK("https://klasma.github.io/Logging_2281/artfynd/A 35751-2023 artfynd.xlsx", "A 35751-2023")</f>
        <v/>
      </c>
      <c r="T261">
        <f>HYPERLINK("https://klasma.github.io/Logging_2281/kartor/A 35751-2023 karta.png", "A 35751-2023")</f>
        <v/>
      </c>
      <c r="V261">
        <f>HYPERLINK("https://klasma.github.io/Logging_2281/klagomål/A 35751-2023 FSC-klagomål.docx", "A 35751-2023")</f>
        <v/>
      </c>
      <c r="W261">
        <f>HYPERLINK("https://klasma.github.io/Logging_2281/klagomålsmail/A 35751-2023 FSC-klagomål mail.docx", "A 35751-2023")</f>
        <v/>
      </c>
      <c r="X261">
        <f>HYPERLINK("https://klasma.github.io/Logging_2281/tillsyn/A 35751-2023 tillsynsbegäran.docx", "A 35751-2023")</f>
        <v/>
      </c>
      <c r="Y261">
        <f>HYPERLINK("https://klasma.github.io/Logging_2281/tillsynsmail/A 35751-2023 tillsynsbegäran mail.docx", "A 35751-2023")</f>
        <v/>
      </c>
    </row>
    <row r="262" ht="15" customHeight="1">
      <c r="A262" t="inlineStr">
        <is>
          <t>A 37253-2023</t>
        </is>
      </c>
      <c r="B262" s="1" t="n">
        <v>45156</v>
      </c>
      <c r="C262" s="1" t="n">
        <v>45845</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Garnlav</t>
        </is>
      </c>
      <c r="S262">
        <f>HYPERLINK("https://klasma.github.io/Logging_2281/artfynd/A 37253-2023 artfynd.xlsx", "A 37253-2023")</f>
        <v/>
      </c>
      <c r="T262">
        <f>HYPERLINK("https://klasma.github.io/Logging_2281/kartor/A 37253-2023 karta.png", "A 37253-2023")</f>
        <v/>
      </c>
      <c r="V262">
        <f>HYPERLINK("https://klasma.github.io/Logging_2281/klagomål/A 37253-2023 FSC-klagomål.docx", "A 37253-2023")</f>
        <v/>
      </c>
      <c r="W262">
        <f>HYPERLINK("https://klasma.github.io/Logging_2281/klagomålsmail/A 37253-2023 FSC-klagomål mail.docx", "A 37253-2023")</f>
        <v/>
      </c>
      <c r="X262">
        <f>HYPERLINK("https://klasma.github.io/Logging_2281/tillsyn/A 37253-2023 tillsynsbegäran.docx", "A 37253-2023")</f>
        <v/>
      </c>
      <c r="Y262">
        <f>HYPERLINK("https://klasma.github.io/Logging_2281/tillsynsmail/A 37253-2023 tillsynsbegäran mail.docx", "A 37253-2023")</f>
        <v/>
      </c>
    </row>
    <row r="263" ht="15" customHeight="1">
      <c r="A263" t="inlineStr">
        <is>
          <t>A 42148-2023</t>
        </is>
      </c>
      <c r="B263" s="1" t="n">
        <v>45178</v>
      </c>
      <c r="C263" s="1" t="n">
        <v>45845</v>
      </c>
      <c r="D263" t="inlineStr">
        <is>
          <t>VÄSTERNORRLANDS LÄN</t>
        </is>
      </c>
      <c r="E263" t="inlineStr">
        <is>
          <t>SUNDSVALL</t>
        </is>
      </c>
      <c r="F263" t="inlineStr">
        <is>
          <t>SCA</t>
        </is>
      </c>
      <c r="G263" t="n">
        <v>4.2</v>
      </c>
      <c r="H263" t="n">
        <v>1</v>
      </c>
      <c r="I263" t="n">
        <v>0</v>
      </c>
      <c r="J263" t="n">
        <v>0</v>
      </c>
      <c r="K263" t="n">
        <v>0</v>
      </c>
      <c r="L263" t="n">
        <v>0</v>
      </c>
      <c r="M263" t="n">
        <v>0</v>
      </c>
      <c r="N263" t="n">
        <v>0</v>
      </c>
      <c r="O263" t="n">
        <v>0</v>
      </c>
      <c r="P263" t="n">
        <v>0</v>
      </c>
      <c r="Q263" t="n">
        <v>1</v>
      </c>
      <c r="R263" s="2" t="inlineStr">
        <is>
          <t>Tjäder</t>
        </is>
      </c>
      <c r="S263">
        <f>HYPERLINK("https://klasma.github.io/Logging_2281/artfynd/A 42148-2023 artfynd.xlsx", "A 42148-2023")</f>
        <v/>
      </c>
      <c r="T263">
        <f>HYPERLINK("https://klasma.github.io/Logging_2281/kartor/A 42148-2023 karta.png", "A 42148-2023")</f>
        <v/>
      </c>
      <c r="V263">
        <f>HYPERLINK("https://klasma.github.io/Logging_2281/klagomål/A 42148-2023 FSC-klagomål.docx", "A 42148-2023")</f>
        <v/>
      </c>
      <c r="W263">
        <f>HYPERLINK("https://klasma.github.io/Logging_2281/klagomålsmail/A 42148-2023 FSC-klagomål mail.docx", "A 42148-2023")</f>
        <v/>
      </c>
      <c r="X263">
        <f>HYPERLINK("https://klasma.github.io/Logging_2281/tillsyn/A 42148-2023 tillsynsbegäran.docx", "A 42148-2023")</f>
        <v/>
      </c>
      <c r="Y263">
        <f>HYPERLINK("https://klasma.github.io/Logging_2281/tillsynsmail/A 42148-2023 tillsynsbegäran mail.docx", "A 42148-2023")</f>
        <v/>
      </c>
      <c r="Z263">
        <f>HYPERLINK("https://klasma.github.io/Logging_2281/fåglar/A 42148-2023 prioriterade fågelarter.docx", "A 42148-2023")</f>
        <v/>
      </c>
    </row>
    <row r="264" ht="15" customHeight="1">
      <c r="A264" t="inlineStr">
        <is>
          <t>A 43424-2023</t>
        </is>
      </c>
      <c r="B264" s="1" t="n">
        <v>45183</v>
      </c>
      <c r="C264" s="1" t="n">
        <v>45845</v>
      </c>
      <c r="D264" t="inlineStr">
        <is>
          <t>VÄSTERNORRLANDS LÄN</t>
        </is>
      </c>
      <c r="E264" t="inlineStr">
        <is>
          <t>SUNDSVALL</t>
        </is>
      </c>
      <c r="F264" t="inlineStr">
        <is>
          <t>SCA</t>
        </is>
      </c>
      <c r="G264" t="n">
        <v>2.8</v>
      </c>
      <c r="H264" t="n">
        <v>0</v>
      </c>
      <c r="I264" t="n">
        <v>0</v>
      </c>
      <c r="J264" t="n">
        <v>1</v>
      </c>
      <c r="K264" t="n">
        <v>0</v>
      </c>
      <c r="L264" t="n">
        <v>0</v>
      </c>
      <c r="M264" t="n">
        <v>0</v>
      </c>
      <c r="N264" t="n">
        <v>0</v>
      </c>
      <c r="O264" t="n">
        <v>1</v>
      </c>
      <c r="P264" t="n">
        <v>0</v>
      </c>
      <c r="Q264" t="n">
        <v>1</v>
      </c>
      <c r="R264" s="2" t="inlineStr">
        <is>
          <t>Garnlav</t>
        </is>
      </c>
      <c r="S264">
        <f>HYPERLINK("https://klasma.github.io/Logging_2281/artfynd/A 43424-2023 artfynd.xlsx", "A 43424-2023")</f>
        <v/>
      </c>
      <c r="T264">
        <f>HYPERLINK("https://klasma.github.io/Logging_2281/kartor/A 43424-2023 karta.png", "A 43424-2023")</f>
        <v/>
      </c>
      <c r="V264">
        <f>HYPERLINK("https://klasma.github.io/Logging_2281/klagomål/A 43424-2023 FSC-klagomål.docx", "A 43424-2023")</f>
        <v/>
      </c>
      <c r="W264">
        <f>HYPERLINK("https://klasma.github.io/Logging_2281/klagomålsmail/A 43424-2023 FSC-klagomål mail.docx", "A 43424-2023")</f>
        <v/>
      </c>
      <c r="X264">
        <f>HYPERLINK("https://klasma.github.io/Logging_2281/tillsyn/A 43424-2023 tillsynsbegäran.docx", "A 43424-2023")</f>
        <v/>
      </c>
      <c r="Y264">
        <f>HYPERLINK("https://klasma.github.io/Logging_2281/tillsynsmail/A 43424-2023 tillsynsbegäran mail.docx", "A 43424-2023")</f>
        <v/>
      </c>
    </row>
    <row r="265" ht="15" customHeight="1">
      <c r="A265" t="inlineStr">
        <is>
          <t>A 44193-2023</t>
        </is>
      </c>
      <c r="B265" s="1" t="n">
        <v>45188</v>
      </c>
      <c r="C265" s="1" t="n">
        <v>45845</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45023-2023</t>
        </is>
      </c>
      <c r="B266" s="1" t="n">
        <v>45191</v>
      </c>
      <c r="C266" s="1" t="n">
        <v>45845</v>
      </c>
      <c r="D266" t="inlineStr">
        <is>
          <t>VÄSTERNORRLANDS LÄN</t>
        </is>
      </c>
      <c r="E266" t="inlineStr">
        <is>
          <t>SUNDSVALL</t>
        </is>
      </c>
      <c r="F266" t="inlineStr">
        <is>
          <t>SCA</t>
        </is>
      </c>
      <c r="G266" t="n">
        <v>2.2</v>
      </c>
      <c r="H266" t="n">
        <v>0</v>
      </c>
      <c r="I266" t="n">
        <v>0</v>
      </c>
      <c r="J266" t="n">
        <v>1</v>
      </c>
      <c r="K266" t="n">
        <v>0</v>
      </c>
      <c r="L266" t="n">
        <v>0</v>
      </c>
      <c r="M266" t="n">
        <v>0</v>
      </c>
      <c r="N266" t="n">
        <v>0</v>
      </c>
      <c r="O266" t="n">
        <v>1</v>
      </c>
      <c r="P266" t="n">
        <v>0</v>
      </c>
      <c r="Q266" t="n">
        <v>1</v>
      </c>
      <c r="R266" s="2" t="inlineStr">
        <is>
          <t>Skogshare</t>
        </is>
      </c>
      <c r="S266">
        <f>HYPERLINK("https://klasma.github.io/Logging_2281/artfynd/A 45023-2023 artfynd.xlsx", "A 45023-2023")</f>
        <v/>
      </c>
      <c r="T266">
        <f>HYPERLINK("https://klasma.github.io/Logging_2281/kartor/A 45023-2023 karta.png", "A 45023-2023")</f>
        <v/>
      </c>
      <c r="V266">
        <f>HYPERLINK("https://klasma.github.io/Logging_2281/klagomål/A 45023-2023 FSC-klagomål.docx", "A 45023-2023")</f>
        <v/>
      </c>
      <c r="W266">
        <f>HYPERLINK("https://klasma.github.io/Logging_2281/klagomålsmail/A 45023-2023 FSC-klagomål mail.docx", "A 45023-2023")</f>
        <v/>
      </c>
      <c r="X266">
        <f>HYPERLINK("https://klasma.github.io/Logging_2281/tillsyn/A 45023-2023 tillsynsbegäran.docx", "A 45023-2023")</f>
        <v/>
      </c>
      <c r="Y266">
        <f>HYPERLINK("https://klasma.github.io/Logging_2281/tillsynsmail/A 45023-2023 tillsynsbegäran mail.docx", "A 45023-2023")</f>
        <v/>
      </c>
    </row>
    <row r="267" ht="15" customHeight="1">
      <c r="A267" t="inlineStr">
        <is>
          <t>A 45332-2023</t>
        </is>
      </c>
      <c r="B267" s="1" t="n">
        <v>45191</v>
      </c>
      <c r="C267" s="1" t="n">
        <v>45845</v>
      </c>
      <c r="D267" t="inlineStr">
        <is>
          <t>VÄSTERNORRLANDS LÄN</t>
        </is>
      </c>
      <c r="E267" t="inlineStr">
        <is>
          <t>SUNDSVALL</t>
        </is>
      </c>
      <c r="F267" t="inlineStr">
        <is>
          <t>SCA</t>
        </is>
      </c>
      <c r="G267" t="n">
        <v>3.8</v>
      </c>
      <c r="H267" t="n">
        <v>1</v>
      </c>
      <c r="I267" t="n">
        <v>0</v>
      </c>
      <c r="J267" t="n">
        <v>0</v>
      </c>
      <c r="K267" t="n">
        <v>0</v>
      </c>
      <c r="L267" t="n">
        <v>0</v>
      </c>
      <c r="M267" t="n">
        <v>0</v>
      </c>
      <c r="N267" t="n">
        <v>0</v>
      </c>
      <c r="O267" t="n">
        <v>0</v>
      </c>
      <c r="P267" t="n">
        <v>0</v>
      </c>
      <c r="Q267" t="n">
        <v>1</v>
      </c>
      <c r="R267" s="2" t="inlineStr">
        <is>
          <t>Fläcknycklar</t>
        </is>
      </c>
      <c r="S267">
        <f>HYPERLINK("https://klasma.github.io/Logging_2281/artfynd/A 45332-2023 artfynd.xlsx", "A 45332-2023")</f>
        <v/>
      </c>
      <c r="T267">
        <f>HYPERLINK("https://klasma.github.io/Logging_2281/kartor/A 45332-2023 karta.png", "A 45332-2023")</f>
        <v/>
      </c>
      <c r="V267">
        <f>HYPERLINK("https://klasma.github.io/Logging_2281/klagomål/A 45332-2023 FSC-klagomål.docx", "A 45332-2023")</f>
        <v/>
      </c>
      <c r="W267">
        <f>HYPERLINK("https://klasma.github.io/Logging_2281/klagomålsmail/A 45332-2023 FSC-klagomål mail.docx", "A 45332-2023")</f>
        <v/>
      </c>
      <c r="X267">
        <f>HYPERLINK("https://klasma.github.io/Logging_2281/tillsyn/A 45332-2023 tillsynsbegäran.docx", "A 45332-2023")</f>
        <v/>
      </c>
      <c r="Y267">
        <f>HYPERLINK("https://klasma.github.io/Logging_2281/tillsynsmail/A 45332-2023 tillsynsbegäran mail.docx", "A 45332-2023")</f>
        <v/>
      </c>
    </row>
    <row r="268" ht="15" customHeight="1">
      <c r="A268" t="inlineStr">
        <is>
          <t>A 46260-2023</t>
        </is>
      </c>
      <c r="B268" s="1" t="n">
        <v>45196</v>
      </c>
      <c r="C268" s="1" t="n">
        <v>45845</v>
      </c>
      <c r="D268" t="inlineStr">
        <is>
          <t>VÄSTERNORRLANDS LÄN</t>
        </is>
      </c>
      <c r="E268" t="inlineStr">
        <is>
          <t>SUNDSVALL</t>
        </is>
      </c>
      <c r="F268" t="inlineStr">
        <is>
          <t>SCA</t>
        </is>
      </c>
      <c r="G268" t="n">
        <v>3</v>
      </c>
      <c r="H268" t="n">
        <v>1</v>
      </c>
      <c r="I268" t="n">
        <v>0</v>
      </c>
      <c r="J268" t="n">
        <v>1</v>
      </c>
      <c r="K268" t="n">
        <v>0</v>
      </c>
      <c r="L268" t="n">
        <v>0</v>
      </c>
      <c r="M268" t="n">
        <v>0</v>
      </c>
      <c r="N268" t="n">
        <v>0</v>
      </c>
      <c r="O268" t="n">
        <v>1</v>
      </c>
      <c r="P268" t="n">
        <v>0</v>
      </c>
      <c r="Q268" t="n">
        <v>1</v>
      </c>
      <c r="R268" s="2" t="inlineStr">
        <is>
          <t>Spillkråka</t>
        </is>
      </c>
      <c r="S268">
        <f>HYPERLINK("https://klasma.github.io/Logging_2281/artfynd/A 46260-2023 artfynd.xlsx", "A 46260-2023")</f>
        <v/>
      </c>
      <c r="T268">
        <f>HYPERLINK("https://klasma.github.io/Logging_2281/kartor/A 46260-2023 karta.png", "A 46260-2023")</f>
        <v/>
      </c>
      <c r="V268">
        <f>HYPERLINK("https://klasma.github.io/Logging_2281/klagomål/A 46260-2023 FSC-klagomål.docx", "A 46260-2023")</f>
        <v/>
      </c>
      <c r="W268">
        <f>HYPERLINK("https://klasma.github.io/Logging_2281/klagomålsmail/A 46260-2023 FSC-klagomål mail.docx", "A 46260-2023")</f>
        <v/>
      </c>
      <c r="X268">
        <f>HYPERLINK("https://klasma.github.io/Logging_2281/tillsyn/A 46260-2023 tillsynsbegäran.docx", "A 46260-2023")</f>
        <v/>
      </c>
      <c r="Y268">
        <f>HYPERLINK("https://klasma.github.io/Logging_2281/tillsynsmail/A 46260-2023 tillsynsbegäran mail.docx", "A 46260-2023")</f>
        <v/>
      </c>
      <c r="Z268">
        <f>HYPERLINK("https://klasma.github.io/Logging_2281/fåglar/A 46260-2023 prioriterade fågelarter.docx", "A 46260-2023")</f>
        <v/>
      </c>
    </row>
    <row r="269" ht="15" customHeight="1">
      <c r="A269" t="inlineStr">
        <is>
          <t>A 47245-2023</t>
        </is>
      </c>
      <c r="B269" s="1" t="n">
        <v>45202</v>
      </c>
      <c r="C269" s="1" t="n">
        <v>45845</v>
      </c>
      <c r="D269" t="inlineStr">
        <is>
          <t>VÄSTERNORRLANDS LÄN</t>
        </is>
      </c>
      <c r="E269" t="inlineStr">
        <is>
          <t>SUNDSVALL</t>
        </is>
      </c>
      <c r="G269" t="n">
        <v>1.6</v>
      </c>
      <c r="H269" t="n">
        <v>1</v>
      </c>
      <c r="I269" t="n">
        <v>1</v>
      </c>
      <c r="J269" t="n">
        <v>0</v>
      </c>
      <c r="K269" t="n">
        <v>0</v>
      </c>
      <c r="L269" t="n">
        <v>0</v>
      </c>
      <c r="M269" t="n">
        <v>0</v>
      </c>
      <c r="N269" t="n">
        <v>0</v>
      </c>
      <c r="O269" t="n">
        <v>0</v>
      </c>
      <c r="P269" t="n">
        <v>0</v>
      </c>
      <c r="Q269" t="n">
        <v>1</v>
      </c>
      <c r="R269" s="2" t="inlineStr">
        <is>
          <t>Tvåblad</t>
        </is>
      </c>
      <c r="S269">
        <f>HYPERLINK("https://klasma.github.io/Logging_2281/artfynd/A 47245-2023 artfynd.xlsx", "A 47245-2023")</f>
        <v/>
      </c>
      <c r="T269">
        <f>HYPERLINK("https://klasma.github.io/Logging_2281/kartor/A 47245-2023 karta.png", "A 47245-2023")</f>
        <v/>
      </c>
      <c r="V269">
        <f>HYPERLINK("https://klasma.github.io/Logging_2281/klagomål/A 47245-2023 FSC-klagomål.docx", "A 47245-2023")</f>
        <v/>
      </c>
      <c r="W269">
        <f>HYPERLINK("https://klasma.github.io/Logging_2281/klagomålsmail/A 47245-2023 FSC-klagomål mail.docx", "A 47245-2023")</f>
        <v/>
      </c>
      <c r="X269">
        <f>HYPERLINK("https://klasma.github.io/Logging_2281/tillsyn/A 47245-2023 tillsynsbegäran.docx", "A 47245-2023")</f>
        <v/>
      </c>
      <c r="Y269">
        <f>HYPERLINK("https://klasma.github.io/Logging_2281/tillsynsmail/A 47245-2023 tillsynsbegäran mail.docx", "A 47245-2023")</f>
        <v/>
      </c>
    </row>
    <row r="270" ht="15" customHeight="1">
      <c r="A270" t="inlineStr">
        <is>
          <t>A 49863-2023</t>
        </is>
      </c>
      <c r="B270" s="1" t="n">
        <v>45212</v>
      </c>
      <c r="C270" s="1" t="n">
        <v>45845</v>
      </c>
      <c r="D270" t="inlineStr">
        <is>
          <t>VÄSTERNORRLANDS LÄN</t>
        </is>
      </c>
      <c r="E270" t="inlineStr">
        <is>
          <t>SUNDSVALL</t>
        </is>
      </c>
      <c r="F270" t="inlineStr">
        <is>
          <t>SCA</t>
        </is>
      </c>
      <c r="G270" t="n">
        <v>2.3</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49863-2023 artfynd.xlsx", "A 49863-2023")</f>
        <v/>
      </c>
      <c r="T270">
        <f>HYPERLINK("https://klasma.github.io/Logging_2281/kartor/A 49863-2023 karta.png", "A 49863-2023")</f>
        <v/>
      </c>
      <c r="V270">
        <f>HYPERLINK("https://klasma.github.io/Logging_2281/klagomål/A 49863-2023 FSC-klagomål.docx", "A 49863-2023")</f>
        <v/>
      </c>
      <c r="W270">
        <f>HYPERLINK("https://klasma.github.io/Logging_2281/klagomålsmail/A 49863-2023 FSC-klagomål mail.docx", "A 49863-2023")</f>
        <v/>
      </c>
      <c r="X270">
        <f>HYPERLINK("https://klasma.github.io/Logging_2281/tillsyn/A 49863-2023 tillsynsbegäran.docx", "A 49863-2023")</f>
        <v/>
      </c>
      <c r="Y270">
        <f>HYPERLINK("https://klasma.github.io/Logging_2281/tillsynsmail/A 49863-2023 tillsynsbegäran mail.docx", "A 49863-2023")</f>
        <v/>
      </c>
      <c r="Z270">
        <f>HYPERLINK("https://klasma.github.io/Logging_2281/fåglar/A 49863-2023 prioriterade fågelarter.docx", "A 49863-2023")</f>
        <v/>
      </c>
    </row>
    <row r="271" ht="15" customHeight="1">
      <c r="A271" t="inlineStr">
        <is>
          <t>A 50214-2023</t>
        </is>
      </c>
      <c r="B271" s="1" t="n">
        <v>45216</v>
      </c>
      <c r="C271" s="1" t="n">
        <v>45845</v>
      </c>
      <c r="D271" t="inlineStr">
        <is>
          <t>VÄSTERNORRLANDS LÄN</t>
        </is>
      </c>
      <c r="E271" t="inlineStr">
        <is>
          <t>SUNDSVALL</t>
        </is>
      </c>
      <c r="F271" t="inlineStr">
        <is>
          <t>SCA</t>
        </is>
      </c>
      <c r="G271" t="n">
        <v>5.7</v>
      </c>
      <c r="H271" t="n">
        <v>1</v>
      </c>
      <c r="I271" t="n">
        <v>0</v>
      </c>
      <c r="J271" t="n">
        <v>1</v>
      </c>
      <c r="K271" t="n">
        <v>0</v>
      </c>
      <c r="L271" t="n">
        <v>0</v>
      </c>
      <c r="M271" t="n">
        <v>0</v>
      </c>
      <c r="N271" t="n">
        <v>0</v>
      </c>
      <c r="O271" t="n">
        <v>1</v>
      </c>
      <c r="P271" t="n">
        <v>0</v>
      </c>
      <c r="Q271" t="n">
        <v>1</v>
      </c>
      <c r="R271" s="2" t="inlineStr">
        <is>
          <t>Spillkråka</t>
        </is>
      </c>
      <c r="S271">
        <f>HYPERLINK("https://klasma.github.io/Logging_2281/artfynd/A 50214-2023 artfynd.xlsx", "A 50214-2023")</f>
        <v/>
      </c>
      <c r="T271">
        <f>HYPERLINK("https://klasma.github.io/Logging_2281/kartor/A 50214-2023 karta.png", "A 50214-2023")</f>
        <v/>
      </c>
      <c r="V271">
        <f>HYPERLINK("https://klasma.github.io/Logging_2281/klagomål/A 50214-2023 FSC-klagomål.docx", "A 50214-2023")</f>
        <v/>
      </c>
      <c r="W271">
        <f>HYPERLINK("https://klasma.github.io/Logging_2281/klagomålsmail/A 50214-2023 FSC-klagomål mail.docx", "A 50214-2023")</f>
        <v/>
      </c>
      <c r="X271">
        <f>HYPERLINK("https://klasma.github.io/Logging_2281/tillsyn/A 50214-2023 tillsynsbegäran.docx", "A 50214-2023")</f>
        <v/>
      </c>
      <c r="Y271">
        <f>HYPERLINK("https://klasma.github.io/Logging_2281/tillsynsmail/A 50214-2023 tillsynsbegäran mail.docx", "A 50214-2023")</f>
        <v/>
      </c>
      <c r="Z271">
        <f>HYPERLINK("https://klasma.github.io/Logging_2281/fåglar/A 50214-2023 prioriterade fågelarter.docx", "A 50214-2023")</f>
        <v/>
      </c>
    </row>
    <row r="272" ht="15" customHeight="1">
      <c r="A272" t="inlineStr">
        <is>
          <t>A 50213-2023</t>
        </is>
      </c>
      <c r="B272" s="1" t="n">
        <v>45216</v>
      </c>
      <c r="C272" s="1" t="n">
        <v>45845</v>
      </c>
      <c r="D272" t="inlineStr">
        <is>
          <t>VÄSTERNORRLANDS LÄN</t>
        </is>
      </c>
      <c r="E272" t="inlineStr">
        <is>
          <t>SUNDSVALL</t>
        </is>
      </c>
      <c r="F272" t="inlineStr">
        <is>
          <t>SCA</t>
        </is>
      </c>
      <c r="G272" t="n">
        <v>10.9</v>
      </c>
      <c r="H272" t="n">
        <v>1</v>
      </c>
      <c r="I272" t="n">
        <v>0</v>
      </c>
      <c r="J272" t="n">
        <v>1</v>
      </c>
      <c r="K272" t="n">
        <v>0</v>
      </c>
      <c r="L272" t="n">
        <v>0</v>
      </c>
      <c r="M272" t="n">
        <v>0</v>
      </c>
      <c r="N272" t="n">
        <v>0</v>
      </c>
      <c r="O272" t="n">
        <v>1</v>
      </c>
      <c r="P272" t="n">
        <v>0</v>
      </c>
      <c r="Q272" t="n">
        <v>1</v>
      </c>
      <c r="R272" s="2" t="inlineStr">
        <is>
          <t>Talltita</t>
        </is>
      </c>
      <c r="S272">
        <f>HYPERLINK("https://klasma.github.io/Logging_2281/artfynd/A 50213-2023 artfynd.xlsx", "A 50213-2023")</f>
        <v/>
      </c>
      <c r="T272">
        <f>HYPERLINK("https://klasma.github.io/Logging_2281/kartor/A 50213-2023 karta.png", "A 50213-2023")</f>
        <v/>
      </c>
      <c r="V272">
        <f>HYPERLINK("https://klasma.github.io/Logging_2281/klagomål/A 50213-2023 FSC-klagomål.docx", "A 50213-2023")</f>
        <v/>
      </c>
      <c r="W272">
        <f>HYPERLINK("https://klasma.github.io/Logging_2281/klagomålsmail/A 50213-2023 FSC-klagomål mail.docx", "A 50213-2023")</f>
        <v/>
      </c>
      <c r="X272">
        <f>HYPERLINK("https://klasma.github.io/Logging_2281/tillsyn/A 50213-2023 tillsynsbegäran.docx", "A 50213-2023")</f>
        <v/>
      </c>
      <c r="Y272">
        <f>HYPERLINK("https://klasma.github.io/Logging_2281/tillsynsmail/A 50213-2023 tillsynsbegäran mail.docx", "A 50213-2023")</f>
        <v/>
      </c>
      <c r="Z272">
        <f>HYPERLINK("https://klasma.github.io/Logging_2281/fåglar/A 50213-2023 prioriterade fågelarter.docx", "A 50213-2023")</f>
        <v/>
      </c>
    </row>
    <row r="273" ht="15" customHeight="1">
      <c r="A273" t="inlineStr">
        <is>
          <t>A 51737-2023</t>
        </is>
      </c>
      <c r="B273" s="1" t="n">
        <v>45222</v>
      </c>
      <c r="C273" s="1" t="n">
        <v>45845</v>
      </c>
      <c r="D273" t="inlineStr">
        <is>
          <t>VÄSTERNORRLANDS LÄN</t>
        </is>
      </c>
      <c r="E273" t="inlineStr">
        <is>
          <t>SUNDSVALL</t>
        </is>
      </c>
      <c r="G273" t="n">
        <v>10.9</v>
      </c>
      <c r="H273" t="n">
        <v>0</v>
      </c>
      <c r="I273" t="n">
        <v>0</v>
      </c>
      <c r="J273" t="n">
        <v>1</v>
      </c>
      <c r="K273" t="n">
        <v>0</v>
      </c>
      <c r="L273" t="n">
        <v>0</v>
      </c>
      <c r="M273" t="n">
        <v>0</v>
      </c>
      <c r="N273" t="n">
        <v>0</v>
      </c>
      <c r="O273" t="n">
        <v>1</v>
      </c>
      <c r="P273" t="n">
        <v>0</v>
      </c>
      <c r="Q273" t="n">
        <v>1</v>
      </c>
      <c r="R273" s="2" t="inlineStr">
        <is>
          <t>Garnlav</t>
        </is>
      </c>
      <c r="S273">
        <f>HYPERLINK("https://klasma.github.io/Logging_2281/artfynd/A 51737-2023 artfynd.xlsx", "A 51737-2023")</f>
        <v/>
      </c>
      <c r="T273">
        <f>HYPERLINK("https://klasma.github.io/Logging_2281/kartor/A 51737-2023 karta.png", "A 51737-2023")</f>
        <v/>
      </c>
      <c r="V273">
        <f>HYPERLINK("https://klasma.github.io/Logging_2281/klagomål/A 51737-2023 FSC-klagomål.docx", "A 51737-2023")</f>
        <v/>
      </c>
      <c r="W273">
        <f>HYPERLINK("https://klasma.github.io/Logging_2281/klagomålsmail/A 51737-2023 FSC-klagomål mail.docx", "A 51737-2023")</f>
        <v/>
      </c>
      <c r="X273">
        <f>HYPERLINK("https://klasma.github.io/Logging_2281/tillsyn/A 51737-2023 tillsynsbegäran.docx", "A 51737-2023")</f>
        <v/>
      </c>
      <c r="Y273">
        <f>HYPERLINK("https://klasma.github.io/Logging_2281/tillsynsmail/A 51737-2023 tillsynsbegäran mail.docx", "A 51737-2023")</f>
        <v/>
      </c>
    </row>
    <row r="274" ht="15" customHeight="1">
      <c r="A274" t="inlineStr">
        <is>
          <t>A 54325-2023</t>
        </is>
      </c>
      <c r="B274" s="1" t="n">
        <v>45232</v>
      </c>
      <c r="C274" s="1" t="n">
        <v>45845</v>
      </c>
      <c r="D274" t="inlineStr">
        <is>
          <t>VÄSTERNORRLANDS LÄN</t>
        </is>
      </c>
      <c r="E274" t="inlineStr">
        <is>
          <t>SUNDSVALL</t>
        </is>
      </c>
      <c r="F274" t="inlineStr">
        <is>
          <t>SCA</t>
        </is>
      </c>
      <c r="G274" t="n">
        <v>5.7</v>
      </c>
      <c r="H274" t="n">
        <v>0</v>
      </c>
      <c r="I274" t="n">
        <v>0</v>
      </c>
      <c r="J274" t="n">
        <v>1</v>
      </c>
      <c r="K274" t="n">
        <v>0</v>
      </c>
      <c r="L274" t="n">
        <v>0</v>
      </c>
      <c r="M274" t="n">
        <v>0</v>
      </c>
      <c r="N274" t="n">
        <v>0</v>
      </c>
      <c r="O274" t="n">
        <v>1</v>
      </c>
      <c r="P274" t="n">
        <v>0</v>
      </c>
      <c r="Q274" t="n">
        <v>1</v>
      </c>
      <c r="R274" s="2" t="inlineStr">
        <is>
          <t>Igelkott</t>
        </is>
      </c>
      <c r="S274">
        <f>HYPERLINK("https://klasma.github.io/Logging_2281/artfynd/A 54325-2023 artfynd.xlsx", "A 54325-2023")</f>
        <v/>
      </c>
      <c r="T274">
        <f>HYPERLINK("https://klasma.github.io/Logging_2281/kartor/A 54325-2023 karta.png", "A 54325-2023")</f>
        <v/>
      </c>
      <c r="V274">
        <f>HYPERLINK("https://klasma.github.io/Logging_2281/klagomål/A 54325-2023 FSC-klagomål.docx", "A 54325-2023")</f>
        <v/>
      </c>
      <c r="W274">
        <f>HYPERLINK("https://klasma.github.io/Logging_2281/klagomålsmail/A 54325-2023 FSC-klagomål mail.docx", "A 54325-2023")</f>
        <v/>
      </c>
      <c r="X274">
        <f>HYPERLINK("https://klasma.github.io/Logging_2281/tillsyn/A 54325-2023 tillsynsbegäran.docx", "A 54325-2023")</f>
        <v/>
      </c>
      <c r="Y274">
        <f>HYPERLINK("https://klasma.github.io/Logging_2281/tillsynsmail/A 54325-2023 tillsynsbegäran mail.docx", "A 54325-2023")</f>
        <v/>
      </c>
    </row>
    <row r="275" ht="15" customHeight="1">
      <c r="A275" t="inlineStr">
        <is>
          <t>A 56698-2023</t>
        </is>
      </c>
      <c r="B275" s="1" t="n">
        <v>45244</v>
      </c>
      <c r="C275" s="1" t="n">
        <v>45845</v>
      </c>
      <c r="D275" t="inlineStr">
        <is>
          <t>VÄSTERNORRLANDS LÄN</t>
        </is>
      </c>
      <c r="E275" t="inlineStr">
        <is>
          <t>SUNDSVALL</t>
        </is>
      </c>
      <c r="F275" t="inlineStr">
        <is>
          <t>SCA</t>
        </is>
      </c>
      <c r="G275" t="n">
        <v>3.1</v>
      </c>
      <c r="H275" t="n">
        <v>0</v>
      </c>
      <c r="I275" t="n">
        <v>0</v>
      </c>
      <c r="J275" t="n">
        <v>1</v>
      </c>
      <c r="K275" t="n">
        <v>0</v>
      </c>
      <c r="L275" t="n">
        <v>0</v>
      </c>
      <c r="M275" t="n">
        <v>0</v>
      </c>
      <c r="N275" t="n">
        <v>0</v>
      </c>
      <c r="O275" t="n">
        <v>1</v>
      </c>
      <c r="P275" t="n">
        <v>0</v>
      </c>
      <c r="Q275" t="n">
        <v>1</v>
      </c>
      <c r="R275" s="2" t="inlineStr">
        <is>
          <t>Granticka</t>
        </is>
      </c>
      <c r="S275">
        <f>HYPERLINK("https://klasma.github.io/Logging_2281/artfynd/A 56698-2023 artfynd.xlsx", "A 56698-2023")</f>
        <v/>
      </c>
      <c r="T275">
        <f>HYPERLINK("https://klasma.github.io/Logging_2281/kartor/A 56698-2023 karta.png", "A 56698-2023")</f>
        <v/>
      </c>
      <c r="V275">
        <f>HYPERLINK("https://klasma.github.io/Logging_2281/klagomål/A 56698-2023 FSC-klagomål.docx", "A 56698-2023")</f>
        <v/>
      </c>
      <c r="W275">
        <f>HYPERLINK("https://klasma.github.io/Logging_2281/klagomålsmail/A 56698-2023 FSC-klagomål mail.docx", "A 56698-2023")</f>
        <v/>
      </c>
      <c r="X275">
        <f>HYPERLINK("https://klasma.github.io/Logging_2281/tillsyn/A 56698-2023 tillsynsbegäran.docx", "A 56698-2023")</f>
        <v/>
      </c>
      <c r="Y275">
        <f>HYPERLINK("https://klasma.github.io/Logging_2281/tillsynsmail/A 56698-2023 tillsynsbegäran mail.docx", "A 56698-2023")</f>
        <v/>
      </c>
    </row>
    <row r="276" ht="15" customHeight="1">
      <c r="A276" t="inlineStr">
        <is>
          <t>A 58470-2023</t>
        </is>
      </c>
      <c r="B276" s="1" t="n">
        <v>45250</v>
      </c>
      <c r="C276" s="1" t="n">
        <v>45845</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59870-2023</t>
        </is>
      </c>
      <c r="B277" s="1" t="n">
        <v>45254</v>
      </c>
      <c r="C277" s="1" t="n">
        <v>45845</v>
      </c>
      <c r="D277" t="inlineStr">
        <is>
          <t>VÄSTERNORRLANDS LÄN</t>
        </is>
      </c>
      <c r="E277" t="inlineStr">
        <is>
          <t>SUNDSVALL</t>
        </is>
      </c>
      <c r="G277" t="n">
        <v>3.2</v>
      </c>
      <c r="H277" t="n">
        <v>0</v>
      </c>
      <c r="I277" t="n">
        <v>0</v>
      </c>
      <c r="J277" t="n">
        <v>1</v>
      </c>
      <c r="K277" t="n">
        <v>0</v>
      </c>
      <c r="L277" t="n">
        <v>0</v>
      </c>
      <c r="M277" t="n">
        <v>0</v>
      </c>
      <c r="N277" t="n">
        <v>0</v>
      </c>
      <c r="O277" t="n">
        <v>1</v>
      </c>
      <c r="P277" t="n">
        <v>0</v>
      </c>
      <c r="Q277" t="n">
        <v>1</v>
      </c>
      <c r="R277" s="2" t="inlineStr">
        <is>
          <t>Lunglav</t>
        </is>
      </c>
      <c r="S277">
        <f>HYPERLINK("https://klasma.github.io/Logging_2281/artfynd/A 59870-2023 artfynd.xlsx", "A 59870-2023")</f>
        <v/>
      </c>
      <c r="T277">
        <f>HYPERLINK("https://klasma.github.io/Logging_2281/kartor/A 59870-2023 karta.png", "A 59870-2023")</f>
        <v/>
      </c>
      <c r="V277">
        <f>HYPERLINK("https://klasma.github.io/Logging_2281/klagomål/A 59870-2023 FSC-klagomål.docx", "A 59870-2023")</f>
        <v/>
      </c>
      <c r="W277">
        <f>HYPERLINK("https://klasma.github.io/Logging_2281/klagomålsmail/A 59870-2023 FSC-klagomål mail.docx", "A 59870-2023")</f>
        <v/>
      </c>
      <c r="X277">
        <f>HYPERLINK("https://klasma.github.io/Logging_2281/tillsyn/A 59870-2023 tillsynsbegäran.docx", "A 59870-2023")</f>
        <v/>
      </c>
      <c r="Y277">
        <f>HYPERLINK("https://klasma.github.io/Logging_2281/tillsynsmail/A 59870-2023 tillsynsbegäran mail.docx", "A 59870-2023")</f>
        <v/>
      </c>
    </row>
    <row r="278" ht="15" customHeight="1">
      <c r="A278" t="inlineStr">
        <is>
          <t>A 64483-2023</t>
        </is>
      </c>
      <c r="B278" s="1" t="n">
        <v>45280</v>
      </c>
      <c r="C278" s="1" t="n">
        <v>45845</v>
      </c>
      <c r="D278" t="inlineStr">
        <is>
          <t>VÄSTERNORRLANDS LÄN</t>
        </is>
      </c>
      <c r="E278" t="inlineStr">
        <is>
          <t>SUNDSVALL</t>
        </is>
      </c>
      <c r="G278" t="n">
        <v>1.5</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64483-2023 artfynd.xlsx", "A 64483-2023")</f>
        <v/>
      </c>
      <c r="T278">
        <f>HYPERLINK("https://klasma.github.io/Logging_2281/kartor/A 64483-2023 karta.png", "A 64483-2023")</f>
        <v/>
      </c>
      <c r="V278">
        <f>HYPERLINK("https://klasma.github.io/Logging_2281/klagomål/A 64483-2023 FSC-klagomål.docx", "A 64483-2023")</f>
        <v/>
      </c>
      <c r="W278">
        <f>HYPERLINK("https://klasma.github.io/Logging_2281/klagomålsmail/A 64483-2023 FSC-klagomål mail.docx", "A 64483-2023")</f>
        <v/>
      </c>
      <c r="X278">
        <f>HYPERLINK("https://klasma.github.io/Logging_2281/tillsyn/A 64483-2023 tillsynsbegäran.docx", "A 64483-2023")</f>
        <v/>
      </c>
      <c r="Y278">
        <f>HYPERLINK("https://klasma.github.io/Logging_2281/tillsynsmail/A 64483-2023 tillsynsbegäran mail.docx", "A 64483-2023")</f>
        <v/>
      </c>
      <c r="Z278">
        <f>HYPERLINK("https://klasma.github.io/Logging_2281/fåglar/A 64483-2023 prioriterade fågelarter.docx", "A 64483-2023")</f>
        <v/>
      </c>
    </row>
    <row r="279" ht="15" customHeight="1">
      <c r="A279" t="inlineStr">
        <is>
          <t>A 233-2024</t>
        </is>
      </c>
      <c r="B279" s="1" t="n">
        <v>45294</v>
      </c>
      <c r="C279" s="1" t="n">
        <v>45845</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1058-2024</t>
        </is>
      </c>
      <c r="B280" s="1" t="n">
        <v>45301</v>
      </c>
      <c r="C280" s="1" t="n">
        <v>45845</v>
      </c>
      <c r="D280" t="inlineStr">
        <is>
          <t>VÄSTERNORRLANDS LÄN</t>
        </is>
      </c>
      <c r="E280" t="inlineStr">
        <is>
          <t>SUNDSVALL</t>
        </is>
      </c>
      <c r="F280" t="inlineStr">
        <is>
          <t>SCA</t>
        </is>
      </c>
      <c r="G280" t="n">
        <v>8</v>
      </c>
      <c r="H280" t="n">
        <v>0</v>
      </c>
      <c r="I280" t="n">
        <v>0</v>
      </c>
      <c r="J280" t="n">
        <v>1</v>
      </c>
      <c r="K280" t="n">
        <v>0</v>
      </c>
      <c r="L280" t="n">
        <v>0</v>
      </c>
      <c r="M280" t="n">
        <v>0</v>
      </c>
      <c r="N280" t="n">
        <v>0</v>
      </c>
      <c r="O280" t="n">
        <v>1</v>
      </c>
      <c r="P280" t="n">
        <v>0</v>
      </c>
      <c r="Q280" t="n">
        <v>1</v>
      </c>
      <c r="R280" s="2" t="inlineStr">
        <is>
          <t>Garnlav</t>
        </is>
      </c>
      <c r="S280">
        <f>HYPERLINK("https://klasma.github.io/Logging_2281/artfynd/A 1058-2024 artfynd.xlsx", "A 1058-2024")</f>
        <v/>
      </c>
      <c r="T280">
        <f>HYPERLINK("https://klasma.github.io/Logging_2281/kartor/A 1058-2024 karta.png", "A 1058-2024")</f>
        <v/>
      </c>
      <c r="V280">
        <f>HYPERLINK("https://klasma.github.io/Logging_2281/klagomål/A 1058-2024 FSC-klagomål.docx", "A 1058-2024")</f>
        <v/>
      </c>
      <c r="W280">
        <f>HYPERLINK("https://klasma.github.io/Logging_2281/klagomålsmail/A 1058-2024 FSC-klagomål mail.docx", "A 1058-2024")</f>
        <v/>
      </c>
      <c r="X280">
        <f>HYPERLINK("https://klasma.github.io/Logging_2281/tillsyn/A 1058-2024 tillsynsbegäran.docx", "A 1058-2024")</f>
        <v/>
      </c>
      <c r="Y280">
        <f>HYPERLINK("https://klasma.github.io/Logging_2281/tillsynsmail/A 1058-2024 tillsynsbegäran mail.docx", "A 1058-2024")</f>
        <v/>
      </c>
    </row>
    <row r="281" ht="15" customHeight="1">
      <c r="A281" t="inlineStr">
        <is>
          <t>A 3819-2024</t>
        </is>
      </c>
      <c r="B281" s="1" t="n">
        <v>45321</v>
      </c>
      <c r="C281" s="1" t="n">
        <v>45845</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6629-2024</t>
        </is>
      </c>
      <c r="B282" s="1" t="n">
        <v>45341</v>
      </c>
      <c r="C282" s="1" t="n">
        <v>45845</v>
      </c>
      <c r="D282" t="inlineStr">
        <is>
          <t>VÄSTERNORRLANDS LÄN</t>
        </is>
      </c>
      <c r="E282" t="inlineStr">
        <is>
          <t>SUNDSVALL</t>
        </is>
      </c>
      <c r="G282" t="n">
        <v>0.7</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6629-2024 artfynd.xlsx", "A 6629-2024")</f>
        <v/>
      </c>
      <c r="T282">
        <f>HYPERLINK("https://klasma.github.io/Logging_2281/kartor/A 6629-2024 karta.png", "A 6629-2024")</f>
        <v/>
      </c>
      <c r="V282">
        <f>HYPERLINK("https://klasma.github.io/Logging_2281/klagomål/A 6629-2024 FSC-klagomål.docx", "A 6629-2024")</f>
        <v/>
      </c>
      <c r="W282">
        <f>HYPERLINK("https://klasma.github.io/Logging_2281/klagomålsmail/A 6629-2024 FSC-klagomål mail.docx", "A 6629-2024")</f>
        <v/>
      </c>
      <c r="X282">
        <f>HYPERLINK("https://klasma.github.io/Logging_2281/tillsyn/A 6629-2024 tillsynsbegäran.docx", "A 6629-2024")</f>
        <v/>
      </c>
      <c r="Y282">
        <f>HYPERLINK("https://klasma.github.io/Logging_2281/tillsynsmail/A 6629-2024 tillsynsbegäran mail.docx", "A 6629-2024")</f>
        <v/>
      </c>
      <c r="Z282">
        <f>HYPERLINK("https://klasma.github.io/Logging_2281/fåglar/A 6629-2024 prioriterade fågelarter.docx", "A 6629-2024")</f>
        <v/>
      </c>
    </row>
    <row r="283" ht="15" customHeight="1">
      <c r="A283" t="inlineStr">
        <is>
          <t>A 6897-2024</t>
        </is>
      </c>
      <c r="B283" s="1" t="n">
        <v>45342</v>
      </c>
      <c r="C283" s="1" t="n">
        <v>45845</v>
      </c>
      <c r="D283" t="inlineStr">
        <is>
          <t>VÄSTERNORRLANDS LÄN</t>
        </is>
      </c>
      <c r="E283" t="inlineStr">
        <is>
          <t>SUNDSVALL</t>
        </is>
      </c>
      <c r="G283" t="n">
        <v>22.7</v>
      </c>
      <c r="H283" t="n">
        <v>1</v>
      </c>
      <c r="I283" t="n">
        <v>0</v>
      </c>
      <c r="J283" t="n">
        <v>1</v>
      </c>
      <c r="K283" t="n">
        <v>0</v>
      </c>
      <c r="L283" t="n">
        <v>0</v>
      </c>
      <c r="M283" t="n">
        <v>0</v>
      </c>
      <c r="N283" t="n">
        <v>0</v>
      </c>
      <c r="O283" t="n">
        <v>1</v>
      </c>
      <c r="P283" t="n">
        <v>0</v>
      </c>
      <c r="Q283" t="n">
        <v>1</v>
      </c>
      <c r="R283" s="2" t="inlineStr">
        <is>
          <t>Utter</t>
        </is>
      </c>
      <c r="S283">
        <f>HYPERLINK("https://klasma.github.io/Logging_2281/artfynd/A 6897-2024 artfynd.xlsx", "A 6897-2024")</f>
        <v/>
      </c>
      <c r="T283">
        <f>HYPERLINK("https://klasma.github.io/Logging_2281/kartor/A 6897-2024 karta.png", "A 6897-2024")</f>
        <v/>
      </c>
      <c r="V283">
        <f>HYPERLINK("https://klasma.github.io/Logging_2281/klagomål/A 6897-2024 FSC-klagomål.docx", "A 6897-2024")</f>
        <v/>
      </c>
      <c r="W283">
        <f>HYPERLINK("https://klasma.github.io/Logging_2281/klagomålsmail/A 6897-2024 FSC-klagomål mail.docx", "A 6897-2024")</f>
        <v/>
      </c>
      <c r="X283">
        <f>HYPERLINK("https://klasma.github.io/Logging_2281/tillsyn/A 6897-2024 tillsynsbegäran.docx", "A 6897-2024")</f>
        <v/>
      </c>
      <c r="Y283">
        <f>HYPERLINK("https://klasma.github.io/Logging_2281/tillsynsmail/A 6897-2024 tillsynsbegäran mail.docx", "A 6897-2024")</f>
        <v/>
      </c>
    </row>
    <row r="284" ht="15" customHeight="1">
      <c r="A284" t="inlineStr">
        <is>
          <t>A 11681-2024</t>
        </is>
      </c>
      <c r="B284" s="1" t="n">
        <v>45373</v>
      </c>
      <c r="C284" s="1" t="n">
        <v>45845</v>
      </c>
      <c r="D284" t="inlineStr">
        <is>
          <t>VÄSTERNORRLANDS LÄN</t>
        </is>
      </c>
      <c r="E284" t="inlineStr">
        <is>
          <t>SUNDSVALL</t>
        </is>
      </c>
      <c r="F284" t="inlineStr">
        <is>
          <t>Holmen skog AB</t>
        </is>
      </c>
      <c r="G284" t="n">
        <v>9</v>
      </c>
      <c r="H284" t="n">
        <v>1</v>
      </c>
      <c r="I284" t="n">
        <v>0</v>
      </c>
      <c r="J284" t="n">
        <v>0</v>
      </c>
      <c r="K284" t="n">
        <v>0</v>
      </c>
      <c r="L284" t="n">
        <v>0</v>
      </c>
      <c r="M284" t="n">
        <v>0</v>
      </c>
      <c r="N284" t="n">
        <v>0</v>
      </c>
      <c r="O284" t="n">
        <v>0</v>
      </c>
      <c r="P284" t="n">
        <v>0</v>
      </c>
      <c r="Q284" t="n">
        <v>1</v>
      </c>
      <c r="R284" s="2" t="inlineStr">
        <is>
          <t>Tjäder</t>
        </is>
      </c>
      <c r="S284">
        <f>HYPERLINK("https://klasma.github.io/Logging_2281/artfynd/A 11681-2024 artfynd.xlsx", "A 11681-2024")</f>
        <v/>
      </c>
      <c r="T284">
        <f>HYPERLINK("https://klasma.github.io/Logging_2281/kartor/A 11681-2024 karta.png", "A 11681-2024")</f>
        <v/>
      </c>
      <c r="V284">
        <f>HYPERLINK("https://klasma.github.io/Logging_2281/klagomål/A 11681-2024 FSC-klagomål.docx", "A 11681-2024")</f>
        <v/>
      </c>
      <c r="W284">
        <f>HYPERLINK("https://klasma.github.io/Logging_2281/klagomålsmail/A 11681-2024 FSC-klagomål mail.docx", "A 11681-2024")</f>
        <v/>
      </c>
      <c r="X284">
        <f>HYPERLINK("https://klasma.github.io/Logging_2281/tillsyn/A 11681-2024 tillsynsbegäran.docx", "A 11681-2024")</f>
        <v/>
      </c>
      <c r="Y284">
        <f>HYPERLINK("https://klasma.github.io/Logging_2281/tillsynsmail/A 11681-2024 tillsynsbegäran mail.docx", "A 11681-2024")</f>
        <v/>
      </c>
      <c r="Z284">
        <f>HYPERLINK("https://klasma.github.io/Logging_2281/fåglar/A 11681-2024 prioriterade fågelarter.docx", "A 11681-2024")</f>
        <v/>
      </c>
    </row>
    <row r="285" ht="15" customHeight="1">
      <c r="A285" t="inlineStr">
        <is>
          <t>A 15151-2024</t>
        </is>
      </c>
      <c r="B285" s="1" t="n">
        <v>45400</v>
      </c>
      <c r="C285" s="1" t="n">
        <v>45845</v>
      </c>
      <c r="D285" t="inlineStr">
        <is>
          <t>VÄSTERNORRLANDS LÄN</t>
        </is>
      </c>
      <c r="E285" t="inlineStr">
        <is>
          <t>SUNDSVALL</t>
        </is>
      </c>
      <c r="F285" t="inlineStr">
        <is>
          <t>Naturvårdsverket</t>
        </is>
      </c>
      <c r="G285" t="n">
        <v>17.2</v>
      </c>
      <c r="H285" t="n">
        <v>1</v>
      </c>
      <c r="I285" t="n">
        <v>0</v>
      </c>
      <c r="J285" t="n">
        <v>0</v>
      </c>
      <c r="K285" t="n">
        <v>1</v>
      </c>
      <c r="L285" t="n">
        <v>0</v>
      </c>
      <c r="M285" t="n">
        <v>0</v>
      </c>
      <c r="N285" t="n">
        <v>0</v>
      </c>
      <c r="O285" t="n">
        <v>1</v>
      </c>
      <c r="P285" t="n">
        <v>1</v>
      </c>
      <c r="Q285" t="n">
        <v>1</v>
      </c>
      <c r="R285" s="2" t="inlineStr">
        <is>
          <t>Knärot</t>
        </is>
      </c>
      <c r="S285">
        <f>HYPERLINK("https://klasma.github.io/Logging_2281/artfynd/A 15151-2024 artfynd.xlsx", "A 15151-2024")</f>
        <v/>
      </c>
      <c r="T285">
        <f>HYPERLINK("https://klasma.github.io/Logging_2281/kartor/A 15151-2024 karta.png", "A 15151-2024")</f>
        <v/>
      </c>
      <c r="U285">
        <f>HYPERLINK("https://klasma.github.io/Logging_2281/knärot/A 15151-2024 karta knärot.png", "A 15151-2024")</f>
        <v/>
      </c>
      <c r="V285">
        <f>HYPERLINK("https://klasma.github.io/Logging_2281/klagomål/A 15151-2024 FSC-klagomål.docx", "A 15151-2024")</f>
        <v/>
      </c>
      <c r="W285">
        <f>HYPERLINK("https://klasma.github.io/Logging_2281/klagomålsmail/A 15151-2024 FSC-klagomål mail.docx", "A 15151-2024")</f>
        <v/>
      </c>
      <c r="X285">
        <f>HYPERLINK("https://klasma.github.io/Logging_2281/tillsyn/A 15151-2024 tillsynsbegäran.docx", "A 15151-2024")</f>
        <v/>
      </c>
      <c r="Y285">
        <f>HYPERLINK("https://klasma.github.io/Logging_2281/tillsynsmail/A 15151-2024 tillsynsbegäran mail.docx", "A 15151-2024")</f>
        <v/>
      </c>
    </row>
    <row r="286" ht="15" customHeight="1">
      <c r="A286" t="inlineStr">
        <is>
          <t>A 15376-2024</t>
        </is>
      </c>
      <c r="B286" s="1" t="n">
        <v>45400</v>
      </c>
      <c r="C286" s="1" t="n">
        <v>45845</v>
      </c>
      <c r="D286" t="inlineStr">
        <is>
          <t>VÄSTERNORRLANDS LÄN</t>
        </is>
      </c>
      <c r="E286" t="inlineStr">
        <is>
          <t>SUNDSVALL</t>
        </is>
      </c>
      <c r="F286" t="inlineStr">
        <is>
          <t>Naturvårdsverket</t>
        </is>
      </c>
      <c r="G286" t="n">
        <v>1.2</v>
      </c>
      <c r="H286" t="n">
        <v>0</v>
      </c>
      <c r="I286" t="n">
        <v>0</v>
      </c>
      <c r="J286" t="n">
        <v>1</v>
      </c>
      <c r="K286" t="n">
        <v>0</v>
      </c>
      <c r="L286" t="n">
        <v>0</v>
      </c>
      <c r="M286" t="n">
        <v>0</v>
      </c>
      <c r="N286" t="n">
        <v>0</v>
      </c>
      <c r="O286" t="n">
        <v>1</v>
      </c>
      <c r="P286" t="n">
        <v>0</v>
      </c>
      <c r="Q286" t="n">
        <v>1</v>
      </c>
      <c r="R286" s="2" t="inlineStr">
        <is>
          <t>Granticka</t>
        </is>
      </c>
      <c r="S286">
        <f>HYPERLINK("https://klasma.github.io/Logging_2281/artfynd/A 15376-2024 artfynd.xlsx", "A 15376-2024")</f>
        <v/>
      </c>
      <c r="T286">
        <f>HYPERLINK("https://klasma.github.io/Logging_2281/kartor/A 15376-2024 karta.png", "A 15376-2024")</f>
        <v/>
      </c>
      <c r="V286">
        <f>HYPERLINK("https://klasma.github.io/Logging_2281/klagomål/A 15376-2024 FSC-klagomål.docx", "A 15376-2024")</f>
        <v/>
      </c>
      <c r="W286">
        <f>HYPERLINK("https://klasma.github.io/Logging_2281/klagomålsmail/A 15376-2024 FSC-klagomål mail.docx", "A 15376-2024")</f>
        <v/>
      </c>
      <c r="X286">
        <f>HYPERLINK("https://klasma.github.io/Logging_2281/tillsyn/A 15376-2024 tillsynsbegäran.docx", "A 15376-2024")</f>
        <v/>
      </c>
      <c r="Y286">
        <f>HYPERLINK("https://klasma.github.io/Logging_2281/tillsynsmail/A 15376-2024 tillsynsbegäran mail.docx", "A 15376-2024")</f>
        <v/>
      </c>
    </row>
    <row r="287" ht="15" customHeight="1">
      <c r="A287" t="inlineStr">
        <is>
          <t>A 20277-2024</t>
        </is>
      </c>
      <c r="B287" s="1" t="n">
        <v>45434</v>
      </c>
      <c r="C287" s="1" t="n">
        <v>45845</v>
      </c>
      <c r="D287" t="inlineStr">
        <is>
          <t>VÄSTERNORRLANDS LÄN</t>
        </is>
      </c>
      <c r="E287" t="inlineStr">
        <is>
          <t>SUNDSVALL</t>
        </is>
      </c>
      <c r="F287" t="inlineStr">
        <is>
          <t>SCA</t>
        </is>
      </c>
      <c r="G287" t="n">
        <v>2.6</v>
      </c>
      <c r="H287" t="n">
        <v>0</v>
      </c>
      <c r="I287" t="n">
        <v>1</v>
      </c>
      <c r="J287" t="n">
        <v>0</v>
      </c>
      <c r="K287" t="n">
        <v>0</v>
      </c>
      <c r="L287" t="n">
        <v>0</v>
      </c>
      <c r="M287" t="n">
        <v>0</v>
      </c>
      <c r="N287" t="n">
        <v>0</v>
      </c>
      <c r="O287" t="n">
        <v>0</v>
      </c>
      <c r="P287" t="n">
        <v>0</v>
      </c>
      <c r="Q287" t="n">
        <v>1</v>
      </c>
      <c r="R287" s="2" t="inlineStr">
        <is>
          <t>Vedticka</t>
        </is>
      </c>
      <c r="S287">
        <f>HYPERLINK("https://klasma.github.io/Logging_2281/artfynd/A 20277-2024 artfynd.xlsx", "A 20277-2024")</f>
        <v/>
      </c>
      <c r="T287">
        <f>HYPERLINK("https://klasma.github.io/Logging_2281/kartor/A 20277-2024 karta.png", "A 20277-2024")</f>
        <v/>
      </c>
      <c r="V287">
        <f>HYPERLINK("https://klasma.github.io/Logging_2281/klagomål/A 20277-2024 FSC-klagomål.docx", "A 20277-2024")</f>
        <v/>
      </c>
      <c r="W287">
        <f>HYPERLINK("https://klasma.github.io/Logging_2281/klagomålsmail/A 20277-2024 FSC-klagomål mail.docx", "A 20277-2024")</f>
        <v/>
      </c>
      <c r="X287">
        <f>HYPERLINK("https://klasma.github.io/Logging_2281/tillsyn/A 20277-2024 tillsynsbegäran.docx", "A 20277-2024")</f>
        <v/>
      </c>
      <c r="Y287">
        <f>HYPERLINK("https://klasma.github.io/Logging_2281/tillsynsmail/A 20277-2024 tillsynsbegäran mail.docx", "A 20277-2024")</f>
        <v/>
      </c>
    </row>
    <row r="288" ht="15" customHeight="1">
      <c r="A288" t="inlineStr">
        <is>
          <t>A 20517-2024</t>
        </is>
      </c>
      <c r="B288" s="1" t="n">
        <v>45435</v>
      </c>
      <c r="C288" s="1" t="n">
        <v>45845</v>
      </c>
      <c r="D288" t="inlineStr">
        <is>
          <t>VÄSTERNORRLANDS LÄN</t>
        </is>
      </c>
      <c r="E288" t="inlineStr">
        <is>
          <t>SUNDSVALL</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HYPERLINK("https://klasma.github.io/Logging_2281/artfynd/A 20517-2024 artfynd.xlsx", "A 20517-2024")</f>
        <v/>
      </c>
      <c r="T288">
        <f>HYPERLINK("https://klasma.github.io/Logging_2281/kartor/A 20517-2024 karta.png", "A 20517-2024")</f>
        <v/>
      </c>
      <c r="V288">
        <f>HYPERLINK("https://klasma.github.io/Logging_2281/klagomål/A 20517-2024 FSC-klagomål.docx", "A 20517-2024")</f>
        <v/>
      </c>
      <c r="W288">
        <f>HYPERLINK("https://klasma.github.io/Logging_2281/klagomålsmail/A 20517-2024 FSC-klagomål mail.docx", "A 20517-2024")</f>
        <v/>
      </c>
      <c r="X288">
        <f>HYPERLINK("https://klasma.github.io/Logging_2281/tillsyn/A 20517-2024 tillsynsbegäran.docx", "A 20517-2024")</f>
        <v/>
      </c>
      <c r="Y288">
        <f>HYPERLINK("https://klasma.github.io/Logging_2281/tillsynsmail/A 20517-2024 tillsynsbegäran mail.docx", "A 20517-2024")</f>
        <v/>
      </c>
    </row>
    <row r="289" ht="15" customHeight="1">
      <c r="A289" t="inlineStr">
        <is>
          <t>A 25380-2024</t>
        </is>
      </c>
      <c r="B289" s="1" t="n">
        <v>45463</v>
      </c>
      <c r="C289" s="1" t="n">
        <v>45845</v>
      </c>
      <c r="D289" t="inlineStr">
        <is>
          <t>VÄSTERNORRLANDS LÄN</t>
        </is>
      </c>
      <c r="E289" t="inlineStr">
        <is>
          <t>SUNDSVALL</t>
        </is>
      </c>
      <c r="F289" t="inlineStr">
        <is>
          <t>SCA</t>
        </is>
      </c>
      <c r="G289" t="n">
        <v>3.3</v>
      </c>
      <c r="H289" t="n">
        <v>1</v>
      </c>
      <c r="I289" t="n">
        <v>0</v>
      </c>
      <c r="J289" t="n">
        <v>1</v>
      </c>
      <c r="K289" t="n">
        <v>0</v>
      </c>
      <c r="L289" t="n">
        <v>0</v>
      </c>
      <c r="M289" t="n">
        <v>0</v>
      </c>
      <c r="N289" t="n">
        <v>0</v>
      </c>
      <c r="O289" t="n">
        <v>1</v>
      </c>
      <c r="P289" t="n">
        <v>0</v>
      </c>
      <c r="Q289" t="n">
        <v>1</v>
      </c>
      <c r="R289" s="2" t="inlineStr">
        <is>
          <t>Nordfladdermus</t>
        </is>
      </c>
      <c r="S289">
        <f>HYPERLINK("https://klasma.github.io/Logging_2281/artfynd/A 25380-2024 artfynd.xlsx", "A 25380-2024")</f>
        <v/>
      </c>
      <c r="T289">
        <f>HYPERLINK("https://klasma.github.io/Logging_2281/kartor/A 25380-2024 karta.png", "A 25380-2024")</f>
        <v/>
      </c>
      <c r="V289">
        <f>HYPERLINK("https://klasma.github.io/Logging_2281/klagomål/A 25380-2024 FSC-klagomål.docx", "A 25380-2024")</f>
        <v/>
      </c>
      <c r="W289">
        <f>HYPERLINK("https://klasma.github.io/Logging_2281/klagomålsmail/A 25380-2024 FSC-klagomål mail.docx", "A 25380-2024")</f>
        <v/>
      </c>
      <c r="X289">
        <f>HYPERLINK("https://klasma.github.io/Logging_2281/tillsyn/A 25380-2024 tillsynsbegäran.docx", "A 25380-2024")</f>
        <v/>
      </c>
      <c r="Y289">
        <f>HYPERLINK("https://klasma.github.io/Logging_2281/tillsynsmail/A 25380-2024 tillsynsbegäran mail.docx", "A 25380-2024")</f>
        <v/>
      </c>
    </row>
    <row r="290" ht="15" customHeight="1">
      <c r="A290" t="inlineStr">
        <is>
          <t>A 26080-2024</t>
        </is>
      </c>
      <c r="B290" s="1" t="n">
        <v>45468</v>
      </c>
      <c r="C290" s="1" t="n">
        <v>45845</v>
      </c>
      <c r="D290" t="inlineStr">
        <is>
          <t>VÄSTERNORRLANDS LÄN</t>
        </is>
      </c>
      <c r="E290" t="inlineStr">
        <is>
          <t>SUNDSVALL</t>
        </is>
      </c>
      <c r="G290" t="n">
        <v>18.8</v>
      </c>
      <c r="H290" t="n">
        <v>0</v>
      </c>
      <c r="I290" t="n">
        <v>0</v>
      </c>
      <c r="J290" t="n">
        <v>1</v>
      </c>
      <c r="K290" t="n">
        <v>0</v>
      </c>
      <c r="L290" t="n">
        <v>0</v>
      </c>
      <c r="M290" t="n">
        <v>0</v>
      </c>
      <c r="N290" t="n">
        <v>0</v>
      </c>
      <c r="O290" t="n">
        <v>1</v>
      </c>
      <c r="P290" t="n">
        <v>0</v>
      </c>
      <c r="Q290" t="n">
        <v>1</v>
      </c>
      <c r="R290" s="2" t="inlineStr">
        <is>
          <t>Lunglav</t>
        </is>
      </c>
      <c r="S290">
        <f>HYPERLINK("https://klasma.github.io/Logging_2281/artfynd/A 26080-2024 artfynd.xlsx", "A 26080-2024")</f>
        <v/>
      </c>
      <c r="T290">
        <f>HYPERLINK("https://klasma.github.io/Logging_2281/kartor/A 26080-2024 karta.png", "A 26080-2024")</f>
        <v/>
      </c>
      <c r="V290">
        <f>HYPERLINK("https://klasma.github.io/Logging_2281/klagomål/A 26080-2024 FSC-klagomål.docx", "A 26080-2024")</f>
        <v/>
      </c>
      <c r="W290">
        <f>HYPERLINK("https://klasma.github.io/Logging_2281/klagomålsmail/A 26080-2024 FSC-klagomål mail.docx", "A 26080-2024")</f>
        <v/>
      </c>
      <c r="X290">
        <f>HYPERLINK("https://klasma.github.io/Logging_2281/tillsyn/A 26080-2024 tillsynsbegäran.docx", "A 26080-2024")</f>
        <v/>
      </c>
      <c r="Y290">
        <f>HYPERLINK("https://klasma.github.io/Logging_2281/tillsynsmail/A 26080-2024 tillsynsbegäran mail.docx", "A 26080-2024")</f>
        <v/>
      </c>
    </row>
    <row r="291" ht="15" customHeight="1">
      <c r="A291" t="inlineStr">
        <is>
          <t>A 27320-2024</t>
        </is>
      </c>
      <c r="B291" s="1" t="n">
        <v>45471</v>
      </c>
      <c r="C291" s="1" t="n">
        <v>45845</v>
      </c>
      <c r="D291" t="inlineStr">
        <is>
          <t>VÄSTERNORRLANDS LÄN</t>
        </is>
      </c>
      <c r="E291" t="inlineStr">
        <is>
          <t>SUNDSVALL</t>
        </is>
      </c>
      <c r="F291" t="inlineStr">
        <is>
          <t>SCA</t>
        </is>
      </c>
      <c r="G291" t="n">
        <v>4</v>
      </c>
      <c r="H291" t="n">
        <v>0</v>
      </c>
      <c r="I291" t="n">
        <v>0</v>
      </c>
      <c r="J291" t="n">
        <v>1</v>
      </c>
      <c r="K291" t="n">
        <v>0</v>
      </c>
      <c r="L291" t="n">
        <v>0</v>
      </c>
      <c r="M291" t="n">
        <v>0</v>
      </c>
      <c r="N291" t="n">
        <v>0</v>
      </c>
      <c r="O291" t="n">
        <v>1</v>
      </c>
      <c r="P291" t="n">
        <v>0</v>
      </c>
      <c r="Q291" t="n">
        <v>1</v>
      </c>
      <c r="R291" s="2" t="inlineStr">
        <is>
          <t>Småflikig brosklav</t>
        </is>
      </c>
      <c r="S291">
        <f>HYPERLINK("https://klasma.github.io/Logging_2281/artfynd/A 27320-2024 artfynd.xlsx", "A 27320-2024")</f>
        <v/>
      </c>
      <c r="T291">
        <f>HYPERLINK("https://klasma.github.io/Logging_2281/kartor/A 27320-2024 karta.png", "A 27320-2024")</f>
        <v/>
      </c>
      <c r="V291">
        <f>HYPERLINK("https://klasma.github.io/Logging_2281/klagomål/A 27320-2024 FSC-klagomål.docx", "A 27320-2024")</f>
        <v/>
      </c>
      <c r="W291">
        <f>HYPERLINK("https://klasma.github.io/Logging_2281/klagomålsmail/A 27320-2024 FSC-klagomål mail.docx", "A 27320-2024")</f>
        <v/>
      </c>
      <c r="X291">
        <f>HYPERLINK("https://klasma.github.io/Logging_2281/tillsyn/A 27320-2024 tillsynsbegäran.docx", "A 27320-2024")</f>
        <v/>
      </c>
      <c r="Y291">
        <f>HYPERLINK("https://klasma.github.io/Logging_2281/tillsynsmail/A 27320-2024 tillsynsbegäran mail.docx", "A 27320-2024")</f>
        <v/>
      </c>
    </row>
    <row r="292" ht="15" customHeight="1">
      <c r="A292" t="inlineStr">
        <is>
          <t>A 31438-2024</t>
        </is>
      </c>
      <c r="B292" s="1" t="n">
        <v>45505</v>
      </c>
      <c r="C292" s="1" t="n">
        <v>45845</v>
      </c>
      <c r="D292" t="inlineStr">
        <is>
          <t>VÄSTERNORRLANDS LÄN</t>
        </is>
      </c>
      <c r="E292" t="inlineStr">
        <is>
          <t>SUNDSVALL</t>
        </is>
      </c>
      <c r="G292" t="n">
        <v>1.2</v>
      </c>
      <c r="H292" t="n">
        <v>1</v>
      </c>
      <c r="I292" t="n">
        <v>0</v>
      </c>
      <c r="J292" t="n">
        <v>0</v>
      </c>
      <c r="K292" t="n">
        <v>0</v>
      </c>
      <c r="L292" t="n">
        <v>0</v>
      </c>
      <c r="M292" t="n">
        <v>0</v>
      </c>
      <c r="N292" t="n">
        <v>0</v>
      </c>
      <c r="O292" t="n">
        <v>0</v>
      </c>
      <c r="P292" t="n">
        <v>0</v>
      </c>
      <c r="Q292" t="n">
        <v>1</v>
      </c>
      <c r="R292" s="2" t="inlineStr">
        <is>
          <t>Fläcknycklar</t>
        </is>
      </c>
      <c r="S292">
        <f>HYPERLINK("https://klasma.github.io/Logging_2281/artfynd/A 31438-2024 artfynd.xlsx", "A 31438-2024")</f>
        <v/>
      </c>
      <c r="T292">
        <f>HYPERLINK("https://klasma.github.io/Logging_2281/kartor/A 31438-2024 karta.png", "A 31438-2024")</f>
        <v/>
      </c>
      <c r="V292">
        <f>HYPERLINK("https://klasma.github.io/Logging_2281/klagomål/A 31438-2024 FSC-klagomål.docx", "A 31438-2024")</f>
        <v/>
      </c>
      <c r="W292">
        <f>HYPERLINK("https://klasma.github.io/Logging_2281/klagomålsmail/A 31438-2024 FSC-klagomål mail.docx", "A 31438-2024")</f>
        <v/>
      </c>
      <c r="X292">
        <f>HYPERLINK("https://klasma.github.io/Logging_2281/tillsyn/A 31438-2024 tillsynsbegäran.docx", "A 31438-2024")</f>
        <v/>
      </c>
      <c r="Y292">
        <f>HYPERLINK("https://klasma.github.io/Logging_2281/tillsynsmail/A 31438-2024 tillsynsbegäran mail.docx", "A 31438-2024")</f>
        <v/>
      </c>
    </row>
    <row r="293" ht="15" customHeight="1">
      <c r="A293" t="inlineStr">
        <is>
          <t>A 31678-2024</t>
        </is>
      </c>
      <c r="B293" s="1" t="n">
        <v>45506</v>
      </c>
      <c r="C293" s="1" t="n">
        <v>45845</v>
      </c>
      <c r="D293" t="inlineStr">
        <is>
          <t>VÄSTERNORRLANDS LÄN</t>
        </is>
      </c>
      <c r="E293" t="inlineStr">
        <is>
          <t>SUNDSVALL</t>
        </is>
      </c>
      <c r="F293" t="inlineStr">
        <is>
          <t>SCA</t>
        </is>
      </c>
      <c r="G293" t="n">
        <v>4.5</v>
      </c>
      <c r="H293" t="n">
        <v>0</v>
      </c>
      <c r="I293" t="n">
        <v>1</v>
      </c>
      <c r="J293" t="n">
        <v>0</v>
      </c>
      <c r="K293" t="n">
        <v>0</v>
      </c>
      <c r="L293" t="n">
        <v>0</v>
      </c>
      <c r="M293" t="n">
        <v>0</v>
      </c>
      <c r="N293" t="n">
        <v>0</v>
      </c>
      <c r="O293" t="n">
        <v>0</v>
      </c>
      <c r="P293" t="n">
        <v>0</v>
      </c>
      <c r="Q293" t="n">
        <v>1</v>
      </c>
      <c r="R293" s="2" t="inlineStr">
        <is>
          <t>Rävticka</t>
        </is>
      </c>
      <c r="S293">
        <f>HYPERLINK("https://klasma.github.io/Logging_2281/artfynd/A 31678-2024 artfynd.xlsx", "A 31678-2024")</f>
        <v/>
      </c>
      <c r="T293">
        <f>HYPERLINK("https://klasma.github.io/Logging_2281/kartor/A 31678-2024 karta.png", "A 31678-2024")</f>
        <v/>
      </c>
      <c r="V293">
        <f>HYPERLINK("https://klasma.github.io/Logging_2281/klagomål/A 31678-2024 FSC-klagomål.docx", "A 31678-2024")</f>
        <v/>
      </c>
      <c r="W293">
        <f>HYPERLINK("https://klasma.github.io/Logging_2281/klagomålsmail/A 31678-2024 FSC-klagomål mail.docx", "A 31678-2024")</f>
        <v/>
      </c>
      <c r="X293">
        <f>HYPERLINK("https://klasma.github.io/Logging_2281/tillsyn/A 31678-2024 tillsynsbegäran.docx", "A 31678-2024")</f>
        <v/>
      </c>
      <c r="Y293">
        <f>HYPERLINK("https://klasma.github.io/Logging_2281/tillsynsmail/A 31678-2024 tillsynsbegäran mail.docx", "A 31678-2024")</f>
        <v/>
      </c>
    </row>
    <row r="294" ht="15" customHeight="1">
      <c r="A294" t="inlineStr">
        <is>
          <t>A 39004-2024</t>
        </is>
      </c>
      <c r="B294" s="1" t="n">
        <v>45548</v>
      </c>
      <c r="C294" s="1" t="n">
        <v>45845</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Liten parasollmossa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48315-2024</t>
        </is>
      </c>
      <c r="B295" s="1" t="n">
        <v>45590</v>
      </c>
      <c r="C295" s="1" t="n">
        <v>45845</v>
      </c>
      <c r="D295" t="inlineStr">
        <is>
          <t>VÄSTERNORRLANDS LÄN</t>
        </is>
      </c>
      <c r="E295" t="inlineStr">
        <is>
          <t>SUNDSVALL</t>
        </is>
      </c>
      <c r="F295" t="inlineStr">
        <is>
          <t>SCA</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HYPERLINK("https://klasma.github.io/Logging_2281/artfynd/A 48315-2024 artfynd.xlsx", "A 48315-2024")</f>
        <v/>
      </c>
      <c r="T295">
        <f>HYPERLINK("https://klasma.github.io/Logging_2281/kartor/A 48315-2024 karta.png", "A 48315-2024")</f>
        <v/>
      </c>
      <c r="U295">
        <f>HYPERLINK("https://klasma.github.io/Logging_2281/knärot/A 48315-2024 karta knärot.png", "A 48315-2024")</f>
        <v/>
      </c>
      <c r="V295">
        <f>HYPERLINK("https://klasma.github.io/Logging_2281/klagomål/A 48315-2024 FSC-klagomål.docx", "A 48315-2024")</f>
        <v/>
      </c>
      <c r="W295">
        <f>HYPERLINK("https://klasma.github.io/Logging_2281/klagomålsmail/A 48315-2024 FSC-klagomål mail.docx", "A 48315-2024")</f>
        <v/>
      </c>
      <c r="X295">
        <f>HYPERLINK("https://klasma.github.io/Logging_2281/tillsyn/A 48315-2024 tillsynsbegäran.docx", "A 48315-2024")</f>
        <v/>
      </c>
      <c r="Y295">
        <f>HYPERLINK("https://klasma.github.io/Logging_2281/tillsynsmail/A 48315-2024 tillsynsbegäran mail.docx", "A 48315-2024")</f>
        <v/>
      </c>
    </row>
    <row r="296" ht="15" customHeight="1">
      <c r="A296" t="inlineStr">
        <is>
          <t>A 50184-2024</t>
        </is>
      </c>
      <c r="B296" s="1" t="n">
        <v>45600</v>
      </c>
      <c r="C296" s="1" t="n">
        <v>45845</v>
      </c>
      <c r="D296" t="inlineStr">
        <is>
          <t>VÄSTERNORRLANDS LÄN</t>
        </is>
      </c>
      <c r="E296" t="inlineStr">
        <is>
          <t>SUNDSVALL</t>
        </is>
      </c>
      <c r="G296" t="n">
        <v>5.3</v>
      </c>
      <c r="H296" t="n">
        <v>0</v>
      </c>
      <c r="I296" t="n">
        <v>1</v>
      </c>
      <c r="J296" t="n">
        <v>0</v>
      </c>
      <c r="K296" t="n">
        <v>0</v>
      </c>
      <c r="L296" t="n">
        <v>0</v>
      </c>
      <c r="M296" t="n">
        <v>0</v>
      </c>
      <c r="N296" t="n">
        <v>0</v>
      </c>
      <c r="O296" t="n">
        <v>0</v>
      </c>
      <c r="P296" t="n">
        <v>0</v>
      </c>
      <c r="Q296" t="n">
        <v>1</v>
      </c>
      <c r="R296" s="2" t="inlineStr">
        <is>
          <t>Dropptaggsvamp</t>
        </is>
      </c>
      <c r="S296">
        <f>HYPERLINK("https://klasma.github.io/Logging_2281/artfynd/A 50184-2024 artfynd.xlsx", "A 50184-2024")</f>
        <v/>
      </c>
      <c r="T296">
        <f>HYPERLINK("https://klasma.github.io/Logging_2281/kartor/A 50184-2024 karta.png", "A 50184-2024")</f>
        <v/>
      </c>
      <c r="V296">
        <f>HYPERLINK("https://klasma.github.io/Logging_2281/klagomål/A 50184-2024 FSC-klagomål.docx", "A 50184-2024")</f>
        <v/>
      </c>
      <c r="W296">
        <f>HYPERLINK("https://klasma.github.io/Logging_2281/klagomålsmail/A 50184-2024 FSC-klagomål mail.docx", "A 50184-2024")</f>
        <v/>
      </c>
      <c r="X296">
        <f>HYPERLINK("https://klasma.github.io/Logging_2281/tillsyn/A 50184-2024 tillsynsbegäran.docx", "A 50184-2024")</f>
        <v/>
      </c>
      <c r="Y296">
        <f>HYPERLINK("https://klasma.github.io/Logging_2281/tillsynsmail/A 50184-2024 tillsynsbegäran mail.docx", "A 50184-2024")</f>
        <v/>
      </c>
    </row>
    <row r="297" ht="15" customHeight="1">
      <c r="A297" t="inlineStr">
        <is>
          <t>A 50396-2024</t>
        </is>
      </c>
      <c r="B297" s="1" t="n">
        <v>45601</v>
      </c>
      <c r="C297" s="1" t="n">
        <v>45845</v>
      </c>
      <c r="D297" t="inlineStr">
        <is>
          <t>VÄSTERNORRLANDS LÄN</t>
        </is>
      </c>
      <c r="E297" t="inlineStr">
        <is>
          <t>SUNDSVALL</t>
        </is>
      </c>
      <c r="F297" t="inlineStr">
        <is>
          <t>SCA</t>
        </is>
      </c>
      <c r="G297" t="n">
        <v>8</v>
      </c>
      <c r="H297" t="n">
        <v>1</v>
      </c>
      <c r="I297" t="n">
        <v>0</v>
      </c>
      <c r="J297" t="n">
        <v>1</v>
      </c>
      <c r="K297" t="n">
        <v>0</v>
      </c>
      <c r="L297" t="n">
        <v>0</v>
      </c>
      <c r="M297" t="n">
        <v>0</v>
      </c>
      <c r="N297" t="n">
        <v>0</v>
      </c>
      <c r="O297" t="n">
        <v>1</v>
      </c>
      <c r="P297" t="n">
        <v>0</v>
      </c>
      <c r="Q297" t="n">
        <v>1</v>
      </c>
      <c r="R297" s="2" t="inlineStr">
        <is>
          <t>Järpe</t>
        </is>
      </c>
      <c r="S297">
        <f>HYPERLINK("https://klasma.github.io/Logging_2281/artfynd/A 50396-2024 artfynd.xlsx", "A 50396-2024")</f>
        <v/>
      </c>
      <c r="T297">
        <f>HYPERLINK("https://klasma.github.io/Logging_2281/kartor/A 50396-2024 karta.png", "A 50396-2024")</f>
        <v/>
      </c>
      <c r="V297">
        <f>HYPERLINK("https://klasma.github.io/Logging_2281/klagomål/A 50396-2024 FSC-klagomål.docx", "A 50396-2024")</f>
        <v/>
      </c>
      <c r="W297">
        <f>HYPERLINK("https://klasma.github.io/Logging_2281/klagomålsmail/A 50396-2024 FSC-klagomål mail.docx", "A 50396-2024")</f>
        <v/>
      </c>
      <c r="X297">
        <f>HYPERLINK("https://klasma.github.io/Logging_2281/tillsyn/A 50396-2024 tillsynsbegäran.docx", "A 50396-2024")</f>
        <v/>
      </c>
      <c r="Y297">
        <f>HYPERLINK("https://klasma.github.io/Logging_2281/tillsynsmail/A 50396-2024 tillsynsbegäran mail.docx", "A 50396-2024")</f>
        <v/>
      </c>
      <c r="Z297">
        <f>HYPERLINK("https://klasma.github.io/Logging_2281/fåglar/A 50396-2024 prioriterade fågelarter.docx", "A 50396-2024")</f>
        <v/>
      </c>
    </row>
    <row r="298" ht="15" customHeight="1">
      <c r="A298" t="inlineStr">
        <is>
          <t>A 51434-2024</t>
        </is>
      </c>
      <c r="B298" s="1" t="n">
        <v>45604</v>
      </c>
      <c r="C298" s="1" t="n">
        <v>45845</v>
      </c>
      <c r="D298" t="inlineStr">
        <is>
          <t>VÄSTERNORRLANDS LÄN</t>
        </is>
      </c>
      <c r="E298" t="inlineStr">
        <is>
          <t>SUNDSVALL</t>
        </is>
      </c>
      <c r="G298" t="n">
        <v>5.4</v>
      </c>
      <c r="H298" t="n">
        <v>1</v>
      </c>
      <c r="I298" t="n">
        <v>0</v>
      </c>
      <c r="J298" t="n">
        <v>0</v>
      </c>
      <c r="K298" t="n">
        <v>0</v>
      </c>
      <c r="L298" t="n">
        <v>0</v>
      </c>
      <c r="M298" t="n">
        <v>0</v>
      </c>
      <c r="N298" t="n">
        <v>0</v>
      </c>
      <c r="O298" t="n">
        <v>0</v>
      </c>
      <c r="P298" t="n">
        <v>0</v>
      </c>
      <c r="Q298" t="n">
        <v>1</v>
      </c>
      <c r="R298" s="2" t="inlineStr">
        <is>
          <t>Fläcknycklar</t>
        </is>
      </c>
      <c r="S298">
        <f>HYPERLINK("https://klasma.github.io/Logging_2281/artfynd/A 51434-2024 artfynd.xlsx", "A 51434-2024")</f>
        <v/>
      </c>
      <c r="T298">
        <f>HYPERLINK("https://klasma.github.io/Logging_2281/kartor/A 51434-2024 karta.png", "A 51434-2024")</f>
        <v/>
      </c>
      <c r="V298">
        <f>HYPERLINK("https://klasma.github.io/Logging_2281/klagomål/A 51434-2024 FSC-klagomål.docx", "A 51434-2024")</f>
        <v/>
      </c>
      <c r="W298">
        <f>HYPERLINK("https://klasma.github.io/Logging_2281/klagomålsmail/A 51434-2024 FSC-klagomål mail.docx", "A 51434-2024")</f>
        <v/>
      </c>
      <c r="X298">
        <f>HYPERLINK("https://klasma.github.io/Logging_2281/tillsyn/A 51434-2024 tillsynsbegäran.docx", "A 51434-2024")</f>
        <v/>
      </c>
      <c r="Y298">
        <f>HYPERLINK("https://klasma.github.io/Logging_2281/tillsynsmail/A 51434-2024 tillsynsbegäran mail.docx", "A 51434-2024")</f>
        <v/>
      </c>
    </row>
    <row r="299" ht="15" customHeight="1">
      <c r="A299" t="inlineStr">
        <is>
          <t>A 52342-2024</t>
        </is>
      </c>
      <c r="B299" s="1" t="n">
        <v>45609</v>
      </c>
      <c r="C299" s="1" t="n">
        <v>45845</v>
      </c>
      <c r="D299" t="inlineStr">
        <is>
          <t>VÄSTERNORRLANDS LÄN</t>
        </is>
      </c>
      <c r="E299" t="inlineStr">
        <is>
          <t>SUNDSVALL</t>
        </is>
      </c>
      <c r="G299" t="n">
        <v>4</v>
      </c>
      <c r="H299" t="n">
        <v>1</v>
      </c>
      <c r="I299" t="n">
        <v>0</v>
      </c>
      <c r="J299" t="n">
        <v>0</v>
      </c>
      <c r="K299" t="n">
        <v>0</v>
      </c>
      <c r="L299" t="n">
        <v>0</v>
      </c>
      <c r="M299" t="n">
        <v>0</v>
      </c>
      <c r="N299" t="n">
        <v>0</v>
      </c>
      <c r="O299" t="n">
        <v>0</v>
      </c>
      <c r="P299" t="n">
        <v>0</v>
      </c>
      <c r="Q299" t="n">
        <v>1</v>
      </c>
      <c r="R299" s="2" t="inlineStr">
        <is>
          <t>Orre</t>
        </is>
      </c>
      <c r="S299">
        <f>HYPERLINK("https://klasma.github.io/Logging_2281/artfynd/A 52342-2024 artfynd.xlsx", "A 52342-2024")</f>
        <v/>
      </c>
      <c r="T299">
        <f>HYPERLINK("https://klasma.github.io/Logging_2281/kartor/A 52342-2024 karta.png", "A 52342-2024")</f>
        <v/>
      </c>
      <c r="V299">
        <f>HYPERLINK("https://klasma.github.io/Logging_2281/klagomål/A 52342-2024 FSC-klagomål.docx", "A 52342-2024")</f>
        <v/>
      </c>
      <c r="W299">
        <f>HYPERLINK("https://klasma.github.io/Logging_2281/klagomålsmail/A 52342-2024 FSC-klagomål mail.docx", "A 52342-2024")</f>
        <v/>
      </c>
      <c r="X299">
        <f>HYPERLINK("https://klasma.github.io/Logging_2281/tillsyn/A 52342-2024 tillsynsbegäran.docx", "A 52342-2024")</f>
        <v/>
      </c>
      <c r="Y299">
        <f>HYPERLINK("https://klasma.github.io/Logging_2281/tillsynsmail/A 52342-2024 tillsynsbegäran mail.docx", "A 52342-2024")</f>
        <v/>
      </c>
      <c r="Z299">
        <f>HYPERLINK("https://klasma.github.io/Logging_2281/fåglar/A 52342-2024 prioriterade fågelarter.docx", "A 52342-2024")</f>
        <v/>
      </c>
    </row>
    <row r="300" ht="15" customHeight="1">
      <c r="A300" t="inlineStr">
        <is>
          <t>A 52515-2024</t>
        </is>
      </c>
      <c r="B300" s="1" t="n">
        <v>45609</v>
      </c>
      <c r="C300" s="1" t="n">
        <v>45845</v>
      </c>
      <c r="D300" t="inlineStr">
        <is>
          <t>VÄSTERNORRLANDS LÄN</t>
        </is>
      </c>
      <c r="E300" t="inlineStr">
        <is>
          <t>SUNDSVALL</t>
        </is>
      </c>
      <c r="G300" t="n">
        <v>2.4</v>
      </c>
      <c r="H300" t="n">
        <v>0</v>
      </c>
      <c r="I300" t="n">
        <v>1</v>
      </c>
      <c r="J300" t="n">
        <v>0</v>
      </c>
      <c r="K300" t="n">
        <v>0</v>
      </c>
      <c r="L300" t="n">
        <v>0</v>
      </c>
      <c r="M300" t="n">
        <v>0</v>
      </c>
      <c r="N300" t="n">
        <v>0</v>
      </c>
      <c r="O300" t="n">
        <v>0</v>
      </c>
      <c r="P300" t="n">
        <v>0</v>
      </c>
      <c r="Q300" t="n">
        <v>1</v>
      </c>
      <c r="R300" s="2" t="inlineStr">
        <is>
          <t>Tibast</t>
        </is>
      </c>
      <c r="S300">
        <f>HYPERLINK("https://klasma.github.io/Logging_2281/artfynd/A 52515-2024 artfynd.xlsx", "A 52515-2024")</f>
        <v/>
      </c>
      <c r="T300">
        <f>HYPERLINK("https://klasma.github.io/Logging_2281/kartor/A 52515-2024 karta.png", "A 52515-2024")</f>
        <v/>
      </c>
      <c r="V300">
        <f>HYPERLINK("https://klasma.github.io/Logging_2281/klagomål/A 52515-2024 FSC-klagomål.docx", "A 52515-2024")</f>
        <v/>
      </c>
      <c r="W300">
        <f>HYPERLINK("https://klasma.github.io/Logging_2281/klagomålsmail/A 52515-2024 FSC-klagomål mail.docx", "A 52515-2024")</f>
        <v/>
      </c>
      <c r="X300">
        <f>HYPERLINK("https://klasma.github.io/Logging_2281/tillsyn/A 52515-2024 tillsynsbegäran.docx", "A 52515-2024")</f>
        <v/>
      </c>
      <c r="Y300">
        <f>HYPERLINK("https://klasma.github.io/Logging_2281/tillsynsmail/A 52515-2024 tillsynsbegäran mail.docx", "A 52515-2024")</f>
        <v/>
      </c>
    </row>
    <row r="301" ht="15" customHeight="1">
      <c r="A301" t="inlineStr">
        <is>
          <t>A 58723-2024</t>
        </is>
      </c>
      <c r="B301" s="1" t="n">
        <v>45635</v>
      </c>
      <c r="C301" s="1" t="n">
        <v>45845</v>
      </c>
      <c r="D301" t="inlineStr">
        <is>
          <t>VÄSTERNORRLANDS LÄN</t>
        </is>
      </c>
      <c r="E301" t="inlineStr">
        <is>
          <t>SUNDSVALL</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HYPERLINK("https://klasma.github.io/Logging_2281/artfynd/A 58723-2024 artfynd.xlsx", "A 58723-2024")</f>
        <v/>
      </c>
      <c r="T301">
        <f>HYPERLINK("https://klasma.github.io/Logging_2281/kartor/A 58723-2024 karta.png", "A 58723-2024")</f>
        <v/>
      </c>
      <c r="V301">
        <f>HYPERLINK("https://klasma.github.io/Logging_2281/klagomål/A 58723-2024 FSC-klagomål.docx", "A 58723-2024")</f>
        <v/>
      </c>
      <c r="W301">
        <f>HYPERLINK("https://klasma.github.io/Logging_2281/klagomålsmail/A 58723-2024 FSC-klagomål mail.docx", "A 58723-2024")</f>
        <v/>
      </c>
      <c r="X301">
        <f>HYPERLINK("https://klasma.github.io/Logging_2281/tillsyn/A 58723-2024 tillsynsbegäran.docx", "A 58723-2024")</f>
        <v/>
      </c>
      <c r="Y301">
        <f>HYPERLINK("https://klasma.github.io/Logging_2281/tillsynsmail/A 58723-2024 tillsynsbegäran mail.docx", "A 58723-2024")</f>
        <v/>
      </c>
      <c r="Z301">
        <f>HYPERLINK("https://klasma.github.io/Logging_2281/fåglar/A 58723-2024 prioriterade fågelarter.docx", "A 58723-2024")</f>
        <v/>
      </c>
    </row>
    <row r="302" ht="15" customHeight="1">
      <c r="A302" t="inlineStr">
        <is>
          <t>A 59895-2024</t>
        </is>
      </c>
      <c r="B302" s="1" t="n">
        <v>45641</v>
      </c>
      <c r="C302" s="1" t="n">
        <v>45845</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60444-2024</t>
        </is>
      </c>
      <c r="B303" s="1" t="n">
        <v>45642</v>
      </c>
      <c r="C303" s="1" t="n">
        <v>45845</v>
      </c>
      <c r="D303" t="inlineStr">
        <is>
          <t>VÄSTERNORRLANDS LÄN</t>
        </is>
      </c>
      <c r="E303" t="inlineStr">
        <is>
          <t>SUNDSVALL</t>
        </is>
      </c>
      <c r="G303" t="n">
        <v>8.199999999999999</v>
      </c>
      <c r="H303" t="n">
        <v>1</v>
      </c>
      <c r="I303" t="n">
        <v>0</v>
      </c>
      <c r="J303" t="n">
        <v>0</v>
      </c>
      <c r="K303" t="n">
        <v>0</v>
      </c>
      <c r="L303" t="n">
        <v>0</v>
      </c>
      <c r="M303" t="n">
        <v>0</v>
      </c>
      <c r="N303" t="n">
        <v>0</v>
      </c>
      <c r="O303" t="n">
        <v>0</v>
      </c>
      <c r="P303" t="n">
        <v>0</v>
      </c>
      <c r="Q303" t="n">
        <v>1</v>
      </c>
      <c r="R303" s="2" t="inlineStr">
        <is>
          <t>Gråspett</t>
        </is>
      </c>
      <c r="S303">
        <f>HYPERLINK("https://klasma.github.io/Logging_2281/artfynd/A 60444-2024 artfynd.xlsx", "A 60444-2024")</f>
        <v/>
      </c>
      <c r="T303">
        <f>HYPERLINK("https://klasma.github.io/Logging_2281/kartor/A 60444-2024 karta.png", "A 60444-2024")</f>
        <v/>
      </c>
      <c r="V303">
        <f>HYPERLINK("https://klasma.github.io/Logging_2281/klagomål/A 60444-2024 FSC-klagomål.docx", "A 60444-2024")</f>
        <v/>
      </c>
      <c r="W303">
        <f>HYPERLINK("https://klasma.github.io/Logging_2281/klagomålsmail/A 60444-2024 FSC-klagomål mail.docx", "A 60444-2024")</f>
        <v/>
      </c>
      <c r="X303">
        <f>HYPERLINK("https://klasma.github.io/Logging_2281/tillsyn/A 60444-2024 tillsynsbegäran.docx", "A 60444-2024")</f>
        <v/>
      </c>
      <c r="Y303">
        <f>HYPERLINK("https://klasma.github.io/Logging_2281/tillsynsmail/A 60444-2024 tillsynsbegäran mail.docx", "A 60444-2024")</f>
        <v/>
      </c>
      <c r="Z303">
        <f>HYPERLINK("https://klasma.github.io/Logging_2281/fåglar/A 60444-2024 prioriterade fågelarter.docx", "A 60444-2024")</f>
        <v/>
      </c>
    </row>
    <row r="304" ht="15" customHeight="1">
      <c r="A304" t="inlineStr">
        <is>
          <t>A 3347-2025</t>
        </is>
      </c>
      <c r="B304" s="1" t="n">
        <v>45679</v>
      </c>
      <c r="C304" s="1" t="n">
        <v>45845</v>
      </c>
      <c r="D304" t="inlineStr">
        <is>
          <t>VÄSTERNORRLANDS LÄN</t>
        </is>
      </c>
      <c r="E304" t="inlineStr">
        <is>
          <t>SUNDSVALL</t>
        </is>
      </c>
      <c r="G304" t="n">
        <v>20.7</v>
      </c>
      <c r="H304" t="n">
        <v>0</v>
      </c>
      <c r="I304" t="n">
        <v>0</v>
      </c>
      <c r="J304" t="n">
        <v>1</v>
      </c>
      <c r="K304" t="n">
        <v>0</v>
      </c>
      <c r="L304" t="n">
        <v>0</v>
      </c>
      <c r="M304" t="n">
        <v>0</v>
      </c>
      <c r="N304" t="n">
        <v>0</v>
      </c>
      <c r="O304" t="n">
        <v>1</v>
      </c>
      <c r="P304" t="n">
        <v>0</v>
      </c>
      <c r="Q304" t="n">
        <v>1</v>
      </c>
      <c r="R304" s="2" t="inlineStr">
        <is>
          <t>Lunglav</t>
        </is>
      </c>
      <c r="S304">
        <f>HYPERLINK("https://klasma.github.io/Logging_2281/artfynd/A 3347-2025 artfynd.xlsx", "A 3347-2025")</f>
        <v/>
      </c>
      <c r="T304">
        <f>HYPERLINK("https://klasma.github.io/Logging_2281/kartor/A 3347-2025 karta.png", "A 3347-2025")</f>
        <v/>
      </c>
      <c r="V304">
        <f>HYPERLINK("https://klasma.github.io/Logging_2281/klagomål/A 3347-2025 FSC-klagomål.docx", "A 3347-2025")</f>
        <v/>
      </c>
      <c r="W304">
        <f>HYPERLINK("https://klasma.github.io/Logging_2281/klagomålsmail/A 3347-2025 FSC-klagomål mail.docx", "A 3347-2025")</f>
        <v/>
      </c>
      <c r="X304">
        <f>HYPERLINK("https://klasma.github.io/Logging_2281/tillsyn/A 3347-2025 tillsynsbegäran.docx", "A 3347-2025")</f>
        <v/>
      </c>
      <c r="Y304">
        <f>HYPERLINK("https://klasma.github.io/Logging_2281/tillsynsmail/A 3347-2025 tillsynsbegäran mail.docx", "A 3347-2025")</f>
        <v/>
      </c>
    </row>
    <row r="305" ht="15" customHeight="1">
      <c r="A305" t="inlineStr">
        <is>
          <t>A 3924-2025</t>
        </is>
      </c>
      <c r="B305" s="1" t="n">
        <v>45684</v>
      </c>
      <c r="C305" s="1" t="n">
        <v>45845</v>
      </c>
      <c r="D305" t="inlineStr">
        <is>
          <t>VÄSTERNORRLANDS LÄN</t>
        </is>
      </c>
      <c r="E305" t="inlineStr">
        <is>
          <t>SUNDSVALL</t>
        </is>
      </c>
      <c r="F305" t="inlineStr">
        <is>
          <t>SCA</t>
        </is>
      </c>
      <c r="G305" t="n">
        <v>5.9</v>
      </c>
      <c r="H305" t="n">
        <v>1</v>
      </c>
      <c r="I305" t="n">
        <v>0</v>
      </c>
      <c r="J305" t="n">
        <v>1</v>
      </c>
      <c r="K305" t="n">
        <v>0</v>
      </c>
      <c r="L305" t="n">
        <v>0</v>
      </c>
      <c r="M305" t="n">
        <v>0</v>
      </c>
      <c r="N305" t="n">
        <v>0</v>
      </c>
      <c r="O305" t="n">
        <v>1</v>
      </c>
      <c r="P305" t="n">
        <v>0</v>
      </c>
      <c r="Q305" t="n">
        <v>1</v>
      </c>
      <c r="R305" s="2" t="inlineStr">
        <is>
          <t>Järpe</t>
        </is>
      </c>
      <c r="S305">
        <f>HYPERLINK("https://klasma.github.io/Logging_2281/artfynd/A 3924-2025 artfynd.xlsx", "A 3924-2025")</f>
        <v/>
      </c>
      <c r="T305">
        <f>HYPERLINK("https://klasma.github.io/Logging_2281/kartor/A 3924-2025 karta.png", "A 3924-2025")</f>
        <v/>
      </c>
      <c r="V305">
        <f>HYPERLINK("https://klasma.github.io/Logging_2281/klagomål/A 3924-2025 FSC-klagomål.docx", "A 3924-2025")</f>
        <v/>
      </c>
      <c r="W305">
        <f>HYPERLINK("https://klasma.github.io/Logging_2281/klagomålsmail/A 3924-2025 FSC-klagomål mail.docx", "A 3924-2025")</f>
        <v/>
      </c>
      <c r="X305">
        <f>HYPERLINK("https://klasma.github.io/Logging_2281/tillsyn/A 3924-2025 tillsynsbegäran.docx", "A 3924-2025")</f>
        <v/>
      </c>
      <c r="Y305">
        <f>HYPERLINK("https://klasma.github.io/Logging_2281/tillsynsmail/A 3924-2025 tillsynsbegäran mail.docx", "A 3924-2025")</f>
        <v/>
      </c>
      <c r="Z305">
        <f>HYPERLINK("https://klasma.github.io/Logging_2281/fåglar/A 3924-2025 prioriterade fågelarter.docx", "A 3924-2025")</f>
        <v/>
      </c>
    </row>
    <row r="306" ht="15" customHeight="1">
      <c r="A306" t="inlineStr">
        <is>
          <t>A 7264-2025</t>
        </is>
      </c>
      <c r="B306" s="1" t="n">
        <v>45702</v>
      </c>
      <c r="C306" s="1" t="n">
        <v>45845</v>
      </c>
      <c r="D306" t="inlineStr">
        <is>
          <t>VÄSTERNORRLANDS LÄN</t>
        </is>
      </c>
      <c r="E306" t="inlineStr">
        <is>
          <t>SUNDSVALL</t>
        </is>
      </c>
      <c r="F306" t="inlineStr">
        <is>
          <t>SCA</t>
        </is>
      </c>
      <c r="G306" t="n">
        <v>2.1</v>
      </c>
      <c r="H306" t="n">
        <v>0</v>
      </c>
      <c r="I306" t="n">
        <v>0</v>
      </c>
      <c r="J306" t="n">
        <v>1</v>
      </c>
      <c r="K306" t="n">
        <v>0</v>
      </c>
      <c r="L306" t="n">
        <v>0</v>
      </c>
      <c r="M306" t="n">
        <v>0</v>
      </c>
      <c r="N306" t="n">
        <v>0</v>
      </c>
      <c r="O306" t="n">
        <v>1</v>
      </c>
      <c r="P306" t="n">
        <v>0</v>
      </c>
      <c r="Q306" t="n">
        <v>1</v>
      </c>
      <c r="R306" s="2" t="inlineStr">
        <is>
          <t>Ullticka</t>
        </is>
      </c>
      <c r="S306">
        <f>HYPERLINK("https://klasma.github.io/Logging_2281/artfynd/A 7264-2025 artfynd.xlsx", "A 7264-2025")</f>
        <v/>
      </c>
      <c r="T306">
        <f>HYPERLINK("https://klasma.github.io/Logging_2281/kartor/A 7264-2025 karta.png", "A 7264-2025")</f>
        <v/>
      </c>
      <c r="U306">
        <f>HYPERLINK("https://klasma.github.io/Logging_2281/knärot/A 7264-2025 karta knärot.png", "A 7264-2025")</f>
        <v/>
      </c>
      <c r="V306">
        <f>HYPERLINK("https://klasma.github.io/Logging_2281/klagomål/A 7264-2025 FSC-klagomål.docx", "A 7264-2025")</f>
        <v/>
      </c>
      <c r="W306">
        <f>HYPERLINK("https://klasma.github.io/Logging_2281/klagomålsmail/A 7264-2025 FSC-klagomål mail.docx", "A 7264-2025")</f>
        <v/>
      </c>
      <c r="X306">
        <f>HYPERLINK("https://klasma.github.io/Logging_2281/tillsyn/A 7264-2025 tillsynsbegäran.docx", "A 7264-2025")</f>
        <v/>
      </c>
      <c r="Y306">
        <f>HYPERLINK("https://klasma.github.io/Logging_2281/tillsynsmail/A 7264-2025 tillsynsbegäran mail.docx", "A 7264-2025")</f>
        <v/>
      </c>
    </row>
    <row r="307" ht="15" customHeight="1">
      <c r="A307" t="inlineStr">
        <is>
          <t>A 10683-2025</t>
        </is>
      </c>
      <c r="B307" s="1" t="n">
        <v>45721</v>
      </c>
      <c r="C307" s="1" t="n">
        <v>45845</v>
      </c>
      <c r="D307" t="inlineStr">
        <is>
          <t>VÄSTERNORRLANDS LÄN</t>
        </is>
      </c>
      <c r="E307" t="inlineStr">
        <is>
          <t>SUNDSVALL</t>
        </is>
      </c>
      <c r="G307" t="n">
        <v>1.5</v>
      </c>
      <c r="H307" t="n">
        <v>1</v>
      </c>
      <c r="I307" t="n">
        <v>0</v>
      </c>
      <c r="J307" t="n">
        <v>1</v>
      </c>
      <c r="K307" t="n">
        <v>0</v>
      </c>
      <c r="L307" t="n">
        <v>0</v>
      </c>
      <c r="M307" t="n">
        <v>0</v>
      </c>
      <c r="N307" t="n">
        <v>0</v>
      </c>
      <c r="O307" t="n">
        <v>1</v>
      </c>
      <c r="P307" t="n">
        <v>0</v>
      </c>
      <c r="Q307" t="n">
        <v>1</v>
      </c>
      <c r="R307" s="2" t="inlineStr">
        <is>
          <t>Björktrast</t>
        </is>
      </c>
      <c r="S307">
        <f>HYPERLINK("https://klasma.github.io/Logging_222281/artfynd/A 10683-2025 artfynd.xlsx", "A 10683-2025")</f>
        <v/>
      </c>
      <c r="T307">
        <f>HYPERLINK("https://klasma.github.io/Logging_222281/kartor/A 10683-2025 karta.png", "A 10683-2025")</f>
        <v/>
      </c>
      <c r="V307">
        <f>HYPERLINK("https://klasma.github.io/Logging_222281/klagomål/A 10683-2025 FSC-klagomål.docx", "A 10683-2025")</f>
        <v/>
      </c>
      <c r="W307">
        <f>HYPERLINK("https://klasma.github.io/Logging_222281/klagomålsmail/A 10683-2025 FSC-klagomål mail.docx", "A 10683-2025")</f>
        <v/>
      </c>
      <c r="X307">
        <f>HYPERLINK("https://klasma.github.io/Logging_222281/tillsyn/A 10683-2025 tillsynsbegäran.docx", "A 10683-2025")</f>
        <v/>
      </c>
      <c r="Y307">
        <f>HYPERLINK("https://klasma.github.io/Logging_222281/tillsynsmail/A 10683-2025 tillsynsbegäran mail.docx", "A 10683-2025")</f>
        <v/>
      </c>
      <c r="Z307">
        <f>HYPERLINK("https://klasma.github.io/Logging_222281/fåglar/A 10683-2025 prioriterade fågelarter.docx", "A 10683-2025")</f>
        <v/>
      </c>
    </row>
    <row r="308" ht="15" customHeight="1">
      <c r="A308" t="inlineStr">
        <is>
          <t>A 11146-2025</t>
        </is>
      </c>
      <c r="B308" s="1" t="n">
        <v>45723</v>
      </c>
      <c r="C308" s="1" t="n">
        <v>45845</v>
      </c>
      <c r="D308" t="inlineStr">
        <is>
          <t>VÄSTERNORRLANDS LÄN</t>
        </is>
      </c>
      <c r="E308" t="inlineStr">
        <is>
          <t>SUNDSVALL</t>
        </is>
      </c>
      <c r="F308" t="inlineStr">
        <is>
          <t>SCA</t>
        </is>
      </c>
      <c r="G308" t="n">
        <v>17.4</v>
      </c>
      <c r="H308" t="n">
        <v>0</v>
      </c>
      <c r="I308" t="n">
        <v>0</v>
      </c>
      <c r="J308" t="n">
        <v>1</v>
      </c>
      <c r="K308" t="n">
        <v>0</v>
      </c>
      <c r="L308" t="n">
        <v>0</v>
      </c>
      <c r="M308" t="n">
        <v>0</v>
      </c>
      <c r="N308" t="n">
        <v>0</v>
      </c>
      <c r="O308" t="n">
        <v>1</v>
      </c>
      <c r="P308" t="n">
        <v>0</v>
      </c>
      <c r="Q308" t="n">
        <v>1</v>
      </c>
      <c r="R308" s="2" t="inlineStr">
        <is>
          <t>Skogshare</t>
        </is>
      </c>
      <c r="S308">
        <f>HYPERLINK("https://klasma.github.io/Logging_222281/artfynd/A 11146-2025 artfynd.xlsx", "A 11146-2025")</f>
        <v/>
      </c>
      <c r="T308">
        <f>HYPERLINK("https://klasma.github.io/Logging_222281/kartor/A 11146-2025 karta.png", "A 11146-2025")</f>
        <v/>
      </c>
      <c r="V308">
        <f>HYPERLINK("https://klasma.github.io/Logging_222281/klagomål/A 11146-2025 FSC-klagomål.docx", "A 11146-2025")</f>
        <v/>
      </c>
      <c r="W308">
        <f>HYPERLINK("https://klasma.github.io/Logging_222281/klagomålsmail/A 11146-2025 FSC-klagomål mail.docx", "A 11146-2025")</f>
        <v/>
      </c>
      <c r="X308">
        <f>HYPERLINK("https://klasma.github.io/Logging_222281/tillsyn/A 11146-2025 tillsynsbegäran.docx", "A 11146-2025")</f>
        <v/>
      </c>
      <c r="Y308">
        <f>HYPERLINK("https://klasma.github.io/Logging_222281/tillsynsmail/A 11146-2025 tillsynsbegäran mail.docx", "A 11146-2025")</f>
        <v/>
      </c>
    </row>
    <row r="309" ht="15" customHeight="1">
      <c r="A309" t="inlineStr">
        <is>
          <t>A 13301-2025</t>
        </is>
      </c>
      <c r="B309" s="1" t="n">
        <v>45735</v>
      </c>
      <c r="C309" s="1" t="n">
        <v>45845</v>
      </c>
      <c r="D309" t="inlineStr">
        <is>
          <t>VÄSTERNORRLANDS LÄN</t>
        </is>
      </c>
      <c r="E309" t="inlineStr">
        <is>
          <t>SUNDSVALL</t>
        </is>
      </c>
      <c r="F309" t="inlineStr">
        <is>
          <t>SCA</t>
        </is>
      </c>
      <c r="G309" t="n">
        <v>13.4</v>
      </c>
      <c r="H309" t="n">
        <v>1</v>
      </c>
      <c r="I309" t="n">
        <v>0</v>
      </c>
      <c r="J309" t="n">
        <v>0</v>
      </c>
      <c r="K309" t="n">
        <v>0</v>
      </c>
      <c r="L309" t="n">
        <v>0</v>
      </c>
      <c r="M309" t="n">
        <v>0</v>
      </c>
      <c r="N309" t="n">
        <v>0</v>
      </c>
      <c r="O309" t="n">
        <v>0</v>
      </c>
      <c r="P309" t="n">
        <v>0</v>
      </c>
      <c r="Q309" t="n">
        <v>1</v>
      </c>
      <c r="R309" s="2" t="inlineStr">
        <is>
          <t>Blåsippa</t>
        </is>
      </c>
      <c r="S309">
        <f>HYPERLINK("https://klasma.github.io/Logging_222281/artfynd/A 13301-2025 artfynd.xlsx", "A 13301-2025")</f>
        <v/>
      </c>
      <c r="T309">
        <f>HYPERLINK("https://klasma.github.io/Logging_222281/kartor/A 13301-2025 karta.png", "A 13301-2025")</f>
        <v/>
      </c>
      <c r="V309">
        <f>HYPERLINK("https://klasma.github.io/Logging_222281/klagomål/A 13301-2025 FSC-klagomål.docx", "A 13301-2025")</f>
        <v/>
      </c>
      <c r="W309">
        <f>HYPERLINK("https://klasma.github.io/Logging_222281/klagomålsmail/A 13301-2025 FSC-klagomål mail.docx", "A 13301-2025")</f>
        <v/>
      </c>
      <c r="X309">
        <f>HYPERLINK("https://klasma.github.io/Logging_222281/tillsyn/A 13301-2025 tillsynsbegäran.docx", "A 13301-2025")</f>
        <v/>
      </c>
      <c r="Y309">
        <f>HYPERLINK("https://klasma.github.io/Logging_222281/tillsynsmail/A 13301-2025 tillsynsbegäran mail.docx", "A 13301-2025")</f>
        <v/>
      </c>
    </row>
    <row r="310" ht="15" customHeight="1">
      <c r="A310" t="inlineStr">
        <is>
          <t>A 13443-2025</t>
        </is>
      </c>
      <c r="B310" s="1" t="n">
        <v>45736</v>
      </c>
      <c r="C310" s="1" t="n">
        <v>45845</v>
      </c>
      <c r="D310" t="inlineStr">
        <is>
          <t>VÄSTERNORRLANDS LÄN</t>
        </is>
      </c>
      <c r="E310" t="inlineStr">
        <is>
          <t>SUNDSVALL</t>
        </is>
      </c>
      <c r="F310" t="inlineStr">
        <is>
          <t>SCA</t>
        </is>
      </c>
      <c r="G310" t="n">
        <v>12.5</v>
      </c>
      <c r="H310" t="n">
        <v>0</v>
      </c>
      <c r="I310" t="n">
        <v>1</v>
      </c>
      <c r="J310" t="n">
        <v>0</v>
      </c>
      <c r="K310" t="n">
        <v>0</v>
      </c>
      <c r="L310" t="n">
        <v>0</v>
      </c>
      <c r="M310" t="n">
        <v>0</v>
      </c>
      <c r="N310" t="n">
        <v>0</v>
      </c>
      <c r="O310" t="n">
        <v>0</v>
      </c>
      <c r="P310" t="n">
        <v>0</v>
      </c>
      <c r="Q310" t="n">
        <v>1</v>
      </c>
      <c r="R310" s="2" t="inlineStr">
        <is>
          <t>Kattfotslav</t>
        </is>
      </c>
      <c r="S310">
        <f>HYPERLINK("https://klasma.github.io/Logging_222281/artfynd/A 13443-2025 artfynd.xlsx", "A 13443-2025")</f>
        <v/>
      </c>
      <c r="T310">
        <f>HYPERLINK("https://klasma.github.io/Logging_222281/kartor/A 13443-2025 karta.png", "A 13443-2025")</f>
        <v/>
      </c>
      <c r="U310">
        <f>HYPERLINK("https://klasma.github.io/Logging_222281/knärot/A 13443-2025 karta knärot.png", "A 13443-2025")</f>
        <v/>
      </c>
      <c r="V310">
        <f>HYPERLINK("https://klasma.github.io/Logging_222281/klagomål/A 13443-2025 FSC-klagomål.docx", "A 13443-2025")</f>
        <v/>
      </c>
      <c r="W310">
        <f>HYPERLINK("https://klasma.github.io/Logging_222281/klagomålsmail/A 13443-2025 FSC-klagomål mail.docx", "A 13443-2025")</f>
        <v/>
      </c>
      <c r="X310">
        <f>HYPERLINK("https://klasma.github.io/Logging_222281/tillsyn/A 13443-2025 tillsynsbegäran.docx", "A 13443-2025")</f>
        <v/>
      </c>
      <c r="Y310">
        <f>HYPERLINK("https://klasma.github.io/Logging_222281/tillsynsmail/A 13443-2025 tillsynsbegäran mail.docx", "A 13443-2025")</f>
        <v/>
      </c>
    </row>
    <row r="311" ht="15" customHeight="1">
      <c r="A311" t="inlineStr">
        <is>
          <t>A 18007-2025</t>
        </is>
      </c>
      <c r="B311" s="1" t="n">
        <v>45761</v>
      </c>
      <c r="C311" s="1" t="n">
        <v>45845</v>
      </c>
      <c r="D311" t="inlineStr">
        <is>
          <t>VÄSTERNORRLANDS LÄN</t>
        </is>
      </c>
      <c r="E311" t="inlineStr">
        <is>
          <t>SUNDSVALL</t>
        </is>
      </c>
      <c r="F311" t="inlineStr">
        <is>
          <t>SCA</t>
        </is>
      </c>
      <c r="G311" t="n">
        <v>14.3</v>
      </c>
      <c r="H311" t="n">
        <v>1</v>
      </c>
      <c r="I311" t="n">
        <v>0</v>
      </c>
      <c r="J311" t="n">
        <v>0</v>
      </c>
      <c r="K311" t="n">
        <v>0</v>
      </c>
      <c r="L311" t="n">
        <v>0</v>
      </c>
      <c r="M311" t="n">
        <v>0</v>
      </c>
      <c r="N311" t="n">
        <v>0</v>
      </c>
      <c r="O311" t="n">
        <v>0</v>
      </c>
      <c r="P311" t="n">
        <v>0</v>
      </c>
      <c r="Q311" t="n">
        <v>1</v>
      </c>
      <c r="R311" s="2" t="inlineStr">
        <is>
          <t>Orre</t>
        </is>
      </c>
      <c r="S311">
        <f>HYPERLINK("https://klasma.github.io/Logging_222281/artfynd/A 18007-2025 artfynd.xlsx", "A 18007-2025")</f>
        <v/>
      </c>
      <c r="T311">
        <f>HYPERLINK("https://klasma.github.io/Logging_222281/kartor/A 18007-2025 karta.png", "A 18007-2025")</f>
        <v/>
      </c>
      <c r="V311">
        <f>HYPERLINK("https://klasma.github.io/Logging_222281/klagomål/A 18007-2025 FSC-klagomål.docx", "A 18007-2025")</f>
        <v/>
      </c>
      <c r="W311">
        <f>HYPERLINK("https://klasma.github.io/Logging_222281/klagomålsmail/A 18007-2025 FSC-klagomål mail.docx", "A 18007-2025")</f>
        <v/>
      </c>
      <c r="X311">
        <f>HYPERLINK("https://klasma.github.io/Logging_222281/tillsyn/A 18007-2025 tillsynsbegäran.docx", "A 18007-2025")</f>
        <v/>
      </c>
      <c r="Y311">
        <f>HYPERLINK("https://klasma.github.io/Logging_222281/tillsynsmail/A 18007-2025 tillsynsbegäran mail.docx", "A 18007-2025")</f>
        <v/>
      </c>
      <c r="Z311">
        <f>HYPERLINK("https://klasma.github.io/Logging_222281/fåglar/A 18007-2025 prioriterade fågelarter.docx", "A 18007-2025")</f>
        <v/>
      </c>
    </row>
    <row r="312" ht="15" customHeight="1">
      <c r="A312" t="inlineStr">
        <is>
          <t>A 19762-2025</t>
        </is>
      </c>
      <c r="B312" s="1" t="n">
        <v>45771</v>
      </c>
      <c r="C312" s="1" t="n">
        <v>45845</v>
      </c>
      <c r="D312" t="inlineStr">
        <is>
          <t>VÄSTERNORRLANDS LÄN</t>
        </is>
      </c>
      <c r="E312" t="inlineStr">
        <is>
          <t>SUNDSVALL</t>
        </is>
      </c>
      <c r="F312" t="inlineStr">
        <is>
          <t>Naturvårdsverket</t>
        </is>
      </c>
      <c r="G312" t="n">
        <v>2.3</v>
      </c>
      <c r="H312" t="n">
        <v>0</v>
      </c>
      <c r="I312" t="n">
        <v>1</v>
      </c>
      <c r="J312" t="n">
        <v>0</v>
      </c>
      <c r="K312" t="n">
        <v>0</v>
      </c>
      <c r="L312" t="n">
        <v>0</v>
      </c>
      <c r="M312" t="n">
        <v>0</v>
      </c>
      <c r="N312" t="n">
        <v>0</v>
      </c>
      <c r="O312" t="n">
        <v>0</v>
      </c>
      <c r="P312" t="n">
        <v>0</v>
      </c>
      <c r="Q312" t="n">
        <v>1</v>
      </c>
      <c r="R312" s="2" t="inlineStr">
        <is>
          <t>Barkticka</t>
        </is>
      </c>
      <c r="S312">
        <f>HYPERLINK("https://klasma.github.io/Logging_222281/artfynd/A 19762-2025 artfynd.xlsx", "A 19762-2025")</f>
        <v/>
      </c>
      <c r="T312">
        <f>HYPERLINK("https://klasma.github.io/Logging_222281/kartor/A 19762-2025 karta.png", "A 19762-2025")</f>
        <v/>
      </c>
      <c r="V312">
        <f>HYPERLINK("https://klasma.github.io/Logging_222281/klagomål/A 19762-2025 FSC-klagomål.docx", "A 19762-2025")</f>
        <v/>
      </c>
      <c r="W312">
        <f>HYPERLINK("https://klasma.github.io/Logging_222281/klagomålsmail/A 19762-2025 FSC-klagomål mail.docx", "A 19762-2025")</f>
        <v/>
      </c>
      <c r="X312">
        <f>HYPERLINK("https://klasma.github.io/Logging_222281/tillsyn/A 19762-2025 tillsynsbegäran.docx", "A 19762-2025")</f>
        <v/>
      </c>
      <c r="Y312">
        <f>HYPERLINK("https://klasma.github.io/Logging_222281/tillsynsmail/A 19762-2025 tillsynsbegäran mail.docx", "A 19762-2025")</f>
        <v/>
      </c>
    </row>
    <row r="313" ht="15" customHeight="1">
      <c r="A313" t="inlineStr">
        <is>
          <t>A 19826-2025</t>
        </is>
      </c>
      <c r="B313" s="1" t="n">
        <v>45771</v>
      </c>
      <c r="C313" s="1" t="n">
        <v>45845</v>
      </c>
      <c r="D313" t="inlineStr">
        <is>
          <t>VÄSTERNORRLANDS LÄN</t>
        </is>
      </c>
      <c r="E313" t="inlineStr">
        <is>
          <t>SUNDSVALL</t>
        </is>
      </c>
      <c r="F313" t="inlineStr">
        <is>
          <t>Naturvårdsverket</t>
        </is>
      </c>
      <c r="G313" t="n">
        <v>1.5</v>
      </c>
      <c r="H313" t="n">
        <v>0</v>
      </c>
      <c r="I313" t="n">
        <v>0</v>
      </c>
      <c r="J313" t="n">
        <v>1</v>
      </c>
      <c r="K313" t="n">
        <v>0</v>
      </c>
      <c r="L313" t="n">
        <v>0</v>
      </c>
      <c r="M313" t="n">
        <v>0</v>
      </c>
      <c r="N313" t="n">
        <v>0</v>
      </c>
      <c r="O313" t="n">
        <v>1</v>
      </c>
      <c r="P313" t="n">
        <v>0</v>
      </c>
      <c r="Q313" t="n">
        <v>1</v>
      </c>
      <c r="R313" s="2" t="inlineStr">
        <is>
          <t>Lunglav</t>
        </is>
      </c>
      <c r="S313">
        <f>HYPERLINK("https://klasma.github.io/Logging_222281/artfynd/A 19826-2025 artfynd.xlsx", "A 19826-2025")</f>
        <v/>
      </c>
      <c r="T313">
        <f>HYPERLINK("https://klasma.github.io/Logging_222281/kartor/A 19826-2025 karta.png", "A 19826-2025")</f>
        <v/>
      </c>
      <c r="V313">
        <f>HYPERLINK("https://klasma.github.io/Logging_222281/klagomål/A 19826-2025 FSC-klagomål.docx", "A 19826-2025")</f>
        <v/>
      </c>
      <c r="W313">
        <f>HYPERLINK("https://klasma.github.io/Logging_222281/klagomålsmail/A 19826-2025 FSC-klagomål mail.docx", "A 19826-2025")</f>
        <v/>
      </c>
      <c r="X313">
        <f>HYPERLINK("https://klasma.github.io/Logging_222281/tillsyn/A 19826-2025 tillsynsbegäran.docx", "A 19826-2025")</f>
        <v/>
      </c>
      <c r="Y313">
        <f>HYPERLINK("https://klasma.github.io/Logging_222281/tillsynsmail/A 19826-2025 tillsynsbegäran mail.docx", "A 19826-2025")</f>
        <v/>
      </c>
    </row>
    <row r="314" ht="15" customHeight="1">
      <c r="A314" t="inlineStr">
        <is>
          <t>A 20078-2025</t>
        </is>
      </c>
      <c r="B314" s="1" t="n">
        <v>45772</v>
      </c>
      <c r="C314" s="1" t="n">
        <v>45845</v>
      </c>
      <c r="D314" t="inlineStr">
        <is>
          <t>VÄSTERNORRLANDS LÄN</t>
        </is>
      </c>
      <c r="E314" t="inlineStr">
        <is>
          <t>SUNDSVALL</t>
        </is>
      </c>
      <c r="F314" t="inlineStr">
        <is>
          <t>Naturvårdsverket</t>
        </is>
      </c>
      <c r="G314" t="n">
        <v>6.9</v>
      </c>
      <c r="H314" t="n">
        <v>0</v>
      </c>
      <c r="I314" t="n">
        <v>0</v>
      </c>
      <c r="J314" t="n">
        <v>1</v>
      </c>
      <c r="K314" t="n">
        <v>0</v>
      </c>
      <c r="L314" t="n">
        <v>0</v>
      </c>
      <c r="M314" t="n">
        <v>0</v>
      </c>
      <c r="N314" t="n">
        <v>0</v>
      </c>
      <c r="O314" t="n">
        <v>1</v>
      </c>
      <c r="P314" t="n">
        <v>0</v>
      </c>
      <c r="Q314" t="n">
        <v>1</v>
      </c>
      <c r="R314" s="2" t="inlineStr">
        <is>
          <t>Lunglav</t>
        </is>
      </c>
      <c r="S314">
        <f>HYPERLINK("https://klasma.github.io/Logging_222281/artfynd/A 20078-2025 artfynd.xlsx", "A 20078-2025")</f>
        <v/>
      </c>
      <c r="T314">
        <f>HYPERLINK("https://klasma.github.io/Logging_222281/kartor/A 20078-2025 karta.png", "A 20078-2025")</f>
        <v/>
      </c>
      <c r="V314">
        <f>HYPERLINK("https://klasma.github.io/Logging_222281/klagomål/A 20078-2025 FSC-klagomål.docx", "A 20078-2025")</f>
        <v/>
      </c>
      <c r="W314">
        <f>HYPERLINK("https://klasma.github.io/Logging_222281/klagomålsmail/A 20078-2025 FSC-klagomål mail.docx", "A 20078-2025")</f>
        <v/>
      </c>
      <c r="X314">
        <f>HYPERLINK("https://klasma.github.io/Logging_222281/tillsyn/A 20078-2025 tillsynsbegäran.docx", "A 20078-2025")</f>
        <v/>
      </c>
      <c r="Y314">
        <f>HYPERLINK("https://klasma.github.io/Logging_222281/tillsynsmail/A 20078-2025 tillsynsbegäran mail.docx", "A 20078-2025")</f>
        <v/>
      </c>
    </row>
    <row r="315" ht="15" customHeight="1">
      <c r="A315" t="inlineStr">
        <is>
          <t>A 20075-2025</t>
        </is>
      </c>
      <c r="B315" s="1" t="n">
        <v>45772</v>
      </c>
      <c r="C315" s="1" t="n">
        <v>45845</v>
      </c>
      <c r="D315" t="inlineStr">
        <is>
          <t>VÄSTERNORRLANDS LÄN</t>
        </is>
      </c>
      <c r="E315" t="inlineStr">
        <is>
          <t>SUNDSVALL</t>
        </is>
      </c>
      <c r="F315" t="inlineStr">
        <is>
          <t>Naturvårdsverket</t>
        </is>
      </c>
      <c r="G315" t="n">
        <v>8.9</v>
      </c>
      <c r="H315" t="n">
        <v>0</v>
      </c>
      <c r="I315" t="n">
        <v>0</v>
      </c>
      <c r="J315" t="n">
        <v>1</v>
      </c>
      <c r="K315" t="n">
        <v>0</v>
      </c>
      <c r="L315" t="n">
        <v>0</v>
      </c>
      <c r="M315" t="n">
        <v>0</v>
      </c>
      <c r="N315" t="n">
        <v>0</v>
      </c>
      <c r="O315" t="n">
        <v>1</v>
      </c>
      <c r="P315" t="n">
        <v>0</v>
      </c>
      <c r="Q315" t="n">
        <v>1</v>
      </c>
      <c r="R315" s="2" t="inlineStr">
        <is>
          <t>Lunglav</t>
        </is>
      </c>
      <c r="S315">
        <f>HYPERLINK("https://klasma.github.io/Logging_222281/artfynd/A 20075-2025 artfynd.xlsx", "A 20075-2025")</f>
        <v/>
      </c>
      <c r="T315">
        <f>HYPERLINK("https://klasma.github.io/Logging_222281/kartor/A 20075-2025 karta.png", "A 20075-2025")</f>
        <v/>
      </c>
      <c r="V315">
        <f>HYPERLINK("https://klasma.github.io/Logging_222281/klagomål/A 20075-2025 FSC-klagomål.docx", "A 20075-2025")</f>
        <v/>
      </c>
      <c r="W315">
        <f>HYPERLINK("https://klasma.github.io/Logging_222281/klagomålsmail/A 20075-2025 FSC-klagomål mail.docx", "A 20075-2025")</f>
        <v/>
      </c>
      <c r="X315">
        <f>HYPERLINK("https://klasma.github.io/Logging_222281/tillsyn/A 20075-2025 tillsynsbegäran.docx", "A 20075-2025")</f>
        <v/>
      </c>
      <c r="Y315">
        <f>HYPERLINK("https://klasma.github.io/Logging_222281/tillsynsmail/A 20075-2025 tillsynsbegäran mail.docx", "A 20075-2025")</f>
        <v/>
      </c>
    </row>
    <row r="316" ht="15" customHeight="1">
      <c r="A316" t="inlineStr">
        <is>
          <t>A 20631-2025</t>
        </is>
      </c>
      <c r="B316" s="1" t="n">
        <v>45776</v>
      </c>
      <c r="C316" s="1" t="n">
        <v>45845</v>
      </c>
      <c r="D316" t="inlineStr">
        <is>
          <t>VÄSTERNORRLANDS LÄN</t>
        </is>
      </c>
      <c r="E316" t="inlineStr">
        <is>
          <t>SUNDSVALL</t>
        </is>
      </c>
      <c r="F316" t="inlineStr">
        <is>
          <t>Naturvårdsverket</t>
        </is>
      </c>
      <c r="G316" t="n">
        <v>9.6</v>
      </c>
      <c r="H316" t="n">
        <v>0</v>
      </c>
      <c r="I316" t="n">
        <v>0</v>
      </c>
      <c r="J316" t="n">
        <v>1</v>
      </c>
      <c r="K316" t="n">
        <v>0</v>
      </c>
      <c r="L316" t="n">
        <v>0</v>
      </c>
      <c r="M316" t="n">
        <v>0</v>
      </c>
      <c r="N316" t="n">
        <v>0</v>
      </c>
      <c r="O316" t="n">
        <v>1</v>
      </c>
      <c r="P316" t="n">
        <v>0</v>
      </c>
      <c r="Q316" t="n">
        <v>1</v>
      </c>
      <c r="R316" s="2" t="inlineStr">
        <is>
          <t>Nordtagging</t>
        </is>
      </c>
      <c r="S316">
        <f>HYPERLINK("https://klasma.github.io/Logging_222281/artfynd/A 20631-2025 artfynd.xlsx", "A 20631-2025")</f>
        <v/>
      </c>
      <c r="T316">
        <f>HYPERLINK("https://klasma.github.io/Logging_222281/kartor/A 20631-2025 karta.png", "A 20631-2025")</f>
        <v/>
      </c>
      <c r="V316">
        <f>HYPERLINK("https://klasma.github.io/Logging_222281/klagomål/A 20631-2025 FSC-klagomål.docx", "A 20631-2025")</f>
        <v/>
      </c>
      <c r="W316">
        <f>HYPERLINK("https://klasma.github.io/Logging_222281/klagomålsmail/A 20631-2025 FSC-klagomål mail.docx", "A 20631-2025")</f>
        <v/>
      </c>
      <c r="X316">
        <f>HYPERLINK("https://klasma.github.io/Logging_222281/tillsyn/A 20631-2025 tillsynsbegäran.docx", "A 20631-2025")</f>
        <v/>
      </c>
      <c r="Y316">
        <f>HYPERLINK("https://klasma.github.io/Logging_222281/tillsynsmail/A 20631-2025 tillsynsbegäran mail.docx", "A 20631-2025")</f>
        <v/>
      </c>
    </row>
    <row r="317" ht="15" customHeight="1">
      <c r="A317" t="inlineStr">
        <is>
          <t>A 21318-2025</t>
        </is>
      </c>
      <c r="B317" s="1" t="n">
        <v>45782</v>
      </c>
      <c r="C317" s="1" t="n">
        <v>45845</v>
      </c>
      <c r="D317" t="inlineStr">
        <is>
          <t>VÄSTERNORRLANDS LÄN</t>
        </is>
      </c>
      <c r="E317" t="inlineStr">
        <is>
          <t>SUNDSVALL</t>
        </is>
      </c>
      <c r="F317" t="inlineStr">
        <is>
          <t>Naturvårdsverket</t>
        </is>
      </c>
      <c r="G317" t="n">
        <v>3.7</v>
      </c>
      <c r="H317" t="n">
        <v>0</v>
      </c>
      <c r="I317" t="n">
        <v>0</v>
      </c>
      <c r="J317" t="n">
        <v>1</v>
      </c>
      <c r="K317" t="n">
        <v>0</v>
      </c>
      <c r="L317" t="n">
        <v>0</v>
      </c>
      <c r="M317" t="n">
        <v>0</v>
      </c>
      <c r="N317" t="n">
        <v>0</v>
      </c>
      <c r="O317" t="n">
        <v>1</v>
      </c>
      <c r="P317" t="n">
        <v>0</v>
      </c>
      <c r="Q317" t="n">
        <v>1</v>
      </c>
      <c r="R317" s="2" t="inlineStr">
        <is>
          <t>Reliktbock</t>
        </is>
      </c>
      <c r="S317">
        <f>HYPERLINK("https://klasma.github.io/Logging_222281/artfynd/A 21318-2025 artfynd.xlsx", "A 21318-2025")</f>
        <v/>
      </c>
      <c r="T317">
        <f>HYPERLINK("https://klasma.github.io/Logging_222281/kartor/A 21318-2025 karta.png", "A 21318-2025")</f>
        <v/>
      </c>
      <c r="V317">
        <f>HYPERLINK("https://klasma.github.io/Logging_222281/klagomål/A 21318-2025 FSC-klagomål.docx", "A 21318-2025")</f>
        <v/>
      </c>
      <c r="W317">
        <f>HYPERLINK("https://klasma.github.io/Logging_222281/klagomålsmail/A 21318-2025 FSC-klagomål mail.docx", "A 21318-2025")</f>
        <v/>
      </c>
      <c r="X317">
        <f>HYPERLINK("https://klasma.github.io/Logging_222281/tillsyn/A 21318-2025 tillsynsbegäran.docx", "A 21318-2025")</f>
        <v/>
      </c>
      <c r="Y317">
        <f>HYPERLINK("https://klasma.github.io/Logging_222281/tillsynsmail/A 21318-2025 tillsynsbegäran mail.docx", "A 21318-2025")</f>
        <v/>
      </c>
    </row>
    <row r="318" ht="15" customHeight="1">
      <c r="A318" t="inlineStr">
        <is>
          <t>A 21765-2025</t>
        </is>
      </c>
      <c r="B318" s="1" t="n">
        <v>45783</v>
      </c>
      <c r="C318" s="1" t="n">
        <v>45845</v>
      </c>
      <c r="D318" t="inlineStr">
        <is>
          <t>VÄSTERNORRLANDS LÄN</t>
        </is>
      </c>
      <c r="E318" t="inlineStr">
        <is>
          <t>SUNDSVALL</t>
        </is>
      </c>
      <c r="G318" t="n">
        <v>8</v>
      </c>
      <c r="H318" t="n">
        <v>1</v>
      </c>
      <c r="I318" t="n">
        <v>0</v>
      </c>
      <c r="J318" t="n">
        <v>0</v>
      </c>
      <c r="K318" t="n">
        <v>0</v>
      </c>
      <c r="L318" t="n">
        <v>0</v>
      </c>
      <c r="M318" t="n">
        <v>0</v>
      </c>
      <c r="N318" t="n">
        <v>0</v>
      </c>
      <c r="O318" t="n">
        <v>0</v>
      </c>
      <c r="P318" t="n">
        <v>0</v>
      </c>
      <c r="Q318" t="n">
        <v>1</v>
      </c>
      <c r="R318" s="2" t="inlineStr">
        <is>
          <t>Orre</t>
        </is>
      </c>
      <c r="S318">
        <f>HYPERLINK("https://klasma.github.io/Logging_222281/artfynd/A 21765-2025 artfynd.xlsx", "A 21765-2025")</f>
        <v/>
      </c>
      <c r="T318">
        <f>HYPERLINK("https://klasma.github.io/Logging_222281/kartor/A 21765-2025 karta.png", "A 21765-2025")</f>
        <v/>
      </c>
      <c r="V318">
        <f>HYPERLINK("https://klasma.github.io/Logging_222281/klagomål/A 21765-2025 FSC-klagomål.docx", "A 21765-2025")</f>
        <v/>
      </c>
      <c r="W318">
        <f>HYPERLINK("https://klasma.github.io/Logging_222281/klagomålsmail/A 21765-2025 FSC-klagomål mail.docx", "A 21765-2025")</f>
        <v/>
      </c>
      <c r="X318">
        <f>HYPERLINK("https://klasma.github.io/Logging_222281/tillsyn/A 21765-2025 tillsynsbegäran.docx", "A 21765-2025")</f>
        <v/>
      </c>
      <c r="Y318">
        <f>HYPERLINK("https://klasma.github.io/Logging_222281/tillsynsmail/A 21765-2025 tillsynsbegäran mail.docx", "A 21765-2025")</f>
        <v/>
      </c>
      <c r="Z318">
        <f>HYPERLINK("https://klasma.github.io/Logging_222281/fåglar/A 21765-2025 prioriterade fågelarter.docx", "A 21765-2025")</f>
        <v/>
      </c>
    </row>
    <row r="319" ht="15" customHeight="1">
      <c r="A319" t="inlineStr">
        <is>
          <t>A 24016-2025</t>
        </is>
      </c>
      <c r="B319" s="1" t="n">
        <v>45796</v>
      </c>
      <c r="C319" s="1" t="n">
        <v>45845</v>
      </c>
      <c r="D319" t="inlineStr">
        <is>
          <t>VÄSTERNORRLANDS LÄN</t>
        </is>
      </c>
      <c r="E319" t="inlineStr">
        <is>
          <t>SUNDSVALL</t>
        </is>
      </c>
      <c r="F319" t="inlineStr">
        <is>
          <t>Naturvårdsverket</t>
        </is>
      </c>
      <c r="G319" t="n">
        <v>4.1</v>
      </c>
      <c r="H319" t="n">
        <v>0</v>
      </c>
      <c r="I319" t="n">
        <v>0</v>
      </c>
      <c r="J319" t="n">
        <v>1</v>
      </c>
      <c r="K319" t="n">
        <v>0</v>
      </c>
      <c r="L319" t="n">
        <v>0</v>
      </c>
      <c r="M319" t="n">
        <v>0</v>
      </c>
      <c r="N319" t="n">
        <v>0</v>
      </c>
      <c r="O319" t="n">
        <v>1</v>
      </c>
      <c r="P319" t="n">
        <v>0</v>
      </c>
      <c r="Q319" t="n">
        <v>1</v>
      </c>
      <c r="R319" s="2" t="inlineStr">
        <is>
          <t>Kolflarnlav</t>
        </is>
      </c>
      <c r="S319">
        <f>HYPERLINK("https://klasma.github.io/Logging_222281/artfynd/A 24016-2025 artfynd.xlsx", "A 24016-2025")</f>
        <v/>
      </c>
      <c r="T319">
        <f>HYPERLINK("https://klasma.github.io/Logging_222281/kartor/A 24016-2025 karta.png", "A 24016-2025")</f>
        <v/>
      </c>
      <c r="V319">
        <f>HYPERLINK("https://klasma.github.io/Logging_222281/klagomål/A 24016-2025 FSC-klagomål.docx", "A 24016-2025")</f>
        <v/>
      </c>
      <c r="W319">
        <f>HYPERLINK("https://klasma.github.io/Logging_222281/klagomålsmail/A 24016-2025 FSC-klagomål mail.docx", "A 24016-2025")</f>
        <v/>
      </c>
      <c r="X319">
        <f>HYPERLINK("https://klasma.github.io/Logging_222281/tillsyn/A 24016-2025 tillsynsbegäran.docx", "A 24016-2025")</f>
        <v/>
      </c>
      <c r="Y319">
        <f>HYPERLINK("https://klasma.github.io/Logging_222281/tillsynsmail/A 24016-2025 tillsynsbegäran mail.docx", "A 24016-2025")</f>
        <v/>
      </c>
    </row>
    <row r="320" ht="15" customHeight="1">
      <c r="A320" t="inlineStr">
        <is>
          <t>A 24431-2025</t>
        </is>
      </c>
      <c r="B320" s="1" t="n">
        <v>45797</v>
      </c>
      <c r="C320" s="1" t="n">
        <v>45845</v>
      </c>
      <c r="D320" t="inlineStr">
        <is>
          <t>VÄSTERNORRLANDS LÄN</t>
        </is>
      </c>
      <c r="E320" t="inlineStr">
        <is>
          <t>SUNDSVALL</t>
        </is>
      </c>
      <c r="F320" t="inlineStr">
        <is>
          <t>SCA</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HYPERLINK("https://klasma.github.io/Logging_222281/artfynd/A 24431-2025 artfynd.xlsx", "A 24431-2025")</f>
        <v/>
      </c>
      <c r="T320">
        <f>HYPERLINK("https://klasma.github.io/Logging_222281/kartor/A 24431-2025 karta.png", "A 24431-2025")</f>
        <v/>
      </c>
      <c r="V320">
        <f>HYPERLINK("https://klasma.github.io/Logging_222281/klagomål/A 24431-2025 FSC-klagomål.docx", "A 24431-2025")</f>
        <v/>
      </c>
      <c r="W320">
        <f>HYPERLINK("https://klasma.github.io/Logging_222281/klagomålsmail/A 24431-2025 FSC-klagomål mail.docx", "A 24431-2025")</f>
        <v/>
      </c>
      <c r="X320">
        <f>HYPERLINK("https://klasma.github.io/Logging_222281/tillsyn/A 24431-2025 tillsynsbegäran.docx", "A 24431-2025")</f>
        <v/>
      </c>
      <c r="Y320">
        <f>HYPERLINK("https://klasma.github.io/Logging_222281/tillsynsmail/A 24431-2025 tillsynsbegäran mail.docx", "A 24431-2025")</f>
        <v/>
      </c>
      <c r="Z320">
        <f>HYPERLINK("https://klasma.github.io/Logging_222281/fåglar/A 24431-2025 prioriterade fågelarter.docx", "A 24431-2025")</f>
        <v/>
      </c>
    </row>
    <row r="321" ht="15" customHeight="1">
      <c r="A321" t="inlineStr">
        <is>
          <t>A 25117-2025</t>
        </is>
      </c>
      <c r="B321" s="1" t="n">
        <v>45800</v>
      </c>
      <c r="C321" s="1" t="n">
        <v>45845</v>
      </c>
      <c r="D321" t="inlineStr">
        <is>
          <t>VÄSTERNORRLANDS LÄN</t>
        </is>
      </c>
      <c r="E321" t="inlineStr">
        <is>
          <t>SUNDSVALL</t>
        </is>
      </c>
      <c r="F321" t="inlineStr">
        <is>
          <t>SCA</t>
        </is>
      </c>
      <c r="G321" t="n">
        <v>2</v>
      </c>
      <c r="H321" t="n">
        <v>0</v>
      </c>
      <c r="I321" t="n">
        <v>0</v>
      </c>
      <c r="J321" t="n">
        <v>1</v>
      </c>
      <c r="K321" t="n">
        <v>0</v>
      </c>
      <c r="L321" t="n">
        <v>0</v>
      </c>
      <c r="M321" t="n">
        <v>0</v>
      </c>
      <c r="N321" t="n">
        <v>0</v>
      </c>
      <c r="O321" t="n">
        <v>1</v>
      </c>
      <c r="P321" t="n">
        <v>0</v>
      </c>
      <c r="Q321" t="n">
        <v>1</v>
      </c>
      <c r="R321" s="2" t="inlineStr">
        <is>
          <t>Garnlav</t>
        </is>
      </c>
      <c r="S321">
        <f>HYPERLINK("https://klasma.github.io/Logging_222281/artfynd/A 25117-2025 artfynd.xlsx", "A 25117-2025")</f>
        <v/>
      </c>
      <c r="T321">
        <f>HYPERLINK("https://klasma.github.io/Logging_222281/kartor/A 25117-2025 karta.png", "A 25117-2025")</f>
        <v/>
      </c>
      <c r="V321">
        <f>HYPERLINK("https://klasma.github.io/Logging_222281/klagomål/A 25117-2025 FSC-klagomål.docx", "A 25117-2025")</f>
        <v/>
      </c>
      <c r="W321">
        <f>HYPERLINK("https://klasma.github.io/Logging_222281/klagomålsmail/A 25117-2025 FSC-klagomål mail.docx", "A 25117-2025")</f>
        <v/>
      </c>
      <c r="X321">
        <f>HYPERLINK("https://klasma.github.io/Logging_222281/tillsyn/A 25117-2025 tillsynsbegäran.docx", "A 25117-2025")</f>
        <v/>
      </c>
      <c r="Y321">
        <f>HYPERLINK("https://klasma.github.io/Logging_222281/tillsynsmail/A 25117-2025 tillsynsbegäran mail.docx", "A 25117-2025")</f>
        <v/>
      </c>
    </row>
    <row r="322" ht="15" customHeight="1">
      <c r="A322" t="inlineStr">
        <is>
          <t>A 25791-2025</t>
        </is>
      </c>
      <c r="B322" s="1" t="n">
        <v>45804</v>
      </c>
      <c r="C322" s="1" t="n">
        <v>45845</v>
      </c>
      <c r="D322" t="inlineStr">
        <is>
          <t>VÄSTERNORRLANDS LÄN</t>
        </is>
      </c>
      <c r="E322" t="inlineStr">
        <is>
          <t>SUNDSVALL</t>
        </is>
      </c>
      <c r="G322" t="n">
        <v>2.8</v>
      </c>
      <c r="H322" t="n">
        <v>1</v>
      </c>
      <c r="I322" t="n">
        <v>0</v>
      </c>
      <c r="J322" t="n">
        <v>1</v>
      </c>
      <c r="K322" t="n">
        <v>0</v>
      </c>
      <c r="L322" t="n">
        <v>0</v>
      </c>
      <c r="M322" t="n">
        <v>0</v>
      </c>
      <c r="N322" t="n">
        <v>0</v>
      </c>
      <c r="O322" t="n">
        <v>1</v>
      </c>
      <c r="P322" t="n">
        <v>0</v>
      </c>
      <c r="Q322" t="n">
        <v>1</v>
      </c>
      <c r="R322" s="2" t="inlineStr">
        <is>
          <t>Hornuggla</t>
        </is>
      </c>
      <c r="S322">
        <f>HYPERLINK("https://klasma.github.io/Logging_222281/artfynd/A 25791-2025 artfynd.xlsx", "A 25791-2025")</f>
        <v/>
      </c>
      <c r="T322">
        <f>HYPERLINK("https://klasma.github.io/Logging_222281/kartor/A 25791-2025 karta.png", "A 25791-2025")</f>
        <v/>
      </c>
      <c r="V322">
        <f>HYPERLINK("https://klasma.github.io/Logging_222281/klagomål/A 25791-2025 FSC-klagomål.docx", "A 25791-2025")</f>
        <v/>
      </c>
      <c r="W322">
        <f>HYPERLINK("https://klasma.github.io/Logging_222281/klagomålsmail/A 25791-2025 FSC-klagomål mail.docx", "A 25791-2025")</f>
        <v/>
      </c>
      <c r="X322">
        <f>HYPERLINK("https://klasma.github.io/Logging_222281/tillsyn/A 25791-2025 tillsynsbegäran.docx", "A 25791-2025")</f>
        <v/>
      </c>
      <c r="Y322">
        <f>HYPERLINK("https://klasma.github.io/Logging_222281/tillsynsmail/A 25791-2025 tillsynsbegäran mail.docx", "A 25791-2025")</f>
        <v/>
      </c>
      <c r="Z322">
        <f>HYPERLINK("https://klasma.github.io/Logging_222281/fåglar/A 25791-2025 prioriterade fågelarter.docx", "A 25791-2025")</f>
        <v/>
      </c>
    </row>
    <row r="323" ht="15" customHeight="1">
      <c r="A323" t="inlineStr">
        <is>
          <t>A 27211-2025</t>
        </is>
      </c>
      <c r="B323" s="1" t="n">
        <v>45812</v>
      </c>
      <c r="C323" s="1" t="n">
        <v>45845</v>
      </c>
      <c r="D323" t="inlineStr">
        <is>
          <t>VÄSTERNORRLANDS LÄN</t>
        </is>
      </c>
      <c r="E323" t="inlineStr">
        <is>
          <t>SUNDSVALL</t>
        </is>
      </c>
      <c r="F323" t="inlineStr">
        <is>
          <t>SCA</t>
        </is>
      </c>
      <c r="G323" t="n">
        <v>0.6</v>
      </c>
      <c r="H323" t="n">
        <v>0</v>
      </c>
      <c r="I323" t="n">
        <v>0</v>
      </c>
      <c r="J323" t="n">
        <v>1</v>
      </c>
      <c r="K323" t="n">
        <v>0</v>
      </c>
      <c r="L323" t="n">
        <v>0</v>
      </c>
      <c r="M323" t="n">
        <v>0</v>
      </c>
      <c r="N323" t="n">
        <v>0</v>
      </c>
      <c r="O323" t="n">
        <v>1</v>
      </c>
      <c r="P323" t="n">
        <v>0</v>
      </c>
      <c r="Q323" t="n">
        <v>1</v>
      </c>
      <c r="R323" s="2" t="inlineStr">
        <is>
          <t>Garnlav</t>
        </is>
      </c>
      <c r="S323">
        <f>HYPERLINK("https://klasma.github.io/Logging_222281/artfynd/A 27211-2025 artfynd.xlsx", "A 27211-2025")</f>
        <v/>
      </c>
      <c r="T323">
        <f>HYPERLINK("https://klasma.github.io/Logging_222281/kartor/A 27211-2025 karta.png", "A 27211-2025")</f>
        <v/>
      </c>
      <c r="V323">
        <f>HYPERLINK("https://klasma.github.io/Logging_222281/klagomål/A 27211-2025 FSC-klagomål.docx", "A 27211-2025")</f>
        <v/>
      </c>
      <c r="W323">
        <f>HYPERLINK("https://klasma.github.io/Logging_222281/klagomålsmail/A 27211-2025 FSC-klagomål mail.docx", "A 27211-2025")</f>
        <v/>
      </c>
      <c r="X323">
        <f>HYPERLINK("https://klasma.github.io/Logging_222281/tillsyn/A 27211-2025 tillsynsbegäran.docx", "A 27211-2025")</f>
        <v/>
      </c>
      <c r="Y323">
        <f>HYPERLINK("https://klasma.github.io/Logging_222281/tillsynsmail/A 27211-2025 tillsynsbegäran mail.docx", "A 27211-2025")</f>
        <v/>
      </c>
    </row>
    <row r="324" ht="15" customHeight="1">
      <c r="A324" t="inlineStr">
        <is>
          <t>A 28452-2025</t>
        </is>
      </c>
      <c r="B324" s="1" t="n">
        <v>45819</v>
      </c>
      <c r="C324" s="1" t="n">
        <v>45845</v>
      </c>
      <c r="D324" t="inlineStr">
        <is>
          <t>VÄSTERNORRLANDS LÄN</t>
        </is>
      </c>
      <c r="E324" t="inlineStr">
        <is>
          <t>SUNDSVALL</t>
        </is>
      </c>
      <c r="F324" t="inlineStr">
        <is>
          <t>Naturvårdsverket</t>
        </is>
      </c>
      <c r="G324" t="n">
        <v>11</v>
      </c>
      <c r="H324" t="n">
        <v>0</v>
      </c>
      <c r="I324" t="n">
        <v>0</v>
      </c>
      <c r="J324" t="n">
        <v>1</v>
      </c>
      <c r="K324" t="n">
        <v>0</v>
      </c>
      <c r="L324" t="n">
        <v>0</v>
      </c>
      <c r="M324" t="n">
        <v>0</v>
      </c>
      <c r="N324" t="n">
        <v>0</v>
      </c>
      <c r="O324" t="n">
        <v>1</v>
      </c>
      <c r="P324" t="n">
        <v>0</v>
      </c>
      <c r="Q324" t="n">
        <v>1</v>
      </c>
      <c r="R324" s="2" t="inlineStr">
        <is>
          <t>Lunglav</t>
        </is>
      </c>
      <c r="S324">
        <f>HYPERLINK("https://klasma.github.io/Logging_222281/artfynd/A 28452-2025 artfynd.xlsx", "A 28452-2025")</f>
        <v/>
      </c>
      <c r="T324">
        <f>HYPERLINK("https://klasma.github.io/Logging_222281/kartor/A 28452-2025 karta.png", "A 28452-2025")</f>
        <v/>
      </c>
      <c r="V324">
        <f>HYPERLINK("https://klasma.github.io/Logging_222281/klagomål/A 28452-2025 FSC-klagomål.docx", "A 28452-2025")</f>
        <v/>
      </c>
      <c r="W324">
        <f>HYPERLINK("https://klasma.github.io/Logging_222281/klagomålsmail/A 28452-2025 FSC-klagomål mail.docx", "A 28452-2025")</f>
        <v/>
      </c>
      <c r="X324">
        <f>HYPERLINK("https://klasma.github.io/Logging_222281/tillsyn/A 28452-2025 tillsynsbegäran.docx", "A 28452-2025")</f>
        <v/>
      </c>
      <c r="Y324">
        <f>HYPERLINK("https://klasma.github.io/Logging_222281/tillsynsmail/A 28452-2025 tillsynsbegäran mail.docx", "A 28452-2025")</f>
        <v/>
      </c>
    </row>
    <row r="325" ht="15" customHeight="1">
      <c r="A325" t="inlineStr">
        <is>
          <t>A 18070-2019</t>
        </is>
      </c>
      <c r="B325" s="1" t="n">
        <v>43557</v>
      </c>
      <c r="C325" s="1" t="n">
        <v>45845</v>
      </c>
      <c r="D325" t="inlineStr">
        <is>
          <t>VÄSTERNORRLANDS LÄN</t>
        </is>
      </c>
      <c r="E325" t="inlineStr">
        <is>
          <t>SUNDSVALL</t>
        </is>
      </c>
      <c r="G325" t="n">
        <v>7.5</v>
      </c>
      <c r="H325" t="n">
        <v>0</v>
      </c>
      <c r="I325" t="n">
        <v>0</v>
      </c>
      <c r="J325" t="n">
        <v>0</v>
      </c>
      <c r="K325" t="n">
        <v>0</v>
      </c>
      <c r="L325" t="n">
        <v>0</v>
      </c>
      <c r="M325" t="n">
        <v>0</v>
      </c>
      <c r="N325" t="n">
        <v>0</v>
      </c>
      <c r="O325" t="n">
        <v>0</v>
      </c>
      <c r="P325" t="n">
        <v>0</v>
      </c>
      <c r="Q325" t="n">
        <v>0</v>
      </c>
      <c r="R325" s="2" t="inlineStr"/>
    </row>
    <row r="326" ht="15" customHeight="1">
      <c r="A326" t="inlineStr">
        <is>
          <t>A 18198-2019</t>
        </is>
      </c>
      <c r="B326" s="1" t="n">
        <v>43558</v>
      </c>
      <c r="C326" s="1" t="n">
        <v>45845</v>
      </c>
      <c r="D326" t="inlineStr">
        <is>
          <t>VÄSTERNORRLANDS LÄN</t>
        </is>
      </c>
      <c r="E326" t="inlineStr">
        <is>
          <t>SUNDSVALL</t>
        </is>
      </c>
      <c r="F326" t="inlineStr">
        <is>
          <t>Holmen skog AB</t>
        </is>
      </c>
      <c r="G326" t="n">
        <v>5.4</v>
      </c>
      <c r="H326" t="n">
        <v>0</v>
      </c>
      <c r="I326" t="n">
        <v>0</v>
      </c>
      <c r="J326" t="n">
        <v>0</v>
      </c>
      <c r="K326" t="n">
        <v>0</v>
      </c>
      <c r="L326" t="n">
        <v>0</v>
      </c>
      <c r="M326" t="n">
        <v>0</v>
      </c>
      <c r="N326" t="n">
        <v>0</v>
      </c>
      <c r="O326" t="n">
        <v>0</v>
      </c>
      <c r="P326" t="n">
        <v>0</v>
      </c>
      <c r="Q326" t="n">
        <v>0</v>
      </c>
      <c r="R326" s="2" t="inlineStr"/>
    </row>
    <row r="327" ht="15" customHeight="1">
      <c r="A327" t="inlineStr">
        <is>
          <t>A 18745-2019</t>
        </is>
      </c>
      <c r="B327" s="1" t="n">
        <v>43560</v>
      </c>
      <c r="C327" s="1" t="n">
        <v>45845</v>
      </c>
      <c r="D327" t="inlineStr">
        <is>
          <t>VÄSTERNORRLANDS LÄN</t>
        </is>
      </c>
      <c r="E327" t="inlineStr">
        <is>
          <t>SUNDSVALL</t>
        </is>
      </c>
      <c r="G327" t="n">
        <v>0.7</v>
      </c>
      <c r="H327" t="n">
        <v>0</v>
      </c>
      <c r="I327" t="n">
        <v>0</v>
      </c>
      <c r="J327" t="n">
        <v>0</v>
      </c>
      <c r="K327" t="n">
        <v>0</v>
      </c>
      <c r="L327" t="n">
        <v>0</v>
      </c>
      <c r="M327" t="n">
        <v>0</v>
      </c>
      <c r="N327" t="n">
        <v>0</v>
      </c>
      <c r="O327" t="n">
        <v>0</v>
      </c>
      <c r="P327" t="n">
        <v>0</v>
      </c>
      <c r="Q327" t="n">
        <v>0</v>
      </c>
      <c r="R327" s="2" t="inlineStr"/>
    </row>
    <row r="328" ht="15" customHeight="1">
      <c r="A328" t="inlineStr">
        <is>
          <t>A 19544-2019</t>
        </is>
      </c>
      <c r="B328" s="1" t="n">
        <v>43565</v>
      </c>
      <c r="C328" s="1" t="n">
        <v>45845</v>
      </c>
      <c r="D328" t="inlineStr">
        <is>
          <t>VÄSTERNORRLANDS LÄN</t>
        </is>
      </c>
      <c r="E328" t="inlineStr">
        <is>
          <t>SUNDSVALL</t>
        </is>
      </c>
      <c r="F328" t="inlineStr">
        <is>
          <t>SCA</t>
        </is>
      </c>
      <c r="G328" t="n">
        <v>21.4</v>
      </c>
      <c r="H328" t="n">
        <v>0</v>
      </c>
      <c r="I328" t="n">
        <v>0</v>
      </c>
      <c r="J328" t="n">
        <v>0</v>
      </c>
      <c r="K328" t="n">
        <v>0</v>
      </c>
      <c r="L328" t="n">
        <v>0</v>
      </c>
      <c r="M328" t="n">
        <v>0</v>
      </c>
      <c r="N328" t="n">
        <v>0</v>
      </c>
      <c r="O328" t="n">
        <v>0</v>
      </c>
      <c r="P328" t="n">
        <v>0</v>
      </c>
      <c r="Q328" t="n">
        <v>0</v>
      </c>
      <c r="R328" s="2" t="inlineStr"/>
    </row>
    <row r="329" ht="15" customHeight="1">
      <c r="A329" t="inlineStr">
        <is>
          <t>A 19551-2019</t>
        </is>
      </c>
      <c r="B329" s="1" t="n">
        <v>43565</v>
      </c>
      <c r="C329" s="1" t="n">
        <v>45845</v>
      </c>
      <c r="D329" t="inlineStr">
        <is>
          <t>VÄSTERNORRLANDS LÄN</t>
        </is>
      </c>
      <c r="E329" t="inlineStr">
        <is>
          <t>SUNDSVALL</t>
        </is>
      </c>
      <c r="G329" t="n">
        <v>4.4</v>
      </c>
      <c r="H329" t="n">
        <v>0</v>
      </c>
      <c r="I329" t="n">
        <v>0</v>
      </c>
      <c r="J329" t="n">
        <v>0</v>
      </c>
      <c r="K329" t="n">
        <v>0</v>
      </c>
      <c r="L329" t="n">
        <v>0</v>
      </c>
      <c r="M329" t="n">
        <v>0</v>
      </c>
      <c r="N329" t="n">
        <v>0</v>
      </c>
      <c r="O329" t="n">
        <v>0</v>
      </c>
      <c r="P329" t="n">
        <v>0</v>
      </c>
      <c r="Q329" t="n">
        <v>0</v>
      </c>
      <c r="R329" s="2" t="inlineStr"/>
    </row>
    <row r="330" ht="15" customHeight="1">
      <c r="A330" t="inlineStr">
        <is>
          <t>A 19547-2019</t>
        </is>
      </c>
      <c r="B330" s="1" t="n">
        <v>43565</v>
      </c>
      <c r="C330" s="1" t="n">
        <v>45845</v>
      </c>
      <c r="D330" t="inlineStr">
        <is>
          <t>VÄSTERNORRLANDS LÄN</t>
        </is>
      </c>
      <c r="E330" t="inlineStr">
        <is>
          <t>SUNDSVALL</t>
        </is>
      </c>
      <c r="G330" t="n">
        <v>2.3</v>
      </c>
      <c r="H330" t="n">
        <v>0</v>
      </c>
      <c r="I330" t="n">
        <v>0</v>
      </c>
      <c r="J330" t="n">
        <v>0</v>
      </c>
      <c r="K330" t="n">
        <v>0</v>
      </c>
      <c r="L330" t="n">
        <v>0</v>
      </c>
      <c r="M330" t="n">
        <v>0</v>
      </c>
      <c r="N330" t="n">
        <v>0</v>
      </c>
      <c r="O330" t="n">
        <v>0</v>
      </c>
      <c r="P330" t="n">
        <v>0</v>
      </c>
      <c r="Q330" t="n">
        <v>0</v>
      </c>
      <c r="R330" s="2" t="inlineStr"/>
    </row>
    <row r="331" ht="15" customHeight="1">
      <c r="A331" t="inlineStr">
        <is>
          <t>A 19545-2019</t>
        </is>
      </c>
      <c r="B331" s="1" t="n">
        <v>43565</v>
      </c>
      <c r="C331" s="1" t="n">
        <v>45845</v>
      </c>
      <c r="D331" t="inlineStr">
        <is>
          <t>VÄSTERNORRLANDS LÄN</t>
        </is>
      </c>
      <c r="E331" t="inlineStr">
        <is>
          <t>SUNDSVALL</t>
        </is>
      </c>
      <c r="F331" t="inlineStr">
        <is>
          <t>SCA</t>
        </is>
      </c>
      <c r="G331" t="n">
        <v>28.6</v>
      </c>
      <c r="H331" t="n">
        <v>0</v>
      </c>
      <c r="I331" t="n">
        <v>0</v>
      </c>
      <c r="J331" t="n">
        <v>0</v>
      </c>
      <c r="K331" t="n">
        <v>0</v>
      </c>
      <c r="L331" t="n">
        <v>0</v>
      </c>
      <c r="M331" t="n">
        <v>0</v>
      </c>
      <c r="N331" t="n">
        <v>0</v>
      </c>
      <c r="O331" t="n">
        <v>0</v>
      </c>
      <c r="P331" t="n">
        <v>0</v>
      </c>
      <c r="Q331" t="n">
        <v>0</v>
      </c>
      <c r="R331" s="2" t="inlineStr"/>
    </row>
    <row r="332" ht="15" customHeight="1">
      <c r="A332" t="inlineStr">
        <is>
          <t>A 19548-2019</t>
        </is>
      </c>
      <c r="B332" s="1" t="n">
        <v>43565</v>
      </c>
      <c r="C332" s="1" t="n">
        <v>45845</v>
      </c>
      <c r="D332" t="inlineStr">
        <is>
          <t>VÄSTERNORRLANDS LÄN</t>
        </is>
      </c>
      <c r="E332" t="inlineStr">
        <is>
          <t>SUNDSVALL</t>
        </is>
      </c>
      <c r="G332" t="n">
        <v>4.7</v>
      </c>
      <c r="H332" t="n">
        <v>0</v>
      </c>
      <c r="I332" t="n">
        <v>0</v>
      </c>
      <c r="J332" t="n">
        <v>0</v>
      </c>
      <c r="K332" t="n">
        <v>0</v>
      </c>
      <c r="L332" t="n">
        <v>0</v>
      </c>
      <c r="M332" t="n">
        <v>0</v>
      </c>
      <c r="N332" t="n">
        <v>0</v>
      </c>
      <c r="O332" t="n">
        <v>0</v>
      </c>
      <c r="P332" t="n">
        <v>0</v>
      </c>
      <c r="Q332" t="n">
        <v>0</v>
      </c>
      <c r="R332" s="2" t="inlineStr"/>
    </row>
    <row r="333" ht="15" customHeight="1">
      <c r="A333" t="inlineStr">
        <is>
          <t>A 20563-2019</t>
        </is>
      </c>
      <c r="B333" s="1" t="n">
        <v>43572</v>
      </c>
      <c r="C333" s="1" t="n">
        <v>45845</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20651-2019</t>
        </is>
      </c>
      <c r="B334" s="1" t="n">
        <v>43572</v>
      </c>
      <c r="C334" s="1" t="n">
        <v>45845</v>
      </c>
      <c r="D334" t="inlineStr">
        <is>
          <t>VÄSTERNORRLANDS LÄN</t>
        </is>
      </c>
      <c r="E334" t="inlineStr">
        <is>
          <t>SUNDSVALL</t>
        </is>
      </c>
      <c r="G334" t="n">
        <v>4.5</v>
      </c>
      <c r="H334" t="n">
        <v>0</v>
      </c>
      <c r="I334" t="n">
        <v>0</v>
      </c>
      <c r="J334" t="n">
        <v>0</v>
      </c>
      <c r="K334" t="n">
        <v>0</v>
      </c>
      <c r="L334" t="n">
        <v>0</v>
      </c>
      <c r="M334" t="n">
        <v>0</v>
      </c>
      <c r="N334" t="n">
        <v>0</v>
      </c>
      <c r="O334" t="n">
        <v>0</v>
      </c>
      <c r="P334" t="n">
        <v>0</v>
      </c>
      <c r="Q334" t="n">
        <v>0</v>
      </c>
      <c r="R334" s="2" t="inlineStr"/>
    </row>
    <row r="335" ht="15" customHeight="1">
      <c r="A335" t="inlineStr">
        <is>
          <t>A 21698-2019</t>
        </is>
      </c>
      <c r="B335" s="1" t="n">
        <v>43581</v>
      </c>
      <c r="C335" s="1" t="n">
        <v>45845</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22089-2019</t>
        </is>
      </c>
      <c r="B336" s="1" t="n">
        <v>43584</v>
      </c>
      <c r="C336" s="1" t="n">
        <v>45845</v>
      </c>
      <c r="D336" t="inlineStr">
        <is>
          <t>VÄSTERNORRLANDS LÄN</t>
        </is>
      </c>
      <c r="E336" t="inlineStr">
        <is>
          <t>SUNDSVALL</t>
        </is>
      </c>
      <c r="G336" t="n">
        <v>12.9</v>
      </c>
      <c r="H336" t="n">
        <v>0</v>
      </c>
      <c r="I336" t="n">
        <v>0</v>
      </c>
      <c r="J336" t="n">
        <v>0</v>
      </c>
      <c r="K336" t="n">
        <v>0</v>
      </c>
      <c r="L336" t="n">
        <v>0</v>
      </c>
      <c r="M336" t="n">
        <v>0</v>
      </c>
      <c r="N336" t="n">
        <v>0</v>
      </c>
      <c r="O336" t="n">
        <v>0</v>
      </c>
      <c r="P336" t="n">
        <v>0</v>
      </c>
      <c r="Q336" t="n">
        <v>0</v>
      </c>
      <c r="R336" s="2" t="inlineStr"/>
    </row>
    <row r="337" ht="15" customHeight="1">
      <c r="A337" t="inlineStr">
        <is>
          <t>A 22603-2019</t>
        </is>
      </c>
      <c r="B337" s="1" t="n">
        <v>43588</v>
      </c>
      <c r="C337" s="1" t="n">
        <v>45845</v>
      </c>
      <c r="D337" t="inlineStr">
        <is>
          <t>VÄSTERNORRLANDS LÄN</t>
        </is>
      </c>
      <c r="E337" t="inlineStr">
        <is>
          <t>SUNDSVALL</t>
        </is>
      </c>
      <c r="G337" t="n">
        <v>23.7</v>
      </c>
      <c r="H337" t="n">
        <v>0</v>
      </c>
      <c r="I337" t="n">
        <v>0</v>
      </c>
      <c r="J337" t="n">
        <v>0</v>
      </c>
      <c r="K337" t="n">
        <v>0</v>
      </c>
      <c r="L337" t="n">
        <v>0</v>
      </c>
      <c r="M337" t="n">
        <v>0</v>
      </c>
      <c r="N337" t="n">
        <v>0</v>
      </c>
      <c r="O337" t="n">
        <v>0</v>
      </c>
      <c r="P337" t="n">
        <v>0</v>
      </c>
      <c r="Q337" t="n">
        <v>0</v>
      </c>
      <c r="R337" s="2" t="inlineStr"/>
    </row>
    <row r="338" ht="15" customHeight="1">
      <c r="A338" t="inlineStr">
        <is>
          <t>A 22782-2019</t>
        </is>
      </c>
      <c r="B338" s="1" t="n">
        <v>43589</v>
      </c>
      <c r="C338" s="1" t="n">
        <v>45845</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23077-2019</t>
        </is>
      </c>
      <c r="B339" s="1" t="n">
        <v>43591</v>
      </c>
      <c r="C339" s="1" t="n">
        <v>45845</v>
      </c>
      <c r="D339" t="inlineStr">
        <is>
          <t>VÄSTERNORRLANDS LÄN</t>
        </is>
      </c>
      <c r="E339" t="inlineStr">
        <is>
          <t>SUNDSVALL</t>
        </is>
      </c>
      <c r="G339" t="n">
        <v>1.3</v>
      </c>
      <c r="H339" t="n">
        <v>0</v>
      </c>
      <c r="I339" t="n">
        <v>0</v>
      </c>
      <c r="J339" t="n">
        <v>0</v>
      </c>
      <c r="K339" t="n">
        <v>0</v>
      </c>
      <c r="L339" t="n">
        <v>0</v>
      </c>
      <c r="M339" t="n">
        <v>0</v>
      </c>
      <c r="N339" t="n">
        <v>0</v>
      </c>
      <c r="O339" t="n">
        <v>0</v>
      </c>
      <c r="P339" t="n">
        <v>0</v>
      </c>
      <c r="Q339" t="n">
        <v>0</v>
      </c>
      <c r="R339" s="2" t="inlineStr"/>
    </row>
    <row r="340" ht="15" customHeight="1">
      <c r="A340" t="inlineStr">
        <is>
          <t>A 23073-2019</t>
        </is>
      </c>
      <c r="B340" s="1" t="n">
        <v>43591</v>
      </c>
      <c r="C340" s="1" t="n">
        <v>45845</v>
      </c>
      <c r="D340" t="inlineStr">
        <is>
          <t>VÄSTERNORRLANDS LÄN</t>
        </is>
      </c>
      <c r="E340" t="inlineStr">
        <is>
          <t>SUNDSVALL</t>
        </is>
      </c>
      <c r="G340" t="n">
        <v>1</v>
      </c>
      <c r="H340" t="n">
        <v>0</v>
      </c>
      <c r="I340" t="n">
        <v>0</v>
      </c>
      <c r="J340" t="n">
        <v>0</v>
      </c>
      <c r="K340" t="n">
        <v>0</v>
      </c>
      <c r="L340" t="n">
        <v>0</v>
      </c>
      <c r="M340" t="n">
        <v>0</v>
      </c>
      <c r="N340" t="n">
        <v>0</v>
      </c>
      <c r="O340" t="n">
        <v>0</v>
      </c>
      <c r="P340" t="n">
        <v>0</v>
      </c>
      <c r="Q340" t="n">
        <v>0</v>
      </c>
      <c r="R340" s="2" t="inlineStr"/>
    </row>
    <row r="341" ht="15" customHeight="1">
      <c r="A341" t="inlineStr">
        <is>
          <t>A 23078-2019</t>
        </is>
      </c>
      <c r="B341" s="1" t="n">
        <v>43591</v>
      </c>
      <c r="C341" s="1" t="n">
        <v>45845</v>
      </c>
      <c r="D341" t="inlineStr">
        <is>
          <t>VÄSTERNORRLANDS LÄN</t>
        </is>
      </c>
      <c r="E341" t="inlineStr">
        <is>
          <t>SUNDSVALL</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23455-2019</t>
        </is>
      </c>
      <c r="B342" s="1" t="n">
        <v>43593</v>
      </c>
      <c r="C342" s="1" t="n">
        <v>45845</v>
      </c>
      <c r="D342" t="inlineStr">
        <is>
          <t>VÄSTERNORRLANDS LÄN</t>
        </is>
      </c>
      <c r="E342" t="inlineStr">
        <is>
          <t>SUNDSVALL</t>
        </is>
      </c>
      <c r="G342" t="n">
        <v>3.9</v>
      </c>
      <c r="H342" t="n">
        <v>0</v>
      </c>
      <c r="I342" t="n">
        <v>0</v>
      </c>
      <c r="J342" t="n">
        <v>0</v>
      </c>
      <c r="K342" t="n">
        <v>0</v>
      </c>
      <c r="L342" t="n">
        <v>0</v>
      </c>
      <c r="M342" t="n">
        <v>0</v>
      </c>
      <c r="N342" t="n">
        <v>0</v>
      </c>
      <c r="O342" t="n">
        <v>0</v>
      </c>
      <c r="P342" t="n">
        <v>0</v>
      </c>
      <c r="Q342" t="n">
        <v>0</v>
      </c>
      <c r="R342" s="2" t="inlineStr"/>
    </row>
    <row r="343" ht="15" customHeight="1">
      <c r="A343" t="inlineStr">
        <is>
          <t>A 23790-2019</t>
        </is>
      </c>
      <c r="B343" s="1" t="n">
        <v>43595</v>
      </c>
      <c r="C343" s="1" t="n">
        <v>45845</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23929-2019</t>
        </is>
      </c>
      <c r="B344" s="1" t="n">
        <v>43595</v>
      </c>
      <c r="C344" s="1" t="n">
        <v>45845</v>
      </c>
      <c r="D344" t="inlineStr">
        <is>
          <t>VÄSTERNORRLANDS LÄN</t>
        </is>
      </c>
      <c r="E344" t="inlineStr">
        <is>
          <t>SUNDSVALL</t>
        </is>
      </c>
      <c r="G344" t="n">
        <v>1.1</v>
      </c>
      <c r="H344" t="n">
        <v>0</v>
      </c>
      <c r="I344" t="n">
        <v>0</v>
      </c>
      <c r="J344" t="n">
        <v>0</v>
      </c>
      <c r="K344" t="n">
        <v>0</v>
      </c>
      <c r="L344" t="n">
        <v>0</v>
      </c>
      <c r="M344" t="n">
        <v>0</v>
      </c>
      <c r="N344" t="n">
        <v>0</v>
      </c>
      <c r="O344" t="n">
        <v>0</v>
      </c>
      <c r="P344" t="n">
        <v>0</v>
      </c>
      <c r="Q344" t="n">
        <v>0</v>
      </c>
      <c r="R344" s="2" t="inlineStr"/>
    </row>
    <row r="345" ht="15" customHeight="1">
      <c r="A345" t="inlineStr">
        <is>
          <t>A 23931-2019</t>
        </is>
      </c>
      <c r="B345" s="1" t="n">
        <v>43595</v>
      </c>
      <c r="C345" s="1" t="n">
        <v>45845</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24271-2019</t>
        </is>
      </c>
      <c r="B346" s="1" t="n">
        <v>43599</v>
      </c>
      <c r="C346" s="1" t="n">
        <v>45845</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24583-2019</t>
        </is>
      </c>
      <c r="B347" s="1" t="n">
        <v>43600</v>
      </c>
      <c r="C347" s="1" t="n">
        <v>45845</v>
      </c>
      <c r="D347" t="inlineStr">
        <is>
          <t>VÄSTERNORRLANDS LÄN</t>
        </is>
      </c>
      <c r="E347" t="inlineStr">
        <is>
          <t>SUNDSVALL</t>
        </is>
      </c>
      <c r="G347" t="n">
        <v>3.1</v>
      </c>
      <c r="H347" t="n">
        <v>0</v>
      </c>
      <c r="I347" t="n">
        <v>0</v>
      </c>
      <c r="J347" t="n">
        <v>0</v>
      </c>
      <c r="K347" t="n">
        <v>0</v>
      </c>
      <c r="L347" t="n">
        <v>0</v>
      </c>
      <c r="M347" t="n">
        <v>0</v>
      </c>
      <c r="N347" t="n">
        <v>0</v>
      </c>
      <c r="O347" t="n">
        <v>0</v>
      </c>
      <c r="P347" t="n">
        <v>0</v>
      </c>
      <c r="Q347" t="n">
        <v>0</v>
      </c>
      <c r="R347" s="2" t="inlineStr"/>
    </row>
    <row r="348" ht="15" customHeight="1">
      <c r="A348" t="inlineStr">
        <is>
          <t>A 24585-2019</t>
        </is>
      </c>
      <c r="B348" s="1" t="n">
        <v>43600</v>
      </c>
      <c r="C348" s="1" t="n">
        <v>45845</v>
      </c>
      <c r="D348" t="inlineStr">
        <is>
          <t>VÄSTERNORRLANDS LÄN</t>
        </is>
      </c>
      <c r="E348" t="inlineStr">
        <is>
          <t>SUNDSVALL</t>
        </is>
      </c>
      <c r="G348" t="n">
        <v>1.1</v>
      </c>
      <c r="H348" t="n">
        <v>0</v>
      </c>
      <c r="I348" t="n">
        <v>0</v>
      </c>
      <c r="J348" t="n">
        <v>0</v>
      </c>
      <c r="K348" t="n">
        <v>0</v>
      </c>
      <c r="L348" t="n">
        <v>0</v>
      </c>
      <c r="M348" t="n">
        <v>0</v>
      </c>
      <c r="N348" t="n">
        <v>0</v>
      </c>
      <c r="O348" t="n">
        <v>0</v>
      </c>
      <c r="P348" t="n">
        <v>0</v>
      </c>
      <c r="Q348" t="n">
        <v>0</v>
      </c>
      <c r="R348" s="2" t="inlineStr"/>
    </row>
    <row r="349" ht="15" customHeight="1">
      <c r="A349" t="inlineStr">
        <is>
          <t>A 24783-2019</t>
        </is>
      </c>
      <c r="B349" s="1" t="n">
        <v>43601</v>
      </c>
      <c r="C349" s="1" t="n">
        <v>45845</v>
      </c>
      <c r="D349" t="inlineStr">
        <is>
          <t>VÄSTERNORRLANDS LÄN</t>
        </is>
      </c>
      <c r="E349" t="inlineStr">
        <is>
          <t>SUNDSVALL</t>
        </is>
      </c>
      <c r="G349" t="n">
        <v>2</v>
      </c>
      <c r="H349" t="n">
        <v>0</v>
      </c>
      <c r="I349" t="n">
        <v>0</v>
      </c>
      <c r="J349" t="n">
        <v>0</v>
      </c>
      <c r="K349" t="n">
        <v>0</v>
      </c>
      <c r="L349" t="n">
        <v>0</v>
      </c>
      <c r="M349" t="n">
        <v>0</v>
      </c>
      <c r="N349" t="n">
        <v>0</v>
      </c>
      <c r="O349" t="n">
        <v>0</v>
      </c>
      <c r="P349" t="n">
        <v>0</v>
      </c>
      <c r="Q349" t="n">
        <v>0</v>
      </c>
      <c r="R349" s="2" t="inlineStr"/>
    </row>
    <row r="350" ht="15" customHeight="1">
      <c r="A350" t="inlineStr">
        <is>
          <t>A 24771-2019</t>
        </is>
      </c>
      <c r="B350" s="1" t="n">
        <v>43601</v>
      </c>
      <c r="C350" s="1" t="n">
        <v>45845</v>
      </c>
      <c r="D350" t="inlineStr">
        <is>
          <t>VÄSTERNORRLANDS LÄN</t>
        </is>
      </c>
      <c r="E350" t="inlineStr">
        <is>
          <t>SUNDSVALL</t>
        </is>
      </c>
      <c r="F350" t="inlineStr">
        <is>
          <t>SCA</t>
        </is>
      </c>
      <c r="G350" t="n">
        <v>17.9</v>
      </c>
      <c r="H350" t="n">
        <v>0</v>
      </c>
      <c r="I350" t="n">
        <v>0</v>
      </c>
      <c r="J350" t="n">
        <v>0</v>
      </c>
      <c r="K350" t="n">
        <v>0</v>
      </c>
      <c r="L350" t="n">
        <v>0</v>
      </c>
      <c r="M350" t="n">
        <v>0</v>
      </c>
      <c r="N350" t="n">
        <v>0</v>
      </c>
      <c r="O350" t="n">
        <v>0</v>
      </c>
      <c r="P350" t="n">
        <v>0</v>
      </c>
      <c r="Q350" t="n">
        <v>0</v>
      </c>
      <c r="R350" s="2" t="inlineStr"/>
    </row>
    <row r="351" ht="15" customHeight="1">
      <c r="A351" t="inlineStr">
        <is>
          <t>A 24848-2019</t>
        </is>
      </c>
      <c r="B351" s="1" t="n">
        <v>43602</v>
      </c>
      <c r="C351" s="1" t="n">
        <v>45845</v>
      </c>
      <c r="D351" t="inlineStr">
        <is>
          <t>VÄSTERNORRLANDS LÄN</t>
        </is>
      </c>
      <c r="E351" t="inlineStr">
        <is>
          <t>SUNDSVALL</t>
        </is>
      </c>
      <c r="G351" t="n">
        <v>0.5</v>
      </c>
      <c r="H351" t="n">
        <v>0</v>
      </c>
      <c r="I351" t="n">
        <v>0</v>
      </c>
      <c r="J351" t="n">
        <v>0</v>
      </c>
      <c r="K351" t="n">
        <v>0</v>
      </c>
      <c r="L351" t="n">
        <v>0</v>
      </c>
      <c r="M351" t="n">
        <v>0</v>
      </c>
      <c r="N351" t="n">
        <v>0</v>
      </c>
      <c r="O351" t="n">
        <v>0</v>
      </c>
      <c r="P351" t="n">
        <v>0</v>
      </c>
      <c r="Q351" t="n">
        <v>0</v>
      </c>
      <c r="R351" s="2" t="inlineStr"/>
    </row>
    <row r="352" ht="15" customHeight="1">
      <c r="A352" t="inlineStr">
        <is>
          <t>A 25044-2019</t>
        </is>
      </c>
      <c r="B352" s="1" t="n">
        <v>43603</v>
      </c>
      <c r="C352" s="1" t="n">
        <v>45845</v>
      </c>
      <c r="D352" t="inlineStr">
        <is>
          <t>VÄSTERNORRLANDS LÄN</t>
        </is>
      </c>
      <c r="E352" t="inlineStr">
        <is>
          <t>SUNDSVALL</t>
        </is>
      </c>
      <c r="G352" t="n">
        <v>4.8</v>
      </c>
      <c r="H352" t="n">
        <v>0</v>
      </c>
      <c r="I352" t="n">
        <v>0</v>
      </c>
      <c r="J352" t="n">
        <v>0</v>
      </c>
      <c r="K352" t="n">
        <v>0</v>
      </c>
      <c r="L352" t="n">
        <v>0</v>
      </c>
      <c r="M352" t="n">
        <v>0</v>
      </c>
      <c r="N352" t="n">
        <v>0</v>
      </c>
      <c r="O352" t="n">
        <v>0</v>
      </c>
      <c r="P352" t="n">
        <v>0</v>
      </c>
      <c r="Q352" t="n">
        <v>0</v>
      </c>
      <c r="R352" s="2" t="inlineStr"/>
    </row>
    <row r="353" ht="15" customHeight="1">
      <c r="A353" t="inlineStr">
        <is>
          <t>A 25712-2019</t>
        </is>
      </c>
      <c r="B353" s="1" t="n">
        <v>43607</v>
      </c>
      <c r="C353" s="1" t="n">
        <v>45845</v>
      </c>
      <c r="D353" t="inlineStr">
        <is>
          <t>VÄSTERNORRLANDS LÄN</t>
        </is>
      </c>
      <c r="E353" t="inlineStr">
        <is>
          <t>SUNDSVALL</t>
        </is>
      </c>
      <c r="G353" t="n">
        <v>5.7</v>
      </c>
      <c r="H353" t="n">
        <v>0</v>
      </c>
      <c r="I353" t="n">
        <v>0</v>
      </c>
      <c r="J353" t="n">
        <v>0</v>
      </c>
      <c r="K353" t="n">
        <v>0</v>
      </c>
      <c r="L353" t="n">
        <v>0</v>
      </c>
      <c r="M353" t="n">
        <v>0</v>
      </c>
      <c r="N353" t="n">
        <v>0</v>
      </c>
      <c r="O353" t="n">
        <v>0</v>
      </c>
      <c r="P353" t="n">
        <v>0</v>
      </c>
      <c r="Q353" t="n">
        <v>0</v>
      </c>
      <c r="R353" s="2" t="inlineStr"/>
    </row>
    <row r="354" ht="15" customHeight="1">
      <c r="A354" t="inlineStr">
        <is>
          <t>A 25962-2019</t>
        </is>
      </c>
      <c r="B354" s="1" t="n">
        <v>43608</v>
      </c>
      <c r="C354" s="1" t="n">
        <v>45845</v>
      </c>
      <c r="D354" t="inlineStr">
        <is>
          <t>VÄSTERNORRLANDS LÄN</t>
        </is>
      </c>
      <c r="E354" t="inlineStr">
        <is>
          <t>SUNDSVALL</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26014-2019</t>
        </is>
      </c>
      <c r="B355" s="1" t="n">
        <v>43608</v>
      </c>
      <c r="C355" s="1" t="n">
        <v>45845</v>
      </c>
      <c r="D355" t="inlineStr">
        <is>
          <t>VÄSTERNORRLANDS LÄN</t>
        </is>
      </c>
      <c r="E355" t="inlineStr">
        <is>
          <t>SUNDSVALL</t>
        </is>
      </c>
      <c r="G355" t="n">
        <v>2.3</v>
      </c>
      <c r="H355" t="n">
        <v>0</v>
      </c>
      <c r="I355" t="n">
        <v>0</v>
      </c>
      <c r="J355" t="n">
        <v>0</v>
      </c>
      <c r="K355" t="n">
        <v>0</v>
      </c>
      <c r="L355" t="n">
        <v>0</v>
      </c>
      <c r="M355" t="n">
        <v>0</v>
      </c>
      <c r="N355" t="n">
        <v>0</v>
      </c>
      <c r="O355" t="n">
        <v>0</v>
      </c>
      <c r="P355" t="n">
        <v>0</v>
      </c>
      <c r="Q355" t="n">
        <v>0</v>
      </c>
      <c r="R355" s="2" t="inlineStr"/>
    </row>
    <row r="356" ht="15" customHeight="1">
      <c r="A356" t="inlineStr">
        <is>
          <t>A 27032-2019</t>
        </is>
      </c>
      <c r="B356" s="1" t="n">
        <v>43609</v>
      </c>
      <c r="C356" s="1" t="n">
        <v>45845</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28066-2019</t>
        </is>
      </c>
      <c r="B357" s="1" t="n">
        <v>43613</v>
      </c>
      <c r="C357" s="1" t="n">
        <v>45845</v>
      </c>
      <c r="D357" t="inlineStr">
        <is>
          <t>VÄSTERNORRLANDS LÄN</t>
        </is>
      </c>
      <c r="E357" t="inlineStr">
        <is>
          <t>SUNDSVALL</t>
        </is>
      </c>
      <c r="G357" t="n">
        <v>0.9</v>
      </c>
      <c r="H357" t="n">
        <v>0</v>
      </c>
      <c r="I357" t="n">
        <v>0</v>
      </c>
      <c r="J357" t="n">
        <v>0</v>
      </c>
      <c r="K357" t="n">
        <v>0</v>
      </c>
      <c r="L357" t="n">
        <v>0</v>
      </c>
      <c r="M357" t="n">
        <v>0</v>
      </c>
      <c r="N357" t="n">
        <v>0</v>
      </c>
      <c r="O357" t="n">
        <v>0</v>
      </c>
      <c r="P357" t="n">
        <v>0</v>
      </c>
      <c r="Q357" t="n">
        <v>0</v>
      </c>
      <c r="R357" s="2" t="inlineStr"/>
    </row>
    <row r="358" ht="15" customHeight="1">
      <c r="A358" t="inlineStr">
        <is>
          <t>A 27419-2019</t>
        </is>
      </c>
      <c r="B358" s="1" t="n">
        <v>43616</v>
      </c>
      <c r="C358" s="1" t="n">
        <v>45845</v>
      </c>
      <c r="D358" t="inlineStr">
        <is>
          <t>VÄSTERNORRLANDS LÄN</t>
        </is>
      </c>
      <c r="E358" t="inlineStr">
        <is>
          <t>SUNDSVALL</t>
        </is>
      </c>
      <c r="G358" t="n">
        <v>3.5</v>
      </c>
      <c r="H358" t="n">
        <v>0</v>
      </c>
      <c r="I358" t="n">
        <v>0</v>
      </c>
      <c r="J358" t="n">
        <v>0</v>
      </c>
      <c r="K358" t="n">
        <v>0</v>
      </c>
      <c r="L358" t="n">
        <v>0</v>
      </c>
      <c r="M358" t="n">
        <v>0</v>
      </c>
      <c r="N358" t="n">
        <v>0</v>
      </c>
      <c r="O358" t="n">
        <v>0</v>
      </c>
      <c r="P358" t="n">
        <v>0</v>
      </c>
      <c r="Q358" t="n">
        <v>0</v>
      </c>
      <c r="R358" s="2" t="inlineStr"/>
    </row>
    <row r="359" ht="15" customHeight="1">
      <c r="A359" t="inlineStr">
        <is>
          <t>A 27775-2019</t>
        </is>
      </c>
      <c r="B359" s="1" t="n">
        <v>43619</v>
      </c>
      <c r="C359" s="1" t="n">
        <v>45845</v>
      </c>
      <c r="D359" t="inlineStr">
        <is>
          <t>VÄSTERNORRLANDS LÄN</t>
        </is>
      </c>
      <c r="E359" t="inlineStr">
        <is>
          <t>SUNDSVALL</t>
        </is>
      </c>
      <c r="F359" t="inlineStr">
        <is>
          <t>SCA</t>
        </is>
      </c>
      <c r="G359" t="n">
        <v>13.8</v>
      </c>
      <c r="H359" t="n">
        <v>0</v>
      </c>
      <c r="I359" t="n">
        <v>0</v>
      </c>
      <c r="J359" t="n">
        <v>0</v>
      </c>
      <c r="K359" t="n">
        <v>0</v>
      </c>
      <c r="L359" t="n">
        <v>0</v>
      </c>
      <c r="M359" t="n">
        <v>0</v>
      </c>
      <c r="N359" t="n">
        <v>0</v>
      </c>
      <c r="O359" t="n">
        <v>0</v>
      </c>
      <c r="P359" t="n">
        <v>0</v>
      </c>
      <c r="Q359" t="n">
        <v>0</v>
      </c>
      <c r="R359" s="2" t="inlineStr"/>
    </row>
    <row r="360" ht="15" customHeight="1">
      <c r="A360" t="inlineStr">
        <is>
          <t>A 27981-2019</t>
        </is>
      </c>
      <c r="B360" s="1" t="n">
        <v>43620</v>
      </c>
      <c r="C360" s="1" t="n">
        <v>45845</v>
      </c>
      <c r="D360" t="inlineStr">
        <is>
          <t>VÄSTERNORRLANDS LÄN</t>
        </is>
      </c>
      <c r="E360" t="inlineStr">
        <is>
          <t>SUNDSVALL</t>
        </is>
      </c>
      <c r="G360" t="n">
        <v>2.1</v>
      </c>
      <c r="H360" t="n">
        <v>0</v>
      </c>
      <c r="I360" t="n">
        <v>0</v>
      </c>
      <c r="J360" t="n">
        <v>0</v>
      </c>
      <c r="K360" t="n">
        <v>0</v>
      </c>
      <c r="L360" t="n">
        <v>0</v>
      </c>
      <c r="M360" t="n">
        <v>0</v>
      </c>
      <c r="N360" t="n">
        <v>0</v>
      </c>
      <c r="O360" t="n">
        <v>0</v>
      </c>
      <c r="P360" t="n">
        <v>0</v>
      </c>
      <c r="Q360" t="n">
        <v>0</v>
      </c>
      <c r="R360" s="2" t="inlineStr"/>
    </row>
    <row r="361" ht="15" customHeight="1">
      <c r="A361" t="inlineStr">
        <is>
          <t>A 27983-2019</t>
        </is>
      </c>
      <c r="B361" s="1" t="n">
        <v>43620</v>
      </c>
      <c r="C361" s="1" t="n">
        <v>45845</v>
      </c>
      <c r="D361" t="inlineStr">
        <is>
          <t>VÄSTERNORRLANDS LÄN</t>
        </is>
      </c>
      <c r="E361" t="inlineStr">
        <is>
          <t>SUNDSVALL</t>
        </is>
      </c>
      <c r="G361" t="n">
        <v>2.5</v>
      </c>
      <c r="H361" t="n">
        <v>0</v>
      </c>
      <c r="I361" t="n">
        <v>0</v>
      </c>
      <c r="J361" t="n">
        <v>0</v>
      </c>
      <c r="K361" t="n">
        <v>0</v>
      </c>
      <c r="L361" t="n">
        <v>0</v>
      </c>
      <c r="M361" t="n">
        <v>0</v>
      </c>
      <c r="N361" t="n">
        <v>0</v>
      </c>
      <c r="O361" t="n">
        <v>0</v>
      </c>
      <c r="P361" t="n">
        <v>0</v>
      </c>
      <c r="Q361" t="n">
        <v>0</v>
      </c>
      <c r="R361" s="2" t="inlineStr"/>
    </row>
    <row r="362" ht="15" customHeight="1">
      <c r="A362" t="inlineStr">
        <is>
          <t>A 27982-2019</t>
        </is>
      </c>
      <c r="B362" s="1" t="n">
        <v>43620</v>
      </c>
      <c r="C362" s="1" t="n">
        <v>45845</v>
      </c>
      <c r="D362" t="inlineStr">
        <is>
          <t>VÄSTERNORRLANDS LÄN</t>
        </is>
      </c>
      <c r="E362" t="inlineStr">
        <is>
          <t>SUNDSVALL</t>
        </is>
      </c>
      <c r="G362" t="n">
        <v>5.7</v>
      </c>
      <c r="H362" t="n">
        <v>0</v>
      </c>
      <c r="I362" t="n">
        <v>0</v>
      </c>
      <c r="J362" t="n">
        <v>0</v>
      </c>
      <c r="K362" t="n">
        <v>0</v>
      </c>
      <c r="L362" t="n">
        <v>0</v>
      </c>
      <c r="M362" t="n">
        <v>0</v>
      </c>
      <c r="N362" t="n">
        <v>0</v>
      </c>
      <c r="O362" t="n">
        <v>0</v>
      </c>
      <c r="P362" t="n">
        <v>0</v>
      </c>
      <c r="Q362" t="n">
        <v>0</v>
      </c>
      <c r="R362" s="2" t="inlineStr"/>
    </row>
    <row r="363" ht="15" customHeight="1">
      <c r="A363" t="inlineStr">
        <is>
          <t>A 27986-2019</t>
        </is>
      </c>
      <c r="B363" s="1" t="n">
        <v>43620</v>
      </c>
      <c r="C363" s="1" t="n">
        <v>45845</v>
      </c>
      <c r="D363" t="inlineStr">
        <is>
          <t>VÄSTERNORRLANDS LÄN</t>
        </is>
      </c>
      <c r="E363" t="inlineStr">
        <is>
          <t>SUNDSVALL</t>
        </is>
      </c>
      <c r="G363" t="n">
        <v>4.9</v>
      </c>
      <c r="H363" t="n">
        <v>0</v>
      </c>
      <c r="I363" t="n">
        <v>0</v>
      </c>
      <c r="J363" t="n">
        <v>0</v>
      </c>
      <c r="K363" t="n">
        <v>0</v>
      </c>
      <c r="L363" t="n">
        <v>0</v>
      </c>
      <c r="M363" t="n">
        <v>0</v>
      </c>
      <c r="N363" t="n">
        <v>0</v>
      </c>
      <c r="O363" t="n">
        <v>0</v>
      </c>
      <c r="P363" t="n">
        <v>0</v>
      </c>
      <c r="Q363" t="n">
        <v>0</v>
      </c>
      <c r="R363" s="2" t="inlineStr"/>
    </row>
    <row r="364" ht="15" customHeight="1">
      <c r="A364" t="inlineStr">
        <is>
          <t>A 29168-2019</t>
        </is>
      </c>
      <c r="B364" s="1" t="n">
        <v>43628</v>
      </c>
      <c r="C364" s="1" t="n">
        <v>45845</v>
      </c>
      <c r="D364" t="inlineStr">
        <is>
          <t>VÄSTERNORRLANDS LÄN</t>
        </is>
      </c>
      <c r="E364" t="inlineStr">
        <is>
          <t>SUNDSVALL</t>
        </is>
      </c>
      <c r="G364" t="n">
        <v>1.3</v>
      </c>
      <c r="H364" t="n">
        <v>0</v>
      </c>
      <c r="I364" t="n">
        <v>0</v>
      </c>
      <c r="J364" t="n">
        <v>0</v>
      </c>
      <c r="K364" t="n">
        <v>0</v>
      </c>
      <c r="L364" t="n">
        <v>0</v>
      </c>
      <c r="M364" t="n">
        <v>0</v>
      </c>
      <c r="N364" t="n">
        <v>0</v>
      </c>
      <c r="O364" t="n">
        <v>0</v>
      </c>
      <c r="P364" t="n">
        <v>0</v>
      </c>
      <c r="Q364" t="n">
        <v>0</v>
      </c>
      <c r="R364" s="2" t="inlineStr"/>
    </row>
    <row r="365" ht="15" customHeight="1">
      <c r="A365" t="inlineStr">
        <is>
          <t>A 29978-2019</t>
        </is>
      </c>
      <c r="B365" s="1" t="n">
        <v>43630</v>
      </c>
      <c r="C365" s="1" t="n">
        <v>45845</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29985-2019</t>
        </is>
      </c>
      <c r="B366" s="1" t="n">
        <v>43630</v>
      </c>
      <c r="C366" s="1" t="n">
        <v>45845</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29813-2019</t>
        </is>
      </c>
      <c r="B367" s="1" t="n">
        <v>43633</v>
      </c>
      <c r="C367" s="1" t="n">
        <v>45845</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30253-2019</t>
        </is>
      </c>
      <c r="B368" s="1" t="n">
        <v>43634</v>
      </c>
      <c r="C368" s="1" t="n">
        <v>45845</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30608-2019</t>
        </is>
      </c>
      <c r="B369" s="1" t="n">
        <v>43635</v>
      </c>
      <c r="C369" s="1" t="n">
        <v>45845</v>
      </c>
      <c r="D369" t="inlineStr">
        <is>
          <t>VÄSTERNORRLANDS LÄN</t>
        </is>
      </c>
      <c r="E369" t="inlineStr">
        <is>
          <t>SUNDSVALL</t>
        </is>
      </c>
      <c r="G369" t="n">
        <v>2.8</v>
      </c>
      <c r="H369" t="n">
        <v>0</v>
      </c>
      <c r="I369" t="n">
        <v>0</v>
      </c>
      <c r="J369" t="n">
        <v>0</v>
      </c>
      <c r="K369" t="n">
        <v>0</v>
      </c>
      <c r="L369" t="n">
        <v>0</v>
      </c>
      <c r="M369" t="n">
        <v>0</v>
      </c>
      <c r="N369" t="n">
        <v>0</v>
      </c>
      <c r="O369" t="n">
        <v>0</v>
      </c>
      <c r="P369" t="n">
        <v>0</v>
      </c>
      <c r="Q369" t="n">
        <v>0</v>
      </c>
      <c r="R369" s="2" t="inlineStr"/>
    </row>
    <row r="370" ht="15" customHeight="1">
      <c r="A370" t="inlineStr">
        <is>
          <t>A 31064-2019</t>
        </is>
      </c>
      <c r="B370" s="1" t="n">
        <v>43636</v>
      </c>
      <c r="C370" s="1" t="n">
        <v>45845</v>
      </c>
      <c r="D370" t="inlineStr">
        <is>
          <t>VÄSTERNORRLANDS LÄN</t>
        </is>
      </c>
      <c r="E370" t="inlineStr">
        <is>
          <t>SUNDSVALL</t>
        </is>
      </c>
      <c r="G370" t="n">
        <v>5.4</v>
      </c>
      <c r="H370" t="n">
        <v>0</v>
      </c>
      <c r="I370" t="n">
        <v>0</v>
      </c>
      <c r="J370" t="n">
        <v>0</v>
      </c>
      <c r="K370" t="n">
        <v>0</v>
      </c>
      <c r="L370" t="n">
        <v>0</v>
      </c>
      <c r="M370" t="n">
        <v>0</v>
      </c>
      <c r="N370" t="n">
        <v>0</v>
      </c>
      <c r="O370" t="n">
        <v>0</v>
      </c>
      <c r="P370" t="n">
        <v>0</v>
      </c>
      <c r="Q370" t="n">
        <v>0</v>
      </c>
      <c r="R370" s="2" t="inlineStr"/>
    </row>
    <row r="371" ht="15" customHeight="1">
      <c r="A371" t="inlineStr">
        <is>
          <t>A 31285-2019</t>
        </is>
      </c>
      <c r="B371" s="1" t="n">
        <v>43640</v>
      </c>
      <c r="C371" s="1" t="n">
        <v>45845</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31578-2019</t>
        </is>
      </c>
      <c r="B372" s="1" t="n">
        <v>43641</v>
      </c>
      <c r="C372" s="1" t="n">
        <v>45845</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31572-2019</t>
        </is>
      </c>
      <c r="B373" s="1" t="n">
        <v>43641</v>
      </c>
      <c r="C373" s="1" t="n">
        <v>45845</v>
      </c>
      <c r="D373" t="inlineStr">
        <is>
          <t>VÄSTERNORRLANDS LÄN</t>
        </is>
      </c>
      <c r="E373" t="inlineStr">
        <is>
          <t>SUNDSVALL</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32207-2019</t>
        </is>
      </c>
      <c r="B374" s="1" t="n">
        <v>43643</v>
      </c>
      <c r="C374" s="1" t="n">
        <v>45845</v>
      </c>
      <c r="D374" t="inlineStr">
        <is>
          <t>VÄSTERNORRLANDS LÄN</t>
        </is>
      </c>
      <c r="E374" t="inlineStr">
        <is>
          <t>SUNDSVALL</t>
        </is>
      </c>
      <c r="G374" t="n">
        <v>3.2</v>
      </c>
      <c r="H374" t="n">
        <v>0</v>
      </c>
      <c r="I374" t="n">
        <v>0</v>
      </c>
      <c r="J374" t="n">
        <v>0</v>
      </c>
      <c r="K374" t="n">
        <v>0</v>
      </c>
      <c r="L374" t="n">
        <v>0</v>
      </c>
      <c r="M374" t="n">
        <v>0</v>
      </c>
      <c r="N374" t="n">
        <v>0</v>
      </c>
      <c r="O374" t="n">
        <v>0</v>
      </c>
      <c r="P374" t="n">
        <v>0</v>
      </c>
      <c r="Q374" t="n">
        <v>0</v>
      </c>
      <c r="R374" s="2" t="inlineStr"/>
    </row>
    <row r="375" ht="15" customHeight="1">
      <c r="A375" t="inlineStr">
        <is>
          <t>A 32259-2019</t>
        </is>
      </c>
      <c r="B375" s="1" t="n">
        <v>43644</v>
      </c>
      <c r="C375" s="1" t="n">
        <v>45845</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32268-2019</t>
        </is>
      </c>
      <c r="B376" s="1" t="n">
        <v>43644</v>
      </c>
      <c r="C376" s="1" t="n">
        <v>45845</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34006-2019</t>
        </is>
      </c>
      <c r="B377" s="1" t="n">
        <v>43647</v>
      </c>
      <c r="C377" s="1" t="n">
        <v>45845</v>
      </c>
      <c r="D377" t="inlineStr">
        <is>
          <t>VÄSTERNORRLANDS LÄN</t>
        </is>
      </c>
      <c r="E377" t="inlineStr">
        <is>
          <t>SUNDSVALL</t>
        </is>
      </c>
      <c r="G377" t="n">
        <v>3.3</v>
      </c>
      <c r="H377" t="n">
        <v>0</v>
      </c>
      <c r="I377" t="n">
        <v>0</v>
      </c>
      <c r="J377" t="n">
        <v>0</v>
      </c>
      <c r="K377" t="n">
        <v>0</v>
      </c>
      <c r="L377" t="n">
        <v>0</v>
      </c>
      <c r="M377" t="n">
        <v>0</v>
      </c>
      <c r="N377" t="n">
        <v>0</v>
      </c>
      <c r="O377" t="n">
        <v>0</v>
      </c>
      <c r="P377" t="n">
        <v>0</v>
      </c>
      <c r="Q377" t="n">
        <v>0</v>
      </c>
      <c r="R377" s="2" t="inlineStr"/>
    </row>
    <row r="378" ht="15" customHeight="1">
      <c r="A378" t="inlineStr">
        <is>
          <t>A 33993-2019</t>
        </is>
      </c>
      <c r="B378" s="1" t="n">
        <v>43647</v>
      </c>
      <c r="C378" s="1" t="n">
        <v>45845</v>
      </c>
      <c r="D378" t="inlineStr">
        <is>
          <t>VÄSTERNORRLANDS LÄN</t>
        </is>
      </c>
      <c r="E378" t="inlineStr">
        <is>
          <t>SUNDSVALL</t>
        </is>
      </c>
      <c r="G378" t="n">
        <v>2.9</v>
      </c>
      <c r="H378" t="n">
        <v>0</v>
      </c>
      <c r="I378" t="n">
        <v>0</v>
      </c>
      <c r="J378" t="n">
        <v>0</v>
      </c>
      <c r="K378" t="n">
        <v>0</v>
      </c>
      <c r="L378" t="n">
        <v>0</v>
      </c>
      <c r="M378" t="n">
        <v>0</v>
      </c>
      <c r="N378" t="n">
        <v>0</v>
      </c>
      <c r="O378" t="n">
        <v>0</v>
      </c>
      <c r="P378" t="n">
        <v>0</v>
      </c>
      <c r="Q378" t="n">
        <v>0</v>
      </c>
      <c r="R378" s="2" t="inlineStr"/>
    </row>
    <row r="379" ht="15" customHeight="1">
      <c r="A379" t="inlineStr">
        <is>
          <t>A 33486-2019</t>
        </is>
      </c>
      <c r="B379" s="1" t="n">
        <v>43650</v>
      </c>
      <c r="C379" s="1" t="n">
        <v>45845</v>
      </c>
      <c r="D379" t="inlineStr">
        <is>
          <t>VÄSTERNORRLANDS LÄN</t>
        </is>
      </c>
      <c r="E379" t="inlineStr">
        <is>
          <t>SUNDSVALL</t>
        </is>
      </c>
      <c r="G379" t="n">
        <v>3.5</v>
      </c>
      <c r="H379" t="n">
        <v>0</v>
      </c>
      <c r="I379" t="n">
        <v>0</v>
      </c>
      <c r="J379" t="n">
        <v>0</v>
      </c>
      <c r="K379" t="n">
        <v>0</v>
      </c>
      <c r="L379" t="n">
        <v>0</v>
      </c>
      <c r="M379" t="n">
        <v>0</v>
      </c>
      <c r="N379" t="n">
        <v>0</v>
      </c>
      <c r="O379" t="n">
        <v>0</v>
      </c>
      <c r="P379" t="n">
        <v>0</v>
      </c>
      <c r="Q379" t="n">
        <v>0</v>
      </c>
      <c r="R379" s="2" t="inlineStr"/>
    </row>
    <row r="380" ht="15" customHeight="1">
      <c r="A380" t="inlineStr">
        <is>
          <t>A 34136-2019</t>
        </is>
      </c>
      <c r="B380" s="1" t="n">
        <v>43654</v>
      </c>
      <c r="C380" s="1" t="n">
        <v>45845</v>
      </c>
      <c r="D380" t="inlineStr">
        <is>
          <t>VÄSTERNORRLANDS LÄN</t>
        </is>
      </c>
      <c r="E380" t="inlineStr">
        <is>
          <t>SUNDSVALL</t>
        </is>
      </c>
      <c r="G380" t="n">
        <v>6.4</v>
      </c>
      <c r="H380" t="n">
        <v>0</v>
      </c>
      <c r="I380" t="n">
        <v>0</v>
      </c>
      <c r="J380" t="n">
        <v>0</v>
      </c>
      <c r="K380" t="n">
        <v>0</v>
      </c>
      <c r="L380" t="n">
        <v>0</v>
      </c>
      <c r="M380" t="n">
        <v>0</v>
      </c>
      <c r="N380" t="n">
        <v>0</v>
      </c>
      <c r="O380" t="n">
        <v>0</v>
      </c>
      <c r="P380" t="n">
        <v>0</v>
      </c>
      <c r="Q380" t="n">
        <v>0</v>
      </c>
      <c r="R380" s="2" t="inlineStr"/>
    </row>
    <row r="381" ht="15" customHeight="1">
      <c r="A381" t="inlineStr">
        <is>
          <t>A 36074-2019</t>
        </is>
      </c>
      <c r="B381" s="1" t="n">
        <v>43657</v>
      </c>
      <c r="C381" s="1" t="n">
        <v>45845</v>
      </c>
      <c r="D381" t="inlineStr">
        <is>
          <t>VÄSTERNORRLANDS LÄN</t>
        </is>
      </c>
      <c r="E381" t="inlineStr">
        <is>
          <t>SUNDSVALL</t>
        </is>
      </c>
      <c r="G381" t="n">
        <v>1.1</v>
      </c>
      <c r="H381" t="n">
        <v>0</v>
      </c>
      <c r="I381" t="n">
        <v>0</v>
      </c>
      <c r="J381" t="n">
        <v>0</v>
      </c>
      <c r="K381" t="n">
        <v>0</v>
      </c>
      <c r="L381" t="n">
        <v>0</v>
      </c>
      <c r="M381" t="n">
        <v>0</v>
      </c>
      <c r="N381" t="n">
        <v>0</v>
      </c>
      <c r="O381" t="n">
        <v>0</v>
      </c>
      <c r="P381" t="n">
        <v>0</v>
      </c>
      <c r="Q381" t="n">
        <v>0</v>
      </c>
      <c r="R381" s="2" t="inlineStr"/>
    </row>
    <row r="382" ht="15" customHeight="1">
      <c r="A382" t="inlineStr">
        <is>
          <t>A 36077-2019</t>
        </is>
      </c>
      <c r="B382" s="1" t="n">
        <v>43657</v>
      </c>
      <c r="C382" s="1" t="n">
        <v>45845</v>
      </c>
      <c r="D382" t="inlineStr">
        <is>
          <t>VÄSTERNORRLANDS LÄN</t>
        </is>
      </c>
      <c r="E382" t="inlineStr">
        <is>
          <t>SUNDSVALL</t>
        </is>
      </c>
      <c r="G382" t="n">
        <v>5.1</v>
      </c>
      <c r="H382" t="n">
        <v>0</v>
      </c>
      <c r="I382" t="n">
        <v>0</v>
      </c>
      <c r="J382" t="n">
        <v>0</v>
      </c>
      <c r="K382" t="n">
        <v>0</v>
      </c>
      <c r="L382" t="n">
        <v>0</v>
      </c>
      <c r="M382" t="n">
        <v>0</v>
      </c>
      <c r="N382" t="n">
        <v>0</v>
      </c>
      <c r="O382" t="n">
        <v>0</v>
      </c>
      <c r="P382" t="n">
        <v>0</v>
      </c>
      <c r="Q382" t="n">
        <v>0</v>
      </c>
      <c r="R382" s="2" t="inlineStr"/>
    </row>
    <row r="383" ht="15" customHeight="1">
      <c r="A383" t="inlineStr">
        <is>
          <t>A 35171-2019</t>
        </is>
      </c>
      <c r="B383" s="1" t="n">
        <v>43661</v>
      </c>
      <c r="C383" s="1" t="n">
        <v>45845</v>
      </c>
      <c r="D383" t="inlineStr">
        <is>
          <t>VÄSTERNORRLANDS LÄN</t>
        </is>
      </c>
      <c r="E383" t="inlineStr">
        <is>
          <t>SUNDSVALL</t>
        </is>
      </c>
      <c r="G383" t="n">
        <v>2.3</v>
      </c>
      <c r="H383" t="n">
        <v>0</v>
      </c>
      <c r="I383" t="n">
        <v>0</v>
      </c>
      <c r="J383" t="n">
        <v>0</v>
      </c>
      <c r="K383" t="n">
        <v>0</v>
      </c>
      <c r="L383" t="n">
        <v>0</v>
      </c>
      <c r="M383" t="n">
        <v>0</v>
      </c>
      <c r="N383" t="n">
        <v>0</v>
      </c>
      <c r="O383" t="n">
        <v>0</v>
      </c>
      <c r="P383" t="n">
        <v>0</v>
      </c>
      <c r="Q383" t="n">
        <v>0</v>
      </c>
      <c r="R383" s="2" t="inlineStr"/>
    </row>
    <row r="384" ht="15" customHeight="1">
      <c r="A384" t="inlineStr">
        <is>
          <t>A 35170-2019</t>
        </is>
      </c>
      <c r="B384" s="1" t="n">
        <v>43661</v>
      </c>
      <c r="C384" s="1" t="n">
        <v>45845</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35966-2019</t>
        </is>
      </c>
      <c r="B385" s="1" t="n">
        <v>43665</v>
      </c>
      <c r="C385" s="1" t="n">
        <v>45845</v>
      </c>
      <c r="D385" t="inlineStr">
        <is>
          <t>VÄSTERNORRLANDS LÄN</t>
        </is>
      </c>
      <c r="E385" t="inlineStr">
        <is>
          <t>SUNDSVALL</t>
        </is>
      </c>
      <c r="G385" t="n">
        <v>2.7</v>
      </c>
      <c r="H385" t="n">
        <v>0</v>
      </c>
      <c r="I385" t="n">
        <v>0</v>
      </c>
      <c r="J385" t="n">
        <v>0</v>
      </c>
      <c r="K385" t="n">
        <v>0</v>
      </c>
      <c r="L385" t="n">
        <v>0</v>
      </c>
      <c r="M385" t="n">
        <v>0</v>
      </c>
      <c r="N385" t="n">
        <v>0</v>
      </c>
      <c r="O385" t="n">
        <v>0</v>
      </c>
      <c r="P385" t="n">
        <v>0</v>
      </c>
      <c r="Q385" t="n">
        <v>0</v>
      </c>
      <c r="R385" s="2" t="inlineStr"/>
    </row>
    <row r="386" ht="15" customHeight="1">
      <c r="A386" t="inlineStr">
        <is>
          <t>A 36026-2019</t>
        </is>
      </c>
      <c r="B386" s="1" t="n">
        <v>43668</v>
      </c>
      <c r="C386" s="1" t="n">
        <v>45845</v>
      </c>
      <c r="D386" t="inlineStr">
        <is>
          <t>VÄSTERNORRLANDS LÄN</t>
        </is>
      </c>
      <c r="E386" t="inlineStr">
        <is>
          <t>SUNDSVALL</t>
        </is>
      </c>
      <c r="G386" t="n">
        <v>4.4</v>
      </c>
      <c r="H386" t="n">
        <v>0</v>
      </c>
      <c r="I386" t="n">
        <v>0</v>
      </c>
      <c r="J386" t="n">
        <v>0</v>
      </c>
      <c r="K386" t="n">
        <v>0</v>
      </c>
      <c r="L386" t="n">
        <v>0</v>
      </c>
      <c r="M386" t="n">
        <v>0</v>
      </c>
      <c r="N386" t="n">
        <v>0</v>
      </c>
      <c r="O386" t="n">
        <v>0</v>
      </c>
      <c r="P386" t="n">
        <v>0</v>
      </c>
      <c r="Q386" t="n">
        <v>0</v>
      </c>
      <c r="R386" s="2" t="inlineStr"/>
    </row>
    <row r="387" ht="15" customHeight="1">
      <c r="A387" t="inlineStr">
        <is>
          <t>A 37069-2019</t>
        </is>
      </c>
      <c r="B387" s="1" t="n">
        <v>43676</v>
      </c>
      <c r="C387" s="1" t="n">
        <v>45845</v>
      </c>
      <c r="D387" t="inlineStr">
        <is>
          <t>VÄSTERNORRLANDS LÄN</t>
        </is>
      </c>
      <c r="E387" t="inlineStr">
        <is>
          <t>SUNDSVALL</t>
        </is>
      </c>
      <c r="G387" t="n">
        <v>1.6</v>
      </c>
      <c r="H387" t="n">
        <v>0</v>
      </c>
      <c r="I387" t="n">
        <v>0</v>
      </c>
      <c r="J387" t="n">
        <v>0</v>
      </c>
      <c r="K387" t="n">
        <v>0</v>
      </c>
      <c r="L387" t="n">
        <v>0</v>
      </c>
      <c r="M387" t="n">
        <v>0</v>
      </c>
      <c r="N387" t="n">
        <v>0</v>
      </c>
      <c r="O387" t="n">
        <v>0</v>
      </c>
      <c r="P387" t="n">
        <v>0</v>
      </c>
      <c r="Q387" t="n">
        <v>0</v>
      </c>
      <c r="R387" s="2" t="inlineStr"/>
    </row>
    <row r="388" ht="15" customHeight="1">
      <c r="A388" t="inlineStr">
        <is>
          <t>A 37378-2019</t>
        </is>
      </c>
      <c r="B388" s="1" t="n">
        <v>43678</v>
      </c>
      <c r="C388" s="1" t="n">
        <v>45845</v>
      </c>
      <c r="D388" t="inlineStr">
        <is>
          <t>VÄSTERNORRLANDS LÄN</t>
        </is>
      </c>
      <c r="E388" t="inlineStr">
        <is>
          <t>SUNDSVALL</t>
        </is>
      </c>
      <c r="G388" t="n">
        <v>6.5</v>
      </c>
      <c r="H388" t="n">
        <v>0</v>
      </c>
      <c r="I388" t="n">
        <v>0</v>
      </c>
      <c r="J388" t="n">
        <v>0</v>
      </c>
      <c r="K388" t="n">
        <v>0</v>
      </c>
      <c r="L388" t="n">
        <v>0</v>
      </c>
      <c r="M388" t="n">
        <v>0</v>
      </c>
      <c r="N388" t="n">
        <v>0</v>
      </c>
      <c r="O388" t="n">
        <v>0</v>
      </c>
      <c r="P388" t="n">
        <v>0</v>
      </c>
      <c r="Q388" t="n">
        <v>0</v>
      </c>
      <c r="R388" s="2" t="inlineStr"/>
    </row>
    <row r="389" ht="15" customHeight="1">
      <c r="A389" t="inlineStr">
        <is>
          <t>A 37891-2019</t>
        </is>
      </c>
      <c r="B389" s="1" t="n">
        <v>43682</v>
      </c>
      <c r="C389" s="1" t="n">
        <v>45845</v>
      </c>
      <c r="D389" t="inlineStr">
        <is>
          <t>VÄSTERNORRLANDS LÄN</t>
        </is>
      </c>
      <c r="E389" t="inlineStr">
        <is>
          <t>SUNDSVALL</t>
        </is>
      </c>
      <c r="F389" t="inlineStr">
        <is>
          <t>SCA</t>
        </is>
      </c>
      <c r="G389" t="n">
        <v>40.1</v>
      </c>
      <c r="H389" t="n">
        <v>0</v>
      </c>
      <c r="I389" t="n">
        <v>0</v>
      </c>
      <c r="J389" t="n">
        <v>0</v>
      </c>
      <c r="K389" t="n">
        <v>0</v>
      </c>
      <c r="L389" t="n">
        <v>0</v>
      </c>
      <c r="M389" t="n">
        <v>0</v>
      </c>
      <c r="N389" t="n">
        <v>0</v>
      </c>
      <c r="O389" t="n">
        <v>0</v>
      </c>
      <c r="P389" t="n">
        <v>0</v>
      </c>
      <c r="Q389" t="n">
        <v>0</v>
      </c>
      <c r="R389" s="2" t="inlineStr"/>
    </row>
    <row r="390" ht="15" customHeight="1">
      <c r="A390" t="inlineStr">
        <is>
          <t>A 37907-2019</t>
        </is>
      </c>
      <c r="B390" s="1" t="n">
        <v>43683</v>
      </c>
      <c r="C390" s="1" t="n">
        <v>45845</v>
      </c>
      <c r="D390" t="inlineStr">
        <is>
          <t>VÄSTERNORRLANDS LÄN</t>
        </is>
      </c>
      <c r="E390" t="inlineStr">
        <is>
          <t>SUNDSVALL</t>
        </is>
      </c>
      <c r="G390" t="n">
        <v>4.7</v>
      </c>
      <c r="H390" t="n">
        <v>0</v>
      </c>
      <c r="I390" t="n">
        <v>0</v>
      </c>
      <c r="J390" t="n">
        <v>0</v>
      </c>
      <c r="K390" t="n">
        <v>0</v>
      </c>
      <c r="L390" t="n">
        <v>0</v>
      </c>
      <c r="M390" t="n">
        <v>0</v>
      </c>
      <c r="N390" t="n">
        <v>0</v>
      </c>
      <c r="O390" t="n">
        <v>0</v>
      </c>
      <c r="P390" t="n">
        <v>0</v>
      </c>
      <c r="Q390" t="n">
        <v>0</v>
      </c>
      <c r="R390" s="2" t="inlineStr"/>
    </row>
    <row r="391" ht="15" customHeight="1">
      <c r="A391" t="inlineStr">
        <is>
          <t>A 38290-2019</t>
        </is>
      </c>
      <c r="B391" s="1" t="n">
        <v>43684</v>
      </c>
      <c r="C391" s="1" t="n">
        <v>45845</v>
      </c>
      <c r="D391" t="inlineStr">
        <is>
          <t>VÄSTERNORRLANDS LÄN</t>
        </is>
      </c>
      <c r="E391" t="inlineStr">
        <is>
          <t>SUNDSVALL</t>
        </is>
      </c>
      <c r="G391" t="n">
        <v>1.8</v>
      </c>
      <c r="H391" t="n">
        <v>0</v>
      </c>
      <c r="I391" t="n">
        <v>0</v>
      </c>
      <c r="J391" t="n">
        <v>0</v>
      </c>
      <c r="K391" t="n">
        <v>0</v>
      </c>
      <c r="L391" t="n">
        <v>0</v>
      </c>
      <c r="M391" t="n">
        <v>0</v>
      </c>
      <c r="N391" t="n">
        <v>0</v>
      </c>
      <c r="O391" t="n">
        <v>0</v>
      </c>
      <c r="P391" t="n">
        <v>0</v>
      </c>
      <c r="Q391" t="n">
        <v>0</v>
      </c>
      <c r="R391" s="2" t="inlineStr"/>
    </row>
    <row r="392" ht="15" customHeight="1">
      <c r="A392" t="inlineStr">
        <is>
          <t>A 40526-2019</t>
        </is>
      </c>
      <c r="B392" s="1" t="n">
        <v>43696</v>
      </c>
      <c r="C392" s="1" t="n">
        <v>45845</v>
      </c>
      <c r="D392" t="inlineStr">
        <is>
          <t>VÄSTERNORRLANDS LÄN</t>
        </is>
      </c>
      <c r="E392" t="inlineStr">
        <is>
          <t>SUNDSVALL</t>
        </is>
      </c>
      <c r="F392" t="inlineStr">
        <is>
          <t>SCA</t>
        </is>
      </c>
      <c r="G392" t="n">
        <v>13.1</v>
      </c>
      <c r="H392" t="n">
        <v>0</v>
      </c>
      <c r="I392" t="n">
        <v>0</v>
      </c>
      <c r="J392" t="n">
        <v>0</v>
      </c>
      <c r="K392" t="n">
        <v>0</v>
      </c>
      <c r="L392" t="n">
        <v>0</v>
      </c>
      <c r="M392" t="n">
        <v>0</v>
      </c>
      <c r="N392" t="n">
        <v>0</v>
      </c>
      <c r="O392" t="n">
        <v>0</v>
      </c>
      <c r="P392" t="n">
        <v>0</v>
      </c>
      <c r="Q392" t="n">
        <v>0</v>
      </c>
      <c r="R392" s="2" t="inlineStr"/>
    </row>
    <row r="393" ht="15" customHeight="1">
      <c r="A393" t="inlineStr">
        <is>
          <t>A 40549-2019</t>
        </is>
      </c>
      <c r="B393" s="1" t="n">
        <v>43696</v>
      </c>
      <c r="C393" s="1" t="n">
        <v>45845</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40487-2019</t>
        </is>
      </c>
      <c r="B394" s="1" t="n">
        <v>43696</v>
      </c>
      <c r="C394" s="1" t="n">
        <v>45845</v>
      </c>
      <c r="D394" t="inlineStr">
        <is>
          <t>VÄSTERNORRLANDS LÄN</t>
        </is>
      </c>
      <c r="E394" t="inlineStr">
        <is>
          <t>SUNDSVALL</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41895-2019</t>
        </is>
      </c>
      <c r="B395" s="1" t="n">
        <v>43697</v>
      </c>
      <c r="C395" s="1" t="n">
        <v>45845</v>
      </c>
      <c r="D395" t="inlineStr">
        <is>
          <t>VÄSTERNORRLANDS LÄN</t>
        </is>
      </c>
      <c r="E395" t="inlineStr">
        <is>
          <t>SUNDSVALL</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42217-2019</t>
        </is>
      </c>
      <c r="B396" s="1" t="n">
        <v>43699</v>
      </c>
      <c r="C396" s="1" t="n">
        <v>45845</v>
      </c>
      <c r="D396" t="inlineStr">
        <is>
          <t>VÄSTERNORRLANDS LÄN</t>
        </is>
      </c>
      <c r="E396" t="inlineStr">
        <is>
          <t>SUNDSVALL</t>
        </is>
      </c>
      <c r="G396" t="n">
        <v>10.7</v>
      </c>
      <c r="H396" t="n">
        <v>0</v>
      </c>
      <c r="I396" t="n">
        <v>0</v>
      </c>
      <c r="J396" t="n">
        <v>0</v>
      </c>
      <c r="K396" t="n">
        <v>0</v>
      </c>
      <c r="L396" t="n">
        <v>0</v>
      </c>
      <c r="M396" t="n">
        <v>0</v>
      </c>
      <c r="N396" t="n">
        <v>0</v>
      </c>
      <c r="O396" t="n">
        <v>0</v>
      </c>
      <c r="P396" t="n">
        <v>0</v>
      </c>
      <c r="Q396" t="n">
        <v>0</v>
      </c>
      <c r="R396" s="2" t="inlineStr"/>
    </row>
    <row r="397" ht="15" customHeight="1">
      <c r="A397" t="inlineStr">
        <is>
          <t>A 42361-2019</t>
        </is>
      </c>
      <c r="B397" s="1" t="n">
        <v>43703</v>
      </c>
      <c r="C397" s="1" t="n">
        <v>45845</v>
      </c>
      <c r="D397" t="inlineStr">
        <is>
          <t>VÄSTERNORRLANDS LÄN</t>
        </is>
      </c>
      <c r="E397" t="inlineStr">
        <is>
          <t>SUNDSVALL</t>
        </is>
      </c>
      <c r="G397" t="n">
        <v>0.9</v>
      </c>
      <c r="H397" t="n">
        <v>0</v>
      </c>
      <c r="I397" t="n">
        <v>0</v>
      </c>
      <c r="J397" t="n">
        <v>0</v>
      </c>
      <c r="K397" t="n">
        <v>0</v>
      </c>
      <c r="L397" t="n">
        <v>0</v>
      </c>
      <c r="M397" t="n">
        <v>0</v>
      </c>
      <c r="N397" t="n">
        <v>0</v>
      </c>
      <c r="O397" t="n">
        <v>0</v>
      </c>
      <c r="P397" t="n">
        <v>0</v>
      </c>
      <c r="Q397" t="n">
        <v>0</v>
      </c>
      <c r="R397" s="2" t="inlineStr"/>
    </row>
    <row r="398" ht="15" customHeight="1">
      <c r="A398" t="inlineStr">
        <is>
          <t>A 42305-2019</t>
        </is>
      </c>
      <c r="B398" s="1" t="n">
        <v>43703</v>
      </c>
      <c r="C398" s="1" t="n">
        <v>45845</v>
      </c>
      <c r="D398" t="inlineStr">
        <is>
          <t>VÄSTERNORRLANDS LÄN</t>
        </is>
      </c>
      <c r="E398" t="inlineStr">
        <is>
          <t>SUNDSVALL</t>
        </is>
      </c>
      <c r="G398" t="n">
        <v>3</v>
      </c>
      <c r="H398" t="n">
        <v>0</v>
      </c>
      <c r="I398" t="n">
        <v>0</v>
      </c>
      <c r="J398" t="n">
        <v>0</v>
      </c>
      <c r="K398" t="n">
        <v>0</v>
      </c>
      <c r="L398" t="n">
        <v>0</v>
      </c>
      <c r="M398" t="n">
        <v>0</v>
      </c>
      <c r="N398" t="n">
        <v>0</v>
      </c>
      <c r="O398" t="n">
        <v>0</v>
      </c>
      <c r="P398" t="n">
        <v>0</v>
      </c>
      <c r="Q398" t="n">
        <v>0</v>
      </c>
      <c r="R398" s="2" t="inlineStr"/>
    </row>
    <row r="399" ht="15" customHeight="1">
      <c r="A399" t="inlineStr">
        <is>
          <t>A 42375-2019</t>
        </is>
      </c>
      <c r="B399" s="1" t="n">
        <v>43703</v>
      </c>
      <c r="C399" s="1" t="n">
        <v>45845</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42372-2019</t>
        </is>
      </c>
      <c r="B400" s="1" t="n">
        <v>43703</v>
      </c>
      <c r="C400" s="1" t="n">
        <v>45845</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43193-2019</t>
        </is>
      </c>
      <c r="B401" s="1" t="n">
        <v>43705</v>
      </c>
      <c r="C401" s="1" t="n">
        <v>45845</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43880-2019</t>
        </is>
      </c>
      <c r="B402" s="1" t="n">
        <v>43707</v>
      </c>
      <c r="C402" s="1" t="n">
        <v>45845</v>
      </c>
      <c r="D402" t="inlineStr">
        <is>
          <t>VÄSTERNORRLANDS LÄN</t>
        </is>
      </c>
      <c r="E402" t="inlineStr">
        <is>
          <t>SUNDSVALL</t>
        </is>
      </c>
      <c r="G402" t="n">
        <v>2.9</v>
      </c>
      <c r="H402" t="n">
        <v>0</v>
      </c>
      <c r="I402" t="n">
        <v>0</v>
      </c>
      <c r="J402" t="n">
        <v>0</v>
      </c>
      <c r="K402" t="n">
        <v>0</v>
      </c>
      <c r="L402" t="n">
        <v>0</v>
      </c>
      <c r="M402" t="n">
        <v>0</v>
      </c>
      <c r="N402" t="n">
        <v>0</v>
      </c>
      <c r="O402" t="n">
        <v>0</v>
      </c>
      <c r="P402" t="n">
        <v>0</v>
      </c>
      <c r="Q402" t="n">
        <v>0</v>
      </c>
      <c r="R402" s="2" t="inlineStr"/>
    </row>
    <row r="403" ht="15" customHeight="1">
      <c r="A403" t="inlineStr">
        <is>
          <t>A 43796-2019</t>
        </is>
      </c>
      <c r="B403" s="1" t="n">
        <v>43707</v>
      </c>
      <c r="C403" s="1" t="n">
        <v>45845</v>
      </c>
      <c r="D403" t="inlineStr">
        <is>
          <t>VÄSTERNORRLANDS LÄN</t>
        </is>
      </c>
      <c r="E403" t="inlineStr">
        <is>
          <t>SUNDSVALL</t>
        </is>
      </c>
      <c r="G403" t="n">
        <v>2.2</v>
      </c>
      <c r="H403" t="n">
        <v>0</v>
      </c>
      <c r="I403" t="n">
        <v>0</v>
      </c>
      <c r="J403" t="n">
        <v>0</v>
      </c>
      <c r="K403" t="n">
        <v>0</v>
      </c>
      <c r="L403" t="n">
        <v>0</v>
      </c>
      <c r="M403" t="n">
        <v>0</v>
      </c>
      <c r="N403" t="n">
        <v>0</v>
      </c>
      <c r="O403" t="n">
        <v>0</v>
      </c>
      <c r="P403" t="n">
        <v>0</v>
      </c>
      <c r="Q403" t="n">
        <v>0</v>
      </c>
      <c r="R403" s="2" t="inlineStr"/>
    </row>
    <row r="404" ht="15" customHeight="1">
      <c r="A404" t="inlineStr">
        <is>
          <t>A 44321-2019</t>
        </is>
      </c>
      <c r="B404" s="1" t="n">
        <v>43710</v>
      </c>
      <c r="C404" s="1" t="n">
        <v>45845</v>
      </c>
      <c r="D404" t="inlineStr">
        <is>
          <t>VÄSTERNORRLANDS LÄN</t>
        </is>
      </c>
      <c r="E404" t="inlineStr">
        <is>
          <t>SUNDSVALL</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44325-2019</t>
        </is>
      </c>
      <c r="B405" s="1" t="n">
        <v>43710</v>
      </c>
      <c r="C405" s="1" t="n">
        <v>45845</v>
      </c>
      <c r="D405" t="inlineStr">
        <is>
          <t>VÄSTERNORRLANDS LÄN</t>
        </is>
      </c>
      <c r="E405" t="inlineStr">
        <is>
          <t>SUNDSVALL</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44416-2019</t>
        </is>
      </c>
      <c r="B406" s="1" t="n">
        <v>43711</v>
      </c>
      <c r="C406" s="1" t="n">
        <v>45845</v>
      </c>
      <c r="D406" t="inlineStr">
        <is>
          <t>VÄSTERNORRLANDS LÄN</t>
        </is>
      </c>
      <c r="E406" t="inlineStr">
        <is>
          <t>SUNDSVALL</t>
        </is>
      </c>
      <c r="G406" t="n">
        <v>7.8</v>
      </c>
      <c r="H406" t="n">
        <v>0</v>
      </c>
      <c r="I406" t="n">
        <v>0</v>
      </c>
      <c r="J406" t="n">
        <v>0</v>
      </c>
      <c r="K406" t="n">
        <v>0</v>
      </c>
      <c r="L406" t="n">
        <v>0</v>
      </c>
      <c r="M406" t="n">
        <v>0</v>
      </c>
      <c r="N406" t="n">
        <v>0</v>
      </c>
      <c r="O406" t="n">
        <v>0</v>
      </c>
      <c r="P406" t="n">
        <v>0</v>
      </c>
      <c r="Q406" t="n">
        <v>0</v>
      </c>
      <c r="R406" s="2" t="inlineStr"/>
      <c r="U406">
        <f>HYPERLINK("https://klasma.github.io/Logging_2281/knärot/A 44416-2019 karta knärot.png", "A 44416-2019")</f>
        <v/>
      </c>
      <c r="V406">
        <f>HYPERLINK("https://klasma.github.io/Logging_2281/klagomål/A 44416-2019 FSC-klagomål.docx", "A 44416-2019")</f>
        <v/>
      </c>
      <c r="W406">
        <f>HYPERLINK("https://klasma.github.io/Logging_2281/klagomålsmail/A 44416-2019 FSC-klagomål mail.docx", "A 44416-2019")</f>
        <v/>
      </c>
      <c r="X406">
        <f>HYPERLINK("https://klasma.github.io/Logging_2281/tillsyn/A 44416-2019 tillsynsbegäran.docx", "A 44416-2019")</f>
        <v/>
      </c>
      <c r="Y406">
        <f>HYPERLINK("https://klasma.github.io/Logging_2281/tillsynsmail/A 44416-2019 tillsynsbegäran mail.docx", "A 44416-2019")</f>
        <v/>
      </c>
    </row>
    <row r="407" ht="15" customHeight="1">
      <c r="A407" t="inlineStr">
        <is>
          <t>A 44608-2019</t>
        </is>
      </c>
      <c r="B407" s="1" t="n">
        <v>43711</v>
      </c>
      <c r="C407" s="1" t="n">
        <v>45845</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44610-2019</t>
        </is>
      </c>
      <c r="B408" s="1" t="n">
        <v>43711</v>
      </c>
      <c r="C408" s="1" t="n">
        <v>45845</v>
      </c>
      <c r="D408" t="inlineStr">
        <is>
          <t>VÄSTERNORRLANDS LÄN</t>
        </is>
      </c>
      <c r="E408" t="inlineStr">
        <is>
          <t>SUNDSVALL</t>
        </is>
      </c>
      <c r="G408" t="n">
        <v>1.3</v>
      </c>
      <c r="H408" t="n">
        <v>0</v>
      </c>
      <c r="I408" t="n">
        <v>0</v>
      </c>
      <c r="J408" t="n">
        <v>0</v>
      </c>
      <c r="K408" t="n">
        <v>0</v>
      </c>
      <c r="L408" t="n">
        <v>0</v>
      </c>
      <c r="M408" t="n">
        <v>0</v>
      </c>
      <c r="N408" t="n">
        <v>0</v>
      </c>
      <c r="O408" t="n">
        <v>0</v>
      </c>
      <c r="P408" t="n">
        <v>0</v>
      </c>
      <c r="Q408" t="n">
        <v>0</v>
      </c>
      <c r="R408" s="2" t="inlineStr"/>
    </row>
    <row r="409" ht="15" customHeight="1">
      <c r="A409" t="inlineStr">
        <is>
          <t>A 45960-2019</t>
        </is>
      </c>
      <c r="B409" s="1" t="n">
        <v>43712</v>
      </c>
      <c r="C409" s="1" t="n">
        <v>45845</v>
      </c>
      <c r="D409" t="inlineStr">
        <is>
          <t>VÄSTERNORRLANDS LÄN</t>
        </is>
      </c>
      <c r="E409" t="inlineStr">
        <is>
          <t>SUNDSVALL</t>
        </is>
      </c>
      <c r="F409" t="inlineStr">
        <is>
          <t>Kyrkan</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45964-2019</t>
        </is>
      </c>
      <c r="B410" s="1" t="n">
        <v>43712</v>
      </c>
      <c r="C410" s="1" t="n">
        <v>45845</v>
      </c>
      <c r="D410" t="inlineStr">
        <is>
          <t>VÄSTERNORRLANDS LÄN</t>
        </is>
      </c>
      <c r="E410" t="inlineStr">
        <is>
          <t>SUNDSVALL</t>
        </is>
      </c>
      <c r="F410" t="inlineStr">
        <is>
          <t>Kyrkan</t>
        </is>
      </c>
      <c r="G410" t="n">
        <v>1.9</v>
      </c>
      <c r="H410" t="n">
        <v>0</v>
      </c>
      <c r="I410" t="n">
        <v>0</v>
      </c>
      <c r="J410" t="n">
        <v>0</v>
      </c>
      <c r="K410" t="n">
        <v>0</v>
      </c>
      <c r="L410" t="n">
        <v>0</v>
      </c>
      <c r="M410" t="n">
        <v>0</v>
      </c>
      <c r="N410" t="n">
        <v>0</v>
      </c>
      <c r="O410" t="n">
        <v>0</v>
      </c>
      <c r="P410" t="n">
        <v>0</v>
      </c>
      <c r="Q410" t="n">
        <v>0</v>
      </c>
      <c r="R410" s="2" t="inlineStr"/>
    </row>
    <row r="411" ht="15" customHeight="1">
      <c r="A411" t="inlineStr">
        <is>
          <t>A 44967-2019</t>
        </is>
      </c>
      <c r="B411" s="1" t="n">
        <v>43713</v>
      </c>
      <c r="C411" s="1" t="n">
        <v>45845</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44971-2019</t>
        </is>
      </c>
      <c r="B412" s="1" t="n">
        <v>43713</v>
      </c>
      <c r="C412" s="1" t="n">
        <v>45845</v>
      </c>
      <c r="D412" t="inlineStr">
        <is>
          <t>VÄSTERNORRLANDS LÄN</t>
        </is>
      </c>
      <c r="E412" t="inlineStr">
        <is>
          <t>SUNDSVALL</t>
        </is>
      </c>
      <c r="G412" t="n">
        <v>0.5</v>
      </c>
      <c r="H412" t="n">
        <v>0</v>
      </c>
      <c r="I412" t="n">
        <v>0</v>
      </c>
      <c r="J412" t="n">
        <v>0</v>
      </c>
      <c r="K412" t="n">
        <v>0</v>
      </c>
      <c r="L412" t="n">
        <v>0</v>
      </c>
      <c r="M412" t="n">
        <v>0</v>
      </c>
      <c r="N412" t="n">
        <v>0</v>
      </c>
      <c r="O412" t="n">
        <v>0</v>
      </c>
      <c r="P412" t="n">
        <v>0</v>
      </c>
      <c r="Q412" t="n">
        <v>0</v>
      </c>
      <c r="R412" s="2" t="inlineStr"/>
    </row>
    <row r="413" ht="15" customHeight="1">
      <c r="A413" t="inlineStr">
        <is>
          <t>A 44922-2019</t>
        </is>
      </c>
      <c r="B413" s="1" t="n">
        <v>43713</v>
      </c>
      <c r="C413" s="1" t="n">
        <v>45845</v>
      </c>
      <c r="D413" t="inlineStr">
        <is>
          <t>VÄSTERNORRLANDS LÄN</t>
        </is>
      </c>
      <c r="E413" t="inlineStr">
        <is>
          <t>SUNDSVALL</t>
        </is>
      </c>
      <c r="F413" t="inlineStr">
        <is>
          <t>Kommuner</t>
        </is>
      </c>
      <c r="G413" t="n">
        <v>2.3</v>
      </c>
      <c r="H413" t="n">
        <v>0</v>
      </c>
      <c r="I413" t="n">
        <v>0</v>
      </c>
      <c r="J413" t="n">
        <v>0</v>
      </c>
      <c r="K413" t="n">
        <v>0</v>
      </c>
      <c r="L413" t="n">
        <v>0</v>
      </c>
      <c r="M413" t="n">
        <v>0</v>
      </c>
      <c r="N413" t="n">
        <v>0</v>
      </c>
      <c r="O413" t="n">
        <v>0</v>
      </c>
      <c r="P413" t="n">
        <v>0</v>
      </c>
      <c r="Q413" t="n">
        <v>0</v>
      </c>
      <c r="R413" s="2" t="inlineStr"/>
    </row>
    <row r="414" ht="15" customHeight="1">
      <c r="A414" t="inlineStr">
        <is>
          <t>A 47076-2019</t>
        </is>
      </c>
      <c r="B414" s="1" t="n">
        <v>43720</v>
      </c>
      <c r="C414" s="1" t="n">
        <v>45845</v>
      </c>
      <c r="D414" t="inlineStr">
        <is>
          <t>VÄSTERNORRLANDS LÄN</t>
        </is>
      </c>
      <c r="E414" t="inlineStr">
        <is>
          <t>SUNDSVALL</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47807-2019</t>
        </is>
      </c>
      <c r="B415" s="1" t="n">
        <v>43724</v>
      </c>
      <c r="C415" s="1" t="n">
        <v>45845</v>
      </c>
      <c r="D415" t="inlineStr">
        <is>
          <t>VÄSTERNORRLANDS LÄN</t>
        </is>
      </c>
      <c r="E415" t="inlineStr">
        <is>
          <t>SUNDSVALL</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47809-2019</t>
        </is>
      </c>
      <c r="B416" s="1" t="n">
        <v>43724</v>
      </c>
      <c r="C416" s="1" t="n">
        <v>45845</v>
      </c>
      <c r="D416" t="inlineStr">
        <is>
          <t>VÄSTERNORRLANDS LÄN</t>
        </is>
      </c>
      <c r="E416" t="inlineStr">
        <is>
          <t>SUNDSVALL</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48715-2019</t>
        </is>
      </c>
      <c r="B417" s="1" t="n">
        <v>43727</v>
      </c>
      <c r="C417" s="1" t="n">
        <v>45845</v>
      </c>
      <c r="D417" t="inlineStr">
        <is>
          <t>VÄSTERNORRLANDS LÄN</t>
        </is>
      </c>
      <c r="E417" t="inlineStr">
        <is>
          <t>SUNDSVALL</t>
        </is>
      </c>
      <c r="F417" t="inlineStr">
        <is>
          <t>SCA</t>
        </is>
      </c>
      <c r="G417" t="n">
        <v>76.40000000000001</v>
      </c>
      <c r="H417" t="n">
        <v>0</v>
      </c>
      <c r="I417" t="n">
        <v>0</v>
      </c>
      <c r="J417" t="n">
        <v>0</v>
      </c>
      <c r="K417" t="n">
        <v>0</v>
      </c>
      <c r="L417" t="n">
        <v>0</v>
      </c>
      <c r="M417" t="n">
        <v>0</v>
      </c>
      <c r="N417" t="n">
        <v>0</v>
      </c>
      <c r="O417" t="n">
        <v>0</v>
      </c>
      <c r="P417" t="n">
        <v>0</v>
      </c>
      <c r="Q417" t="n">
        <v>0</v>
      </c>
      <c r="R417" s="2" t="inlineStr"/>
    </row>
    <row r="418" ht="15" customHeight="1">
      <c r="A418" t="inlineStr">
        <is>
          <t>A 49676-2019</t>
        </is>
      </c>
      <c r="B418" s="1" t="n">
        <v>43732</v>
      </c>
      <c r="C418" s="1" t="n">
        <v>45845</v>
      </c>
      <c r="D418" t="inlineStr">
        <is>
          <t>VÄSTERNORRLANDS LÄN</t>
        </is>
      </c>
      <c r="E418" t="inlineStr">
        <is>
          <t>SUNDSVALL</t>
        </is>
      </c>
      <c r="F418" t="inlineStr">
        <is>
          <t>SCA</t>
        </is>
      </c>
      <c r="G418" t="n">
        <v>13.3</v>
      </c>
      <c r="H418" t="n">
        <v>0</v>
      </c>
      <c r="I418" t="n">
        <v>0</v>
      </c>
      <c r="J418" t="n">
        <v>0</v>
      </c>
      <c r="K418" t="n">
        <v>0</v>
      </c>
      <c r="L418" t="n">
        <v>0</v>
      </c>
      <c r="M418" t="n">
        <v>0</v>
      </c>
      <c r="N418" t="n">
        <v>0</v>
      </c>
      <c r="O418" t="n">
        <v>0</v>
      </c>
      <c r="P418" t="n">
        <v>0</v>
      </c>
      <c r="Q418" t="n">
        <v>0</v>
      </c>
      <c r="R418" s="2" t="inlineStr"/>
    </row>
    <row r="419" ht="15" customHeight="1">
      <c r="A419" t="inlineStr">
        <is>
          <t>A 49978-2019</t>
        </is>
      </c>
      <c r="B419" s="1" t="n">
        <v>43733</v>
      </c>
      <c r="C419" s="1" t="n">
        <v>45845</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49990-2019</t>
        </is>
      </c>
      <c r="B420" s="1" t="n">
        <v>43733</v>
      </c>
      <c r="C420" s="1" t="n">
        <v>45845</v>
      </c>
      <c r="D420" t="inlineStr">
        <is>
          <t>VÄSTERNORRLANDS LÄN</t>
        </is>
      </c>
      <c r="E420" t="inlineStr">
        <is>
          <t>SUNDSVALL</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49984-2019</t>
        </is>
      </c>
      <c r="B421" s="1" t="n">
        <v>43733</v>
      </c>
      <c r="C421" s="1" t="n">
        <v>45845</v>
      </c>
      <c r="D421" t="inlineStr">
        <is>
          <t>VÄSTERNORRLANDS LÄN</t>
        </is>
      </c>
      <c r="E421" t="inlineStr">
        <is>
          <t>SUNDSVALL</t>
        </is>
      </c>
      <c r="G421" t="n">
        <v>1.9</v>
      </c>
      <c r="H421" t="n">
        <v>0</v>
      </c>
      <c r="I421" t="n">
        <v>0</v>
      </c>
      <c r="J421" t="n">
        <v>0</v>
      </c>
      <c r="K421" t="n">
        <v>0</v>
      </c>
      <c r="L421" t="n">
        <v>0</v>
      </c>
      <c r="M421" t="n">
        <v>0</v>
      </c>
      <c r="N421" t="n">
        <v>0</v>
      </c>
      <c r="O421" t="n">
        <v>0</v>
      </c>
      <c r="P421" t="n">
        <v>0</v>
      </c>
      <c r="Q421" t="n">
        <v>0</v>
      </c>
      <c r="R421" s="2" t="inlineStr"/>
    </row>
    <row r="422" ht="15" customHeight="1">
      <c r="A422" t="inlineStr">
        <is>
          <t>A 50118-2019</t>
        </is>
      </c>
      <c r="B422" s="1" t="n">
        <v>43734</v>
      </c>
      <c r="C422" s="1" t="n">
        <v>45845</v>
      </c>
      <c r="D422" t="inlineStr">
        <is>
          <t>VÄSTERNORRLANDS LÄN</t>
        </is>
      </c>
      <c r="E422" t="inlineStr">
        <is>
          <t>SUNDSVALL</t>
        </is>
      </c>
      <c r="G422" t="n">
        <v>1.4</v>
      </c>
      <c r="H422" t="n">
        <v>0</v>
      </c>
      <c r="I422" t="n">
        <v>0</v>
      </c>
      <c r="J422" t="n">
        <v>0</v>
      </c>
      <c r="K422" t="n">
        <v>0</v>
      </c>
      <c r="L422" t="n">
        <v>0</v>
      </c>
      <c r="M422" t="n">
        <v>0</v>
      </c>
      <c r="N422" t="n">
        <v>0</v>
      </c>
      <c r="O422" t="n">
        <v>0</v>
      </c>
      <c r="P422" t="n">
        <v>0</v>
      </c>
      <c r="Q422" t="n">
        <v>0</v>
      </c>
      <c r="R422" s="2" t="inlineStr"/>
    </row>
    <row r="423" ht="15" customHeight="1">
      <c r="A423" t="inlineStr">
        <is>
          <t>A 50530-2019</t>
        </is>
      </c>
      <c r="B423" s="1" t="n">
        <v>43735</v>
      </c>
      <c r="C423" s="1" t="n">
        <v>45845</v>
      </c>
      <c r="D423" t="inlineStr">
        <is>
          <t>VÄSTERNORRLANDS LÄN</t>
        </is>
      </c>
      <c r="E423" t="inlineStr">
        <is>
          <t>SUNDSVALL</t>
        </is>
      </c>
      <c r="G423" t="n">
        <v>3</v>
      </c>
      <c r="H423" t="n">
        <v>0</v>
      </c>
      <c r="I423" t="n">
        <v>0</v>
      </c>
      <c r="J423" t="n">
        <v>0</v>
      </c>
      <c r="K423" t="n">
        <v>0</v>
      </c>
      <c r="L423" t="n">
        <v>0</v>
      </c>
      <c r="M423" t="n">
        <v>0</v>
      </c>
      <c r="N423" t="n">
        <v>0</v>
      </c>
      <c r="O423" t="n">
        <v>0</v>
      </c>
      <c r="P423" t="n">
        <v>0</v>
      </c>
      <c r="Q423" t="n">
        <v>0</v>
      </c>
      <c r="R423" s="2" t="inlineStr"/>
    </row>
    <row r="424" ht="15" customHeight="1">
      <c r="A424" t="inlineStr">
        <is>
          <t>A 50605-2019</t>
        </is>
      </c>
      <c r="B424" s="1" t="n">
        <v>43735</v>
      </c>
      <c r="C424" s="1" t="n">
        <v>45845</v>
      </c>
      <c r="D424" t="inlineStr">
        <is>
          <t>VÄSTERNORRLANDS LÄN</t>
        </is>
      </c>
      <c r="E424" t="inlineStr">
        <is>
          <t>SUNDSVALL</t>
        </is>
      </c>
      <c r="G424" t="n">
        <v>5.1</v>
      </c>
      <c r="H424" t="n">
        <v>0</v>
      </c>
      <c r="I424" t="n">
        <v>0</v>
      </c>
      <c r="J424" t="n">
        <v>0</v>
      </c>
      <c r="K424" t="n">
        <v>0</v>
      </c>
      <c r="L424" t="n">
        <v>0</v>
      </c>
      <c r="M424" t="n">
        <v>0</v>
      </c>
      <c r="N424" t="n">
        <v>0</v>
      </c>
      <c r="O424" t="n">
        <v>0</v>
      </c>
      <c r="P424" t="n">
        <v>0</v>
      </c>
      <c r="Q424" t="n">
        <v>0</v>
      </c>
      <c r="R424" s="2" t="inlineStr"/>
    </row>
    <row r="425" ht="15" customHeight="1">
      <c r="A425" t="inlineStr">
        <is>
          <t>A 50965-2019</t>
        </is>
      </c>
      <c r="B425" s="1" t="n">
        <v>43738</v>
      </c>
      <c r="C425" s="1" t="n">
        <v>45845</v>
      </c>
      <c r="D425" t="inlineStr">
        <is>
          <t>VÄSTERNORRLANDS LÄN</t>
        </is>
      </c>
      <c r="E425" t="inlineStr">
        <is>
          <t>SUNDSVALL</t>
        </is>
      </c>
      <c r="G425" t="n">
        <v>7.8</v>
      </c>
      <c r="H425" t="n">
        <v>0</v>
      </c>
      <c r="I425" t="n">
        <v>0</v>
      </c>
      <c r="J425" t="n">
        <v>0</v>
      </c>
      <c r="K425" t="n">
        <v>0</v>
      </c>
      <c r="L425" t="n">
        <v>0</v>
      </c>
      <c r="M425" t="n">
        <v>0</v>
      </c>
      <c r="N425" t="n">
        <v>0</v>
      </c>
      <c r="O425" t="n">
        <v>0</v>
      </c>
      <c r="P425" t="n">
        <v>0</v>
      </c>
      <c r="Q425" t="n">
        <v>0</v>
      </c>
      <c r="R425" s="2" t="inlineStr"/>
    </row>
    <row r="426" ht="15" customHeight="1">
      <c r="A426" t="inlineStr">
        <is>
          <t>A 50992-2019</t>
        </is>
      </c>
      <c r="B426" s="1" t="n">
        <v>43738</v>
      </c>
      <c r="C426" s="1" t="n">
        <v>45845</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51072-2019</t>
        </is>
      </c>
      <c r="B427" s="1" t="n">
        <v>43738</v>
      </c>
      <c r="C427" s="1" t="n">
        <v>45845</v>
      </c>
      <c r="D427" t="inlineStr">
        <is>
          <t>VÄSTERNORRLANDS LÄN</t>
        </is>
      </c>
      <c r="E427" t="inlineStr">
        <is>
          <t>SUNDSVALL</t>
        </is>
      </c>
      <c r="F427" t="inlineStr">
        <is>
          <t>Kommuner</t>
        </is>
      </c>
      <c r="G427" t="n">
        <v>1.3</v>
      </c>
      <c r="H427" t="n">
        <v>0</v>
      </c>
      <c r="I427" t="n">
        <v>0</v>
      </c>
      <c r="J427" t="n">
        <v>0</v>
      </c>
      <c r="K427" t="n">
        <v>0</v>
      </c>
      <c r="L427" t="n">
        <v>0</v>
      </c>
      <c r="M427" t="n">
        <v>0</v>
      </c>
      <c r="N427" t="n">
        <v>0</v>
      </c>
      <c r="O427" t="n">
        <v>0</v>
      </c>
      <c r="P427" t="n">
        <v>0</v>
      </c>
      <c r="Q427" t="n">
        <v>0</v>
      </c>
      <c r="R427" s="2" t="inlineStr"/>
    </row>
    <row r="428" ht="15" customHeight="1">
      <c r="A428" t="inlineStr">
        <is>
          <t>A 51685-2019</t>
        </is>
      </c>
      <c r="B428" s="1" t="n">
        <v>43740</v>
      </c>
      <c r="C428" s="1" t="n">
        <v>45845</v>
      </c>
      <c r="D428" t="inlineStr">
        <is>
          <t>VÄSTERNORRLANDS LÄN</t>
        </is>
      </c>
      <c r="E428" t="inlineStr">
        <is>
          <t>SUNDSVALL</t>
        </is>
      </c>
      <c r="G428" t="n">
        <v>8.6</v>
      </c>
      <c r="H428" t="n">
        <v>0</v>
      </c>
      <c r="I428" t="n">
        <v>0</v>
      </c>
      <c r="J428" t="n">
        <v>0</v>
      </c>
      <c r="K428" t="n">
        <v>0</v>
      </c>
      <c r="L428" t="n">
        <v>0</v>
      </c>
      <c r="M428" t="n">
        <v>0</v>
      </c>
      <c r="N428" t="n">
        <v>0</v>
      </c>
      <c r="O428" t="n">
        <v>0</v>
      </c>
      <c r="P428" t="n">
        <v>0</v>
      </c>
      <c r="Q428" t="n">
        <v>0</v>
      </c>
      <c r="R428" s="2" t="inlineStr"/>
    </row>
    <row r="429" ht="15" customHeight="1">
      <c r="A429" t="inlineStr">
        <is>
          <t>A 52576-2019</t>
        </is>
      </c>
      <c r="B429" s="1" t="n">
        <v>43745</v>
      </c>
      <c r="C429" s="1" t="n">
        <v>45845</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53087-2019</t>
        </is>
      </c>
      <c r="B430" s="1" t="n">
        <v>43747</v>
      </c>
      <c r="C430" s="1" t="n">
        <v>45845</v>
      </c>
      <c r="D430" t="inlineStr">
        <is>
          <t>VÄSTERNORRLANDS LÄN</t>
        </is>
      </c>
      <c r="E430" t="inlineStr">
        <is>
          <t>SUNDSVALL</t>
        </is>
      </c>
      <c r="G430" t="n">
        <v>2.6</v>
      </c>
      <c r="H430" t="n">
        <v>0</v>
      </c>
      <c r="I430" t="n">
        <v>0</v>
      </c>
      <c r="J430" t="n">
        <v>0</v>
      </c>
      <c r="K430" t="n">
        <v>0</v>
      </c>
      <c r="L430" t="n">
        <v>0</v>
      </c>
      <c r="M430" t="n">
        <v>0</v>
      </c>
      <c r="N430" t="n">
        <v>0</v>
      </c>
      <c r="O430" t="n">
        <v>0</v>
      </c>
      <c r="P430" t="n">
        <v>0</v>
      </c>
      <c r="Q430" t="n">
        <v>0</v>
      </c>
      <c r="R430" s="2" t="inlineStr"/>
    </row>
    <row r="431" ht="15" customHeight="1">
      <c r="A431" t="inlineStr">
        <is>
          <t>A 52952-2019</t>
        </is>
      </c>
      <c r="B431" s="1" t="n">
        <v>43747</v>
      </c>
      <c r="C431" s="1" t="n">
        <v>45845</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54030-2019</t>
        </is>
      </c>
      <c r="B432" s="1" t="n">
        <v>43752</v>
      </c>
      <c r="C432" s="1" t="n">
        <v>45845</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55268-2019</t>
        </is>
      </c>
      <c r="B433" s="1" t="n">
        <v>43753</v>
      </c>
      <c r="C433" s="1" t="n">
        <v>45845</v>
      </c>
      <c r="D433" t="inlineStr">
        <is>
          <t>VÄSTERNORRLANDS LÄN</t>
        </is>
      </c>
      <c r="E433" t="inlineStr">
        <is>
          <t>SUNDSVALL</t>
        </is>
      </c>
      <c r="G433" t="n">
        <v>6.2</v>
      </c>
      <c r="H433" t="n">
        <v>0</v>
      </c>
      <c r="I433" t="n">
        <v>0</v>
      </c>
      <c r="J433" t="n">
        <v>0</v>
      </c>
      <c r="K433" t="n">
        <v>0</v>
      </c>
      <c r="L433" t="n">
        <v>0</v>
      </c>
      <c r="M433" t="n">
        <v>0</v>
      </c>
      <c r="N433" t="n">
        <v>0</v>
      </c>
      <c r="O433" t="n">
        <v>0</v>
      </c>
      <c r="P433" t="n">
        <v>0</v>
      </c>
      <c r="Q433" t="n">
        <v>0</v>
      </c>
      <c r="R433" s="2" t="inlineStr"/>
    </row>
    <row r="434" ht="15" customHeight="1">
      <c r="A434" t="inlineStr">
        <is>
          <t>A 55420-2019</t>
        </is>
      </c>
      <c r="B434" s="1" t="n">
        <v>43758</v>
      </c>
      <c r="C434" s="1" t="n">
        <v>45845</v>
      </c>
      <c r="D434" t="inlineStr">
        <is>
          <t>VÄSTERNORRLANDS LÄN</t>
        </is>
      </c>
      <c r="E434" t="inlineStr">
        <is>
          <t>SUNDSVALL</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56751-2019</t>
        </is>
      </c>
      <c r="B435" s="1" t="n">
        <v>43759</v>
      </c>
      <c r="C435" s="1" t="n">
        <v>45845</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56701-2019</t>
        </is>
      </c>
      <c r="B436" s="1" t="n">
        <v>43759</v>
      </c>
      <c r="C436" s="1" t="n">
        <v>45845</v>
      </c>
      <c r="D436" t="inlineStr">
        <is>
          <t>VÄSTERNORRLANDS LÄN</t>
        </is>
      </c>
      <c r="E436" t="inlineStr">
        <is>
          <t>SUNDSVALL</t>
        </is>
      </c>
      <c r="G436" t="n">
        <v>1.7</v>
      </c>
      <c r="H436" t="n">
        <v>0</v>
      </c>
      <c r="I436" t="n">
        <v>0</v>
      </c>
      <c r="J436" t="n">
        <v>0</v>
      </c>
      <c r="K436" t="n">
        <v>0</v>
      </c>
      <c r="L436" t="n">
        <v>0</v>
      </c>
      <c r="M436" t="n">
        <v>0</v>
      </c>
      <c r="N436" t="n">
        <v>0</v>
      </c>
      <c r="O436" t="n">
        <v>0</v>
      </c>
      <c r="P436" t="n">
        <v>0</v>
      </c>
      <c r="Q436" t="n">
        <v>0</v>
      </c>
      <c r="R436" s="2" t="inlineStr"/>
    </row>
    <row r="437" ht="15" customHeight="1">
      <c r="A437" t="inlineStr">
        <is>
          <t>A 55600-2019</t>
        </is>
      </c>
      <c r="B437" s="1" t="n">
        <v>43760</v>
      </c>
      <c r="C437" s="1" t="n">
        <v>45845</v>
      </c>
      <c r="D437" t="inlineStr">
        <is>
          <t>VÄSTERNORRLANDS LÄN</t>
        </is>
      </c>
      <c r="E437" t="inlineStr">
        <is>
          <t>SUNDSVALL</t>
        </is>
      </c>
      <c r="G437" t="n">
        <v>13.4</v>
      </c>
      <c r="H437" t="n">
        <v>0</v>
      </c>
      <c r="I437" t="n">
        <v>0</v>
      </c>
      <c r="J437" t="n">
        <v>0</v>
      </c>
      <c r="K437" t="n">
        <v>0</v>
      </c>
      <c r="L437" t="n">
        <v>0</v>
      </c>
      <c r="M437" t="n">
        <v>0</v>
      </c>
      <c r="N437" t="n">
        <v>0</v>
      </c>
      <c r="O437" t="n">
        <v>0</v>
      </c>
      <c r="P437" t="n">
        <v>0</v>
      </c>
      <c r="Q437" t="n">
        <v>0</v>
      </c>
      <c r="R437" s="2" t="inlineStr"/>
    </row>
    <row r="438" ht="15" customHeight="1">
      <c r="A438" t="inlineStr">
        <is>
          <t>A 55603-2019</t>
        </is>
      </c>
      <c r="B438" s="1" t="n">
        <v>43760</v>
      </c>
      <c r="C438" s="1" t="n">
        <v>45845</v>
      </c>
      <c r="D438" t="inlineStr">
        <is>
          <t>VÄSTERNORRLANDS LÄN</t>
        </is>
      </c>
      <c r="E438" t="inlineStr">
        <is>
          <t>SUNDSVALL</t>
        </is>
      </c>
      <c r="G438" t="n">
        <v>13.1</v>
      </c>
      <c r="H438" t="n">
        <v>0</v>
      </c>
      <c r="I438" t="n">
        <v>0</v>
      </c>
      <c r="J438" t="n">
        <v>0</v>
      </c>
      <c r="K438" t="n">
        <v>0</v>
      </c>
      <c r="L438" t="n">
        <v>0</v>
      </c>
      <c r="M438" t="n">
        <v>0</v>
      </c>
      <c r="N438" t="n">
        <v>0</v>
      </c>
      <c r="O438" t="n">
        <v>0</v>
      </c>
      <c r="P438" t="n">
        <v>0</v>
      </c>
      <c r="Q438" t="n">
        <v>0</v>
      </c>
      <c r="R438" s="2" t="inlineStr"/>
    </row>
    <row r="439" ht="15" customHeight="1">
      <c r="A439" t="inlineStr">
        <is>
          <t>A 56016-2019</t>
        </is>
      </c>
      <c r="B439" s="1" t="n">
        <v>43761</v>
      </c>
      <c r="C439" s="1" t="n">
        <v>45845</v>
      </c>
      <c r="D439" t="inlineStr">
        <is>
          <t>VÄSTERNORRLANDS LÄN</t>
        </is>
      </c>
      <c r="E439" t="inlineStr">
        <is>
          <t>SUNDSVALL</t>
        </is>
      </c>
      <c r="G439" t="n">
        <v>7.4</v>
      </c>
      <c r="H439" t="n">
        <v>0</v>
      </c>
      <c r="I439" t="n">
        <v>0</v>
      </c>
      <c r="J439" t="n">
        <v>0</v>
      </c>
      <c r="K439" t="n">
        <v>0</v>
      </c>
      <c r="L439" t="n">
        <v>0</v>
      </c>
      <c r="M439" t="n">
        <v>0</v>
      </c>
      <c r="N439" t="n">
        <v>0</v>
      </c>
      <c r="O439" t="n">
        <v>0</v>
      </c>
      <c r="P439" t="n">
        <v>0</v>
      </c>
      <c r="Q439" t="n">
        <v>0</v>
      </c>
      <c r="R439" s="2" t="inlineStr"/>
    </row>
    <row r="440" ht="15" customHeight="1">
      <c r="A440" t="inlineStr">
        <is>
          <t>A 56071-2019</t>
        </is>
      </c>
      <c r="B440" s="1" t="n">
        <v>43761</v>
      </c>
      <c r="C440" s="1" t="n">
        <v>45845</v>
      </c>
      <c r="D440" t="inlineStr">
        <is>
          <t>VÄSTERNORRLANDS LÄN</t>
        </is>
      </c>
      <c r="E440" t="inlineStr">
        <is>
          <t>SUNDSVALL</t>
        </is>
      </c>
      <c r="G440" t="n">
        <v>12.1</v>
      </c>
      <c r="H440" t="n">
        <v>0</v>
      </c>
      <c r="I440" t="n">
        <v>0</v>
      </c>
      <c r="J440" t="n">
        <v>0</v>
      </c>
      <c r="K440" t="n">
        <v>0</v>
      </c>
      <c r="L440" t="n">
        <v>0</v>
      </c>
      <c r="M440" t="n">
        <v>0</v>
      </c>
      <c r="N440" t="n">
        <v>0</v>
      </c>
      <c r="O440" t="n">
        <v>0</v>
      </c>
      <c r="P440" t="n">
        <v>0</v>
      </c>
      <c r="Q440" t="n">
        <v>0</v>
      </c>
      <c r="R440" s="2" t="inlineStr"/>
    </row>
    <row r="441" ht="15" customHeight="1">
      <c r="A441" t="inlineStr">
        <is>
          <t>A 56180-2019</t>
        </is>
      </c>
      <c r="B441" s="1" t="n">
        <v>43761</v>
      </c>
      <c r="C441" s="1" t="n">
        <v>45845</v>
      </c>
      <c r="D441" t="inlineStr">
        <is>
          <t>VÄSTERNORRLANDS LÄN</t>
        </is>
      </c>
      <c r="E441" t="inlineStr">
        <is>
          <t>SUNDSVALL</t>
        </is>
      </c>
      <c r="G441" t="n">
        <v>2.8</v>
      </c>
      <c r="H441" t="n">
        <v>0</v>
      </c>
      <c r="I441" t="n">
        <v>0</v>
      </c>
      <c r="J441" t="n">
        <v>0</v>
      </c>
      <c r="K441" t="n">
        <v>0</v>
      </c>
      <c r="L441" t="n">
        <v>0</v>
      </c>
      <c r="M441" t="n">
        <v>0</v>
      </c>
      <c r="N441" t="n">
        <v>0</v>
      </c>
      <c r="O441" t="n">
        <v>0</v>
      </c>
      <c r="P441" t="n">
        <v>0</v>
      </c>
      <c r="Q441" t="n">
        <v>0</v>
      </c>
      <c r="R441" s="2" t="inlineStr"/>
    </row>
    <row r="442" ht="15" customHeight="1">
      <c r="A442" t="inlineStr">
        <is>
          <t>A 56185-2019</t>
        </is>
      </c>
      <c r="B442" s="1" t="n">
        <v>43761</v>
      </c>
      <c r="C442" s="1" t="n">
        <v>45845</v>
      </c>
      <c r="D442" t="inlineStr">
        <is>
          <t>VÄSTERNORRLANDS LÄN</t>
        </is>
      </c>
      <c r="E442" t="inlineStr">
        <is>
          <t>SUNDSVALL</t>
        </is>
      </c>
      <c r="G442" t="n">
        <v>5</v>
      </c>
      <c r="H442" t="n">
        <v>0</v>
      </c>
      <c r="I442" t="n">
        <v>0</v>
      </c>
      <c r="J442" t="n">
        <v>0</v>
      </c>
      <c r="K442" t="n">
        <v>0</v>
      </c>
      <c r="L442" t="n">
        <v>0</v>
      </c>
      <c r="M442" t="n">
        <v>0</v>
      </c>
      <c r="N442" t="n">
        <v>0</v>
      </c>
      <c r="O442" t="n">
        <v>0</v>
      </c>
      <c r="P442" t="n">
        <v>0</v>
      </c>
      <c r="Q442" t="n">
        <v>0</v>
      </c>
      <c r="R442" s="2" t="inlineStr"/>
    </row>
    <row r="443" ht="15" customHeight="1">
      <c r="A443" t="inlineStr">
        <is>
          <t>A 56024-2019</t>
        </is>
      </c>
      <c r="B443" s="1" t="n">
        <v>43761</v>
      </c>
      <c r="C443" s="1" t="n">
        <v>45845</v>
      </c>
      <c r="D443" t="inlineStr">
        <is>
          <t>VÄSTERNORRLANDS LÄN</t>
        </is>
      </c>
      <c r="E443" t="inlineStr">
        <is>
          <t>SUNDSVALL</t>
        </is>
      </c>
      <c r="G443" t="n">
        <v>7.6</v>
      </c>
      <c r="H443" t="n">
        <v>0</v>
      </c>
      <c r="I443" t="n">
        <v>0</v>
      </c>
      <c r="J443" t="n">
        <v>0</v>
      </c>
      <c r="K443" t="n">
        <v>0</v>
      </c>
      <c r="L443" t="n">
        <v>0</v>
      </c>
      <c r="M443" t="n">
        <v>0</v>
      </c>
      <c r="N443" t="n">
        <v>0</v>
      </c>
      <c r="O443" t="n">
        <v>0</v>
      </c>
      <c r="P443" t="n">
        <v>0</v>
      </c>
      <c r="Q443" t="n">
        <v>0</v>
      </c>
      <c r="R443" s="2" t="inlineStr"/>
    </row>
    <row r="444" ht="15" customHeight="1">
      <c r="A444" t="inlineStr">
        <is>
          <t>A 56274-2019</t>
        </is>
      </c>
      <c r="B444" s="1" t="n">
        <v>43762</v>
      </c>
      <c r="C444" s="1" t="n">
        <v>45845</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57797-2019</t>
        </is>
      </c>
      <c r="B445" s="1" t="n">
        <v>43762</v>
      </c>
      <c r="C445" s="1" t="n">
        <v>45845</v>
      </c>
      <c r="D445" t="inlineStr">
        <is>
          <t>VÄSTERNORRLANDS LÄN</t>
        </is>
      </c>
      <c r="E445" t="inlineStr">
        <is>
          <t>SUNDSVALL</t>
        </is>
      </c>
      <c r="G445" t="n">
        <v>2</v>
      </c>
      <c r="H445" t="n">
        <v>0</v>
      </c>
      <c r="I445" t="n">
        <v>0</v>
      </c>
      <c r="J445" t="n">
        <v>0</v>
      </c>
      <c r="K445" t="n">
        <v>0</v>
      </c>
      <c r="L445" t="n">
        <v>0</v>
      </c>
      <c r="M445" t="n">
        <v>0</v>
      </c>
      <c r="N445" t="n">
        <v>0</v>
      </c>
      <c r="O445" t="n">
        <v>0</v>
      </c>
      <c r="P445" t="n">
        <v>0</v>
      </c>
      <c r="Q445" t="n">
        <v>0</v>
      </c>
      <c r="R445" s="2" t="inlineStr"/>
    </row>
    <row r="446" ht="15" customHeight="1">
      <c r="A446" t="inlineStr">
        <is>
          <t>A 57758-2019</t>
        </is>
      </c>
      <c r="B446" s="1" t="n">
        <v>43762</v>
      </c>
      <c r="C446" s="1" t="n">
        <v>45845</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56534-2019</t>
        </is>
      </c>
      <c r="B447" s="1" t="n">
        <v>43763</v>
      </c>
      <c r="C447" s="1" t="n">
        <v>45845</v>
      </c>
      <c r="D447" t="inlineStr">
        <is>
          <t>VÄSTERNORRLANDS LÄN</t>
        </is>
      </c>
      <c r="E447" t="inlineStr">
        <is>
          <t>SUNDSVALL</t>
        </is>
      </c>
      <c r="G447" t="n">
        <v>3.6</v>
      </c>
      <c r="H447" t="n">
        <v>0</v>
      </c>
      <c r="I447" t="n">
        <v>0</v>
      </c>
      <c r="J447" t="n">
        <v>0</v>
      </c>
      <c r="K447" t="n">
        <v>0</v>
      </c>
      <c r="L447" t="n">
        <v>0</v>
      </c>
      <c r="M447" t="n">
        <v>0</v>
      </c>
      <c r="N447" t="n">
        <v>0</v>
      </c>
      <c r="O447" t="n">
        <v>0</v>
      </c>
      <c r="P447" t="n">
        <v>0</v>
      </c>
      <c r="Q447" t="n">
        <v>0</v>
      </c>
      <c r="R447" s="2" t="inlineStr"/>
    </row>
    <row r="448" ht="15" customHeight="1">
      <c r="A448" t="inlineStr">
        <is>
          <t>A 57177-2019</t>
        </is>
      </c>
      <c r="B448" s="1" t="n">
        <v>43766</v>
      </c>
      <c r="C448" s="1" t="n">
        <v>45845</v>
      </c>
      <c r="D448" t="inlineStr">
        <is>
          <t>VÄSTERNORRLANDS LÄN</t>
        </is>
      </c>
      <c r="E448" t="inlineStr">
        <is>
          <t>SUNDSVALL</t>
        </is>
      </c>
      <c r="G448" t="n">
        <v>2.2</v>
      </c>
      <c r="H448" t="n">
        <v>0</v>
      </c>
      <c r="I448" t="n">
        <v>0</v>
      </c>
      <c r="J448" t="n">
        <v>0</v>
      </c>
      <c r="K448" t="n">
        <v>0</v>
      </c>
      <c r="L448" t="n">
        <v>0</v>
      </c>
      <c r="M448" t="n">
        <v>0</v>
      </c>
      <c r="N448" t="n">
        <v>0</v>
      </c>
      <c r="O448" t="n">
        <v>0</v>
      </c>
      <c r="P448" t="n">
        <v>0</v>
      </c>
      <c r="Q448" t="n">
        <v>0</v>
      </c>
      <c r="R448" s="2" t="inlineStr"/>
    </row>
    <row r="449" ht="15" customHeight="1">
      <c r="A449" t="inlineStr">
        <is>
          <t>A 57175-2019</t>
        </is>
      </c>
      <c r="B449" s="1" t="n">
        <v>43766</v>
      </c>
      <c r="C449" s="1" t="n">
        <v>45845</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57180-2019</t>
        </is>
      </c>
      <c r="B450" s="1" t="n">
        <v>43766</v>
      </c>
      <c r="C450" s="1" t="n">
        <v>45845</v>
      </c>
      <c r="D450" t="inlineStr">
        <is>
          <t>VÄSTERNORRLANDS LÄN</t>
        </is>
      </c>
      <c r="E450" t="inlineStr">
        <is>
          <t>SUNDSVALL</t>
        </is>
      </c>
      <c r="G450" t="n">
        <v>3.4</v>
      </c>
      <c r="H450" t="n">
        <v>0</v>
      </c>
      <c r="I450" t="n">
        <v>0</v>
      </c>
      <c r="J450" t="n">
        <v>0</v>
      </c>
      <c r="K450" t="n">
        <v>0</v>
      </c>
      <c r="L450" t="n">
        <v>0</v>
      </c>
      <c r="M450" t="n">
        <v>0</v>
      </c>
      <c r="N450" t="n">
        <v>0</v>
      </c>
      <c r="O450" t="n">
        <v>0</v>
      </c>
      <c r="P450" t="n">
        <v>0</v>
      </c>
      <c r="Q450" t="n">
        <v>0</v>
      </c>
      <c r="R450" s="2" t="inlineStr"/>
    </row>
    <row r="451" ht="15" customHeight="1">
      <c r="A451" t="inlineStr">
        <is>
          <t>A 57866-2019</t>
        </is>
      </c>
      <c r="B451" s="1" t="n">
        <v>43768</v>
      </c>
      <c r="C451" s="1" t="n">
        <v>45845</v>
      </c>
      <c r="D451" t="inlineStr">
        <is>
          <t>VÄSTERNORRLANDS LÄN</t>
        </is>
      </c>
      <c r="E451" t="inlineStr">
        <is>
          <t>SUNDSVALL</t>
        </is>
      </c>
      <c r="G451" t="n">
        <v>3.3</v>
      </c>
      <c r="H451" t="n">
        <v>0</v>
      </c>
      <c r="I451" t="n">
        <v>0</v>
      </c>
      <c r="J451" t="n">
        <v>0</v>
      </c>
      <c r="K451" t="n">
        <v>0</v>
      </c>
      <c r="L451" t="n">
        <v>0</v>
      </c>
      <c r="M451" t="n">
        <v>0</v>
      </c>
      <c r="N451" t="n">
        <v>0</v>
      </c>
      <c r="O451" t="n">
        <v>0</v>
      </c>
      <c r="P451" t="n">
        <v>0</v>
      </c>
      <c r="Q451" t="n">
        <v>0</v>
      </c>
      <c r="R451" s="2" t="inlineStr"/>
    </row>
    <row r="452" ht="15" customHeight="1">
      <c r="A452" t="inlineStr">
        <is>
          <t>A 58171-2019</t>
        </is>
      </c>
      <c r="B452" s="1" t="n">
        <v>43769</v>
      </c>
      <c r="C452" s="1" t="n">
        <v>45845</v>
      </c>
      <c r="D452" t="inlineStr">
        <is>
          <t>VÄSTERNORRLANDS LÄN</t>
        </is>
      </c>
      <c r="E452" t="inlineStr">
        <is>
          <t>SUNDSVALL</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59523-2019</t>
        </is>
      </c>
      <c r="B453" s="1" t="n">
        <v>43773</v>
      </c>
      <c r="C453" s="1" t="n">
        <v>45845</v>
      </c>
      <c r="D453" t="inlineStr">
        <is>
          <t>VÄSTERNORRLANDS LÄN</t>
        </is>
      </c>
      <c r="E453" t="inlineStr">
        <is>
          <t>SUNDSVALL</t>
        </is>
      </c>
      <c r="F453" t="inlineStr">
        <is>
          <t>Kyrkan</t>
        </is>
      </c>
      <c r="G453" t="n">
        <v>16.6</v>
      </c>
      <c r="H453" t="n">
        <v>0</v>
      </c>
      <c r="I453" t="n">
        <v>0</v>
      </c>
      <c r="J453" t="n">
        <v>0</v>
      </c>
      <c r="K453" t="n">
        <v>0</v>
      </c>
      <c r="L453" t="n">
        <v>0</v>
      </c>
      <c r="M453" t="n">
        <v>0</v>
      </c>
      <c r="N453" t="n">
        <v>0</v>
      </c>
      <c r="O453" t="n">
        <v>0</v>
      </c>
      <c r="P453" t="n">
        <v>0</v>
      </c>
      <c r="Q453" t="n">
        <v>0</v>
      </c>
      <c r="R453" s="2" t="inlineStr"/>
    </row>
    <row r="454" ht="15" customHeight="1">
      <c r="A454" t="inlineStr">
        <is>
          <t>A 58866-2019</t>
        </is>
      </c>
      <c r="B454" s="1" t="n">
        <v>43774</v>
      </c>
      <c r="C454" s="1" t="n">
        <v>45845</v>
      </c>
      <c r="D454" t="inlineStr">
        <is>
          <t>VÄSTERNORRLANDS LÄN</t>
        </is>
      </c>
      <c r="E454" t="inlineStr">
        <is>
          <t>SUNDSVALL</t>
        </is>
      </c>
      <c r="G454" t="n">
        <v>7.8</v>
      </c>
      <c r="H454" t="n">
        <v>0</v>
      </c>
      <c r="I454" t="n">
        <v>0</v>
      </c>
      <c r="J454" t="n">
        <v>0</v>
      </c>
      <c r="K454" t="n">
        <v>0</v>
      </c>
      <c r="L454" t="n">
        <v>0</v>
      </c>
      <c r="M454" t="n">
        <v>0</v>
      </c>
      <c r="N454" t="n">
        <v>0</v>
      </c>
      <c r="O454" t="n">
        <v>0</v>
      </c>
      <c r="P454" t="n">
        <v>0</v>
      </c>
      <c r="Q454" t="n">
        <v>0</v>
      </c>
      <c r="R454" s="2" t="inlineStr"/>
    </row>
    <row r="455" ht="15" customHeight="1">
      <c r="A455" t="inlineStr">
        <is>
          <t>A 59770-2019</t>
        </is>
      </c>
      <c r="B455" s="1" t="n">
        <v>43776</v>
      </c>
      <c r="C455" s="1" t="n">
        <v>45845</v>
      </c>
      <c r="D455" t="inlineStr">
        <is>
          <t>VÄSTERNORRLANDS LÄN</t>
        </is>
      </c>
      <c r="E455" t="inlineStr">
        <is>
          <t>SUNDSVALL</t>
        </is>
      </c>
      <c r="G455" t="n">
        <v>3.6</v>
      </c>
      <c r="H455" t="n">
        <v>0</v>
      </c>
      <c r="I455" t="n">
        <v>0</v>
      </c>
      <c r="J455" t="n">
        <v>0</v>
      </c>
      <c r="K455" t="n">
        <v>0</v>
      </c>
      <c r="L455" t="n">
        <v>0</v>
      </c>
      <c r="M455" t="n">
        <v>0</v>
      </c>
      <c r="N455" t="n">
        <v>0</v>
      </c>
      <c r="O455" t="n">
        <v>0</v>
      </c>
      <c r="P455" t="n">
        <v>0</v>
      </c>
      <c r="Q455" t="n">
        <v>0</v>
      </c>
      <c r="R455" s="2" t="inlineStr"/>
    </row>
    <row r="456" ht="15" customHeight="1">
      <c r="A456" t="inlineStr">
        <is>
          <t>A 59771-2019</t>
        </is>
      </c>
      <c r="B456" s="1" t="n">
        <v>43776</v>
      </c>
      <c r="C456" s="1" t="n">
        <v>45845</v>
      </c>
      <c r="D456" t="inlineStr">
        <is>
          <t>VÄSTERNORRLANDS LÄN</t>
        </is>
      </c>
      <c r="E456" t="inlineStr">
        <is>
          <t>SUNDSVALL</t>
        </is>
      </c>
      <c r="G456" t="n">
        <v>1</v>
      </c>
      <c r="H456" t="n">
        <v>0</v>
      </c>
      <c r="I456" t="n">
        <v>0</v>
      </c>
      <c r="J456" t="n">
        <v>0</v>
      </c>
      <c r="K456" t="n">
        <v>0</v>
      </c>
      <c r="L456" t="n">
        <v>0</v>
      </c>
      <c r="M456" t="n">
        <v>0</v>
      </c>
      <c r="N456" t="n">
        <v>0</v>
      </c>
      <c r="O456" t="n">
        <v>0</v>
      </c>
      <c r="P456" t="n">
        <v>0</v>
      </c>
      <c r="Q456" t="n">
        <v>0</v>
      </c>
      <c r="R456" s="2" t="inlineStr"/>
    </row>
    <row r="457" ht="15" customHeight="1">
      <c r="A457" t="inlineStr">
        <is>
          <t>A 59772-2019</t>
        </is>
      </c>
      <c r="B457" s="1" t="n">
        <v>43776</v>
      </c>
      <c r="C457" s="1" t="n">
        <v>45845</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60115-2019</t>
        </is>
      </c>
      <c r="B458" s="1" t="n">
        <v>43777</v>
      </c>
      <c r="C458" s="1" t="n">
        <v>45845</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60341-2019</t>
        </is>
      </c>
      <c r="B459" s="1" t="n">
        <v>43780</v>
      </c>
      <c r="C459" s="1" t="n">
        <v>45845</v>
      </c>
      <c r="D459" t="inlineStr">
        <is>
          <t>VÄSTERNORRLANDS LÄN</t>
        </is>
      </c>
      <c r="E459" t="inlineStr">
        <is>
          <t>SUNDSVALL</t>
        </is>
      </c>
      <c r="G459" t="n">
        <v>5</v>
      </c>
      <c r="H459" t="n">
        <v>0</v>
      </c>
      <c r="I459" t="n">
        <v>0</v>
      </c>
      <c r="J459" t="n">
        <v>0</v>
      </c>
      <c r="K459" t="n">
        <v>0</v>
      </c>
      <c r="L459" t="n">
        <v>0</v>
      </c>
      <c r="M459" t="n">
        <v>0</v>
      </c>
      <c r="N459" t="n">
        <v>0</v>
      </c>
      <c r="O459" t="n">
        <v>0</v>
      </c>
      <c r="P459" t="n">
        <v>0</v>
      </c>
      <c r="Q459" t="n">
        <v>0</v>
      </c>
      <c r="R459" s="2" t="inlineStr"/>
    </row>
    <row r="460" ht="15" customHeight="1">
      <c r="A460" t="inlineStr">
        <is>
          <t>A 60588-2019</t>
        </is>
      </c>
      <c r="B460" s="1" t="n">
        <v>43781</v>
      </c>
      <c r="C460" s="1" t="n">
        <v>45845</v>
      </c>
      <c r="D460" t="inlineStr">
        <is>
          <t>VÄSTERNORRLANDS LÄN</t>
        </is>
      </c>
      <c r="E460" t="inlineStr">
        <is>
          <t>SUNDSVALL</t>
        </is>
      </c>
      <c r="G460" t="n">
        <v>5.4</v>
      </c>
      <c r="H460" t="n">
        <v>0</v>
      </c>
      <c r="I460" t="n">
        <v>0</v>
      </c>
      <c r="J460" t="n">
        <v>0</v>
      </c>
      <c r="K460" t="n">
        <v>0</v>
      </c>
      <c r="L460" t="n">
        <v>0</v>
      </c>
      <c r="M460" t="n">
        <v>0</v>
      </c>
      <c r="N460" t="n">
        <v>0</v>
      </c>
      <c r="O460" t="n">
        <v>0</v>
      </c>
      <c r="P460" t="n">
        <v>0</v>
      </c>
      <c r="Q460" t="n">
        <v>0</v>
      </c>
      <c r="R460" s="2" t="inlineStr"/>
    </row>
    <row r="461" ht="15" customHeight="1">
      <c r="A461" t="inlineStr">
        <is>
          <t>A 61197-2019</t>
        </is>
      </c>
      <c r="B461" s="1" t="n">
        <v>43782</v>
      </c>
      <c r="C461" s="1" t="n">
        <v>45845</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61966-2019</t>
        </is>
      </c>
      <c r="B462" s="1" t="n">
        <v>43787</v>
      </c>
      <c r="C462" s="1" t="n">
        <v>45845</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62715-2019</t>
        </is>
      </c>
      <c r="B463" s="1" t="n">
        <v>43789</v>
      </c>
      <c r="C463" s="1" t="n">
        <v>45845</v>
      </c>
      <c r="D463" t="inlineStr">
        <is>
          <t>VÄSTERNORRLANDS LÄN</t>
        </is>
      </c>
      <c r="E463" t="inlineStr">
        <is>
          <t>SUNDSVALL</t>
        </is>
      </c>
      <c r="G463" t="n">
        <v>1.9</v>
      </c>
      <c r="H463" t="n">
        <v>0</v>
      </c>
      <c r="I463" t="n">
        <v>0</v>
      </c>
      <c r="J463" t="n">
        <v>0</v>
      </c>
      <c r="K463" t="n">
        <v>0</v>
      </c>
      <c r="L463" t="n">
        <v>0</v>
      </c>
      <c r="M463" t="n">
        <v>0</v>
      </c>
      <c r="N463" t="n">
        <v>0</v>
      </c>
      <c r="O463" t="n">
        <v>0</v>
      </c>
      <c r="P463" t="n">
        <v>0</v>
      </c>
      <c r="Q463" t="n">
        <v>0</v>
      </c>
      <c r="R463" s="2" t="inlineStr"/>
    </row>
    <row r="464" ht="15" customHeight="1">
      <c r="A464" t="inlineStr">
        <is>
          <t>A 62833-2019</t>
        </is>
      </c>
      <c r="B464" s="1" t="n">
        <v>43790</v>
      </c>
      <c r="C464" s="1" t="n">
        <v>45845</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62826-2019</t>
        </is>
      </c>
      <c r="B465" s="1" t="n">
        <v>43790</v>
      </c>
      <c r="C465" s="1" t="n">
        <v>45845</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63007-2019</t>
        </is>
      </c>
      <c r="B466" s="1" t="n">
        <v>43790</v>
      </c>
      <c r="C466" s="1" t="n">
        <v>45845</v>
      </c>
      <c r="D466" t="inlineStr">
        <is>
          <t>VÄSTERNORRLANDS LÄN</t>
        </is>
      </c>
      <c r="E466" t="inlineStr">
        <is>
          <t>SUNDSVALL</t>
        </is>
      </c>
      <c r="F466" t="inlineStr">
        <is>
          <t>Naturvårdsverket</t>
        </is>
      </c>
      <c r="G466" t="n">
        <v>23.6</v>
      </c>
      <c r="H466" t="n">
        <v>0</v>
      </c>
      <c r="I466" t="n">
        <v>0</v>
      </c>
      <c r="J466" t="n">
        <v>0</v>
      </c>
      <c r="K466" t="n">
        <v>0</v>
      </c>
      <c r="L466" t="n">
        <v>0</v>
      </c>
      <c r="M466" t="n">
        <v>0</v>
      </c>
      <c r="N466" t="n">
        <v>0</v>
      </c>
      <c r="O466" t="n">
        <v>0</v>
      </c>
      <c r="P466" t="n">
        <v>0</v>
      </c>
      <c r="Q466" t="n">
        <v>0</v>
      </c>
      <c r="R466" s="2" t="inlineStr"/>
    </row>
    <row r="467" ht="15" customHeight="1">
      <c r="A467" t="inlineStr">
        <is>
          <t>A 63175-2019</t>
        </is>
      </c>
      <c r="B467" s="1" t="n">
        <v>43791</v>
      </c>
      <c r="C467" s="1" t="n">
        <v>45845</v>
      </c>
      <c r="D467" t="inlineStr">
        <is>
          <t>VÄSTERNORRLANDS LÄN</t>
        </is>
      </c>
      <c r="E467" t="inlineStr">
        <is>
          <t>SUNDSVALL</t>
        </is>
      </c>
      <c r="G467" t="n">
        <v>1.5</v>
      </c>
      <c r="H467" t="n">
        <v>0</v>
      </c>
      <c r="I467" t="n">
        <v>0</v>
      </c>
      <c r="J467" t="n">
        <v>0</v>
      </c>
      <c r="K467" t="n">
        <v>0</v>
      </c>
      <c r="L467" t="n">
        <v>0</v>
      </c>
      <c r="M467" t="n">
        <v>0</v>
      </c>
      <c r="N467" t="n">
        <v>0</v>
      </c>
      <c r="O467" t="n">
        <v>0</v>
      </c>
      <c r="P467" t="n">
        <v>0</v>
      </c>
      <c r="Q467" t="n">
        <v>0</v>
      </c>
      <c r="R467" s="2" t="inlineStr"/>
    </row>
    <row r="468" ht="15" customHeight="1">
      <c r="A468" t="inlineStr">
        <is>
          <t>A 63111-2019</t>
        </is>
      </c>
      <c r="B468" s="1" t="n">
        <v>43791</v>
      </c>
      <c r="C468" s="1" t="n">
        <v>45845</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63315-2019</t>
        </is>
      </c>
      <c r="B469" s="1" t="n">
        <v>43794</v>
      </c>
      <c r="C469" s="1" t="n">
        <v>45845</v>
      </c>
      <c r="D469" t="inlineStr">
        <is>
          <t>VÄSTERNORRLANDS LÄN</t>
        </is>
      </c>
      <c r="E469" t="inlineStr">
        <is>
          <t>SUNDSVALL</t>
        </is>
      </c>
      <c r="G469" t="n">
        <v>2.9</v>
      </c>
      <c r="H469" t="n">
        <v>0</v>
      </c>
      <c r="I469" t="n">
        <v>0</v>
      </c>
      <c r="J469" t="n">
        <v>0</v>
      </c>
      <c r="K469" t="n">
        <v>0</v>
      </c>
      <c r="L469" t="n">
        <v>0</v>
      </c>
      <c r="M469" t="n">
        <v>0</v>
      </c>
      <c r="N469" t="n">
        <v>0</v>
      </c>
      <c r="O469" t="n">
        <v>0</v>
      </c>
      <c r="P469" t="n">
        <v>0</v>
      </c>
      <c r="Q469" t="n">
        <v>0</v>
      </c>
      <c r="R469" s="2" t="inlineStr"/>
    </row>
    <row r="470" ht="15" customHeight="1">
      <c r="A470" t="inlineStr">
        <is>
          <t>A 63427-2019</t>
        </is>
      </c>
      <c r="B470" s="1" t="n">
        <v>43794</v>
      </c>
      <c r="C470" s="1" t="n">
        <v>45845</v>
      </c>
      <c r="D470" t="inlineStr">
        <is>
          <t>VÄSTERNORRLANDS LÄN</t>
        </is>
      </c>
      <c r="E470" t="inlineStr">
        <is>
          <t>SUNDSVALL</t>
        </is>
      </c>
      <c r="G470" t="n">
        <v>0.7</v>
      </c>
      <c r="H470" t="n">
        <v>0</v>
      </c>
      <c r="I470" t="n">
        <v>0</v>
      </c>
      <c r="J470" t="n">
        <v>0</v>
      </c>
      <c r="K470" t="n">
        <v>0</v>
      </c>
      <c r="L470" t="n">
        <v>0</v>
      </c>
      <c r="M470" t="n">
        <v>0</v>
      </c>
      <c r="N470" t="n">
        <v>0</v>
      </c>
      <c r="O470" t="n">
        <v>0</v>
      </c>
      <c r="P470" t="n">
        <v>0</v>
      </c>
      <c r="Q470" t="n">
        <v>0</v>
      </c>
      <c r="R470" s="2" t="inlineStr"/>
    </row>
    <row r="471" ht="15" customHeight="1">
      <c r="A471" t="inlineStr">
        <is>
          <t>A 64130-2019</t>
        </is>
      </c>
      <c r="B471" s="1" t="n">
        <v>43796</v>
      </c>
      <c r="C471" s="1" t="n">
        <v>45845</v>
      </c>
      <c r="D471" t="inlineStr">
        <is>
          <t>VÄSTERNORRLANDS LÄN</t>
        </is>
      </c>
      <c r="E471" t="inlineStr">
        <is>
          <t>SUNDSVALL</t>
        </is>
      </c>
      <c r="G471" t="n">
        <v>2.2</v>
      </c>
      <c r="H471" t="n">
        <v>0</v>
      </c>
      <c r="I471" t="n">
        <v>0</v>
      </c>
      <c r="J471" t="n">
        <v>0</v>
      </c>
      <c r="K471" t="n">
        <v>0</v>
      </c>
      <c r="L471" t="n">
        <v>0</v>
      </c>
      <c r="M471" t="n">
        <v>0</v>
      </c>
      <c r="N471" t="n">
        <v>0</v>
      </c>
      <c r="O471" t="n">
        <v>0</v>
      </c>
      <c r="P471" t="n">
        <v>0</v>
      </c>
      <c r="Q471" t="n">
        <v>0</v>
      </c>
      <c r="R471" s="2" t="inlineStr"/>
    </row>
    <row r="472" ht="15" customHeight="1">
      <c r="A472" t="inlineStr">
        <is>
          <t>A 64245-2019</t>
        </is>
      </c>
      <c r="B472" s="1" t="n">
        <v>43797</v>
      </c>
      <c r="C472" s="1" t="n">
        <v>45845</v>
      </c>
      <c r="D472" t="inlineStr">
        <is>
          <t>VÄSTERNORRLANDS LÄN</t>
        </is>
      </c>
      <c r="E472" t="inlineStr">
        <is>
          <t>SUNDSVALL</t>
        </is>
      </c>
      <c r="G472" t="n">
        <v>4.5</v>
      </c>
      <c r="H472" t="n">
        <v>0</v>
      </c>
      <c r="I472" t="n">
        <v>0</v>
      </c>
      <c r="J472" t="n">
        <v>0</v>
      </c>
      <c r="K472" t="n">
        <v>0</v>
      </c>
      <c r="L472" t="n">
        <v>0</v>
      </c>
      <c r="M472" t="n">
        <v>0</v>
      </c>
      <c r="N472" t="n">
        <v>0</v>
      </c>
      <c r="O472" t="n">
        <v>0</v>
      </c>
      <c r="P472" t="n">
        <v>0</v>
      </c>
      <c r="Q472" t="n">
        <v>0</v>
      </c>
      <c r="R472" s="2" t="inlineStr"/>
    </row>
    <row r="473" ht="15" customHeight="1">
      <c r="A473" t="inlineStr">
        <is>
          <t>A 64405-2019</t>
        </is>
      </c>
      <c r="B473" s="1" t="n">
        <v>43797</v>
      </c>
      <c r="C473" s="1" t="n">
        <v>45845</v>
      </c>
      <c r="D473" t="inlineStr">
        <is>
          <t>VÄSTERNORRLANDS LÄN</t>
        </is>
      </c>
      <c r="E473" t="inlineStr">
        <is>
          <t>SUNDSVALL</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64473-2019</t>
        </is>
      </c>
      <c r="B474" s="1" t="n">
        <v>43797</v>
      </c>
      <c r="C474" s="1" t="n">
        <v>45845</v>
      </c>
      <c r="D474" t="inlineStr">
        <is>
          <t>VÄSTERNORRLANDS LÄN</t>
        </is>
      </c>
      <c r="E474" t="inlineStr">
        <is>
          <t>SUNDSVALL</t>
        </is>
      </c>
      <c r="G474" t="n">
        <v>3.3</v>
      </c>
      <c r="H474" t="n">
        <v>0</v>
      </c>
      <c r="I474" t="n">
        <v>0</v>
      </c>
      <c r="J474" t="n">
        <v>0</v>
      </c>
      <c r="K474" t="n">
        <v>0</v>
      </c>
      <c r="L474" t="n">
        <v>0</v>
      </c>
      <c r="M474" t="n">
        <v>0</v>
      </c>
      <c r="N474" t="n">
        <v>0</v>
      </c>
      <c r="O474" t="n">
        <v>0</v>
      </c>
      <c r="P474" t="n">
        <v>0</v>
      </c>
      <c r="Q474" t="n">
        <v>0</v>
      </c>
      <c r="R474" s="2" t="inlineStr"/>
    </row>
    <row r="475" ht="15" customHeight="1">
      <c r="A475" t="inlineStr">
        <is>
          <t>A 64474-2019</t>
        </is>
      </c>
      <c r="B475" s="1" t="n">
        <v>43797</v>
      </c>
      <c r="C475" s="1" t="n">
        <v>45845</v>
      </c>
      <c r="D475" t="inlineStr">
        <is>
          <t>VÄSTERNORRLANDS LÄN</t>
        </is>
      </c>
      <c r="E475" t="inlineStr">
        <is>
          <t>SUNDSVALL</t>
        </is>
      </c>
      <c r="G475" t="n">
        <v>1.1</v>
      </c>
      <c r="H475" t="n">
        <v>0</v>
      </c>
      <c r="I475" t="n">
        <v>0</v>
      </c>
      <c r="J475" t="n">
        <v>0</v>
      </c>
      <c r="K475" t="n">
        <v>0</v>
      </c>
      <c r="L475" t="n">
        <v>0</v>
      </c>
      <c r="M475" t="n">
        <v>0</v>
      </c>
      <c r="N475" t="n">
        <v>0</v>
      </c>
      <c r="O475" t="n">
        <v>0</v>
      </c>
      <c r="P475" t="n">
        <v>0</v>
      </c>
      <c r="Q475" t="n">
        <v>0</v>
      </c>
      <c r="R475" s="2" t="inlineStr"/>
    </row>
    <row r="476" ht="15" customHeight="1">
      <c r="A476" t="inlineStr">
        <is>
          <t>A 64558-2019</t>
        </is>
      </c>
      <c r="B476" s="1" t="n">
        <v>43798</v>
      </c>
      <c r="C476" s="1" t="n">
        <v>45845</v>
      </c>
      <c r="D476" t="inlineStr">
        <is>
          <t>VÄSTERNORRLANDS LÄN</t>
        </is>
      </c>
      <c r="E476" t="inlineStr">
        <is>
          <t>SUNDSVALL</t>
        </is>
      </c>
      <c r="G476" t="n">
        <v>3.1</v>
      </c>
      <c r="H476" t="n">
        <v>0</v>
      </c>
      <c r="I476" t="n">
        <v>0</v>
      </c>
      <c r="J476" t="n">
        <v>0</v>
      </c>
      <c r="K476" t="n">
        <v>0</v>
      </c>
      <c r="L476" t="n">
        <v>0</v>
      </c>
      <c r="M476" t="n">
        <v>0</v>
      </c>
      <c r="N476" t="n">
        <v>0</v>
      </c>
      <c r="O476" t="n">
        <v>0</v>
      </c>
      <c r="P476" t="n">
        <v>0</v>
      </c>
      <c r="Q476" t="n">
        <v>0</v>
      </c>
      <c r="R476" s="2" t="inlineStr"/>
    </row>
    <row r="477" ht="15" customHeight="1">
      <c r="A477" t="inlineStr">
        <is>
          <t>A 65039-2019</t>
        </is>
      </c>
      <c r="B477" s="1" t="n">
        <v>43801</v>
      </c>
      <c r="C477" s="1" t="n">
        <v>45845</v>
      </c>
      <c r="D477" t="inlineStr">
        <is>
          <t>VÄSTERNORRLANDS LÄN</t>
        </is>
      </c>
      <c r="E477" t="inlineStr">
        <is>
          <t>SUNDSVALL</t>
        </is>
      </c>
      <c r="G477" t="n">
        <v>4</v>
      </c>
      <c r="H477" t="n">
        <v>0</v>
      </c>
      <c r="I477" t="n">
        <v>0</v>
      </c>
      <c r="J477" t="n">
        <v>0</v>
      </c>
      <c r="K477" t="n">
        <v>0</v>
      </c>
      <c r="L477" t="n">
        <v>0</v>
      </c>
      <c r="M477" t="n">
        <v>0</v>
      </c>
      <c r="N477" t="n">
        <v>0</v>
      </c>
      <c r="O477" t="n">
        <v>0</v>
      </c>
      <c r="P477" t="n">
        <v>0</v>
      </c>
      <c r="Q477" t="n">
        <v>0</v>
      </c>
      <c r="R477" s="2" t="inlineStr"/>
    </row>
    <row r="478" ht="15" customHeight="1">
      <c r="A478" t="inlineStr">
        <is>
          <t>A 65030-2019</t>
        </is>
      </c>
      <c r="B478" s="1" t="n">
        <v>43801</v>
      </c>
      <c r="C478" s="1" t="n">
        <v>45845</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66000-2019</t>
        </is>
      </c>
      <c r="B479" s="1" t="n">
        <v>43801</v>
      </c>
      <c r="C479" s="1" t="n">
        <v>45845</v>
      </c>
      <c r="D479" t="inlineStr">
        <is>
          <t>VÄSTERNORRLANDS LÄN</t>
        </is>
      </c>
      <c r="E479" t="inlineStr">
        <is>
          <t>SUNDSVALL</t>
        </is>
      </c>
      <c r="F479" t="inlineStr">
        <is>
          <t>Övriga statliga verk och myndigheter</t>
        </is>
      </c>
      <c r="G479" t="n">
        <v>1.8</v>
      </c>
      <c r="H479" t="n">
        <v>0</v>
      </c>
      <c r="I479" t="n">
        <v>0</v>
      </c>
      <c r="J479" t="n">
        <v>0</v>
      </c>
      <c r="K479" t="n">
        <v>0</v>
      </c>
      <c r="L479" t="n">
        <v>0</v>
      </c>
      <c r="M479" t="n">
        <v>0</v>
      </c>
      <c r="N479" t="n">
        <v>0</v>
      </c>
      <c r="O479" t="n">
        <v>0</v>
      </c>
      <c r="P479" t="n">
        <v>0</v>
      </c>
      <c r="Q479" t="n">
        <v>0</v>
      </c>
      <c r="R479" s="2" t="inlineStr"/>
    </row>
    <row r="480" ht="15" customHeight="1">
      <c r="A480" t="inlineStr">
        <is>
          <t>A 65458-2019</t>
        </is>
      </c>
      <c r="B480" s="1" t="n">
        <v>43803</v>
      </c>
      <c r="C480" s="1" t="n">
        <v>45845</v>
      </c>
      <c r="D480" t="inlineStr">
        <is>
          <t>VÄSTERNORRLANDS LÄN</t>
        </is>
      </c>
      <c r="E480" t="inlineStr">
        <is>
          <t>SUNDSVALL</t>
        </is>
      </c>
      <c r="G480" t="n">
        <v>5</v>
      </c>
      <c r="H480" t="n">
        <v>0</v>
      </c>
      <c r="I480" t="n">
        <v>0</v>
      </c>
      <c r="J480" t="n">
        <v>0</v>
      </c>
      <c r="K480" t="n">
        <v>0</v>
      </c>
      <c r="L480" t="n">
        <v>0</v>
      </c>
      <c r="M480" t="n">
        <v>0</v>
      </c>
      <c r="N480" t="n">
        <v>0</v>
      </c>
      <c r="O480" t="n">
        <v>0</v>
      </c>
      <c r="P480" t="n">
        <v>0</v>
      </c>
      <c r="Q480" t="n">
        <v>0</v>
      </c>
      <c r="R480" s="2" t="inlineStr"/>
    </row>
    <row r="481" ht="15" customHeight="1">
      <c r="A481" t="inlineStr">
        <is>
          <t>A 65919-2019</t>
        </is>
      </c>
      <c r="B481" s="1" t="n">
        <v>43804</v>
      </c>
      <c r="C481" s="1" t="n">
        <v>45845</v>
      </c>
      <c r="D481" t="inlineStr">
        <is>
          <t>VÄSTERNORRLANDS LÄN</t>
        </is>
      </c>
      <c r="E481" t="inlineStr">
        <is>
          <t>SUNDSVALL</t>
        </is>
      </c>
      <c r="G481" t="n">
        <v>2</v>
      </c>
      <c r="H481" t="n">
        <v>0</v>
      </c>
      <c r="I481" t="n">
        <v>0</v>
      </c>
      <c r="J481" t="n">
        <v>0</v>
      </c>
      <c r="K481" t="n">
        <v>0</v>
      </c>
      <c r="L481" t="n">
        <v>0</v>
      </c>
      <c r="M481" t="n">
        <v>0</v>
      </c>
      <c r="N481" t="n">
        <v>0</v>
      </c>
      <c r="O481" t="n">
        <v>0</v>
      </c>
      <c r="P481" t="n">
        <v>0</v>
      </c>
      <c r="Q481" t="n">
        <v>0</v>
      </c>
      <c r="R481" s="2" t="inlineStr"/>
    </row>
    <row r="482" ht="15" customHeight="1">
      <c r="A482" t="inlineStr">
        <is>
          <t>A 66704-2019</t>
        </is>
      </c>
      <c r="B482" s="1" t="n">
        <v>43809</v>
      </c>
      <c r="C482" s="1" t="n">
        <v>45845</v>
      </c>
      <c r="D482" t="inlineStr">
        <is>
          <t>VÄSTERNORRLANDS LÄN</t>
        </is>
      </c>
      <c r="E482" t="inlineStr">
        <is>
          <t>SUNDSVALL</t>
        </is>
      </c>
      <c r="F482" t="inlineStr">
        <is>
          <t>Naturvårdsverket</t>
        </is>
      </c>
      <c r="G482" t="n">
        <v>3.7</v>
      </c>
      <c r="H482" t="n">
        <v>0</v>
      </c>
      <c r="I482" t="n">
        <v>0</v>
      </c>
      <c r="J482" t="n">
        <v>0</v>
      </c>
      <c r="K482" t="n">
        <v>0</v>
      </c>
      <c r="L482" t="n">
        <v>0</v>
      </c>
      <c r="M482" t="n">
        <v>0</v>
      </c>
      <c r="N482" t="n">
        <v>0</v>
      </c>
      <c r="O482" t="n">
        <v>0</v>
      </c>
      <c r="P482" t="n">
        <v>0</v>
      </c>
      <c r="Q482" t="n">
        <v>0</v>
      </c>
      <c r="R482" s="2" t="inlineStr"/>
    </row>
    <row r="483" ht="15" customHeight="1">
      <c r="A483" t="inlineStr">
        <is>
          <t>A 66699-2019</t>
        </is>
      </c>
      <c r="B483" s="1" t="n">
        <v>43809</v>
      </c>
      <c r="C483" s="1" t="n">
        <v>45845</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66707-2019</t>
        </is>
      </c>
      <c r="B484" s="1" t="n">
        <v>43809</v>
      </c>
      <c r="C484" s="1" t="n">
        <v>45845</v>
      </c>
      <c r="D484" t="inlineStr">
        <is>
          <t>VÄSTERNORRLANDS LÄN</t>
        </is>
      </c>
      <c r="E484" t="inlineStr">
        <is>
          <t>SUNDSVALL</t>
        </is>
      </c>
      <c r="F484" t="inlineStr">
        <is>
          <t>Naturvårdsverket</t>
        </is>
      </c>
      <c r="G484" t="n">
        <v>1.1</v>
      </c>
      <c r="H484" t="n">
        <v>0</v>
      </c>
      <c r="I484" t="n">
        <v>0</v>
      </c>
      <c r="J484" t="n">
        <v>0</v>
      </c>
      <c r="K484" t="n">
        <v>0</v>
      </c>
      <c r="L484" t="n">
        <v>0</v>
      </c>
      <c r="M484" t="n">
        <v>0</v>
      </c>
      <c r="N484" t="n">
        <v>0</v>
      </c>
      <c r="O484" t="n">
        <v>0</v>
      </c>
      <c r="P484" t="n">
        <v>0</v>
      </c>
      <c r="Q484" t="n">
        <v>0</v>
      </c>
      <c r="R484" s="2" t="inlineStr"/>
    </row>
    <row r="485" ht="15" customHeight="1">
      <c r="A485" t="inlineStr">
        <is>
          <t>A 66706-2019</t>
        </is>
      </c>
      <c r="B485" s="1" t="n">
        <v>43809</v>
      </c>
      <c r="C485" s="1" t="n">
        <v>45845</v>
      </c>
      <c r="D485" t="inlineStr">
        <is>
          <t>VÄSTERNORRLANDS LÄN</t>
        </is>
      </c>
      <c r="E485" t="inlineStr">
        <is>
          <t>SUNDSVALL</t>
        </is>
      </c>
      <c r="F485" t="inlineStr">
        <is>
          <t>Naturvårdsverket</t>
        </is>
      </c>
      <c r="G485" t="n">
        <v>3</v>
      </c>
      <c r="H485" t="n">
        <v>0</v>
      </c>
      <c r="I485" t="n">
        <v>0</v>
      </c>
      <c r="J485" t="n">
        <v>0</v>
      </c>
      <c r="K485" t="n">
        <v>0</v>
      </c>
      <c r="L485" t="n">
        <v>0</v>
      </c>
      <c r="M485" t="n">
        <v>0</v>
      </c>
      <c r="N485" t="n">
        <v>0</v>
      </c>
      <c r="O485" t="n">
        <v>0</v>
      </c>
      <c r="P485" t="n">
        <v>0</v>
      </c>
      <c r="Q485" t="n">
        <v>0</v>
      </c>
      <c r="R485" s="2" t="inlineStr"/>
    </row>
    <row r="486" ht="15" customHeight="1">
      <c r="A486" t="inlineStr">
        <is>
          <t>A 66708-2019</t>
        </is>
      </c>
      <c r="B486" s="1" t="n">
        <v>43809</v>
      </c>
      <c r="C486" s="1" t="n">
        <v>45845</v>
      </c>
      <c r="D486" t="inlineStr">
        <is>
          <t>VÄSTERNORRLANDS LÄN</t>
        </is>
      </c>
      <c r="E486" t="inlineStr">
        <is>
          <t>SUNDSVALL</t>
        </is>
      </c>
      <c r="F486" t="inlineStr">
        <is>
          <t>Naturvårdsverket</t>
        </is>
      </c>
      <c r="G486" t="n">
        <v>0.9</v>
      </c>
      <c r="H486" t="n">
        <v>0</v>
      </c>
      <c r="I486" t="n">
        <v>0</v>
      </c>
      <c r="J486" t="n">
        <v>0</v>
      </c>
      <c r="K486" t="n">
        <v>0</v>
      </c>
      <c r="L486" t="n">
        <v>0</v>
      </c>
      <c r="M486" t="n">
        <v>0</v>
      </c>
      <c r="N486" t="n">
        <v>0</v>
      </c>
      <c r="O486" t="n">
        <v>0</v>
      </c>
      <c r="P486" t="n">
        <v>0</v>
      </c>
      <c r="Q486" t="n">
        <v>0</v>
      </c>
      <c r="R486" s="2" t="inlineStr"/>
    </row>
    <row r="487" ht="15" customHeight="1">
      <c r="A487" t="inlineStr">
        <is>
          <t>A 66705-2019</t>
        </is>
      </c>
      <c r="B487" s="1" t="n">
        <v>43809</v>
      </c>
      <c r="C487" s="1" t="n">
        <v>45845</v>
      </c>
      <c r="D487" t="inlineStr">
        <is>
          <t>VÄSTERNORRLANDS LÄN</t>
        </is>
      </c>
      <c r="E487" t="inlineStr">
        <is>
          <t>SUNDSVALL</t>
        </is>
      </c>
      <c r="F487" t="inlineStr">
        <is>
          <t>Naturvårdsverket</t>
        </is>
      </c>
      <c r="G487" t="n">
        <v>1.4</v>
      </c>
      <c r="H487" t="n">
        <v>0</v>
      </c>
      <c r="I487" t="n">
        <v>0</v>
      </c>
      <c r="J487" t="n">
        <v>0</v>
      </c>
      <c r="K487" t="n">
        <v>0</v>
      </c>
      <c r="L487" t="n">
        <v>0</v>
      </c>
      <c r="M487" t="n">
        <v>0</v>
      </c>
      <c r="N487" t="n">
        <v>0</v>
      </c>
      <c r="O487" t="n">
        <v>0</v>
      </c>
      <c r="P487" t="n">
        <v>0</v>
      </c>
      <c r="Q487" t="n">
        <v>0</v>
      </c>
      <c r="R487" s="2" t="inlineStr"/>
    </row>
    <row r="488" ht="15" customHeight="1">
      <c r="A488" t="inlineStr">
        <is>
          <t>A 66969-2019</t>
        </is>
      </c>
      <c r="B488" s="1" t="n">
        <v>43810</v>
      </c>
      <c r="C488" s="1" t="n">
        <v>45845</v>
      </c>
      <c r="D488" t="inlineStr">
        <is>
          <t>VÄSTERNORRLANDS LÄN</t>
        </is>
      </c>
      <c r="E488" t="inlineStr">
        <is>
          <t>SUNDSVALL</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66998-2019</t>
        </is>
      </c>
      <c r="B489" s="1" t="n">
        <v>43811</v>
      </c>
      <c r="C489" s="1" t="n">
        <v>45845</v>
      </c>
      <c r="D489" t="inlineStr">
        <is>
          <t>VÄSTERNORRLANDS LÄN</t>
        </is>
      </c>
      <c r="E489" t="inlineStr">
        <is>
          <t>SUNDSVALL</t>
        </is>
      </c>
      <c r="G489" t="n">
        <v>3.7</v>
      </c>
      <c r="H489" t="n">
        <v>0</v>
      </c>
      <c r="I489" t="n">
        <v>0</v>
      </c>
      <c r="J489" t="n">
        <v>0</v>
      </c>
      <c r="K489" t="n">
        <v>0</v>
      </c>
      <c r="L489" t="n">
        <v>0</v>
      </c>
      <c r="M489" t="n">
        <v>0</v>
      </c>
      <c r="N489" t="n">
        <v>0</v>
      </c>
      <c r="O489" t="n">
        <v>0</v>
      </c>
      <c r="P489" t="n">
        <v>0</v>
      </c>
      <c r="Q489" t="n">
        <v>0</v>
      </c>
      <c r="R489" s="2" t="inlineStr"/>
    </row>
    <row r="490" ht="15" customHeight="1">
      <c r="A490" t="inlineStr">
        <is>
          <t>A 68788-2019</t>
        </is>
      </c>
      <c r="B490" s="1" t="n">
        <v>43815</v>
      </c>
      <c r="C490" s="1" t="n">
        <v>45845</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69043-2019</t>
        </is>
      </c>
      <c r="B491" s="1" t="n">
        <v>43826</v>
      </c>
      <c r="C491" s="1" t="n">
        <v>45845</v>
      </c>
      <c r="D491" t="inlineStr">
        <is>
          <t>VÄSTERNORRLANDS LÄN</t>
        </is>
      </c>
      <c r="E491" t="inlineStr">
        <is>
          <t>SUNDSVALL</t>
        </is>
      </c>
      <c r="F491" t="inlineStr">
        <is>
          <t>Kommuner</t>
        </is>
      </c>
      <c r="G491" t="n">
        <v>3.9</v>
      </c>
      <c r="H491" t="n">
        <v>0</v>
      </c>
      <c r="I491" t="n">
        <v>0</v>
      </c>
      <c r="J491" t="n">
        <v>0</v>
      </c>
      <c r="K491" t="n">
        <v>0</v>
      </c>
      <c r="L491" t="n">
        <v>0</v>
      </c>
      <c r="M491" t="n">
        <v>0</v>
      </c>
      <c r="N491" t="n">
        <v>0</v>
      </c>
      <c r="O491" t="n">
        <v>0</v>
      </c>
      <c r="P491" t="n">
        <v>0</v>
      </c>
      <c r="Q491" t="n">
        <v>0</v>
      </c>
      <c r="R491" s="2" t="inlineStr"/>
    </row>
    <row r="492" ht="15" customHeight="1">
      <c r="A492" t="inlineStr">
        <is>
          <t>A 69040-2019</t>
        </is>
      </c>
      <c r="B492" s="1" t="n">
        <v>43826</v>
      </c>
      <c r="C492" s="1" t="n">
        <v>45845</v>
      </c>
      <c r="D492" t="inlineStr">
        <is>
          <t>VÄSTERNORRLANDS LÄN</t>
        </is>
      </c>
      <c r="E492" t="inlineStr">
        <is>
          <t>SUNDSVALL</t>
        </is>
      </c>
      <c r="F492" t="inlineStr">
        <is>
          <t>Kommuner</t>
        </is>
      </c>
      <c r="G492" t="n">
        <v>6.1</v>
      </c>
      <c r="H492" t="n">
        <v>0</v>
      </c>
      <c r="I492" t="n">
        <v>0</v>
      </c>
      <c r="J492" t="n">
        <v>0</v>
      </c>
      <c r="K492" t="n">
        <v>0</v>
      </c>
      <c r="L492" t="n">
        <v>0</v>
      </c>
      <c r="M492" t="n">
        <v>0</v>
      </c>
      <c r="N492" t="n">
        <v>0</v>
      </c>
      <c r="O492" t="n">
        <v>0</v>
      </c>
      <c r="P492" t="n">
        <v>0</v>
      </c>
      <c r="Q492" t="n">
        <v>0</v>
      </c>
      <c r="R492" s="2" t="inlineStr"/>
    </row>
    <row r="493" ht="15" customHeight="1">
      <c r="A493" t="inlineStr">
        <is>
          <t>A 69042-2019</t>
        </is>
      </c>
      <c r="B493" s="1" t="n">
        <v>43826</v>
      </c>
      <c r="C493" s="1" t="n">
        <v>45845</v>
      </c>
      <c r="D493" t="inlineStr">
        <is>
          <t>VÄSTERNORRLANDS LÄN</t>
        </is>
      </c>
      <c r="E493" t="inlineStr">
        <is>
          <t>SUNDSVALL</t>
        </is>
      </c>
      <c r="F493" t="inlineStr">
        <is>
          <t>Kommuner</t>
        </is>
      </c>
      <c r="G493" t="n">
        <v>5.5</v>
      </c>
      <c r="H493" t="n">
        <v>0</v>
      </c>
      <c r="I493" t="n">
        <v>0</v>
      </c>
      <c r="J493" t="n">
        <v>0</v>
      </c>
      <c r="K493" t="n">
        <v>0</v>
      </c>
      <c r="L493" t="n">
        <v>0</v>
      </c>
      <c r="M493" t="n">
        <v>0</v>
      </c>
      <c r="N493" t="n">
        <v>0</v>
      </c>
      <c r="O493" t="n">
        <v>0</v>
      </c>
      <c r="P493" t="n">
        <v>0</v>
      </c>
      <c r="Q493" t="n">
        <v>0</v>
      </c>
      <c r="R493" s="2" t="inlineStr"/>
    </row>
    <row r="494" ht="15" customHeight="1">
      <c r="A494" t="inlineStr">
        <is>
          <t>A 113-2020</t>
        </is>
      </c>
      <c r="B494" s="1" t="n">
        <v>43832</v>
      </c>
      <c r="C494" s="1" t="n">
        <v>45845</v>
      </c>
      <c r="D494" t="inlineStr">
        <is>
          <t>VÄSTERNORRLANDS LÄN</t>
        </is>
      </c>
      <c r="E494" t="inlineStr">
        <is>
          <t>SUNDSVALL</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503-2020</t>
        </is>
      </c>
      <c r="B495" s="1" t="n">
        <v>43837</v>
      </c>
      <c r="C495" s="1" t="n">
        <v>45845</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473-2020</t>
        </is>
      </c>
      <c r="B496" s="1" t="n">
        <v>43837</v>
      </c>
      <c r="C496" s="1" t="n">
        <v>45845</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803-2020</t>
        </is>
      </c>
      <c r="B497" s="1" t="n">
        <v>43838</v>
      </c>
      <c r="C497" s="1" t="n">
        <v>45845</v>
      </c>
      <c r="D497" t="inlineStr">
        <is>
          <t>VÄSTERNORRLANDS LÄN</t>
        </is>
      </c>
      <c r="E497" t="inlineStr">
        <is>
          <t>SUNDSVALL</t>
        </is>
      </c>
      <c r="G497" t="n">
        <v>7</v>
      </c>
      <c r="H497" t="n">
        <v>0</v>
      </c>
      <c r="I497" t="n">
        <v>0</v>
      </c>
      <c r="J497" t="n">
        <v>0</v>
      </c>
      <c r="K497" t="n">
        <v>0</v>
      </c>
      <c r="L497" t="n">
        <v>0</v>
      </c>
      <c r="M497" t="n">
        <v>0</v>
      </c>
      <c r="N497" t="n">
        <v>0</v>
      </c>
      <c r="O497" t="n">
        <v>0</v>
      </c>
      <c r="P497" t="n">
        <v>0</v>
      </c>
      <c r="Q497" t="n">
        <v>0</v>
      </c>
      <c r="R497" s="2" t="inlineStr"/>
    </row>
    <row r="498" ht="15" customHeight="1">
      <c r="A498" t="inlineStr">
        <is>
          <t>A 805-2020</t>
        </is>
      </c>
      <c r="B498" s="1" t="n">
        <v>43838</v>
      </c>
      <c r="C498" s="1" t="n">
        <v>45845</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1280-2020</t>
        </is>
      </c>
      <c r="B499" s="1" t="n">
        <v>43842</v>
      </c>
      <c r="C499" s="1" t="n">
        <v>45845</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1856-2020</t>
        </is>
      </c>
      <c r="B500" s="1" t="n">
        <v>43844</v>
      </c>
      <c r="C500" s="1" t="n">
        <v>45845</v>
      </c>
      <c r="D500" t="inlineStr">
        <is>
          <t>VÄSTERNORRLANDS LÄN</t>
        </is>
      </c>
      <c r="E500" t="inlineStr">
        <is>
          <t>SUNDSVALL</t>
        </is>
      </c>
      <c r="G500" t="n">
        <v>3.8</v>
      </c>
      <c r="H500" t="n">
        <v>0</v>
      </c>
      <c r="I500" t="n">
        <v>0</v>
      </c>
      <c r="J500" t="n">
        <v>0</v>
      </c>
      <c r="K500" t="n">
        <v>0</v>
      </c>
      <c r="L500" t="n">
        <v>0</v>
      </c>
      <c r="M500" t="n">
        <v>0</v>
      </c>
      <c r="N500" t="n">
        <v>0</v>
      </c>
      <c r="O500" t="n">
        <v>0</v>
      </c>
      <c r="P500" t="n">
        <v>0</v>
      </c>
      <c r="Q500" t="n">
        <v>0</v>
      </c>
      <c r="R500" s="2" t="inlineStr"/>
    </row>
    <row r="501" ht="15" customHeight="1">
      <c r="A501" t="inlineStr">
        <is>
          <t>A 1655-2020</t>
        </is>
      </c>
      <c r="B501" s="1" t="n">
        <v>43844</v>
      </c>
      <c r="C501" s="1" t="n">
        <v>45845</v>
      </c>
      <c r="D501" t="inlineStr">
        <is>
          <t>VÄSTERNORRLANDS LÄN</t>
        </is>
      </c>
      <c r="E501" t="inlineStr">
        <is>
          <t>SUNDSVALL</t>
        </is>
      </c>
      <c r="G501" t="n">
        <v>4.3</v>
      </c>
      <c r="H501" t="n">
        <v>0</v>
      </c>
      <c r="I501" t="n">
        <v>0</v>
      </c>
      <c r="J501" t="n">
        <v>0</v>
      </c>
      <c r="K501" t="n">
        <v>0</v>
      </c>
      <c r="L501" t="n">
        <v>0</v>
      </c>
      <c r="M501" t="n">
        <v>0</v>
      </c>
      <c r="N501" t="n">
        <v>0</v>
      </c>
      <c r="O501" t="n">
        <v>0</v>
      </c>
      <c r="P501" t="n">
        <v>0</v>
      </c>
      <c r="Q501" t="n">
        <v>0</v>
      </c>
      <c r="R501" s="2" t="inlineStr"/>
    </row>
    <row r="502" ht="15" customHeight="1">
      <c r="A502" t="inlineStr">
        <is>
          <t>A 1639-2020</t>
        </is>
      </c>
      <c r="B502" s="1" t="n">
        <v>43844</v>
      </c>
      <c r="C502" s="1" t="n">
        <v>45845</v>
      </c>
      <c r="D502" t="inlineStr">
        <is>
          <t>VÄSTERNORRLANDS LÄN</t>
        </is>
      </c>
      <c r="E502" t="inlineStr">
        <is>
          <t>SUNDSVALL</t>
        </is>
      </c>
      <c r="G502" t="n">
        <v>5.2</v>
      </c>
      <c r="H502" t="n">
        <v>0</v>
      </c>
      <c r="I502" t="n">
        <v>0</v>
      </c>
      <c r="J502" t="n">
        <v>0</v>
      </c>
      <c r="K502" t="n">
        <v>0</v>
      </c>
      <c r="L502" t="n">
        <v>0</v>
      </c>
      <c r="M502" t="n">
        <v>0</v>
      </c>
      <c r="N502" t="n">
        <v>0</v>
      </c>
      <c r="O502" t="n">
        <v>0</v>
      </c>
      <c r="P502" t="n">
        <v>0</v>
      </c>
      <c r="Q502" t="n">
        <v>0</v>
      </c>
      <c r="R502" s="2" t="inlineStr"/>
    </row>
    <row r="503" ht="15" customHeight="1">
      <c r="A503" t="inlineStr">
        <is>
          <t>A 1946-2020</t>
        </is>
      </c>
      <c r="B503" s="1" t="n">
        <v>43845</v>
      </c>
      <c r="C503" s="1" t="n">
        <v>45845</v>
      </c>
      <c r="D503" t="inlineStr">
        <is>
          <t>VÄSTERNORRLANDS LÄN</t>
        </is>
      </c>
      <c r="E503" t="inlineStr">
        <is>
          <t>SUNDSVALL</t>
        </is>
      </c>
      <c r="F503" t="inlineStr">
        <is>
          <t>Kommuner</t>
        </is>
      </c>
      <c r="G503" t="n">
        <v>1.6</v>
      </c>
      <c r="H503" t="n">
        <v>0</v>
      </c>
      <c r="I503" t="n">
        <v>0</v>
      </c>
      <c r="J503" t="n">
        <v>0</v>
      </c>
      <c r="K503" t="n">
        <v>0</v>
      </c>
      <c r="L503" t="n">
        <v>0</v>
      </c>
      <c r="M503" t="n">
        <v>0</v>
      </c>
      <c r="N503" t="n">
        <v>0</v>
      </c>
      <c r="O503" t="n">
        <v>0</v>
      </c>
      <c r="P503" t="n">
        <v>0</v>
      </c>
      <c r="Q503" t="n">
        <v>0</v>
      </c>
      <c r="R503" s="2" t="inlineStr"/>
    </row>
    <row r="504" ht="15" customHeight="1">
      <c r="A504" t="inlineStr">
        <is>
          <t>A 2052-2020</t>
        </is>
      </c>
      <c r="B504" s="1" t="n">
        <v>43845</v>
      </c>
      <c r="C504" s="1" t="n">
        <v>45845</v>
      </c>
      <c r="D504" t="inlineStr">
        <is>
          <t>VÄSTERNORRLANDS LÄN</t>
        </is>
      </c>
      <c r="E504" t="inlineStr">
        <is>
          <t>SUNDSVALL</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2100-2020</t>
        </is>
      </c>
      <c r="B505" s="1" t="n">
        <v>43845</v>
      </c>
      <c r="C505" s="1" t="n">
        <v>45845</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1919-2020</t>
        </is>
      </c>
      <c r="B506" s="1" t="n">
        <v>43845</v>
      </c>
      <c r="C506" s="1" t="n">
        <v>45845</v>
      </c>
      <c r="D506" t="inlineStr">
        <is>
          <t>VÄSTERNORRLANDS LÄN</t>
        </is>
      </c>
      <c r="E506" t="inlineStr">
        <is>
          <t>SUNDSVALL</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1928-2020</t>
        </is>
      </c>
      <c r="B507" s="1" t="n">
        <v>43845</v>
      </c>
      <c r="C507" s="1" t="n">
        <v>45845</v>
      </c>
      <c r="D507" t="inlineStr">
        <is>
          <t>VÄSTERNORRLANDS LÄN</t>
        </is>
      </c>
      <c r="E507" t="inlineStr">
        <is>
          <t>SUNDSVALL</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1937-2020</t>
        </is>
      </c>
      <c r="B508" s="1" t="n">
        <v>43845</v>
      </c>
      <c r="C508" s="1" t="n">
        <v>45845</v>
      </c>
      <c r="D508" t="inlineStr">
        <is>
          <t>VÄSTERNORRLANDS LÄN</t>
        </is>
      </c>
      <c r="E508" t="inlineStr">
        <is>
          <t>SUNDSVALL</t>
        </is>
      </c>
      <c r="G508" t="n">
        <v>2.5</v>
      </c>
      <c r="H508" t="n">
        <v>0</v>
      </c>
      <c r="I508" t="n">
        <v>0</v>
      </c>
      <c r="J508" t="n">
        <v>0</v>
      </c>
      <c r="K508" t="n">
        <v>0</v>
      </c>
      <c r="L508" t="n">
        <v>0</v>
      </c>
      <c r="M508" t="n">
        <v>0</v>
      </c>
      <c r="N508" t="n">
        <v>0</v>
      </c>
      <c r="O508" t="n">
        <v>0</v>
      </c>
      <c r="P508" t="n">
        <v>0</v>
      </c>
      <c r="Q508" t="n">
        <v>0</v>
      </c>
      <c r="R508" s="2" t="inlineStr"/>
    </row>
    <row r="509" ht="15" customHeight="1">
      <c r="A509" t="inlineStr">
        <is>
          <t>A 2065-2020</t>
        </is>
      </c>
      <c r="B509" s="1" t="n">
        <v>43845</v>
      </c>
      <c r="C509" s="1" t="n">
        <v>45845</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1979-2020</t>
        </is>
      </c>
      <c r="B510" s="1" t="n">
        <v>43845</v>
      </c>
      <c r="C510" s="1" t="n">
        <v>45845</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3550-2020</t>
        </is>
      </c>
      <c r="B511" s="1" t="n">
        <v>43845</v>
      </c>
      <c r="C511" s="1" t="n">
        <v>45845</v>
      </c>
      <c r="D511" t="inlineStr">
        <is>
          <t>VÄSTERNORRLANDS LÄN</t>
        </is>
      </c>
      <c r="E511" t="inlineStr">
        <is>
          <t>SUNDSVALL</t>
        </is>
      </c>
      <c r="F511" t="inlineStr">
        <is>
          <t>Övriga statliga verk och myndigheter</t>
        </is>
      </c>
      <c r="G511" t="n">
        <v>0.9</v>
      </c>
      <c r="H511" t="n">
        <v>0</v>
      </c>
      <c r="I511" t="n">
        <v>0</v>
      </c>
      <c r="J511" t="n">
        <v>0</v>
      </c>
      <c r="K511" t="n">
        <v>0</v>
      </c>
      <c r="L511" t="n">
        <v>0</v>
      </c>
      <c r="M511" t="n">
        <v>0</v>
      </c>
      <c r="N511" t="n">
        <v>0</v>
      </c>
      <c r="O511" t="n">
        <v>0</v>
      </c>
      <c r="P511" t="n">
        <v>0</v>
      </c>
      <c r="Q511" t="n">
        <v>0</v>
      </c>
      <c r="R511" s="2" t="inlineStr"/>
    </row>
    <row r="512" ht="15" customHeight="1">
      <c r="A512" t="inlineStr">
        <is>
          <t>A 2106-2020</t>
        </is>
      </c>
      <c r="B512" s="1" t="n">
        <v>43845</v>
      </c>
      <c r="C512" s="1" t="n">
        <v>45845</v>
      </c>
      <c r="D512" t="inlineStr">
        <is>
          <t>VÄSTERNORRLANDS LÄN</t>
        </is>
      </c>
      <c r="E512" t="inlineStr">
        <is>
          <t>SUNDSVALL</t>
        </is>
      </c>
      <c r="F512" t="inlineStr">
        <is>
          <t>Naturvårdsverket</t>
        </is>
      </c>
      <c r="G512" t="n">
        <v>3.8</v>
      </c>
      <c r="H512" t="n">
        <v>0</v>
      </c>
      <c r="I512" t="n">
        <v>0</v>
      </c>
      <c r="J512" t="n">
        <v>0</v>
      </c>
      <c r="K512" t="n">
        <v>0</v>
      </c>
      <c r="L512" t="n">
        <v>0</v>
      </c>
      <c r="M512" t="n">
        <v>0</v>
      </c>
      <c r="N512" t="n">
        <v>0</v>
      </c>
      <c r="O512" t="n">
        <v>0</v>
      </c>
      <c r="P512" t="n">
        <v>0</v>
      </c>
      <c r="Q512" t="n">
        <v>0</v>
      </c>
      <c r="R512" s="2" t="inlineStr"/>
    </row>
    <row r="513" ht="15" customHeight="1">
      <c r="A513" t="inlineStr">
        <is>
          <t>A 2314-2020</t>
        </is>
      </c>
      <c r="B513" s="1" t="n">
        <v>43846</v>
      </c>
      <c r="C513" s="1" t="n">
        <v>45845</v>
      </c>
      <c r="D513" t="inlineStr">
        <is>
          <t>VÄSTERNORRLANDS LÄN</t>
        </is>
      </c>
      <c r="E513" t="inlineStr">
        <is>
          <t>SUNDSVALL</t>
        </is>
      </c>
      <c r="G513" t="n">
        <v>2.9</v>
      </c>
      <c r="H513" t="n">
        <v>0</v>
      </c>
      <c r="I513" t="n">
        <v>0</v>
      </c>
      <c r="J513" t="n">
        <v>0</v>
      </c>
      <c r="K513" t="n">
        <v>0</v>
      </c>
      <c r="L513" t="n">
        <v>0</v>
      </c>
      <c r="M513" t="n">
        <v>0</v>
      </c>
      <c r="N513" t="n">
        <v>0</v>
      </c>
      <c r="O513" t="n">
        <v>0</v>
      </c>
      <c r="P513" t="n">
        <v>0</v>
      </c>
      <c r="Q513" t="n">
        <v>0</v>
      </c>
      <c r="R513" s="2" t="inlineStr"/>
    </row>
    <row r="514" ht="15" customHeight="1">
      <c r="A514" t="inlineStr">
        <is>
          <t>A 2631-2020</t>
        </is>
      </c>
      <c r="B514" s="1" t="n">
        <v>43847</v>
      </c>
      <c r="C514" s="1" t="n">
        <v>45845</v>
      </c>
      <c r="D514" t="inlineStr">
        <is>
          <t>VÄSTERNORRLANDS LÄN</t>
        </is>
      </c>
      <c r="E514" t="inlineStr">
        <is>
          <t>SUNDSVALL</t>
        </is>
      </c>
      <c r="F514" t="inlineStr">
        <is>
          <t>Kommuner</t>
        </is>
      </c>
      <c r="G514" t="n">
        <v>4.4</v>
      </c>
      <c r="H514" t="n">
        <v>0</v>
      </c>
      <c r="I514" t="n">
        <v>0</v>
      </c>
      <c r="J514" t="n">
        <v>0</v>
      </c>
      <c r="K514" t="n">
        <v>0</v>
      </c>
      <c r="L514" t="n">
        <v>0</v>
      </c>
      <c r="M514" t="n">
        <v>0</v>
      </c>
      <c r="N514" t="n">
        <v>0</v>
      </c>
      <c r="O514" t="n">
        <v>0</v>
      </c>
      <c r="P514" t="n">
        <v>0</v>
      </c>
      <c r="Q514" t="n">
        <v>0</v>
      </c>
      <c r="R514" s="2" t="inlineStr"/>
    </row>
    <row r="515" ht="15" customHeight="1">
      <c r="A515" t="inlineStr">
        <is>
          <t>A 2630-2020</t>
        </is>
      </c>
      <c r="B515" s="1" t="n">
        <v>43847</v>
      </c>
      <c r="C515" s="1" t="n">
        <v>45845</v>
      </c>
      <c r="D515" t="inlineStr">
        <is>
          <t>VÄSTERNORRLANDS LÄN</t>
        </is>
      </c>
      <c r="E515" t="inlineStr">
        <is>
          <t>SUNDSVALL</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2478-2020</t>
        </is>
      </c>
      <c r="B516" s="1" t="n">
        <v>43847</v>
      </c>
      <c r="C516" s="1" t="n">
        <v>45845</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3003-2020</t>
        </is>
      </c>
      <c r="B517" s="1" t="n">
        <v>43850</v>
      </c>
      <c r="C517" s="1" t="n">
        <v>45845</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3092-2020</t>
        </is>
      </c>
      <c r="B518" s="1" t="n">
        <v>43851</v>
      </c>
      <c r="C518" s="1" t="n">
        <v>45845</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3415-2020</t>
        </is>
      </c>
      <c r="B519" s="1" t="n">
        <v>43852</v>
      </c>
      <c r="C519" s="1" t="n">
        <v>45845</v>
      </c>
      <c r="D519" t="inlineStr">
        <is>
          <t>VÄSTERNORRLANDS LÄN</t>
        </is>
      </c>
      <c r="E519" t="inlineStr">
        <is>
          <t>SUNDSVALL</t>
        </is>
      </c>
      <c r="F519" t="inlineStr">
        <is>
          <t>Kommuner</t>
        </is>
      </c>
      <c r="G519" t="n">
        <v>6.3</v>
      </c>
      <c r="H519" t="n">
        <v>0</v>
      </c>
      <c r="I519" t="n">
        <v>0</v>
      </c>
      <c r="J519" t="n">
        <v>0</v>
      </c>
      <c r="K519" t="n">
        <v>0</v>
      </c>
      <c r="L519" t="n">
        <v>0</v>
      </c>
      <c r="M519" t="n">
        <v>0</v>
      </c>
      <c r="N519" t="n">
        <v>0</v>
      </c>
      <c r="O519" t="n">
        <v>0</v>
      </c>
      <c r="P519" t="n">
        <v>0</v>
      </c>
      <c r="Q519" t="n">
        <v>0</v>
      </c>
      <c r="R519" s="2" t="inlineStr"/>
    </row>
    <row r="520" ht="15" customHeight="1">
      <c r="A520" t="inlineStr">
        <is>
          <t>A 3538-2020</t>
        </is>
      </c>
      <c r="B520" s="1" t="n">
        <v>43853</v>
      </c>
      <c r="C520" s="1" t="n">
        <v>45845</v>
      </c>
      <c r="D520" t="inlineStr">
        <is>
          <t>VÄSTERNORRLANDS LÄN</t>
        </is>
      </c>
      <c r="E520" t="inlineStr">
        <is>
          <t>SUNDSVALL</t>
        </is>
      </c>
      <c r="G520" t="n">
        <v>2.3</v>
      </c>
      <c r="H520" t="n">
        <v>0</v>
      </c>
      <c r="I520" t="n">
        <v>0</v>
      </c>
      <c r="J520" t="n">
        <v>0</v>
      </c>
      <c r="K520" t="n">
        <v>0</v>
      </c>
      <c r="L520" t="n">
        <v>0</v>
      </c>
      <c r="M520" t="n">
        <v>0</v>
      </c>
      <c r="N520" t="n">
        <v>0</v>
      </c>
      <c r="O520" t="n">
        <v>0</v>
      </c>
      <c r="P520" t="n">
        <v>0</v>
      </c>
      <c r="Q520" t="n">
        <v>0</v>
      </c>
      <c r="R520" s="2" t="inlineStr"/>
    </row>
    <row r="521" ht="15" customHeight="1">
      <c r="A521" t="inlineStr">
        <is>
          <t>A 4528-2020</t>
        </is>
      </c>
      <c r="B521" s="1" t="n">
        <v>43858</v>
      </c>
      <c r="C521" s="1" t="n">
        <v>45845</v>
      </c>
      <c r="D521" t="inlineStr">
        <is>
          <t>VÄSTERNORRLANDS LÄN</t>
        </is>
      </c>
      <c r="E521" t="inlineStr">
        <is>
          <t>SUNDSVALL</t>
        </is>
      </c>
      <c r="F521" t="inlineStr">
        <is>
          <t>Kommuner</t>
        </is>
      </c>
      <c r="G521" t="n">
        <v>0.5</v>
      </c>
      <c r="H521" t="n">
        <v>0</v>
      </c>
      <c r="I521" t="n">
        <v>0</v>
      </c>
      <c r="J521" t="n">
        <v>0</v>
      </c>
      <c r="K521" t="n">
        <v>0</v>
      </c>
      <c r="L521" t="n">
        <v>0</v>
      </c>
      <c r="M521" t="n">
        <v>0</v>
      </c>
      <c r="N521" t="n">
        <v>0</v>
      </c>
      <c r="O521" t="n">
        <v>0</v>
      </c>
      <c r="P521" t="n">
        <v>0</v>
      </c>
      <c r="Q521" t="n">
        <v>0</v>
      </c>
      <c r="R521" s="2" t="inlineStr"/>
    </row>
    <row r="522" ht="15" customHeight="1">
      <c r="A522" t="inlineStr">
        <is>
          <t>A 5631-2020</t>
        </is>
      </c>
      <c r="B522" s="1" t="n">
        <v>43860</v>
      </c>
      <c r="C522" s="1" t="n">
        <v>45845</v>
      </c>
      <c r="D522" t="inlineStr">
        <is>
          <t>VÄSTERNORRLANDS LÄN</t>
        </is>
      </c>
      <c r="E522" t="inlineStr">
        <is>
          <t>SUNDSVALL</t>
        </is>
      </c>
      <c r="G522" t="n">
        <v>7.3</v>
      </c>
      <c r="H522" t="n">
        <v>0</v>
      </c>
      <c r="I522" t="n">
        <v>0</v>
      </c>
      <c r="J522" t="n">
        <v>0</v>
      </c>
      <c r="K522" t="n">
        <v>0</v>
      </c>
      <c r="L522" t="n">
        <v>0</v>
      </c>
      <c r="M522" t="n">
        <v>0</v>
      </c>
      <c r="N522" t="n">
        <v>0</v>
      </c>
      <c r="O522" t="n">
        <v>0</v>
      </c>
      <c r="P522" t="n">
        <v>0</v>
      </c>
      <c r="Q522" t="n">
        <v>0</v>
      </c>
      <c r="R522" s="2" t="inlineStr"/>
    </row>
    <row r="523" ht="15" customHeight="1">
      <c r="A523" t="inlineStr">
        <is>
          <t>A 5528-2020</t>
        </is>
      </c>
      <c r="B523" s="1" t="n">
        <v>43861</v>
      </c>
      <c r="C523" s="1" t="n">
        <v>45845</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5705-2020</t>
        </is>
      </c>
      <c r="B524" s="1" t="n">
        <v>43861</v>
      </c>
      <c r="C524" s="1" t="n">
        <v>45845</v>
      </c>
      <c r="D524" t="inlineStr">
        <is>
          <t>VÄSTERNORRLANDS LÄN</t>
        </is>
      </c>
      <c r="E524" t="inlineStr">
        <is>
          <t>SUNDSVALL</t>
        </is>
      </c>
      <c r="G524" t="n">
        <v>0.5</v>
      </c>
      <c r="H524" t="n">
        <v>0</v>
      </c>
      <c r="I524" t="n">
        <v>0</v>
      </c>
      <c r="J524" t="n">
        <v>0</v>
      </c>
      <c r="K524" t="n">
        <v>0</v>
      </c>
      <c r="L524" t="n">
        <v>0</v>
      </c>
      <c r="M524" t="n">
        <v>0</v>
      </c>
      <c r="N524" t="n">
        <v>0</v>
      </c>
      <c r="O524" t="n">
        <v>0</v>
      </c>
      <c r="P524" t="n">
        <v>0</v>
      </c>
      <c r="Q524" t="n">
        <v>0</v>
      </c>
      <c r="R524" s="2" t="inlineStr"/>
    </row>
    <row r="525" ht="15" customHeight="1">
      <c r="A525" t="inlineStr">
        <is>
          <t>A 5711-2020</t>
        </is>
      </c>
      <c r="B525" s="1" t="n">
        <v>43861</v>
      </c>
      <c r="C525" s="1" t="n">
        <v>45845</v>
      </c>
      <c r="D525" t="inlineStr">
        <is>
          <t>VÄSTERNORRLANDS LÄN</t>
        </is>
      </c>
      <c r="E525" t="inlineStr">
        <is>
          <t>SUNDSVALL</t>
        </is>
      </c>
      <c r="G525" t="n">
        <v>3.4</v>
      </c>
      <c r="H525" t="n">
        <v>0</v>
      </c>
      <c r="I525" t="n">
        <v>0</v>
      </c>
      <c r="J525" t="n">
        <v>0</v>
      </c>
      <c r="K525" t="n">
        <v>0</v>
      </c>
      <c r="L525" t="n">
        <v>0</v>
      </c>
      <c r="M525" t="n">
        <v>0</v>
      </c>
      <c r="N525" t="n">
        <v>0</v>
      </c>
      <c r="O525" t="n">
        <v>0</v>
      </c>
      <c r="P525" t="n">
        <v>0</v>
      </c>
      <c r="Q525" t="n">
        <v>0</v>
      </c>
      <c r="R525" s="2" t="inlineStr"/>
    </row>
    <row r="526" ht="15" customHeight="1">
      <c r="A526" t="inlineStr">
        <is>
          <t>A 5773-2020</t>
        </is>
      </c>
      <c r="B526" s="1" t="n">
        <v>43864</v>
      </c>
      <c r="C526" s="1" t="n">
        <v>45845</v>
      </c>
      <c r="D526" t="inlineStr">
        <is>
          <t>VÄSTERNORRLANDS LÄN</t>
        </is>
      </c>
      <c r="E526" t="inlineStr">
        <is>
          <t>SUNDSVALL</t>
        </is>
      </c>
      <c r="G526" t="n">
        <v>4.7</v>
      </c>
      <c r="H526" t="n">
        <v>0</v>
      </c>
      <c r="I526" t="n">
        <v>0</v>
      </c>
      <c r="J526" t="n">
        <v>0</v>
      </c>
      <c r="K526" t="n">
        <v>0</v>
      </c>
      <c r="L526" t="n">
        <v>0</v>
      </c>
      <c r="M526" t="n">
        <v>0</v>
      </c>
      <c r="N526" t="n">
        <v>0</v>
      </c>
      <c r="O526" t="n">
        <v>0</v>
      </c>
      <c r="P526" t="n">
        <v>0</v>
      </c>
      <c r="Q526" t="n">
        <v>0</v>
      </c>
      <c r="R526" s="2" t="inlineStr"/>
    </row>
    <row r="527" ht="15" customHeight="1">
      <c r="A527" t="inlineStr">
        <is>
          <t>A 5815-2020</t>
        </is>
      </c>
      <c r="B527" s="1" t="n">
        <v>43864</v>
      </c>
      <c r="C527" s="1" t="n">
        <v>45845</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5963-2020</t>
        </is>
      </c>
      <c r="B528" s="1" t="n">
        <v>43864</v>
      </c>
      <c r="C528" s="1" t="n">
        <v>45845</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5966-2020</t>
        </is>
      </c>
      <c r="B529" s="1" t="n">
        <v>43864</v>
      </c>
      <c r="C529" s="1" t="n">
        <v>45845</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6292-2020</t>
        </is>
      </c>
      <c r="B530" s="1" t="n">
        <v>43866</v>
      </c>
      <c r="C530" s="1" t="n">
        <v>45845</v>
      </c>
      <c r="D530" t="inlineStr">
        <is>
          <t>VÄSTERNORRLANDS LÄN</t>
        </is>
      </c>
      <c r="E530" t="inlineStr">
        <is>
          <t>SUNDSVALL</t>
        </is>
      </c>
      <c r="G530" t="n">
        <v>2.1</v>
      </c>
      <c r="H530" t="n">
        <v>0</v>
      </c>
      <c r="I530" t="n">
        <v>0</v>
      </c>
      <c r="J530" t="n">
        <v>0</v>
      </c>
      <c r="K530" t="n">
        <v>0</v>
      </c>
      <c r="L530" t="n">
        <v>0</v>
      </c>
      <c r="M530" t="n">
        <v>0</v>
      </c>
      <c r="N530" t="n">
        <v>0</v>
      </c>
      <c r="O530" t="n">
        <v>0</v>
      </c>
      <c r="P530" t="n">
        <v>0</v>
      </c>
      <c r="Q530" t="n">
        <v>0</v>
      </c>
      <c r="R530" s="2" t="inlineStr"/>
    </row>
    <row r="531" ht="15" customHeight="1">
      <c r="A531" t="inlineStr">
        <is>
          <t>A 6807-2020</t>
        </is>
      </c>
      <c r="B531" s="1" t="n">
        <v>43867</v>
      </c>
      <c r="C531" s="1" t="n">
        <v>45845</v>
      </c>
      <c r="D531" t="inlineStr">
        <is>
          <t>VÄSTERNORRLANDS LÄN</t>
        </is>
      </c>
      <c r="E531" t="inlineStr">
        <is>
          <t>SUNDSVALL</t>
        </is>
      </c>
      <c r="G531" t="n">
        <v>1.7</v>
      </c>
      <c r="H531" t="n">
        <v>0</v>
      </c>
      <c r="I531" t="n">
        <v>0</v>
      </c>
      <c r="J531" t="n">
        <v>0</v>
      </c>
      <c r="K531" t="n">
        <v>0</v>
      </c>
      <c r="L531" t="n">
        <v>0</v>
      </c>
      <c r="M531" t="n">
        <v>0</v>
      </c>
      <c r="N531" t="n">
        <v>0</v>
      </c>
      <c r="O531" t="n">
        <v>0</v>
      </c>
      <c r="P531" t="n">
        <v>0</v>
      </c>
      <c r="Q531" t="n">
        <v>0</v>
      </c>
      <c r="R531" s="2" t="inlineStr"/>
    </row>
    <row r="532" ht="15" customHeight="1">
      <c r="A532" t="inlineStr">
        <is>
          <t>A 7497-2020</t>
        </is>
      </c>
      <c r="B532" s="1" t="n">
        <v>43871</v>
      </c>
      <c r="C532" s="1" t="n">
        <v>45845</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7502-2020</t>
        </is>
      </c>
      <c r="B533" s="1" t="n">
        <v>43871</v>
      </c>
      <c r="C533" s="1" t="n">
        <v>45845</v>
      </c>
      <c r="D533" t="inlineStr">
        <is>
          <t>VÄSTERNORRLANDS LÄN</t>
        </is>
      </c>
      <c r="E533" t="inlineStr">
        <is>
          <t>SUNDSVALL</t>
        </is>
      </c>
      <c r="G533" t="n">
        <v>0.3</v>
      </c>
      <c r="H533" t="n">
        <v>0</v>
      </c>
      <c r="I533" t="n">
        <v>0</v>
      </c>
      <c r="J533" t="n">
        <v>0</v>
      </c>
      <c r="K533" t="n">
        <v>0</v>
      </c>
      <c r="L533" t="n">
        <v>0</v>
      </c>
      <c r="M533" t="n">
        <v>0</v>
      </c>
      <c r="N533" t="n">
        <v>0</v>
      </c>
      <c r="O533" t="n">
        <v>0</v>
      </c>
      <c r="P533" t="n">
        <v>0</v>
      </c>
      <c r="Q533" t="n">
        <v>0</v>
      </c>
      <c r="R533" s="2" t="inlineStr"/>
    </row>
    <row r="534" ht="15" customHeight="1">
      <c r="A534" t="inlineStr">
        <is>
          <t>A 7499-2020</t>
        </is>
      </c>
      <c r="B534" s="1" t="n">
        <v>43871</v>
      </c>
      <c r="C534" s="1" t="n">
        <v>45845</v>
      </c>
      <c r="D534" t="inlineStr">
        <is>
          <t>VÄSTERNORRLANDS LÄN</t>
        </is>
      </c>
      <c r="E534" t="inlineStr">
        <is>
          <t>SUNDSVALL</t>
        </is>
      </c>
      <c r="G534" t="n">
        <v>0.8</v>
      </c>
      <c r="H534" t="n">
        <v>0</v>
      </c>
      <c r="I534" t="n">
        <v>0</v>
      </c>
      <c r="J534" t="n">
        <v>0</v>
      </c>
      <c r="K534" t="n">
        <v>0</v>
      </c>
      <c r="L534" t="n">
        <v>0</v>
      </c>
      <c r="M534" t="n">
        <v>0</v>
      </c>
      <c r="N534" t="n">
        <v>0</v>
      </c>
      <c r="O534" t="n">
        <v>0</v>
      </c>
      <c r="P534" t="n">
        <v>0</v>
      </c>
      <c r="Q534" t="n">
        <v>0</v>
      </c>
      <c r="R534" s="2" t="inlineStr"/>
    </row>
    <row r="535" ht="15" customHeight="1">
      <c r="A535" t="inlineStr">
        <is>
          <t>A 7505-2020</t>
        </is>
      </c>
      <c r="B535" s="1" t="n">
        <v>43871</v>
      </c>
      <c r="C535" s="1" t="n">
        <v>45845</v>
      </c>
      <c r="D535" t="inlineStr">
        <is>
          <t>VÄSTERNORRLANDS LÄN</t>
        </is>
      </c>
      <c r="E535" t="inlineStr">
        <is>
          <t>SUNDSVALL</t>
        </is>
      </c>
      <c r="G535" t="n">
        <v>10</v>
      </c>
      <c r="H535" t="n">
        <v>0</v>
      </c>
      <c r="I535" t="n">
        <v>0</v>
      </c>
      <c r="J535" t="n">
        <v>0</v>
      </c>
      <c r="K535" t="n">
        <v>0</v>
      </c>
      <c r="L535" t="n">
        <v>0</v>
      </c>
      <c r="M535" t="n">
        <v>0</v>
      </c>
      <c r="N535" t="n">
        <v>0</v>
      </c>
      <c r="O535" t="n">
        <v>0</v>
      </c>
      <c r="P535" t="n">
        <v>0</v>
      </c>
      <c r="Q535" t="n">
        <v>0</v>
      </c>
      <c r="R535" s="2" t="inlineStr"/>
    </row>
    <row r="536" ht="15" customHeight="1">
      <c r="A536" t="inlineStr">
        <is>
          <t>A 7501-2020</t>
        </is>
      </c>
      <c r="B536" s="1" t="n">
        <v>43871</v>
      </c>
      <c r="C536" s="1" t="n">
        <v>45845</v>
      </c>
      <c r="D536" t="inlineStr">
        <is>
          <t>VÄSTERNORRLANDS LÄN</t>
        </is>
      </c>
      <c r="E536" t="inlineStr">
        <is>
          <t>SUNDSVALL</t>
        </is>
      </c>
      <c r="G536" t="n">
        <v>0.1</v>
      </c>
      <c r="H536" t="n">
        <v>0</v>
      </c>
      <c r="I536" t="n">
        <v>0</v>
      </c>
      <c r="J536" t="n">
        <v>0</v>
      </c>
      <c r="K536" t="n">
        <v>0</v>
      </c>
      <c r="L536" t="n">
        <v>0</v>
      </c>
      <c r="M536" t="n">
        <v>0</v>
      </c>
      <c r="N536" t="n">
        <v>0</v>
      </c>
      <c r="O536" t="n">
        <v>0</v>
      </c>
      <c r="P536" t="n">
        <v>0</v>
      </c>
      <c r="Q536" t="n">
        <v>0</v>
      </c>
      <c r="R536" s="2" t="inlineStr"/>
    </row>
    <row r="537" ht="15" customHeight="1">
      <c r="A537" t="inlineStr">
        <is>
          <t>A 7498-2020</t>
        </is>
      </c>
      <c r="B537" s="1" t="n">
        <v>43871</v>
      </c>
      <c r="C537" s="1" t="n">
        <v>45845</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7503-2020</t>
        </is>
      </c>
      <c r="B538" s="1" t="n">
        <v>43871</v>
      </c>
      <c r="C538" s="1" t="n">
        <v>45845</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7961-2020</t>
        </is>
      </c>
      <c r="B539" s="1" t="n">
        <v>43873</v>
      </c>
      <c r="C539" s="1" t="n">
        <v>45845</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7944-2020</t>
        </is>
      </c>
      <c r="B540" s="1" t="n">
        <v>43873</v>
      </c>
      <c r="C540" s="1" t="n">
        <v>45845</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8527-2020</t>
        </is>
      </c>
      <c r="B541" s="1" t="n">
        <v>43875</v>
      </c>
      <c r="C541" s="1" t="n">
        <v>45845</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8531-2020</t>
        </is>
      </c>
      <c r="B542" s="1" t="n">
        <v>43875</v>
      </c>
      <c r="C542" s="1" t="n">
        <v>45845</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8882-2020</t>
        </is>
      </c>
      <c r="B543" s="1" t="n">
        <v>43878</v>
      </c>
      <c r="C543" s="1" t="n">
        <v>45845</v>
      </c>
      <c r="D543" t="inlineStr">
        <is>
          <t>VÄSTERNORRLANDS LÄN</t>
        </is>
      </c>
      <c r="E543" t="inlineStr">
        <is>
          <t>SUNDSVALL</t>
        </is>
      </c>
      <c r="G543" t="n">
        <v>7.2</v>
      </c>
      <c r="H543" t="n">
        <v>0</v>
      </c>
      <c r="I543" t="n">
        <v>0</v>
      </c>
      <c r="J543" t="n">
        <v>0</v>
      </c>
      <c r="K543" t="n">
        <v>0</v>
      </c>
      <c r="L543" t="n">
        <v>0</v>
      </c>
      <c r="M543" t="n">
        <v>0</v>
      </c>
      <c r="N543" t="n">
        <v>0</v>
      </c>
      <c r="O543" t="n">
        <v>0</v>
      </c>
      <c r="P543" t="n">
        <v>0</v>
      </c>
      <c r="Q543" t="n">
        <v>0</v>
      </c>
      <c r="R543" s="2" t="inlineStr"/>
    </row>
    <row r="544" ht="15" customHeight="1">
      <c r="A544" t="inlineStr">
        <is>
          <t>A 8924-2020</t>
        </is>
      </c>
      <c r="B544" s="1" t="n">
        <v>43878</v>
      </c>
      <c r="C544" s="1" t="n">
        <v>45845</v>
      </c>
      <c r="D544" t="inlineStr">
        <is>
          <t>VÄSTERNORRLANDS LÄN</t>
        </is>
      </c>
      <c r="E544" t="inlineStr">
        <is>
          <t>SUNDSVALL</t>
        </is>
      </c>
      <c r="G544" t="n">
        <v>2.2</v>
      </c>
      <c r="H544" t="n">
        <v>0</v>
      </c>
      <c r="I544" t="n">
        <v>0</v>
      </c>
      <c r="J544" t="n">
        <v>0</v>
      </c>
      <c r="K544" t="n">
        <v>0</v>
      </c>
      <c r="L544" t="n">
        <v>0</v>
      </c>
      <c r="M544" t="n">
        <v>0</v>
      </c>
      <c r="N544" t="n">
        <v>0</v>
      </c>
      <c r="O544" t="n">
        <v>0</v>
      </c>
      <c r="P544" t="n">
        <v>0</v>
      </c>
      <c r="Q544" t="n">
        <v>0</v>
      </c>
      <c r="R544" s="2" t="inlineStr"/>
    </row>
    <row r="545" ht="15" customHeight="1">
      <c r="A545" t="inlineStr">
        <is>
          <t>A 8943-2020</t>
        </is>
      </c>
      <c r="B545" s="1" t="n">
        <v>43878</v>
      </c>
      <c r="C545" s="1" t="n">
        <v>45845</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9486-2020</t>
        </is>
      </c>
      <c r="B546" s="1" t="n">
        <v>43880</v>
      </c>
      <c r="C546" s="1" t="n">
        <v>45845</v>
      </c>
      <c r="D546" t="inlineStr">
        <is>
          <t>VÄSTERNORRLANDS LÄN</t>
        </is>
      </c>
      <c r="E546" t="inlineStr">
        <is>
          <t>SUNDSVALL</t>
        </is>
      </c>
      <c r="G546" t="n">
        <v>1.5</v>
      </c>
      <c r="H546" t="n">
        <v>0</v>
      </c>
      <c r="I546" t="n">
        <v>0</v>
      </c>
      <c r="J546" t="n">
        <v>0</v>
      </c>
      <c r="K546" t="n">
        <v>0</v>
      </c>
      <c r="L546" t="n">
        <v>0</v>
      </c>
      <c r="M546" t="n">
        <v>0</v>
      </c>
      <c r="N546" t="n">
        <v>0</v>
      </c>
      <c r="O546" t="n">
        <v>0</v>
      </c>
      <c r="P546" t="n">
        <v>0</v>
      </c>
      <c r="Q546" t="n">
        <v>0</v>
      </c>
      <c r="R546" s="2" t="inlineStr"/>
    </row>
    <row r="547" ht="15" customHeight="1">
      <c r="A547" t="inlineStr">
        <is>
          <t>A 9554-2020</t>
        </is>
      </c>
      <c r="B547" s="1" t="n">
        <v>43881</v>
      </c>
      <c r="C547" s="1" t="n">
        <v>45845</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9837-2020</t>
        </is>
      </c>
      <c r="B548" s="1" t="n">
        <v>43881</v>
      </c>
      <c r="C548" s="1" t="n">
        <v>45845</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9841-2020</t>
        </is>
      </c>
      <c r="B549" s="1" t="n">
        <v>43881</v>
      </c>
      <c r="C549" s="1" t="n">
        <v>45845</v>
      </c>
      <c r="D549" t="inlineStr">
        <is>
          <t>VÄSTERNORRLANDS LÄN</t>
        </is>
      </c>
      <c r="E549" t="inlineStr">
        <is>
          <t>SUNDSVALL</t>
        </is>
      </c>
      <c r="G549" t="n">
        <v>0.6</v>
      </c>
      <c r="H549" t="n">
        <v>0</v>
      </c>
      <c r="I549" t="n">
        <v>0</v>
      </c>
      <c r="J549" t="n">
        <v>0</v>
      </c>
      <c r="K549" t="n">
        <v>0</v>
      </c>
      <c r="L549" t="n">
        <v>0</v>
      </c>
      <c r="M549" t="n">
        <v>0</v>
      </c>
      <c r="N549" t="n">
        <v>0</v>
      </c>
      <c r="O549" t="n">
        <v>0</v>
      </c>
      <c r="P549" t="n">
        <v>0</v>
      </c>
      <c r="Q549" t="n">
        <v>0</v>
      </c>
      <c r="R549" s="2" t="inlineStr"/>
    </row>
    <row r="550" ht="15" customHeight="1">
      <c r="A550" t="inlineStr">
        <is>
          <t>A 9915-2020</t>
        </is>
      </c>
      <c r="B550" s="1" t="n">
        <v>43882</v>
      </c>
      <c r="C550" s="1" t="n">
        <v>45845</v>
      </c>
      <c r="D550" t="inlineStr">
        <is>
          <t>VÄSTERNORRLANDS LÄN</t>
        </is>
      </c>
      <c r="E550" t="inlineStr">
        <is>
          <t>SUNDSVALL</t>
        </is>
      </c>
      <c r="G550" t="n">
        <v>2.7</v>
      </c>
      <c r="H550" t="n">
        <v>0</v>
      </c>
      <c r="I550" t="n">
        <v>0</v>
      </c>
      <c r="J550" t="n">
        <v>0</v>
      </c>
      <c r="K550" t="n">
        <v>0</v>
      </c>
      <c r="L550" t="n">
        <v>0</v>
      </c>
      <c r="M550" t="n">
        <v>0</v>
      </c>
      <c r="N550" t="n">
        <v>0</v>
      </c>
      <c r="O550" t="n">
        <v>0</v>
      </c>
      <c r="P550" t="n">
        <v>0</v>
      </c>
      <c r="Q550" t="n">
        <v>0</v>
      </c>
      <c r="R550" s="2" t="inlineStr"/>
    </row>
    <row r="551" ht="15" customHeight="1">
      <c r="A551" t="inlineStr">
        <is>
          <t>A 10455-2020</t>
        </is>
      </c>
      <c r="B551" s="1" t="n">
        <v>43886</v>
      </c>
      <c r="C551" s="1" t="n">
        <v>45845</v>
      </c>
      <c r="D551" t="inlineStr">
        <is>
          <t>VÄSTERNORRLANDS LÄN</t>
        </is>
      </c>
      <c r="E551" t="inlineStr">
        <is>
          <t>SUNDSVALL</t>
        </is>
      </c>
      <c r="G551" t="n">
        <v>6.7</v>
      </c>
      <c r="H551" t="n">
        <v>0</v>
      </c>
      <c r="I551" t="n">
        <v>0</v>
      </c>
      <c r="J551" t="n">
        <v>0</v>
      </c>
      <c r="K551" t="n">
        <v>0</v>
      </c>
      <c r="L551" t="n">
        <v>0</v>
      </c>
      <c r="M551" t="n">
        <v>0</v>
      </c>
      <c r="N551" t="n">
        <v>0</v>
      </c>
      <c r="O551" t="n">
        <v>0</v>
      </c>
      <c r="P551" t="n">
        <v>0</v>
      </c>
      <c r="Q551" t="n">
        <v>0</v>
      </c>
      <c r="R551" s="2" t="inlineStr"/>
    </row>
    <row r="552" ht="15" customHeight="1">
      <c r="A552" t="inlineStr">
        <is>
          <t>A 10456-2020</t>
        </is>
      </c>
      <c r="B552" s="1" t="n">
        <v>43886</v>
      </c>
      <c r="C552" s="1" t="n">
        <v>45845</v>
      </c>
      <c r="D552" t="inlineStr">
        <is>
          <t>VÄSTERNORRLANDS LÄN</t>
        </is>
      </c>
      <c r="E552" t="inlineStr">
        <is>
          <t>SUNDSVALL</t>
        </is>
      </c>
      <c r="G552" t="n">
        <v>2.4</v>
      </c>
      <c r="H552" t="n">
        <v>0</v>
      </c>
      <c r="I552" t="n">
        <v>0</v>
      </c>
      <c r="J552" t="n">
        <v>0</v>
      </c>
      <c r="K552" t="n">
        <v>0</v>
      </c>
      <c r="L552" t="n">
        <v>0</v>
      </c>
      <c r="M552" t="n">
        <v>0</v>
      </c>
      <c r="N552" t="n">
        <v>0</v>
      </c>
      <c r="O552" t="n">
        <v>0</v>
      </c>
      <c r="P552" t="n">
        <v>0</v>
      </c>
      <c r="Q552" t="n">
        <v>0</v>
      </c>
      <c r="R552" s="2" t="inlineStr"/>
    </row>
    <row r="553" ht="15" customHeight="1">
      <c r="A553" t="inlineStr">
        <is>
          <t>A 10571-2020</t>
        </is>
      </c>
      <c r="B553" s="1" t="n">
        <v>43887</v>
      </c>
      <c r="C553" s="1" t="n">
        <v>45845</v>
      </c>
      <c r="D553" t="inlineStr">
        <is>
          <t>VÄSTERNORRLANDS LÄN</t>
        </is>
      </c>
      <c r="E553" t="inlineStr">
        <is>
          <t>SUNDSVALL</t>
        </is>
      </c>
      <c r="G553" t="n">
        <v>5.1</v>
      </c>
      <c r="H553" t="n">
        <v>0</v>
      </c>
      <c r="I553" t="n">
        <v>0</v>
      </c>
      <c r="J553" t="n">
        <v>0</v>
      </c>
      <c r="K553" t="n">
        <v>0</v>
      </c>
      <c r="L553" t="n">
        <v>0</v>
      </c>
      <c r="M553" t="n">
        <v>0</v>
      </c>
      <c r="N553" t="n">
        <v>0</v>
      </c>
      <c r="O553" t="n">
        <v>0</v>
      </c>
      <c r="P553" t="n">
        <v>0</v>
      </c>
      <c r="Q553" t="n">
        <v>0</v>
      </c>
      <c r="R553" s="2" t="inlineStr"/>
    </row>
    <row r="554" ht="15" customHeight="1">
      <c r="A554" t="inlineStr">
        <is>
          <t>A 10649-2020</t>
        </is>
      </c>
      <c r="B554" s="1" t="n">
        <v>43887</v>
      </c>
      <c r="C554" s="1" t="n">
        <v>45845</v>
      </c>
      <c r="D554" t="inlineStr">
        <is>
          <t>VÄSTERNORRLANDS LÄN</t>
        </is>
      </c>
      <c r="E554" t="inlineStr">
        <is>
          <t>SUNDSVALL</t>
        </is>
      </c>
      <c r="G554" t="n">
        <v>5.8</v>
      </c>
      <c r="H554" t="n">
        <v>0</v>
      </c>
      <c r="I554" t="n">
        <v>0</v>
      </c>
      <c r="J554" t="n">
        <v>0</v>
      </c>
      <c r="K554" t="n">
        <v>0</v>
      </c>
      <c r="L554" t="n">
        <v>0</v>
      </c>
      <c r="M554" t="n">
        <v>0</v>
      </c>
      <c r="N554" t="n">
        <v>0</v>
      </c>
      <c r="O554" t="n">
        <v>0</v>
      </c>
      <c r="P554" t="n">
        <v>0</v>
      </c>
      <c r="Q554" t="n">
        <v>0</v>
      </c>
      <c r="R554" s="2" t="inlineStr"/>
    </row>
    <row r="555" ht="15" customHeight="1">
      <c r="A555" t="inlineStr">
        <is>
          <t>A 10904-2020</t>
        </is>
      </c>
      <c r="B555" s="1" t="n">
        <v>43889</v>
      </c>
      <c r="C555" s="1" t="n">
        <v>45845</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11426-2020</t>
        </is>
      </c>
      <c r="B556" s="1" t="n">
        <v>43892</v>
      </c>
      <c r="C556" s="1" t="n">
        <v>45845</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11277-2020</t>
        </is>
      </c>
      <c r="B557" s="1" t="n">
        <v>43892</v>
      </c>
      <c r="C557" s="1" t="n">
        <v>45845</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11413-2020</t>
        </is>
      </c>
      <c r="B558" s="1" t="n">
        <v>43892</v>
      </c>
      <c r="C558" s="1" t="n">
        <v>45845</v>
      </c>
      <c r="D558" t="inlineStr">
        <is>
          <t>VÄSTERNORRLANDS LÄN</t>
        </is>
      </c>
      <c r="E558" t="inlineStr">
        <is>
          <t>SUNDSVALL</t>
        </is>
      </c>
      <c r="G558" t="n">
        <v>1.8</v>
      </c>
      <c r="H558" t="n">
        <v>0</v>
      </c>
      <c r="I558" t="n">
        <v>0</v>
      </c>
      <c r="J558" t="n">
        <v>0</v>
      </c>
      <c r="K558" t="n">
        <v>0</v>
      </c>
      <c r="L558" t="n">
        <v>0</v>
      </c>
      <c r="M558" t="n">
        <v>0</v>
      </c>
      <c r="N558" t="n">
        <v>0</v>
      </c>
      <c r="O558" t="n">
        <v>0</v>
      </c>
      <c r="P558" t="n">
        <v>0</v>
      </c>
      <c r="Q558" t="n">
        <v>0</v>
      </c>
      <c r="R558" s="2" t="inlineStr"/>
    </row>
    <row r="559" ht="15" customHeight="1">
      <c r="A559" t="inlineStr">
        <is>
          <t>A 11411-2020</t>
        </is>
      </c>
      <c r="B559" s="1" t="n">
        <v>43892</v>
      </c>
      <c r="C559" s="1" t="n">
        <v>45845</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11427-2020</t>
        </is>
      </c>
      <c r="B560" s="1" t="n">
        <v>43892</v>
      </c>
      <c r="C560" s="1" t="n">
        <v>45845</v>
      </c>
      <c r="D560" t="inlineStr">
        <is>
          <t>VÄSTERNORRLANDS LÄN</t>
        </is>
      </c>
      <c r="E560" t="inlineStr">
        <is>
          <t>SUNDSVALL</t>
        </is>
      </c>
      <c r="G560" t="n">
        <v>0.3</v>
      </c>
      <c r="H560" t="n">
        <v>0</v>
      </c>
      <c r="I560" t="n">
        <v>0</v>
      </c>
      <c r="J560" t="n">
        <v>0</v>
      </c>
      <c r="K560" t="n">
        <v>0</v>
      </c>
      <c r="L560" t="n">
        <v>0</v>
      </c>
      <c r="M560" t="n">
        <v>0</v>
      </c>
      <c r="N560" t="n">
        <v>0</v>
      </c>
      <c r="O560" t="n">
        <v>0</v>
      </c>
      <c r="P560" t="n">
        <v>0</v>
      </c>
      <c r="Q560" t="n">
        <v>0</v>
      </c>
      <c r="R560" s="2" t="inlineStr"/>
    </row>
    <row r="561" ht="15" customHeight="1">
      <c r="A561" t="inlineStr">
        <is>
          <t>A 11682-2020</t>
        </is>
      </c>
      <c r="B561" s="1" t="n">
        <v>43893</v>
      </c>
      <c r="C561" s="1" t="n">
        <v>45845</v>
      </c>
      <c r="D561" t="inlineStr">
        <is>
          <t>VÄSTERNORRLANDS LÄN</t>
        </is>
      </c>
      <c r="E561" t="inlineStr">
        <is>
          <t>SUNDSVALL</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12065-2020</t>
        </is>
      </c>
      <c r="B562" s="1" t="n">
        <v>43894</v>
      </c>
      <c r="C562" s="1" t="n">
        <v>45845</v>
      </c>
      <c r="D562" t="inlineStr">
        <is>
          <t>VÄSTERNORRLANDS LÄN</t>
        </is>
      </c>
      <c r="E562" t="inlineStr">
        <is>
          <t>SUNDSVALL</t>
        </is>
      </c>
      <c r="G562" t="n">
        <v>4.4</v>
      </c>
      <c r="H562" t="n">
        <v>0</v>
      </c>
      <c r="I562" t="n">
        <v>0</v>
      </c>
      <c r="J562" t="n">
        <v>0</v>
      </c>
      <c r="K562" t="n">
        <v>0</v>
      </c>
      <c r="L562" t="n">
        <v>0</v>
      </c>
      <c r="M562" t="n">
        <v>0</v>
      </c>
      <c r="N562" t="n">
        <v>0</v>
      </c>
      <c r="O562" t="n">
        <v>0</v>
      </c>
      <c r="P562" t="n">
        <v>0</v>
      </c>
      <c r="Q562" t="n">
        <v>0</v>
      </c>
      <c r="R562" s="2" t="inlineStr"/>
    </row>
    <row r="563" ht="15" customHeight="1">
      <c r="A563" t="inlineStr">
        <is>
          <t>A 12066-2020</t>
        </is>
      </c>
      <c r="B563" s="1" t="n">
        <v>43894</v>
      </c>
      <c r="C563" s="1" t="n">
        <v>45845</v>
      </c>
      <c r="D563" t="inlineStr">
        <is>
          <t>VÄSTERNORRLANDS LÄN</t>
        </is>
      </c>
      <c r="E563" t="inlineStr">
        <is>
          <t>SUNDSVALL</t>
        </is>
      </c>
      <c r="G563" t="n">
        <v>2.1</v>
      </c>
      <c r="H563" t="n">
        <v>0</v>
      </c>
      <c r="I563" t="n">
        <v>0</v>
      </c>
      <c r="J563" t="n">
        <v>0</v>
      </c>
      <c r="K563" t="n">
        <v>0</v>
      </c>
      <c r="L563" t="n">
        <v>0</v>
      </c>
      <c r="M563" t="n">
        <v>0</v>
      </c>
      <c r="N563" t="n">
        <v>0</v>
      </c>
      <c r="O563" t="n">
        <v>0</v>
      </c>
      <c r="P563" t="n">
        <v>0</v>
      </c>
      <c r="Q563" t="n">
        <v>0</v>
      </c>
      <c r="R563" s="2" t="inlineStr"/>
    </row>
    <row r="564" ht="15" customHeight="1">
      <c r="A564" t="inlineStr">
        <is>
          <t>A 12336-2020</t>
        </is>
      </c>
      <c r="B564" s="1" t="n">
        <v>43895</v>
      </c>
      <c r="C564" s="1" t="n">
        <v>45845</v>
      </c>
      <c r="D564" t="inlineStr">
        <is>
          <t>VÄSTERNORRLANDS LÄN</t>
        </is>
      </c>
      <c r="E564" t="inlineStr">
        <is>
          <t>SUNDSVALL</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13074-2020</t>
        </is>
      </c>
      <c r="B565" s="1" t="n">
        <v>43900</v>
      </c>
      <c r="C565" s="1" t="n">
        <v>45845</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13073-2020</t>
        </is>
      </c>
      <c r="B566" s="1" t="n">
        <v>43900</v>
      </c>
      <c r="C566" s="1" t="n">
        <v>45845</v>
      </c>
      <c r="D566" t="inlineStr">
        <is>
          <t>VÄSTERNORRLANDS LÄN</t>
        </is>
      </c>
      <c r="E566" t="inlineStr">
        <is>
          <t>SUNDSVALL</t>
        </is>
      </c>
      <c r="G566" t="n">
        <v>0.8</v>
      </c>
      <c r="H566" t="n">
        <v>0</v>
      </c>
      <c r="I566" t="n">
        <v>0</v>
      </c>
      <c r="J566" t="n">
        <v>0</v>
      </c>
      <c r="K566" t="n">
        <v>0</v>
      </c>
      <c r="L566" t="n">
        <v>0</v>
      </c>
      <c r="M566" t="n">
        <v>0</v>
      </c>
      <c r="N566" t="n">
        <v>0</v>
      </c>
      <c r="O566" t="n">
        <v>0</v>
      </c>
      <c r="P566" t="n">
        <v>0</v>
      </c>
      <c r="Q566" t="n">
        <v>0</v>
      </c>
      <c r="R566" s="2" t="inlineStr"/>
    </row>
    <row r="567" ht="15" customHeight="1">
      <c r="A567" t="inlineStr">
        <is>
          <t>A 13068-2020</t>
        </is>
      </c>
      <c r="B567" s="1" t="n">
        <v>43900</v>
      </c>
      <c r="C567" s="1" t="n">
        <v>45845</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13291-2020</t>
        </is>
      </c>
      <c r="B568" s="1" t="n">
        <v>43901</v>
      </c>
      <c r="C568" s="1" t="n">
        <v>45845</v>
      </c>
      <c r="D568" t="inlineStr">
        <is>
          <t>VÄSTERNORRLANDS LÄN</t>
        </is>
      </c>
      <c r="E568" t="inlineStr">
        <is>
          <t>SUNDSVALL</t>
        </is>
      </c>
      <c r="G568" t="n">
        <v>2.4</v>
      </c>
      <c r="H568" t="n">
        <v>0</v>
      </c>
      <c r="I568" t="n">
        <v>0</v>
      </c>
      <c r="J568" t="n">
        <v>0</v>
      </c>
      <c r="K568" t="n">
        <v>0</v>
      </c>
      <c r="L568" t="n">
        <v>0</v>
      </c>
      <c r="M568" t="n">
        <v>0</v>
      </c>
      <c r="N568" t="n">
        <v>0</v>
      </c>
      <c r="O568" t="n">
        <v>0</v>
      </c>
      <c r="P568" t="n">
        <v>0</v>
      </c>
      <c r="Q568" t="n">
        <v>0</v>
      </c>
      <c r="R568" s="2" t="inlineStr"/>
    </row>
    <row r="569" ht="15" customHeight="1">
      <c r="A569" t="inlineStr">
        <is>
          <t>A 14330-2020</t>
        </is>
      </c>
      <c r="B569" s="1" t="n">
        <v>43907</v>
      </c>
      <c r="C569" s="1" t="n">
        <v>45845</v>
      </c>
      <c r="D569" t="inlineStr">
        <is>
          <t>VÄSTERNORRLANDS LÄN</t>
        </is>
      </c>
      <c r="E569" t="inlineStr">
        <is>
          <t>SUNDSVALL</t>
        </is>
      </c>
      <c r="G569" t="n">
        <v>1.8</v>
      </c>
      <c r="H569" t="n">
        <v>0</v>
      </c>
      <c r="I569" t="n">
        <v>0</v>
      </c>
      <c r="J569" t="n">
        <v>0</v>
      </c>
      <c r="K569" t="n">
        <v>0</v>
      </c>
      <c r="L569" t="n">
        <v>0</v>
      </c>
      <c r="M569" t="n">
        <v>0</v>
      </c>
      <c r="N569" t="n">
        <v>0</v>
      </c>
      <c r="O569" t="n">
        <v>0</v>
      </c>
      <c r="P569" t="n">
        <v>0</v>
      </c>
      <c r="Q569" t="n">
        <v>0</v>
      </c>
      <c r="R569" s="2" t="inlineStr"/>
    </row>
    <row r="570" ht="15" customHeight="1">
      <c r="A570" t="inlineStr">
        <is>
          <t>A 14853-2020</t>
        </is>
      </c>
      <c r="B570" s="1" t="n">
        <v>43909</v>
      </c>
      <c r="C570" s="1" t="n">
        <v>45845</v>
      </c>
      <c r="D570" t="inlineStr">
        <is>
          <t>VÄSTERNORRLANDS LÄN</t>
        </is>
      </c>
      <c r="E570" t="inlineStr">
        <is>
          <t>SUNDSVALL</t>
        </is>
      </c>
      <c r="G570" t="n">
        <v>3.7</v>
      </c>
      <c r="H570" t="n">
        <v>0</v>
      </c>
      <c r="I570" t="n">
        <v>0</v>
      </c>
      <c r="J570" t="n">
        <v>0</v>
      </c>
      <c r="K570" t="n">
        <v>0</v>
      </c>
      <c r="L570" t="n">
        <v>0</v>
      </c>
      <c r="M570" t="n">
        <v>0</v>
      </c>
      <c r="N570" t="n">
        <v>0</v>
      </c>
      <c r="O570" t="n">
        <v>0</v>
      </c>
      <c r="P570" t="n">
        <v>0</v>
      </c>
      <c r="Q570" t="n">
        <v>0</v>
      </c>
      <c r="R570" s="2" t="inlineStr"/>
    </row>
    <row r="571" ht="15" customHeight="1">
      <c r="A571" t="inlineStr">
        <is>
          <t>A 15098-2020</t>
        </is>
      </c>
      <c r="B571" s="1" t="n">
        <v>43910</v>
      </c>
      <c r="C571" s="1" t="n">
        <v>45845</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15215-2020</t>
        </is>
      </c>
      <c r="B572" s="1" t="n">
        <v>43913</v>
      </c>
      <c r="C572" s="1" t="n">
        <v>45845</v>
      </c>
      <c r="D572" t="inlineStr">
        <is>
          <t>VÄSTERNORRLANDS LÄN</t>
        </is>
      </c>
      <c r="E572" t="inlineStr">
        <is>
          <t>SUNDSVALL</t>
        </is>
      </c>
      <c r="G572" t="n">
        <v>7.1</v>
      </c>
      <c r="H572" t="n">
        <v>0</v>
      </c>
      <c r="I572" t="n">
        <v>0</v>
      </c>
      <c r="J572" t="n">
        <v>0</v>
      </c>
      <c r="K572" t="n">
        <v>0</v>
      </c>
      <c r="L572" t="n">
        <v>0</v>
      </c>
      <c r="M572" t="n">
        <v>0</v>
      </c>
      <c r="N572" t="n">
        <v>0</v>
      </c>
      <c r="O572" t="n">
        <v>0</v>
      </c>
      <c r="P572" t="n">
        <v>0</v>
      </c>
      <c r="Q572" t="n">
        <v>0</v>
      </c>
      <c r="R572" s="2" t="inlineStr"/>
    </row>
    <row r="573" ht="15" customHeight="1">
      <c r="A573" t="inlineStr">
        <is>
          <t>A 15267-2020</t>
        </is>
      </c>
      <c r="B573" s="1" t="n">
        <v>43913</v>
      </c>
      <c r="C573" s="1" t="n">
        <v>45845</v>
      </c>
      <c r="D573" t="inlineStr">
        <is>
          <t>VÄSTERNORRLANDS LÄN</t>
        </is>
      </c>
      <c r="E573" t="inlineStr">
        <is>
          <t>SUNDSVALL</t>
        </is>
      </c>
      <c r="G573" t="n">
        <v>4.3</v>
      </c>
      <c r="H573" t="n">
        <v>0</v>
      </c>
      <c r="I573" t="n">
        <v>0</v>
      </c>
      <c r="J573" t="n">
        <v>0</v>
      </c>
      <c r="K573" t="n">
        <v>0</v>
      </c>
      <c r="L573" t="n">
        <v>0</v>
      </c>
      <c r="M573" t="n">
        <v>0</v>
      </c>
      <c r="N573" t="n">
        <v>0</v>
      </c>
      <c r="O573" t="n">
        <v>0</v>
      </c>
      <c r="P573" t="n">
        <v>0</v>
      </c>
      <c r="Q573" t="n">
        <v>0</v>
      </c>
      <c r="R573" s="2" t="inlineStr"/>
    </row>
    <row r="574" ht="15" customHeight="1">
      <c r="A574" t="inlineStr">
        <is>
          <t>A 15639-2020</t>
        </is>
      </c>
      <c r="B574" s="1" t="n">
        <v>43914</v>
      </c>
      <c r="C574" s="1" t="n">
        <v>45845</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15640-2020</t>
        </is>
      </c>
      <c r="B575" s="1" t="n">
        <v>43914</v>
      </c>
      <c r="C575" s="1" t="n">
        <v>45845</v>
      </c>
      <c r="D575" t="inlineStr">
        <is>
          <t>VÄSTERNORRLANDS LÄN</t>
        </is>
      </c>
      <c r="E575" t="inlineStr">
        <is>
          <t>SUNDSVALL</t>
        </is>
      </c>
      <c r="G575" t="n">
        <v>9.9</v>
      </c>
      <c r="H575" t="n">
        <v>0</v>
      </c>
      <c r="I575" t="n">
        <v>0</v>
      </c>
      <c r="J575" t="n">
        <v>0</v>
      </c>
      <c r="K575" t="n">
        <v>0</v>
      </c>
      <c r="L575" t="n">
        <v>0</v>
      </c>
      <c r="M575" t="n">
        <v>0</v>
      </c>
      <c r="N575" t="n">
        <v>0</v>
      </c>
      <c r="O575" t="n">
        <v>0</v>
      </c>
      <c r="P575" t="n">
        <v>0</v>
      </c>
      <c r="Q575" t="n">
        <v>0</v>
      </c>
      <c r="R575" s="2" t="inlineStr"/>
    </row>
    <row r="576" ht="15" customHeight="1">
      <c r="A576" t="inlineStr">
        <is>
          <t>A 15890-2020</t>
        </is>
      </c>
      <c r="B576" s="1" t="n">
        <v>43915</v>
      </c>
      <c r="C576" s="1" t="n">
        <v>45845</v>
      </c>
      <c r="D576" t="inlineStr">
        <is>
          <t>VÄSTERNORRLANDS LÄN</t>
        </is>
      </c>
      <c r="E576" t="inlineStr">
        <is>
          <t>SUNDSVALL</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15892-2020</t>
        </is>
      </c>
      <c r="B577" s="1" t="n">
        <v>43915</v>
      </c>
      <c r="C577" s="1" t="n">
        <v>45845</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15726-2020</t>
        </is>
      </c>
      <c r="B578" s="1" t="n">
        <v>43915</v>
      </c>
      <c r="C578" s="1" t="n">
        <v>45845</v>
      </c>
      <c r="D578" t="inlineStr">
        <is>
          <t>VÄSTERNORRLANDS LÄN</t>
        </is>
      </c>
      <c r="E578" t="inlineStr">
        <is>
          <t>SUNDSVALL</t>
        </is>
      </c>
      <c r="G578" t="n">
        <v>5.7</v>
      </c>
      <c r="H578" t="n">
        <v>0</v>
      </c>
      <c r="I578" t="n">
        <v>0</v>
      </c>
      <c r="J578" t="n">
        <v>0</v>
      </c>
      <c r="K578" t="n">
        <v>0</v>
      </c>
      <c r="L578" t="n">
        <v>0</v>
      </c>
      <c r="M578" t="n">
        <v>0</v>
      </c>
      <c r="N578" t="n">
        <v>0</v>
      </c>
      <c r="O578" t="n">
        <v>0</v>
      </c>
      <c r="P578" t="n">
        <v>0</v>
      </c>
      <c r="Q578" t="n">
        <v>0</v>
      </c>
      <c r="R578" s="2" t="inlineStr"/>
    </row>
    <row r="579" ht="15" customHeight="1">
      <c r="A579" t="inlineStr">
        <is>
          <t>A 16166-2020</t>
        </is>
      </c>
      <c r="B579" s="1" t="n">
        <v>43916</v>
      </c>
      <c r="C579" s="1" t="n">
        <v>45845</v>
      </c>
      <c r="D579" t="inlineStr">
        <is>
          <t>VÄSTERNORRLANDS LÄN</t>
        </is>
      </c>
      <c r="E579" t="inlineStr">
        <is>
          <t>SUNDSVALL</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16165-2020</t>
        </is>
      </c>
      <c r="B580" s="1" t="n">
        <v>43916</v>
      </c>
      <c r="C580" s="1" t="n">
        <v>45845</v>
      </c>
      <c r="D580" t="inlineStr">
        <is>
          <t>VÄSTERNORRLANDS LÄN</t>
        </is>
      </c>
      <c r="E580" t="inlineStr">
        <is>
          <t>SUNDSVALL</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16167-2020</t>
        </is>
      </c>
      <c r="B581" s="1" t="n">
        <v>43916</v>
      </c>
      <c r="C581" s="1" t="n">
        <v>45845</v>
      </c>
      <c r="D581" t="inlineStr">
        <is>
          <t>VÄSTERNORRLANDS LÄN</t>
        </is>
      </c>
      <c r="E581" t="inlineStr">
        <is>
          <t>SUNDSVALL</t>
        </is>
      </c>
      <c r="F581" t="inlineStr">
        <is>
          <t>SCA</t>
        </is>
      </c>
      <c r="G581" t="n">
        <v>24.1</v>
      </c>
      <c r="H581" t="n">
        <v>0</v>
      </c>
      <c r="I581" t="n">
        <v>0</v>
      </c>
      <c r="J581" t="n">
        <v>0</v>
      </c>
      <c r="K581" t="n">
        <v>0</v>
      </c>
      <c r="L581" t="n">
        <v>0</v>
      </c>
      <c r="M581" t="n">
        <v>0</v>
      </c>
      <c r="N581" t="n">
        <v>0</v>
      </c>
      <c r="O581" t="n">
        <v>0</v>
      </c>
      <c r="P581" t="n">
        <v>0</v>
      </c>
      <c r="Q581" t="n">
        <v>0</v>
      </c>
      <c r="R581" s="2" t="inlineStr"/>
    </row>
    <row r="582" ht="15" customHeight="1">
      <c r="A582" t="inlineStr">
        <is>
          <t>A 16947-2020</t>
        </is>
      </c>
      <c r="B582" s="1" t="n">
        <v>43921</v>
      </c>
      <c r="C582" s="1" t="n">
        <v>45845</v>
      </c>
      <c r="D582" t="inlineStr">
        <is>
          <t>VÄSTERNORRLANDS LÄN</t>
        </is>
      </c>
      <c r="E582" t="inlineStr">
        <is>
          <t>SUNDSVALL</t>
        </is>
      </c>
      <c r="G582" t="n">
        <v>3.8</v>
      </c>
      <c r="H582" t="n">
        <v>0</v>
      </c>
      <c r="I582" t="n">
        <v>0</v>
      </c>
      <c r="J582" t="n">
        <v>0</v>
      </c>
      <c r="K582" t="n">
        <v>0</v>
      </c>
      <c r="L582" t="n">
        <v>0</v>
      </c>
      <c r="M582" t="n">
        <v>0</v>
      </c>
      <c r="N582" t="n">
        <v>0</v>
      </c>
      <c r="O582" t="n">
        <v>0</v>
      </c>
      <c r="P582" t="n">
        <v>0</v>
      </c>
      <c r="Q582" t="n">
        <v>0</v>
      </c>
      <c r="R582" s="2" t="inlineStr"/>
    </row>
    <row r="583" ht="15" customHeight="1">
      <c r="A583" t="inlineStr">
        <is>
          <t>A 17691-2020</t>
        </is>
      </c>
      <c r="B583" s="1" t="n">
        <v>43923</v>
      </c>
      <c r="C583" s="1" t="n">
        <v>45845</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19034-2020</t>
        </is>
      </c>
      <c r="B584" s="1" t="n">
        <v>43936</v>
      </c>
      <c r="C584" s="1" t="n">
        <v>45845</v>
      </c>
      <c r="D584" t="inlineStr">
        <is>
          <t>VÄSTERNORRLANDS LÄN</t>
        </is>
      </c>
      <c r="E584" t="inlineStr">
        <is>
          <t>SUNDSVALL</t>
        </is>
      </c>
      <c r="F584" t="inlineStr">
        <is>
          <t>Kommuner</t>
        </is>
      </c>
      <c r="G584" t="n">
        <v>2.4</v>
      </c>
      <c r="H584" t="n">
        <v>0</v>
      </c>
      <c r="I584" t="n">
        <v>0</v>
      </c>
      <c r="J584" t="n">
        <v>0</v>
      </c>
      <c r="K584" t="n">
        <v>0</v>
      </c>
      <c r="L584" t="n">
        <v>0</v>
      </c>
      <c r="M584" t="n">
        <v>0</v>
      </c>
      <c r="N584" t="n">
        <v>0</v>
      </c>
      <c r="O584" t="n">
        <v>0</v>
      </c>
      <c r="P584" t="n">
        <v>0</v>
      </c>
      <c r="Q584" t="n">
        <v>0</v>
      </c>
      <c r="R584" s="2" t="inlineStr"/>
    </row>
    <row r="585" ht="15" customHeight="1">
      <c r="A585" t="inlineStr">
        <is>
          <t>A 19074-2020</t>
        </is>
      </c>
      <c r="B585" s="1" t="n">
        <v>43936</v>
      </c>
      <c r="C585" s="1" t="n">
        <v>45845</v>
      </c>
      <c r="D585" t="inlineStr">
        <is>
          <t>VÄSTERNORRLANDS LÄN</t>
        </is>
      </c>
      <c r="E585" t="inlineStr">
        <is>
          <t>SUNDSVALL</t>
        </is>
      </c>
      <c r="G585" t="n">
        <v>5.2</v>
      </c>
      <c r="H585" t="n">
        <v>0</v>
      </c>
      <c r="I585" t="n">
        <v>0</v>
      </c>
      <c r="J585" t="n">
        <v>0</v>
      </c>
      <c r="K585" t="n">
        <v>0</v>
      </c>
      <c r="L585" t="n">
        <v>0</v>
      </c>
      <c r="M585" t="n">
        <v>0</v>
      </c>
      <c r="N585" t="n">
        <v>0</v>
      </c>
      <c r="O585" t="n">
        <v>0</v>
      </c>
      <c r="P585" t="n">
        <v>0</v>
      </c>
      <c r="Q585" t="n">
        <v>0</v>
      </c>
      <c r="R585" s="2" t="inlineStr"/>
    </row>
    <row r="586" ht="15" customHeight="1">
      <c r="A586" t="inlineStr">
        <is>
          <t>A 19727-2020</t>
        </is>
      </c>
      <c r="B586" s="1" t="n">
        <v>43942</v>
      </c>
      <c r="C586" s="1" t="n">
        <v>45845</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19726-2020</t>
        </is>
      </c>
      <c r="B587" s="1" t="n">
        <v>43941</v>
      </c>
      <c r="C587" s="1" t="n">
        <v>45845</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19724-2020</t>
        </is>
      </c>
      <c r="B588" s="1" t="n">
        <v>43941</v>
      </c>
      <c r="C588" s="1" t="n">
        <v>45845</v>
      </c>
      <c r="D588" t="inlineStr">
        <is>
          <t>VÄSTERNORRLANDS LÄN</t>
        </is>
      </c>
      <c r="E588" t="inlineStr">
        <is>
          <t>SUNDSVALL</t>
        </is>
      </c>
      <c r="G588" t="n">
        <v>1</v>
      </c>
      <c r="H588" t="n">
        <v>0</v>
      </c>
      <c r="I588" t="n">
        <v>0</v>
      </c>
      <c r="J588" t="n">
        <v>0</v>
      </c>
      <c r="K588" t="n">
        <v>0</v>
      </c>
      <c r="L588" t="n">
        <v>0</v>
      </c>
      <c r="M588" t="n">
        <v>0</v>
      </c>
      <c r="N588" t="n">
        <v>0</v>
      </c>
      <c r="O588" t="n">
        <v>0</v>
      </c>
      <c r="P588" t="n">
        <v>0</v>
      </c>
      <c r="Q588" t="n">
        <v>0</v>
      </c>
      <c r="R588" s="2" t="inlineStr"/>
    </row>
    <row r="589" ht="15" customHeight="1">
      <c r="A589" t="inlineStr">
        <is>
          <t>A 20082-2020</t>
        </is>
      </c>
      <c r="B589" s="1" t="n">
        <v>43943</v>
      </c>
      <c r="C589" s="1" t="n">
        <v>45845</v>
      </c>
      <c r="D589" t="inlineStr">
        <is>
          <t>VÄSTERNORRLANDS LÄN</t>
        </is>
      </c>
      <c r="E589" t="inlineStr">
        <is>
          <t>SUNDSVALL</t>
        </is>
      </c>
      <c r="G589" t="n">
        <v>1.8</v>
      </c>
      <c r="H589" t="n">
        <v>0</v>
      </c>
      <c r="I589" t="n">
        <v>0</v>
      </c>
      <c r="J589" t="n">
        <v>0</v>
      </c>
      <c r="K589" t="n">
        <v>0</v>
      </c>
      <c r="L589" t="n">
        <v>0</v>
      </c>
      <c r="M589" t="n">
        <v>0</v>
      </c>
      <c r="N589" t="n">
        <v>0</v>
      </c>
      <c r="O589" t="n">
        <v>0</v>
      </c>
      <c r="P589" t="n">
        <v>0</v>
      </c>
      <c r="Q589" t="n">
        <v>0</v>
      </c>
      <c r="R589" s="2" t="inlineStr"/>
    </row>
    <row r="590" ht="15" customHeight="1">
      <c r="A590" t="inlineStr">
        <is>
          <t>A 20090-2020</t>
        </is>
      </c>
      <c r="B590" s="1" t="n">
        <v>43943</v>
      </c>
      <c r="C590" s="1" t="n">
        <v>45845</v>
      </c>
      <c r="D590" t="inlineStr">
        <is>
          <t>VÄSTERNORRLANDS LÄN</t>
        </is>
      </c>
      <c r="E590" t="inlineStr">
        <is>
          <t>SUNDSVALL</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20623-2020</t>
        </is>
      </c>
      <c r="B591" s="1" t="n">
        <v>43948</v>
      </c>
      <c r="C591" s="1" t="n">
        <v>45845</v>
      </c>
      <c r="D591" t="inlineStr">
        <is>
          <t>VÄSTERNORRLANDS LÄN</t>
        </is>
      </c>
      <c r="E591" t="inlineStr">
        <is>
          <t>SUNDSVALL</t>
        </is>
      </c>
      <c r="G591" t="n">
        <v>2.3</v>
      </c>
      <c r="H591" t="n">
        <v>0</v>
      </c>
      <c r="I591" t="n">
        <v>0</v>
      </c>
      <c r="J591" t="n">
        <v>0</v>
      </c>
      <c r="K591" t="n">
        <v>0</v>
      </c>
      <c r="L591" t="n">
        <v>0</v>
      </c>
      <c r="M591" t="n">
        <v>0</v>
      </c>
      <c r="N591" t="n">
        <v>0</v>
      </c>
      <c r="O591" t="n">
        <v>0</v>
      </c>
      <c r="P591" t="n">
        <v>0</v>
      </c>
      <c r="Q591" t="n">
        <v>0</v>
      </c>
      <c r="R591" s="2" t="inlineStr"/>
    </row>
    <row r="592" ht="15" customHeight="1">
      <c r="A592" t="inlineStr">
        <is>
          <t>A 21411-2020</t>
        </is>
      </c>
      <c r="B592" s="1" t="n">
        <v>43955</v>
      </c>
      <c r="C592" s="1" t="n">
        <v>45845</v>
      </c>
      <c r="D592" t="inlineStr">
        <is>
          <t>VÄSTERNORRLANDS LÄN</t>
        </is>
      </c>
      <c r="E592" t="inlineStr">
        <is>
          <t>SUNDSVALL</t>
        </is>
      </c>
      <c r="G592" t="n">
        <v>1.6</v>
      </c>
      <c r="H592" t="n">
        <v>0</v>
      </c>
      <c r="I592" t="n">
        <v>0</v>
      </c>
      <c r="J592" t="n">
        <v>0</v>
      </c>
      <c r="K592" t="n">
        <v>0</v>
      </c>
      <c r="L592" t="n">
        <v>0</v>
      </c>
      <c r="M592" t="n">
        <v>0</v>
      </c>
      <c r="N592" t="n">
        <v>0</v>
      </c>
      <c r="O592" t="n">
        <v>0</v>
      </c>
      <c r="P592" t="n">
        <v>0</v>
      </c>
      <c r="Q592" t="n">
        <v>0</v>
      </c>
      <c r="R592" s="2" t="inlineStr"/>
    </row>
    <row r="593" ht="15" customHeight="1">
      <c r="A593" t="inlineStr">
        <is>
          <t>A 21358-2020</t>
        </is>
      </c>
      <c r="B593" s="1" t="n">
        <v>43955</v>
      </c>
      <c r="C593" s="1" t="n">
        <v>45845</v>
      </c>
      <c r="D593" t="inlineStr">
        <is>
          <t>VÄSTERNORRLANDS LÄN</t>
        </is>
      </c>
      <c r="E593" t="inlineStr">
        <is>
          <t>SUNDSVALL</t>
        </is>
      </c>
      <c r="G593" t="n">
        <v>1</v>
      </c>
      <c r="H593" t="n">
        <v>0</v>
      </c>
      <c r="I593" t="n">
        <v>0</v>
      </c>
      <c r="J593" t="n">
        <v>0</v>
      </c>
      <c r="K593" t="n">
        <v>0</v>
      </c>
      <c r="L593" t="n">
        <v>0</v>
      </c>
      <c r="M593" t="n">
        <v>0</v>
      </c>
      <c r="N593" t="n">
        <v>0</v>
      </c>
      <c r="O593" t="n">
        <v>0</v>
      </c>
      <c r="P593" t="n">
        <v>0</v>
      </c>
      <c r="Q593" t="n">
        <v>0</v>
      </c>
      <c r="R593" s="2" t="inlineStr"/>
    </row>
    <row r="594" ht="15" customHeight="1">
      <c r="A594" t="inlineStr">
        <is>
          <t>A 21600-2020</t>
        </is>
      </c>
      <c r="B594" s="1" t="n">
        <v>43957</v>
      </c>
      <c r="C594" s="1" t="n">
        <v>45845</v>
      </c>
      <c r="D594" t="inlineStr">
        <is>
          <t>VÄSTERNORRLANDS LÄN</t>
        </is>
      </c>
      <c r="E594" t="inlineStr">
        <is>
          <t>SUNDSVALL</t>
        </is>
      </c>
      <c r="G594" t="n">
        <v>1.2</v>
      </c>
      <c r="H594" t="n">
        <v>0</v>
      </c>
      <c r="I594" t="n">
        <v>0</v>
      </c>
      <c r="J594" t="n">
        <v>0</v>
      </c>
      <c r="K594" t="n">
        <v>0</v>
      </c>
      <c r="L594" t="n">
        <v>0</v>
      </c>
      <c r="M594" t="n">
        <v>0</v>
      </c>
      <c r="N594" t="n">
        <v>0</v>
      </c>
      <c r="O594" t="n">
        <v>0</v>
      </c>
      <c r="P594" t="n">
        <v>0</v>
      </c>
      <c r="Q594" t="n">
        <v>0</v>
      </c>
      <c r="R594" s="2" t="inlineStr"/>
    </row>
    <row r="595" ht="15" customHeight="1">
      <c r="A595" t="inlineStr">
        <is>
          <t>A 22101-2020</t>
        </is>
      </c>
      <c r="B595" s="1" t="n">
        <v>43959</v>
      </c>
      <c r="C595" s="1" t="n">
        <v>45845</v>
      </c>
      <c r="D595" t="inlineStr">
        <is>
          <t>VÄSTERNORRLANDS LÄN</t>
        </is>
      </c>
      <c r="E595" t="inlineStr">
        <is>
          <t>SUNDSVALL</t>
        </is>
      </c>
      <c r="G595" t="n">
        <v>3.8</v>
      </c>
      <c r="H595" t="n">
        <v>0</v>
      </c>
      <c r="I595" t="n">
        <v>0</v>
      </c>
      <c r="J595" t="n">
        <v>0</v>
      </c>
      <c r="K595" t="n">
        <v>0</v>
      </c>
      <c r="L595" t="n">
        <v>0</v>
      </c>
      <c r="M595" t="n">
        <v>0</v>
      </c>
      <c r="N595" t="n">
        <v>0</v>
      </c>
      <c r="O595" t="n">
        <v>0</v>
      </c>
      <c r="P595" t="n">
        <v>0</v>
      </c>
      <c r="Q595" t="n">
        <v>0</v>
      </c>
      <c r="R595" s="2" t="inlineStr"/>
    </row>
    <row r="596" ht="15" customHeight="1">
      <c r="A596" t="inlineStr">
        <is>
          <t>A 22097-2020</t>
        </is>
      </c>
      <c r="B596" s="1" t="n">
        <v>43960</v>
      </c>
      <c r="C596" s="1" t="n">
        <v>45845</v>
      </c>
      <c r="D596" t="inlineStr">
        <is>
          <t>VÄSTERNORRLANDS LÄN</t>
        </is>
      </c>
      <c r="E596" t="inlineStr">
        <is>
          <t>SUNDSVALL</t>
        </is>
      </c>
      <c r="G596" t="n">
        <v>1.3</v>
      </c>
      <c r="H596" t="n">
        <v>0</v>
      </c>
      <c r="I596" t="n">
        <v>0</v>
      </c>
      <c r="J596" t="n">
        <v>0</v>
      </c>
      <c r="K596" t="n">
        <v>0</v>
      </c>
      <c r="L596" t="n">
        <v>0</v>
      </c>
      <c r="M596" t="n">
        <v>0</v>
      </c>
      <c r="N596" t="n">
        <v>0</v>
      </c>
      <c r="O596" t="n">
        <v>0</v>
      </c>
      <c r="P596" t="n">
        <v>0</v>
      </c>
      <c r="Q596" t="n">
        <v>0</v>
      </c>
      <c r="R596" s="2" t="inlineStr"/>
    </row>
    <row r="597" ht="15" customHeight="1">
      <c r="A597" t="inlineStr">
        <is>
          <t>A 23283-2020</t>
        </is>
      </c>
      <c r="B597" s="1" t="n">
        <v>43965</v>
      </c>
      <c r="C597" s="1" t="n">
        <v>45845</v>
      </c>
      <c r="D597" t="inlineStr">
        <is>
          <t>VÄSTERNORRLANDS LÄN</t>
        </is>
      </c>
      <c r="E597" t="inlineStr">
        <is>
          <t>SUNDSVALL</t>
        </is>
      </c>
      <c r="G597" t="n">
        <v>4.6</v>
      </c>
      <c r="H597" t="n">
        <v>0</v>
      </c>
      <c r="I597" t="n">
        <v>0</v>
      </c>
      <c r="J597" t="n">
        <v>0</v>
      </c>
      <c r="K597" t="n">
        <v>0</v>
      </c>
      <c r="L597" t="n">
        <v>0</v>
      </c>
      <c r="M597" t="n">
        <v>0</v>
      </c>
      <c r="N597" t="n">
        <v>0</v>
      </c>
      <c r="O597" t="n">
        <v>0</v>
      </c>
      <c r="P597" t="n">
        <v>0</v>
      </c>
      <c r="Q597" t="n">
        <v>0</v>
      </c>
      <c r="R597" s="2" t="inlineStr"/>
    </row>
    <row r="598" ht="15" customHeight="1">
      <c r="A598" t="inlineStr">
        <is>
          <t>A 23210-2020</t>
        </is>
      </c>
      <c r="B598" s="1" t="n">
        <v>43966</v>
      </c>
      <c r="C598" s="1" t="n">
        <v>45845</v>
      </c>
      <c r="D598" t="inlineStr">
        <is>
          <t>VÄSTERNORRLANDS LÄN</t>
        </is>
      </c>
      <c r="E598" t="inlineStr">
        <is>
          <t>SUNDSVALL</t>
        </is>
      </c>
      <c r="G598" t="n">
        <v>2.5</v>
      </c>
      <c r="H598" t="n">
        <v>0</v>
      </c>
      <c r="I598" t="n">
        <v>0</v>
      </c>
      <c r="J598" t="n">
        <v>0</v>
      </c>
      <c r="K598" t="n">
        <v>0</v>
      </c>
      <c r="L598" t="n">
        <v>0</v>
      </c>
      <c r="M598" t="n">
        <v>0</v>
      </c>
      <c r="N598" t="n">
        <v>0</v>
      </c>
      <c r="O598" t="n">
        <v>0</v>
      </c>
      <c r="P598" t="n">
        <v>0</v>
      </c>
      <c r="Q598" t="n">
        <v>0</v>
      </c>
      <c r="R598" s="2" t="inlineStr"/>
    </row>
    <row r="599" ht="15" customHeight="1">
      <c r="A599" t="inlineStr">
        <is>
          <t>A 23587-2020</t>
        </is>
      </c>
      <c r="B599" s="1" t="n">
        <v>43969</v>
      </c>
      <c r="C599" s="1" t="n">
        <v>45845</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23641-2020</t>
        </is>
      </c>
      <c r="B600" s="1" t="n">
        <v>43969</v>
      </c>
      <c r="C600" s="1" t="n">
        <v>45845</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23642-2020</t>
        </is>
      </c>
      <c r="B601" s="1" t="n">
        <v>43969</v>
      </c>
      <c r="C601" s="1" t="n">
        <v>45845</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24494-2020</t>
        </is>
      </c>
      <c r="B602" s="1" t="n">
        <v>43976</v>
      </c>
      <c r="C602" s="1" t="n">
        <v>45845</v>
      </c>
      <c r="D602" t="inlineStr">
        <is>
          <t>VÄSTERNORRLANDS LÄN</t>
        </is>
      </c>
      <c r="E602" t="inlineStr">
        <is>
          <t>SUNDSVALL</t>
        </is>
      </c>
      <c r="G602" t="n">
        <v>0.7</v>
      </c>
      <c r="H602" t="n">
        <v>0</v>
      </c>
      <c r="I602" t="n">
        <v>0</v>
      </c>
      <c r="J602" t="n">
        <v>0</v>
      </c>
      <c r="K602" t="n">
        <v>0</v>
      </c>
      <c r="L602" t="n">
        <v>0</v>
      </c>
      <c r="M602" t="n">
        <v>0</v>
      </c>
      <c r="N602" t="n">
        <v>0</v>
      </c>
      <c r="O602" t="n">
        <v>0</v>
      </c>
      <c r="P602" t="n">
        <v>0</v>
      </c>
      <c r="Q602" t="n">
        <v>0</v>
      </c>
      <c r="R602" s="2" t="inlineStr"/>
    </row>
    <row r="603" ht="15" customHeight="1">
      <c r="A603" t="inlineStr">
        <is>
          <t>A 24662-2020</t>
        </is>
      </c>
      <c r="B603" s="1" t="n">
        <v>43977</v>
      </c>
      <c r="C603" s="1" t="n">
        <v>45845</v>
      </c>
      <c r="D603" t="inlineStr">
        <is>
          <t>VÄSTERNORRLANDS LÄN</t>
        </is>
      </c>
      <c r="E603" t="inlineStr">
        <is>
          <t>SUNDSVALL</t>
        </is>
      </c>
      <c r="G603" t="n">
        <v>4.8</v>
      </c>
      <c r="H603" t="n">
        <v>0</v>
      </c>
      <c r="I603" t="n">
        <v>0</v>
      </c>
      <c r="J603" t="n">
        <v>0</v>
      </c>
      <c r="K603" t="n">
        <v>0</v>
      </c>
      <c r="L603" t="n">
        <v>0</v>
      </c>
      <c r="M603" t="n">
        <v>0</v>
      </c>
      <c r="N603" t="n">
        <v>0</v>
      </c>
      <c r="O603" t="n">
        <v>0</v>
      </c>
      <c r="P603" t="n">
        <v>0</v>
      </c>
      <c r="Q603" t="n">
        <v>0</v>
      </c>
      <c r="R603" s="2" t="inlineStr"/>
    </row>
    <row r="604" ht="15" customHeight="1">
      <c r="A604" t="inlineStr">
        <is>
          <t>A 25217-2020</t>
        </is>
      </c>
      <c r="B604" s="1" t="n">
        <v>43980</v>
      </c>
      <c r="C604" s="1" t="n">
        <v>45845</v>
      </c>
      <c r="D604" t="inlineStr">
        <is>
          <t>VÄSTERNORRLANDS LÄN</t>
        </is>
      </c>
      <c r="E604" t="inlineStr">
        <is>
          <t>SUNDSVALL</t>
        </is>
      </c>
      <c r="G604" t="n">
        <v>4.9</v>
      </c>
      <c r="H604" t="n">
        <v>0</v>
      </c>
      <c r="I604" t="n">
        <v>0</v>
      </c>
      <c r="J604" t="n">
        <v>0</v>
      </c>
      <c r="K604" t="n">
        <v>0</v>
      </c>
      <c r="L604" t="n">
        <v>0</v>
      </c>
      <c r="M604" t="n">
        <v>0</v>
      </c>
      <c r="N604" t="n">
        <v>0</v>
      </c>
      <c r="O604" t="n">
        <v>0</v>
      </c>
      <c r="P604" t="n">
        <v>0</v>
      </c>
      <c r="Q604" t="n">
        <v>0</v>
      </c>
      <c r="R604" s="2" t="inlineStr"/>
    </row>
    <row r="605" ht="15" customHeight="1">
      <c r="A605" t="inlineStr">
        <is>
          <t>A 26613-2020</t>
        </is>
      </c>
      <c r="B605" s="1" t="n">
        <v>43987</v>
      </c>
      <c r="C605" s="1" t="n">
        <v>45845</v>
      </c>
      <c r="D605" t="inlineStr">
        <is>
          <t>VÄSTERNORRLANDS LÄN</t>
        </is>
      </c>
      <c r="E605" t="inlineStr">
        <is>
          <t>SUNDSVALL</t>
        </is>
      </c>
      <c r="G605" t="n">
        <v>0.4</v>
      </c>
      <c r="H605" t="n">
        <v>0</v>
      </c>
      <c r="I605" t="n">
        <v>0</v>
      </c>
      <c r="J605" t="n">
        <v>0</v>
      </c>
      <c r="K605" t="n">
        <v>0</v>
      </c>
      <c r="L605" t="n">
        <v>0</v>
      </c>
      <c r="M605" t="n">
        <v>0</v>
      </c>
      <c r="N605" t="n">
        <v>0</v>
      </c>
      <c r="O605" t="n">
        <v>0</v>
      </c>
      <c r="P605" t="n">
        <v>0</v>
      </c>
      <c r="Q605" t="n">
        <v>0</v>
      </c>
      <c r="R605" s="2" t="inlineStr"/>
    </row>
    <row r="606" ht="15" customHeight="1">
      <c r="A606" t="inlineStr">
        <is>
          <t>A 26962-2020</t>
        </is>
      </c>
      <c r="B606" s="1" t="n">
        <v>43990</v>
      </c>
      <c r="C606" s="1" t="n">
        <v>45845</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27195-2020</t>
        </is>
      </c>
      <c r="B607" s="1" t="n">
        <v>43991</v>
      </c>
      <c r="C607" s="1" t="n">
        <v>45845</v>
      </c>
      <c r="D607" t="inlineStr">
        <is>
          <t>VÄSTERNORRLANDS LÄN</t>
        </is>
      </c>
      <c r="E607" t="inlineStr">
        <is>
          <t>SUNDSVALL</t>
        </is>
      </c>
      <c r="G607" t="n">
        <v>5.5</v>
      </c>
      <c r="H607" t="n">
        <v>0</v>
      </c>
      <c r="I607" t="n">
        <v>0</v>
      </c>
      <c r="J607" t="n">
        <v>0</v>
      </c>
      <c r="K607" t="n">
        <v>0</v>
      </c>
      <c r="L607" t="n">
        <v>0</v>
      </c>
      <c r="M607" t="n">
        <v>0</v>
      </c>
      <c r="N607" t="n">
        <v>0</v>
      </c>
      <c r="O607" t="n">
        <v>0</v>
      </c>
      <c r="P607" t="n">
        <v>0</v>
      </c>
      <c r="Q607" t="n">
        <v>0</v>
      </c>
      <c r="R607" s="2" t="inlineStr"/>
    </row>
    <row r="608" ht="15" customHeight="1">
      <c r="A608" t="inlineStr">
        <is>
          <t>A 27274-2020</t>
        </is>
      </c>
      <c r="B608" s="1" t="n">
        <v>43992</v>
      </c>
      <c r="C608" s="1" t="n">
        <v>45845</v>
      </c>
      <c r="D608" t="inlineStr">
        <is>
          <t>VÄSTERNORRLANDS LÄN</t>
        </is>
      </c>
      <c r="E608" t="inlineStr">
        <is>
          <t>SUNDSVALL</t>
        </is>
      </c>
      <c r="G608" t="n">
        <v>0.1</v>
      </c>
      <c r="H608" t="n">
        <v>0</v>
      </c>
      <c r="I608" t="n">
        <v>0</v>
      </c>
      <c r="J608" t="n">
        <v>0</v>
      </c>
      <c r="K608" t="n">
        <v>0</v>
      </c>
      <c r="L608" t="n">
        <v>0</v>
      </c>
      <c r="M608" t="n">
        <v>0</v>
      </c>
      <c r="N608" t="n">
        <v>0</v>
      </c>
      <c r="O608" t="n">
        <v>0</v>
      </c>
      <c r="P608" t="n">
        <v>0</v>
      </c>
      <c r="Q608" t="n">
        <v>0</v>
      </c>
      <c r="R608" s="2" t="inlineStr"/>
    </row>
    <row r="609" ht="15" customHeight="1">
      <c r="A609" t="inlineStr">
        <is>
          <t>A 27551-2020</t>
        </is>
      </c>
      <c r="B609" s="1" t="n">
        <v>43993</v>
      </c>
      <c r="C609" s="1" t="n">
        <v>45845</v>
      </c>
      <c r="D609" t="inlineStr">
        <is>
          <t>VÄSTERNORRLANDS LÄN</t>
        </is>
      </c>
      <c r="E609" t="inlineStr">
        <is>
          <t>SUNDSVALL</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27992-2020</t>
        </is>
      </c>
      <c r="B610" s="1" t="n">
        <v>43997</v>
      </c>
      <c r="C610" s="1" t="n">
        <v>45845</v>
      </c>
      <c r="D610" t="inlineStr">
        <is>
          <t>VÄSTERNORRLANDS LÄN</t>
        </is>
      </c>
      <c r="E610" t="inlineStr">
        <is>
          <t>SUNDSVALL</t>
        </is>
      </c>
      <c r="G610" t="n">
        <v>0.1</v>
      </c>
      <c r="H610" t="n">
        <v>0</v>
      </c>
      <c r="I610" t="n">
        <v>0</v>
      </c>
      <c r="J610" t="n">
        <v>0</v>
      </c>
      <c r="K610" t="n">
        <v>0</v>
      </c>
      <c r="L610" t="n">
        <v>0</v>
      </c>
      <c r="M610" t="n">
        <v>0</v>
      </c>
      <c r="N610" t="n">
        <v>0</v>
      </c>
      <c r="O610" t="n">
        <v>0</v>
      </c>
      <c r="P610" t="n">
        <v>0</v>
      </c>
      <c r="Q610" t="n">
        <v>0</v>
      </c>
      <c r="R610" s="2" t="inlineStr"/>
    </row>
    <row r="611" ht="15" customHeight="1">
      <c r="A611" t="inlineStr">
        <is>
          <t>A 28220-2020</t>
        </is>
      </c>
      <c r="B611" s="1" t="n">
        <v>43997</v>
      </c>
      <c r="C611" s="1" t="n">
        <v>45845</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28559-2020</t>
        </is>
      </c>
      <c r="B612" s="1" t="n">
        <v>43997</v>
      </c>
      <c r="C612" s="1" t="n">
        <v>45845</v>
      </c>
      <c r="D612" t="inlineStr">
        <is>
          <t>VÄSTERNORRLANDS LÄN</t>
        </is>
      </c>
      <c r="E612" t="inlineStr">
        <is>
          <t>SUNDSVALL</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28222-2020</t>
        </is>
      </c>
      <c r="B613" s="1" t="n">
        <v>43997</v>
      </c>
      <c r="C613" s="1" t="n">
        <v>45845</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28218-2020</t>
        </is>
      </c>
      <c r="B614" s="1" t="n">
        <v>43997</v>
      </c>
      <c r="C614" s="1" t="n">
        <v>45845</v>
      </c>
      <c r="D614" t="inlineStr">
        <is>
          <t>VÄSTERNORRLANDS LÄN</t>
        </is>
      </c>
      <c r="E614" t="inlineStr">
        <is>
          <t>SUNDSVALL</t>
        </is>
      </c>
      <c r="G614" t="n">
        <v>0.6</v>
      </c>
      <c r="H614" t="n">
        <v>0</v>
      </c>
      <c r="I614" t="n">
        <v>0</v>
      </c>
      <c r="J614" t="n">
        <v>0</v>
      </c>
      <c r="K614" t="n">
        <v>0</v>
      </c>
      <c r="L614" t="n">
        <v>0</v>
      </c>
      <c r="M614" t="n">
        <v>0</v>
      </c>
      <c r="N614" t="n">
        <v>0</v>
      </c>
      <c r="O614" t="n">
        <v>0</v>
      </c>
      <c r="P614" t="n">
        <v>0</v>
      </c>
      <c r="Q614" t="n">
        <v>0</v>
      </c>
      <c r="R614" s="2" t="inlineStr"/>
    </row>
    <row r="615" ht="15" customHeight="1">
      <c r="A615" t="inlineStr">
        <is>
          <t>A 28655-2020</t>
        </is>
      </c>
      <c r="B615" s="1" t="n">
        <v>43999</v>
      </c>
      <c r="C615" s="1" t="n">
        <v>45845</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28727-2020</t>
        </is>
      </c>
      <c r="B616" s="1" t="n">
        <v>43999</v>
      </c>
      <c r="C616" s="1" t="n">
        <v>45845</v>
      </c>
      <c r="D616" t="inlineStr">
        <is>
          <t>VÄSTERNORRLANDS LÄN</t>
        </is>
      </c>
      <c r="E616" t="inlineStr">
        <is>
          <t>SUNDSVALL</t>
        </is>
      </c>
      <c r="G616" t="n">
        <v>4.7</v>
      </c>
      <c r="H616" t="n">
        <v>0</v>
      </c>
      <c r="I616" t="n">
        <v>0</v>
      </c>
      <c r="J616" t="n">
        <v>0</v>
      </c>
      <c r="K616" t="n">
        <v>0</v>
      </c>
      <c r="L616" t="n">
        <v>0</v>
      </c>
      <c r="M616" t="n">
        <v>0</v>
      </c>
      <c r="N616" t="n">
        <v>0</v>
      </c>
      <c r="O616" t="n">
        <v>0</v>
      </c>
      <c r="P616" t="n">
        <v>0</v>
      </c>
      <c r="Q616" t="n">
        <v>0</v>
      </c>
      <c r="R616" s="2" t="inlineStr"/>
    </row>
    <row r="617" ht="15" customHeight="1">
      <c r="A617" t="inlineStr">
        <is>
          <t>A 28724-2020</t>
        </is>
      </c>
      <c r="B617" s="1" t="n">
        <v>43999</v>
      </c>
      <c r="C617" s="1" t="n">
        <v>45845</v>
      </c>
      <c r="D617" t="inlineStr">
        <is>
          <t>VÄSTERNORRLANDS LÄN</t>
        </is>
      </c>
      <c r="E617" t="inlineStr">
        <is>
          <t>SUNDSVALL</t>
        </is>
      </c>
      <c r="G617" t="n">
        <v>3.1</v>
      </c>
      <c r="H617" t="n">
        <v>0</v>
      </c>
      <c r="I617" t="n">
        <v>0</v>
      </c>
      <c r="J617" t="n">
        <v>0</v>
      </c>
      <c r="K617" t="n">
        <v>0</v>
      </c>
      <c r="L617" t="n">
        <v>0</v>
      </c>
      <c r="M617" t="n">
        <v>0</v>
      </c>
      <c r="N617" t="n">
        <v>0</v>
      </c>
      <c r="O617" t="n">
        <v>0</v>
      </c>
      <c r="P617" t="n">
        <v>0</v>
      </c>
      <c r="Q617" t="n">
        <v>0</v>
      </c>
      <c r="R617" s="2" t="inlineStr"/>
    </row>
    <row r="618" ht="15" customHeight="1">
      <c r="A618" t="inlineStr">
        <is>
          <t>A 29059-2020</t>
        </is>
      </c>
      <c r="B618" s="1" t="n">
        <v>44000</v>
      </c>
      <c r="C618" s="1" t="n">
        <v>45845</v>
      </c>
      <c r="D618" t="inlineStr">
        <is>
          <t>VÄSTERNORRLANDS LÄN</t>
        </is>
      </c>
      <c r="E618" t="inlineStr">
        <is>
          <t>SUNDSVALL</t>
        </is>
      </c>
      <c r="G618" t="n">
        <v>0.7</v>
      </c>
      <c r="H618" t="n">
        <v>0</v>
      </c>
      <c r="I618" t="n">
        <v>0</v>
      </c>
      <c r="J618" t="n">
        <v>0</v>
      </c>
      <c r="K618" t="n">
        <v>0</v>
      </c>
      <c r="L618" t="n">
        <v>0</v>
      </c>
      <c r="M618" t="n">
        <v>0</v>
      </c>
      <c r="N618" t="n">
        <v>0</v>
      </c>
      <c r="O618" t="n">
        <v>0</v>
      </c>
      <c r="P618" t="n">
        <v>0</v>
      </c>
      <c r="Q618" t="n">
        <v>0</v>
      </c>
      <c r="R618" s="2" t="inlineStr"/>
    </row>
    <row r="619" ht="15" customHeight="1">
      <c r="A619" t="inlineStr">
        <is>
          <t>A 29189-2020</t>
        </is>
      </c>
      <c r="B619" s="1" t="n">
        <v>44004</v>
      </c>
      <c r="C619" s="1" t="n">
        <v>45845</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29777-2020</t>
        </is>
      </c>
      <c r="B620" s="1" t="n">
        <v>44005</v>
      </c>
      <c r="C620" s="1" t="n">
        <v>45845</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29784-2020</t>
        </is>
      </c>
      <c r="B621" s="1" t="n">
        <v>44005</v>
      </c>
      <c r="C621" s="1" t="n">
        <v>45845</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29906-2020</t>
        </is>
      </c>
      <c r="B622" s="1" t="n">
        <v>44006</v>
      </c>
      <c r="C622" s="1" t="n">
        <v>45845</v>
      </c>
      <c r="D622" t="inlineStr">
        <is>
          <t>VÄSTERNORRLANDS LÄN</t>
        </is>
      </c>
      <c r="E622" t="inlineStr">
        <is>
          <t>SUNDSVALL</t>
        </is>
      </c>
      <c r="G622" t="n">
        <v>0.8</v>
      </c>
      <c r="H622" t="n">
        <v>0</v>
      </c>
      <c r="I622" t="n">
        <v>0</v>
      </c>
      <c r="J622" t="n">
        <v>0</v>
      </c>
      <c r="K622" t="n">
        <v>0</v>
      </c>
      <c r="L622" t="n">
        <v>0</v>
      </c>
      <c r="M622" t="n">
        <v>0</v>
      </c>
      <c r="N622" t="n">
        <v>0</v>
      </c>
      <c r="O622" t="n">
        <v>0</v>
      </c>
      <c r="P622" t="n">
        <v>0</v>
      </c>
      <c r="Q622" t="n">
        <v>0</v>
      </c>
      <c r="R622" s="2" t="inlineStr"/>
    </row>
    <row r="623" ht="15" customHeight="1">
      <c r="A623" t="inlineStr">
        <is>
          <t>A 30685-2020</t>
        </is>
      </c>
      <c r="B623" s="1" t="n">
        <v>44008</v>
      </c>
      <c r="C623" s="1" t="n">
        <v>45845</v>
      </c>
      <c r="D623" t="inlineStr">
        <is>
          <t>VÄSTERNORRLANDS LÄN</t>
        </is>
      </c>
      <c r="E623" t="inlineStr">
        <is>
          <t>SUNDSVALL</t>
        </is>
      </c>
      <c r="G623" t="n">
        <v>0.4</v>
      </c>
      <c r="H623" t="n">
        <v>0</v>
      </c>
      <c r="I623" t="n">
        <v>0</v>
      </c>
      <c r="J623" t="n">
        <v>0</v>
      </c>
      <c r="K623" t="n">
        <v>0</v>
      </c>
      <c r="L623" t="n">
        <v>0</v>
      </c>
      <c r="M623" t="n">
        <v>0</v>
      </c>
      <c r="N623" t="n">
        <v>0</v>
      </c>
      <c r="O623" t="n">
        <v>0</v>
      </c>
      <c r="P623" t="n">
        <v>0</v>
      </c>
      <c r="Q623" t="n">
        <v>0</v>
      </c>
      <c r="R623" s="2" t="inlineStr"/>
    </row>
    <row r="624" ht="15" customHeight="1">
      <c r="A624" t="inlineStr">
        <is>
          <t>A 31586-2020</t>
        </is>
      </c>
      <c r="B624" s="1" t="n">
        <v>44013</v>
      </c>
      <c r="C624" s="1" t="n">
        <v>45845</v>
      </c>
      <c r="D624" t="inlineStr">
        <is>
          <t>VÄSTERNORRLANDS LÄN</t>
        </is>
      </c>
      <c r="E624" t="inlineStr">
        <is>
          <t>SUNDSVALL</t>
        </is>
      </c>
      <c r="G624" t="n">
        <v>2.7</v>
      </c>
      <c r="H624" t="n">
        <v>0</v>
      </c>
      <c r="I624" t="n">
        <v>0</v>
      </c>
      <c r="J624" t="n">
        <v>0</v>
      </c>
      <c r="K624" t="n">
        <v>0</v>
      </c>
      <c r="L624" t="n">
        <v>0</v>
      </c>
      <c r="M624" t="n">
        <v>0</v>
      </c>
      <c r="N624" t="n">
        <v>0</v>
      </c>
      <c r="O624" t="n">
        <v>0</v>
      </c>
      <c r="P624" t="n">
        <v>0</v>
      </c>
      <c r="Q624" t="n">
        <v>0</v>
      </c>
      <c r="R624" s="2" t="inlineStr"/>
    </row>
    <row r="625" ht="15" customHeight="1">
      <c r="A625" t="inlineStr">
        <is>
          <t>A 31965-2020</t>
        </is>
      </c>
      <c r="B625" s="1" t="n">
        <v>44014</v>
      </c>
      <c r="C625" s="1" t="n">
        <v>45845</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31984-2020</t>
        </is>
      </c>
      <c r="B626" s="1" t="n">
        <v>44014</v>
      </c>
      <c r="C626" s="1" t="n">
        <v>45845</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32425-2020</t>
        </is>
      </c>
      <c r="B627" s="1" t="n">
        <v>44018</v>
      </c>
      <c r="C627" s="1" t="n">
        <v>45845</v>
      </c>
      <c r="D627" t="inlineStr">
        <is>
          <t>VÄSTERNORRLANDS LÄN</t>
        </is>
      </c>
      <c r="E627" t="inlineStr">
        <is>
          <t>SUNDSVALL</t>
        </is>
      </c>
      <c r="G627" t="n">
        <v>3.4</v>
      </c>
      <c r="H627" t="n">
        <v>0</v>
      </c>
      <c r="I627" t="n">
        <v>0</v>
      </c>
      <c r="J627" t="n">
        <v>0</v>
      </c>
      <c r="K627" t="n">
        <v>0</v>
      </c>
      <c r="L627" t="n">
        <v>0</v>
      </c>
      <c r="M627" t="n">
        <v>0</v>
      </c>
      <c r="N627" t="n">
        <v>0</v>
      </c>
      <c r="O627" t="n">
        <v>0</v>
      </c>
      <c r="P627" t="n">
        <v>0</v>
      </c>
      <c r="Q627" t="n">
        <v>0</v>
      </c>
      <c r="R627" s="2" t="inlineStr"/>
    </row>
    <row r="628" ht="15" customHeight="1">
      <c r="A628" t="inlineStr">
        <is>
          <t>A 32646-2020</t>
        </is>
      </c>
      <c r="B628" s="1" t="n">
        <v>44018</v>
      </c>
      <c r="C628" s="1" t="n">
        <v>45845</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32998-2020</t>
        </is>
      </c>
      <c r="B629" s="1" t="n">
        <v>44020</v>
      </c>
      <c r="C629" s="1" t="n">
        <v>45845</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32997-2020</t>
        </is>
      </c>
      <c r="B630" s="1" t="n">
        <v>44021</v>
      </c>
      <c r="C630" s="1" t="n">
        <v>45845</v>
      </c>
      <c r="D630" t="inlineStr">
        <is>
          <t>VÄSTERNORRLANDS LÄN</t>
        </is>
      </c>
      <c r="E630" t="inlineStr">
        <is>
          <t>SUNDSVALL</t>
        </is>
      </c>
      <c r="G630" t="n">
        <v>5.2</v>
      </c>
      <c r="H630" t="n">
        <v>0</v>
      </c>
      <c r="I630" t="n">
        <v>0</v>
      </c>
      <c r="J630" t="n">
        <v>0</v>
      </c>
      <c r="K630" t="n">
        <v>0</v>
      </c>
      <c r="L630" t="n">
        <v>0</v>
      </c>
      <c r="M630" t="n">
        <v>0</v>
      </c>
      <c r="N630" t="n">
        <v>0</v>
      </c>
      <c r="O630" t="n">
        <v>0</v>
      </c>
      <c r="P630" t="n">
        <v>0</v>
      </c>
      <c r="Q630" t="n">
        <v>0</v>
      </c>
      <c r="R630" s="2" t="inlineStr"/>
    </row>
    <row r="631" ht="15" customHeight="1">
      <c r="A631" t="inlineStr">
        <is>
          <t>A 33877-2020</t>
        </is>
      </c>
      <c r="B631" s="1" t="n">
        <v>44025</v>
      </c>
      <c r="C631" s="1" t="n">
        <v>45845</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33779-2020</t>
        </is>
      </c>
      <c r="B632" s="1" t="n">
        <v>44026</v>
      </c>
      <c r="C632" s="1" t="n">
        <v>45845</v>
      </c>
      <c r="D632" t="inlineStr">
        <is>
          <t>VÄSTERNORRLANDS LÄN</t>
        </is>
      </c>
      <c r="E632" t="inlineStr">
        <is>
          <t>SUNDSVALL</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34568-2020</t>
        </is>
      </c>
      <c r="B633" s="1" t="n">
        <v>44033</v>
      </c>
      <c r="C633" s="1" t="n">
        <v>45845</v>
      </c>
      <c r="D633" t="inlineStr">
        <is>
          <t>VÄSTERNORRLANDS LÄN</t>
        </is>
      </c>
      <c r="E633" t="inlineStr">
        <is>
          <t>SUNDSVALL</t>
        </is>
      </c>
      <c r="G633" t="n">
        <v>1.7</v>
      </c>
      <c r="H633" t="n">
        <v>0</v>
      </c>
      <c r="I633" t="n">
        <v>0</v>
      </c>
      <c r="J633" t="n">
        <v>0</v>
      </c>
      <c r="K633" t="n">
        <v>0</v>
      </c>
      <c r="L633" t="n">
        <v>0</v>
      </c>
      <c r="M633" t="n">
        <v>0</v>
      </c>
      <c r="N633" t="n">
        <v>0</v>
      </c>
      <c r="O633" t="n">
        <v>0</v>
      </c>
      <c r="P633" t="n">
        <v>0</v>
      </c>
      <c r="Q633" t="n">
        <v>0</v>
      </c>
      <c r="R633" s="2" t="inlineStr"/>
    </row>
    <row r="634" ht="15" customHeight="1">
      <c r="A634" t="inlineStr">
        <is>
          <t>A 34655-2020</t>
        </is>
      </c>
      <c r="B634" s="1" t="n">
        <v>44034</v>
      </c>
      <c r="C634" s="1" t="n">
        <v>45845</v>
      </c>
      <c r="D634" t="inlineStr">
        <is>
          <t>VÄSTERNORRLANDS LÄN</t>
        </is>
      </c>
      <c r="E634" t="inlineStr">
        <is>
          <t>SUNDSVALL</t>
        </is>
      </c>
      <c r="F634" t="inlineStr">
        <is>
          <t>Naturvårdsverket</t>
        </is>
      </c>
      <c r="G634" t="n">
        <v>39.1</v>
      </c>
      <c r="H634" t="n">
        <v>0</v>
      </c>
      <c r="I634" t="n">
        <v>0</v>
      </c>
      <c r="J634" t="n">
        <v>0</v>
      </c>
      <c r="K634" t="n">
        <v>0</v>
      </c>
      <c r="L634" t="n">
        <v>0</v>
      </c>
      <c r="M634" t="n">
        <v>0</v>
      </c>
      <c r="N634" t="n">
        <v>0</v>
      </c>
      <c r="O634" t="n">
        <v>0</v>
      </c>
      <c r="P634" t="n">
        <v>0</v>
      </c>
      <c r="Q634" t="n">
        <v>0</v>
      </c>
      <c r="R634" s="2" t="inlineStr"/>
    </row>
    <row r="635" ht="15" customHeight="1">
      <c r="A635" t="inlineStr">
        <is>
          <t>A 34656-2020</t>
        </is>
      </c>
      <c r="B635" s="1" t="n">
        <v>44034</v>
      </c>
      <c r="C635" s="1" t="n">
        <v>45845</v>
      </c>
      <c r="D635" t="inlineStr">
        <is>
          <t>VÄSTERNORRLANDS LÄN</t>
        </is>
      </c>
      <c r="E635" t="inlineStr">
        <is>
          <t>SUNDSVALL</t>
        </is>
      </c>
      <c r="F635" t="inlineStr">
        <is>
          <t>Naturvårdsverket</t>
        </is>
      </c>
      <c r="G635" t="n">
        <v>1.9</v>
      </c>
      <c r="H635" t="n">
        <v>0</v>
      </c>
      <c r="I635" t="n">
        <v>0</v>
      </c>
      <c r="J635" t="n">
        <v>0</v>
      </c>
      <c r="K635" t="n">
        <v>0</v>
      </c>
      <c r="L635" t="n">
        <v>0</v>
      </c>
      <c r="M635" t="n">
        <v>0</v>
      </c>
      <c r="N635" t="n">
        <v>0</v>
      </c>
      <c r="O635" t="n">
        <v>0</v>
      </c>
      <c r="P635" t="n">
        <v>0</v>
      </c>
      <c r="Q635" t="n">
        <v>0</v>
      </c>
      <c r="R635" s="2" t="inlineStr"/>
    </row>
    <row r="636" ht="15" customHeight="1">
      <c r="A636" t="inlineStr">
        <is>
          <t>A 34781-2020</t>
        </is>
      </c>
      <c r="B636" s="1" t="n">
        <v>44035</v>
      </c>
      <c r="C636" s="1" t="n">
        <v>45845</v>
      </c>
      <c r="D636" t="inlineStr">
        <is>
          <t>VÄSTERNORRLANDS LÄN</t>
        </is>
      </c>
      <c r="E636" t="inlineStr">
        <is>
          <t>SUNDSVALL</t>
        </is>
      </c>
      <c r="G636" t="n">
        <v>2</v>
      </c>
      <c r="H636" t="n">
        <v>0</v>
      </c>
      <c r="I636" t="n">
        <v>0</v>
      </c>
      <c r="J636" t="n">
        <v>0</v>
      </c>
      <c r="K636" t="n">
        <v>0</v>
      </c>
      <c r="L636" t="n">
        <v>0</v>
      </c>
      <c r="M636" t="n">
        <v>0</v>
      </c>
      <c r="N636" t="n">
        <v>0</v>
      </c>
      <c r="O636" t="n">
        <v>0</v>
      </c>
      <c r="P636" t="n">
        <v>0</v>
      </c>
      <c r="Q636" t="n">
        <v>0</v>
      </c>
      <c r="R636" s="2" t="inlineStr"/>
    </row>
    <row r="637" ht="15" customHeight="1">
      <c r="A637" t="inlineStr">
        <is>
          <t>A 34779-2020</t>
        </is>
      </c>
      <c r="B637" s="1" t="n">
        <v>44035</v>
      </c>
      <c r="C637" s="1" t="n">
        <v>45845</v>
      </c>
      <c r="D637" t="inlineStr">
        <is>
          <t>VÄSTERNORRLANDS LÄN</t>
        </is>
      </c>
      <c r="E637" t="inlineStr">
        <is>
          <t>SUNDSVALL</t>
        </is>
      </c>
      <c r="G637" t="n">
        <v>3</v>
      </c>
      <c r="H637" t="n">
        <v>0</v>
      </c>
      <c r="I637" t="n">
        <v>0</v>
      </c>
      <c r="J637" t="n">
        <v>0</v>
      </c>
      <c r="K637" t="n">
        <v>0</v>
      </c>
      <c r="L637" t="n">
        <v>0</v>
      </c>
      <c r="M637" t="n">
        <v>0</v>
      </c>
      <c r="N637" t="n">
        <v>0</v>
      </c>
      <c r="O637" t="n">
        <v>0</v>
      </c>
      <c r="P637" t="n">
        <v>0</v>
      </c>
      <c r="Q637" t="n">
        <v>0</v>
      </c>
      <c r="R637" s="2" t="inlineStr"/>
    </row>
    <row r="638" ht="15" customHeight="1">
      <c r="A638" t="inlineStr">
        <is>
          <t>A 34780-2020</t>
        </is>
      </c>
      <c r="B638" s="1" t="n">
        <v>44035</v>
      </c>
      <c r="C638" s="1" t="n">
        <v>45845</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35211-2020</t>
        </is>
      </c>
      <c r="B639" s="1" t="n">
        <v>44040</v>
      </c>
      <c r="C639" s="1" t="n">
        <v>45845</v>
      </c>
      <c r="D639" t="inlineStr">
        <is>
          <t>VÄSTERNORRLANDS LÄN</t>
        </is>
      </c>
      <c r="E639" t="inlineStr">
        <is>
          <t>SUNDSVALL</t>
        </is>
      </c>
      <c r="F639" t="inlineStr">
        <is>
          <t>SCA</t>
        </is>
      </c>
      <c r="G639" t="n">
        <v>6.6</v>
      </c>
      <c r="H639" t="n">
        <v>0</v>
      </c>
      <c r="I639" t="n">
        <v>0</v>
      </c>
      <c r="J639" t="n">
        <v>0</v>
      </c>
      <c r="K639" t="n">
        <v>0</v>
      </c>
      <c r="L639" t="n">
        <v>0</v>
      </c>
      <c r="M639" t="n">
        <v>0</v>
      </c>
      <c r="N639" t="n">
        <v>0</v>
      </c>
      <c r="O639" t="n">
        <v>0</v>
      </c>
      <c r="P639" t="n">
        <v>0</v>
      </c>
      <c r="Q639" t="n">
        <v>0</v>
      </c>
      <c r="R639" s="2" t="inlineStr"/>
    </row>
    <row r="640" ht="15" customHeight="1">
      <c r="A640" t="inlineStr">
        <is>
          <t>A 35596-2020</t>
        </is>
      </c>
      <c r="B640" s="1" t="n">
        <v>44043</v>
      </c>
      <c r="C640" s="1" t="n">
        <v>45845</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36020-2020</t>
        </is>
      </c>
      <c r="B641" s="1" t="n">
        <v>44047</v>
      </c>
      <c r="C641" s="1" t="n">
        <v>45845</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36448-2020</t>
        </is>
      </c>
      <c r="B642" s="1" t="n">
        <v>44049</v>
      </c>
      <c r="C642" s="1" t="n">
        <v>45845</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36645-2020</t>
        </is>
      </c>
      <c r="B643" s="1" t="n">
        <v>44050</v>
      </c>
      <c r="C643" s="1" t="n">
        <v>45845</v>
      </c>
      <c r="D643" t="inlineStr">
        <is>
          <t>VÄSTERNORRLANDS LÄN</t>
        </is>
      </c>
      <c r="E643" t="inlineStr">
        <is>
          <t>SUNDSVALL</t>
        </is>
      </c>
      <c r="F643" t="inlineStr">
        <is>
          <t>SCA</t>
        </is>
      </c>
      <c r="G643" t="n">
        <v>7.3</v>
      </c>
      <c r="H643" t="n">
        <v>0</v>
      </c>
      <c r="I643" t="n">
        <v>0</v>
      </c>
      <c r="J643" t="n">
        <v>0</v>
      </c>
      <c r="K643" t="n">
        <v>0</v>
      </c>
      <c r="L643" t="n">
        <v>0</v>
      </c>
      <c r="M643" t="n">
        <v>0</v>
      </c>
      <c r="N643" t="n">
        <v>0</v>
      </c>
      <c r="O643" t="n">
        <v>0</v>
      </c>
      <c r="P643" t="n">
        <v>0</v>
      </c>
      <c r="Q643" t="n">
        <v>0</v>
      </c>
      <c r="R643" s="2" t="inlineStr"/>
    </row>
    <row r="644" ht="15" customHeight="1">
      <c r="A644" t="inlineStr">
        <is>
          <t>A 36673-2020</t>
        </is>
      </c>
      <c r="B644" s="1" t="n">
        <v>44050</v>
      </c>
      <c r="C644" s="1" t="n">
        <v>45845</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37233-2020</t>
        </is>
      </c>
      <c r="B645" s="1" t="n">
        <v>44054</v>
      </c>
      <c r="C645" s="1" t="n">
        <v>45845</v>
      </c>
      <c r="D645" t="inlineStr">
        <is>
          <t>VÄSTERNORRLANDS LÄN</t>
        </is>
      </c>
      <c r="E645" t="inlineStr">
        <is>
          <t>SUNDSVALL</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38096-2020</t>
        </is>
      </c>
      <c r="B646" s="1" t="n">
        <v>44057</v>
      </c>
      <c r="C646" s="1" t="n">
        <v>45845</v>
      </c>
      <c r="D646" t="inlineStr">
        <is>
          <t>VÄSTERNORRLANDS LÄN</t>
        </is>
      </c>
      <c r="E646" t="inlineStr">
        <is>
          <t>SUNDSVALL</t>
        </is>
      </c>
      <c r="F646" t="inlineStr">
        <is>
          <t>Naturvårdsverket</t>
        </is>
      </c>
      <c r="G646" t="n">
        <v>7.9</v>
      </c>
      <c r="H646" t="n">
        <v>0</v>
      </c>
      <c r="I646" t="n">
        <v>0</v>
      </c>
      <c r="J646" t="n">
        <v>0</v>
      </c>
      <c r="K646" t="n">
        <v>0</v>
      </c>
      <c r="L646" t="n">
        <v>0</v>
      </c>
      <c r="M646" t="n">
        <v>0</v>
      </c>
      <c r="N646" t="n">
        <v>0</v>
      </c>
      <c r="O646" t="n">
        <v>0</v>
      </c>
      <c r="P646" t="n">
        <v>0</v>
      </c>
      <c r="Q646" t="n">
        <v>0</v>
      </c>
      <c r="R646" s="2" t="inlineStr"/>
    </row>
    <row r="647" ht="15" customHeight="1">
      <c r="A647" t="inlineStr">
        <is>
          <t>A 38091-2020</t>
        </is>
      </c>
      <c r="B647" s="1" t="n">
        <v>44057</v>
      </c>
      <c r="C647" s="1" t="n">
        <v>45845</v>
      </c>
      <c r="D647" t="inlineStr">
        <is>
          <t>VÄSTERNORRLANDS LÄN</t>
        </is>
      </c>
      <c r="E647" t="inlineStr">
        <is>
          <t>SUNDSVALL</t>
        </is>
      </c>
      <c r="G647" t="n">
        <v>2.8</v>
      </c>
      <c r="H647" t="n">
        <v>0</v>
      </c>
      <c r="I647" t="n">
        <v>0</v>
      </c>
      <c r="J647" t="n">
        <v>0</v>
      </c>
      <c r="K647" t="n">
        <v>0</v>
      </c>
      <c r="L647" t="n">
        <v>0</v>
      </c>
      <c r="M647" t="n">
        <v>0</v>
      </c>
      <c r="N647" t="n">
        <v>0</v>
      </c>
      <c r="O647" t="n">
        <v>0</v>
      </c>
      <c r="P647" t="n">
        <v>0</v>
      </c>
      <c r="Q647" t="n">
        <v>0</v>
      </c>
      <c r="R647" s="2" t="inlineStr"/>
    </row>
    <row r="648" ht="15" customHeight="1">
      <c r="A648" t="inlineStr">
        <is>
          <t>A 38754-2020</t>
        </is>
      </c>
      <c r="B648" s="1" t="n">
        <v>44061</v>
      </c>
      <c r="C648" s="1" t="n">
        <v>45845</v>
      </c>
      <c r="D648" t="inlineStr">
        <is>
          <t>VÄSTERNORRLANDS LÄN</t>
        </is>
      </c>
      <c r="E648" t="inlineStr">
        <is>
          <t>SUNDSVALL</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38852-2020</t>
        </is>
      </c>
      <c r="B649" s="1" t="n">
        <v>44062</v>
      </c>
      <c r="C649" s="1" t="n">
        <v>45845</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38858-2020</t>
        </is>
      </c>
      <c r="B650" s="1" t="n">
        <v>44062</v>
      </c>
      <c r="C650" s="1" t="n">
        <v>45845</v>
      </c>
      <c r="D650" t="inlineStr">
        <is>
          <t>VÄSTERNORRLANDS LÄN</t>
        </is>
      </c>
      <c r="E650" t="inlineStr">
        <is>
          <t>SUNDSVALL</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38863-2020</t>
        </is>
      </c>
      <c r="B651" s="1" t="n">
        <v>44062</v>
      </c>
      <c r="C651" s="1" t="n">
        <v>45845</v>
      </c>
      <c r="D651" t="inlineStr">
        <is>
          <t>VÄSTERNORRLANDS LÄN</t>
        </is>
      </c>
      <c r="E651" t="inlineStr">
        <is>
          <t>SUNDSVALL</t>
        </is>
      </c>
      <c r="G651" t="n">
        <v>1.2</v>
      </c>
      <c r="H651" t="n">
        <v>0</v>
      </c>
      <c r="I651" t="n">
        <v>0</v>
      </c>
      <c r="J651" t="n">
        <v>0</v>
      </c>
      <c r="K651" t="n">
        <v>0</v>
      </c>
      <c r="L651" t="n">
        <v>0</v>
      </c>
      <c r="M651" t="n">
        <v>0</v>
      </c>
      <c r="N651" t="n">
        <v>0</v>
      </c>
      <c r="O651" t="n">
        <v>0</v>
      </c>
      <c r="P651" t="n">
        <v>0</v>
      </c>
      <c r="Q651" t="n">
        <v>0</v>
      </c>
      <c r="R651" s="2" t="inlineStr"/>
    </row>
    <row r="652" ht="15" customHeight="1">
      <c r="A652" t="inlineStr">
        <is>
          <t>A 39756-2020</t>
        </is>
      </c>
      <c r="B652" s="1" t="n">
        <v>44067</v>
      </c>
      <c r="C652" s="1" t="n">
        <v>45845</v>
      </c>
      <c r="D652" t="inlineStr">
        <is>
          <t>VÄSTERNORRLANDS LÄN</t>
        </is>
      </c>
      <c r="E652" t="inlineStr">
        <is>
          <t>SUNDSVALL</t>
        </is>
      </c>
      <c r="F652" t="inlineStr">
        <is>
          <t>Holmen skog AB</t>
        </is>
      </c>
      <c r="G652" t="n">
        <v>1.4</v>
      </c>
      <c r="H652" t="n">
        <v>0</v>
      </c>
      <c r="I652" t="n">
        <v>0</v>
      </c>
      <c r="J652" t="n">
        <v>0</v>
      </c>
      <c r="K652" t="n">
        <v>0</v>
      </c>
      <c r="L652" t="n">
        <v>0</v>
      </c>
      <c r="M652" t="n">
        <v>0</v>
      </c>
      <c r="N652" t="n">
        <v>0</v>
      </c>
      <c r="O652" t="n">
        <v>0</v>
      </c>
      <c r="P652" t="n">
        <v>0</v>
      </c>
      <c r="Q652" t="n">
        <v>0</v>
      </c>
      <c r="R652" s="2" t="inlineStr"/>
    </row>
    <row r="653" ht="15" customHeight="1">
      <c r="A653" t="inlineStr">
        <is>
          <t>A 40554-2020</t>
        </is>
      </c>
      <c r="B653" s="1" t="n">
        <v>44069</v>
      </c>
      <c r="C653" s="1" t="n">
        <v>45845</v>
      </c>
      <c r="D653" t="inlineStr">
        <is>
          <t>VÄSTERNORRLANDS LÄN</t>
        </is>
      </c>
      <c r="E653" t="inlineStr">
        <is>
          <t>SUNDSVALL</t>
        </is>
      </c>
      <c r="G653" t="n">
        <v>2</v>
      </c>
      <c r="H653" t="n">
        <v>0</v>
      </c>
      <c r="I653" t="n">
        <v>0</v>
      </c>
      <c r="J653" t="n">
        <v>0</v>
      </c>
      <c r="K653" t="n">
        <v>0</v>
      </c>
      <c r="L653" t="n">
        <v>0</v>
      </c>
      <c r="M653" t="n">
        <v>0</v>
      </c>
      <c r="N653" t="n">
        <v>0</v>
      </c>
      <c r="O653" t="n">
        <v>0</v>
      </c>
      <c r="P653" t="n">
        <v>0</v>
      </c>
      <c r="Q653" t="n">
        <v>0</v>
      </c>
      <c r="R653" s="2" t="inlineStr"/>
    </row>
    <row r="654" ht="15" customHeight="1">
      <c r="A654" t="inlineStr">
        <is>
          <t>A 41030-2020</t>
        </is>
      </c>
      <c r="B654" s="1" t="n">
        <v>44070</v>
      </c>
      <c r="C654" s="1" t="n">
        <v>45845</v>
      </c>
      <c r="D654" t="inlineStr">
        <is>
          <t>VÄSTERNORRLANDS LÄN</t>
        </is>
      </c>
      <c r="E654" t="inlineStr">
        <is>
          <t>SUNDSVALL</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41335-2020</t>
        </is>
      </c>
      <c r="B655" s="1" t="n">
        <v>44071</v>
      </c>
      <c r="C655" s="1" t="n">
        <v>45845</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41351-2020</t>
        </is>
      </c>
      <c r="B656" s="1" t="n">
        <v>44071</v>
      </c>
      <c r="C656" s="1" t="n">
        <v>45845</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42099-2020</t>
        </is>
      </c>
      <c r="B657" s="1" t="n">
        <v>44074</v>
      </c>
      <c r="C657" s="1" t="n">
        <v>45845</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42155-2020</t>
        </is>
      </c>
      <c r="B658" s="1" t="n">
        <v>44074</v>
      </c>
      <c r="C658" s="1" t="n">
        <v>45845</v>
      </c>
      <c r="D658" t="inlineStr">
        <is>
          <t>VÄSTERNORRLANDS LÄN</t>
        </is>
      </c>
      <c r="E658" t="inlineStr">
        <is>
          <t>SUNDSVALL</t>
        </is>
      </c>
      <c r="G658" t="n">
        <v>4.4</v>
      </c>
      <c r="H658" t="n">
        <v>0</v>
      </c>
      <c r="I658" t="n">
        <v>0</v>
      </c>
      <c r="J658" t="n">
        <v>0</v>
      </c>
      <c r="K658" t="n">
        <v>0</v>
      </c>
      <c r="L658" t="n">
        <v>0</v>
      </c>
      <c r="M658" t="n">
        <v>0</v>
      </c>
      <c r="N658" t="n">
        <v>0</v>
      </c>
      <c r="O658" t="n">
        <v>0</v>
      </c>
      <c r="P658" t="n">
        <v>0</v>
      </c>
      <c r="Q658" t="n">
        <v>0</v>
      </c>
      <c r="R658" s="2" t="inlineStr"/>
    </row>
    <row r="659" ht="15" customHeight="1">
      <c r="A659" t="inlineStr">
        <is>
          <t>A 43299-2020</t>
        </is>
      </c>
      <c r="B659" s="1" t="n">
        <v>44081</v>
      </c>
      <c r="C659" s="1" t="n">
        <v>45845</v>
      </c>
      <c r="D659" t="inlineStr">
        <is>
          <t>VÄSTERNORRLANDS LÄN</t>
        </is>
      </c>
      <c r="E659" t="inlineStr">
        <is>
          <t>SUNDSVALL</t>
        </is>
      </c>
      <c r="G659" t="n">
        <v>2.6</v>
      </c>
      <c r="H659" t="n">
        <v>0</v>
      </c>
      <c r="I659" t="n">
        <v>0</v>
      </c>
      <c r="J659" t="n">
        <v>0</v>
      </c>
      <c r="K659" t="n">
        <v>0</v>
      </c>
      <c r="L659" t="n">
        <v>0</v>
      </c>
      <c r="M659" t="n">
        <v>0</v>
      </c>
      <c r="N659" t="n">
        <v>0</v>
      </c>
      <c r="O659" t="n">
        <v>0</v>
      </c>
      <c r="P659" t="n">
        <v>0</v>
      </c>
      <c r="Q659" t="n">
        <v>0</v>
      </c>
      <c r="R659" s="2" t="inlineStr"/>
    </row>
    <row r="660" ht="15" customHeight="1">
      <c r="A660" t="inlineStr">
        <is>
          <t>A 44210-2020</t>
        </is>
      </c>
      <c r="B660" s="1" t="n">
        <v>44083</v>
      </c>
      <c r="C660" s="1" t="n">
        <v>45845</v>
      </c>
      <c r="D660" t="inlineStr">
        <is>
          <t>VÄSTERNORRLANDS LÄN</t>
        </is>
      </c>
      <c r="E660" t="inlineStr">
        <is>
          <t>SUNDSVALL</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45053-2020</t>
        </is>
      </c>
      <c r="B661" s="1" t="n">
        <v>44084</v>
      </c>
      <c r="C661" s="1" t="n">
        <v>45845</v>
      </c>
      <c r="D661" t="inlineStr">
        <is>
          <t>VÄSTERNORRLANDS LÄN</t>
        </is>
      </c>
      <c r="E661" t="inlineStr">
        <is>
          <t>SUNDSVALL</t>
        </is>
      </c>
      <c r="G661" t="n">
        <v>16.6</v>
      </c>
      <c r="H661" t="n">
        <v>0</v>
      </c>
      <c r="I661" t="n">
        <v>0</v>
      </c>
      <c r="J661" t="n">
        <v>0</v>
      </c>
      <c r="K661" t="n">
        <v>0</v>
      </c>
      <c r="L661" t="n">
        <v>0</v>
      </c>
      <c r="M661" t="n">
        <v>0</v>
      </c>
      <c r="N661" t="n">
        <v>0</v>
      </c>
      <c r="O661" t="n">
        <v>0</v>
      </c>
      <c r="P661" t="n">
        <v>0</v>
      </c>
      <c r="Q661" t="n">
        <v>0</v>
      </c>
      <c r="R661" s="2" t="inlineStr"/>
    </row>
    <row r="662" ht="15" customHeight="1">
      <c r="A662" t="inlineStr">
        <is>
          <t>A 44599-2020</t>
        </is>
      </c>
      <c r="B662" s="1" t="n">
        <v>44085</v>
      </c>
      <c r="C662" s="1" t="n">
        <v>45845</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45337-2020</t>
        </is>
      </c>
      <c r="B663" s="1" t="n">
        <v>44085</v>
      </c>
      <c r="C663" s="1" t="n">
        <v>45845</v>
      </c>
      <c r="D663" t="inlineStr">
        <is>
          <t>VÄSTERNORRLANDS LÄN</t>
        </is>
      </c>
      <c r="E663" t="inlineStr">
        <is>
          <t>SUNDSVALL</t>
        </is>
      </c>
      <c r="G663" t="n">
        <v>0.9</v>
      </c>
      <c r="H663" t="n">
        <v>0</v>
      </c>
      <c r="I663" t="n">
        <v>0</v>
      </c>
      <c r="J663" t="n">
        <v>0</v>
      </c>
      <c r="K663" t="n">
        <v>0</v>
      </c>
      <c r="L663" t="n">
        <v>0</v>
      </c>
      <c r="M663" t="n">
        <v>0</v>
      </c>
      <c r="N663" t="n">
        <v>0</v>
      </c>
      <c r="O663" t="n">
        <v>0</v>
      </c>
      <c r="P663" t="n">
        <v>0</v>
      </c>
      <c r="Q663" t="n">
        <v>0</v>
      </c>
      <c r="R663" s="2" t="inlineStr"/>
    </row>
    <row r="664" ht="15" customHeight="1">
      <c r="A664" t="inlineStr">
        <is>
          <t>A 45099-2020</t>
        </is>
      </c>
      <c r="B664" s="1" t="n">
        <v>44088</v>
      </c>
      <c r="C664" s="1" t="n">
        <v>45845</v>
      </c>
      <c r="D664" t="inlineStr">
        <is>
          <t>VÄSTERNORRLANDS LÄN</t>
        </is>
      </c>
      <c r="E664" t="inlineStr">
        <is>
          <t>SUNDSVALL</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45005-2020</t>
        </is>
      </c>
      <c r="B665" s="1" t="n">
        <v>44088</v>
      </c>
      <c r="C665" s="1" t="n">
        <v>45845</v>
      </c>
      <c r="D665" t="inlineStr">
        <is>
          <t>VÄSTERNORRLANDS LÄN</t>
        </is>
      </c>
      <c r="E665" t="inlineStr">
        <is>
          <t>SUNDSVALL</t>
        </is>
      </c>
      <c r="F665" t="inlineStr">
        <is>
          <t>Holmen skog AB</t>
        </is>
      </c>
      <c r="G665" t="n">
        <v>1.1</v>
      </c>
      <c r="H665" t="n">
        <v>0</v>
      </c>
      <c r="I665" t="n">
        <v>0</v>
      </c>
      <c r="J665" t="n">
        <v>0</v>
      </c>
      <c r="K665" t="n">
        <v>0</v>
      </c>
      <c r="L665" t="n">
        <v>0</v>
      </c>
      <c r="M665" t="n">
        <v>0</v>
      </c>
      <c r="N665" t="n">
        <v>0</v>
      </c>
      <c r="O665" t="n">
        <v>0</v>
      </c>
      <c r="P665" t="n">
        <v>0</v>
      </c>
      <c r="Q665" t="n">
        <v>0</v>
      </c>
      <c r="R665" s="2" t="inlineStr"/>
    </row>
    <row r="666" ht="15" customHeight="1">
      <c r="A666" t="inlineStr">
        <is>
          <t>A 45233-2020</t>
        </is>
      </c>
      <c r="B666" s="1" t="n">
        <v>44088</v>
      </c>
      <c r="C666" s="1" t="n">
        <v>45845</v>
      </c>
      <c r="D666" t="inlineStr">
        <is>
          <t>VÄSTERNORRLANDS LÄN</t>
        </is>
      </c>
      <c r="E666" t="inlineStr">
        <is>
          <t>SUNDSVALL</t>
        </is>
      </c>
      <c r="F666" t="inlineStr">
        <is>
          <t>Naturvårdsverket</t>
        </is>
      </c>
      <c r="G666" t="n">
        <v>2.3</v>
      </c>
      <c r="H666" t="n">
        <v>0</v>
      </c>
      <c r="I666" t="n">
        <v>0</v>
      </c>
      <c r="J666" t="n">
        <v>0</v>
      </c>
      <c r="K666" t="n">
        <v>0</v>
      </c>
      <c r="L666" t="n">
        <v>0</v>
      </c>
      <c r="M666" t="n">
        <v>0</v>
      </c>
      <c r="N666" t="n">
        <v>0</v>
      </c>
      <c r="O666" t="n">
        <v>0</v>
      </c>
      <c r="P666" t="n">
        <v>0</v>
      </c>
      <c r="Q666" t="n">
        <v>0</v>
      </c>
      <c r="R666" s="2" t="inlineStr"/>
    </row>
    <row r="667" ht="15" customHeight="1">
      <c r="A667" t="inlineStr">
        <is>
          <t>A 45596-2020</t>
        </is>
      </c>
      <c r="B667" s="1" t="n">
        <v>44090</v>
      </c>
      <c r="C667" s="1" t="n">
        <v>45845</v>
      </c>
      <c r="D667" t="inlineStr">
        <is>
          <t>VÄSTERNORRLANDS LÄN</t>
        </is>
      </c>
      <c r="E667" t="inlineStr">
        <is>
          <t>SUNDSVALL</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45829-2020</t>
        </is>
      </c>
      <c r="B668" s="1" t="n">
        <v>44090</v>
      </c>
      <c r="C668" s="1" t="n">
        <v>45845</v>
      </c>
      <c r="D668" t="inlineStr">
        <is>
          <t>VÄSTERNORRLANDS LÄN</t>
        </is>
      </c>
      <c r="E668" t="inlineStr">
        <is>
          <t>SUNDSVALL</t>
        </is>
      </c>
      <c r="F668" t="inlineStr">
        <is>
          <t>Naturvårdsverket</t>
        </is>
      </c>
      <c r="G668" t="n">
        <v>5.3</v>
      </c>
      <c r="H668" t="n">
        <v>0</v>
      </c>
      <c r="I668" t="n">
        <v>0</v>
      </c>
      <c r="J668" t="n">
        <v>0</v>
      </c>
      <c r="K668" t="n">
        <v>0</v>
      </c>
      <c r="L668" t="n">
        <v>0</v>
      </c>
      <c r="M668" t="n">
        <v>0</v>
      </c>
      <c r="N668" t="n">
        <v>0</v>
      </c>
      <c r="O668" t="n">
        <v>0</v>
      </c>
      <c r="P668" t="n">
        <v>0</v>
      </c>
      <c r="Q668" t="n">
        <v>0</v>
      </c>
      <c r="R668" s="2" t="inlineStr"/>
    </row>
    <row r="669" ht="15" customHeight="1">
      <c r="A669" t="inlineStr">
        <is>
          <t>A 45852-2020</t>
        </is>
      </c>
      <c r="B669" s="1" t="n">
        <v>44090</v>
      </c>
      <c r="C669" s="1" t="n">
        <v>45845</v>
      </c>
      <c r="D669" t="inlineStr">
        <is>
          <t>VÄSTERNORRLANDS LÄN</t>
        </is>
      </c>
      <c r="E669" t="inlineStr">
        <is>
          <t>SUNDSVALL</t>
        </is>
      </c>
      <c r="G669" t="n">
        <v>2.1</v>
      </c>
      <c r="H669" t="n">
        <v>0</v>
      </c>
      <c r="I669" t="n">
        <v>0</v>
      </c>
      <c r="J669" t="n">
        <v>0</v>
      </c>
      <c r="K669" t="n">
        <v>0</v>
      </c>
      <c r="L669" t="n">
        <v>0</v>
      </c>
      <c r="M669" t="n">
        <v>0</v>
      </c>
      <c r="N669" t="n">
        <v>0</v>
      </c>
      <c r="O669" t="n">
        <v>0</v>
      </c>
      <c r="P669" t="n">
        <v>0</v>
      </c>
      <c r="Q669" t="n">
        <v>0</v>
      </c>
      <c r="R669" s="2" t="inlineStr"/>
    </row>
    <row r="670" ht="15" customHeight="1">
      <c r="A670" t="inlineStr">
        <is>
          <t>A 49273-2020</t>
        </is>
      </c>
      <c r="B670" s="1" t="n">
        <v>44105</v>
      </c>
      <c r="C670" s="1" t="n">
        <v>45845</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49497-2020</t>
        </is>
      </c>
      <c r="B671" s="1" t="n">
        <v>44105</v>
      </c>
      <c r="C671" s="1" t="n">
        <v>45845</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49504-2020</t>
        </is>
      </c>
      <c r="B672" s="1" t="n">
        <v>44105</v>
      </c>
      <c r="C672" s="1" t="n">
        <v>45845</v>
      </c>
      <c r="D672" t="inlineStr">
        <is>
          <t>VÄSTERNORRLANDS LÄN</t>
        </is>
      </c>
      <c r="E672" t="inlineStr">
        <is>
          <t>SUNDSVALL</t>
        </is>
      </c>
      <c r="G672" t="n">
        <v>4.9</v>
      </c>
      <c r="H672" t="n">
        <v>0</v>
      </c>
      <c r="I672" t="n">
        <v>0</v>
      </c>
      <c r="J672" t="n">
        <v>0</v>
      </c>
      <c r="K672" t="n">
        <v>0</v>
      </c>
      <c r="L672" t="n">
        <v>0</v>
      </c>
      <c r="M672" t="n">
        <v>0</v>
      </c>
      <c r="N672" t="n">
        <v>0</v>
      </c>
      <c r="O672" t="n">
        <v>0</v>
      </c>
      <c r="P672" t="n">
        <v>0</v>
      </c>
      <c r="Q672" t="n">
        <v>0</v>
      </c>
      <c r="R672" s="2" t="inlineStr"/>
    </row>
    <row r="673" ht="15" customHeight="1">
      <c r="A673" t="inlineStr">
        <is>
          <t>A 49496-2020</t>
        </is>
      </c>
      <c r="B673" s="1" t="n">
        <v>44105</v>
      </c>
      <c r="C673" s="1" t="n">
        <v>45845</v>
      </c>
      <c r="D673" t="inlineStr">
        <is>
          <t>VÄSTERNORRLANDS LÄN</t>
        </is>
      </c>
      <c r="E673" t="inlineStr">
        <is>
          <t>SUNDSVALL</t>
        </is>
      </c>
      <c r="G673" t="n">
        <v>9.1</v>
      </c>
      <c r="H673" t="n">
        <v>0</v>
      </c>
      <c r="I673" t="n">
        <v>0</v>
      </c>
      <c r="J673" t="n">
        <v>0</v>
      </c>
      <c r="K673" t="n">
        <v>0</v>
      </c>
      <c r="L673" t="n">
        <v>0</v>
      </c>
      <c r="M673" t="n">
        <v>0</v>
      </c>
      <c r="N673" t="n">
        <v>0</v>
      </c>
      <c r="O673" t="n">
        <v>0</v>
      </c>
      <c r="P673" t="n">
        <v>0</v>
      </c>
      <c r="Q673" t="n">
        <v>0</v>
      </c>
      <c r="R673" s="2" t="inlineStr"/>
    </row>
    <row r="674" ht="15" customHeight="1">
      <c r="A674" t="inlineStr">
        <is>
          <t>A 49503-2020</t>
        </is>
      </c>
      <c r="B674" s="1" t="n">
        <v>44105</v>
      </c>
      <c r="C674" s="1" t="n">
        <v>45845</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49499-2020</t>
        </is>
      </c>
      <c r="B675" s="1" t="n">
        <v>44105</v>
      </c>
      <c r="C675" s="1" t="n">
        <v>45845</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49489-2020</t>
        </is>
      </c>
      <c r="B676" s="1" t="n">
        <v>44105</v>
      </c>
      <c r="C676" s="1" t="n">
        <v>45845</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49501-2020</t>
        </is>
      </c>
      <c r="B677" s="1" t="n">
        <v>44106</v>
      </c>
      <c r="C677" s="1" t="n">
        <v>45845</v>
      </c>
      <c r="D677" t="inlineStr">
        <is>
          <t>VÄSTERNORRLANDS LÄN</t>
        </is>
      </c>
      <c r="E677" t="inlineStr">
        <is>
          <t>SUNDSVALL</t>
        </is>
      </c>
      <c r="G677" t="n">
        <v>5.4</v>
      </c>
      <c r="H677" t="n">
        <v>0</v>
      </c>
      <c r="I677" t="n">
        <v>0</v>
      </c>
      <c r="J677" t="n">
        <v>0</v>
      </c>
      <c r="K677" t="n">
        <v>0</v>
      </c>
      <c r="L677" t="n">
        <v>0</v>
      </c>
      <c r="M677" t="n">
        <v>0</v>
      </c>
      <c r="N677" t="n">
        <v>0</v>
      </c>
      <c r="O677" t="n">
        <v>0</v>
      </c>
      <c r="P677" t="n">
        <v>0</v>
      </c>
      <c r="Q677" t="n">
        <v>0</v>
      </c>
      <c r="R677" s="2" t="inlineStr"/>
    </row>
    <row r="678" ht="15" customHeight="1">
      <c r="A678" t="inlineStr">
        <is>
          <t>A 50151-2020</t>
        </is>
      </c>
      <c r="B678" s="1" t="n">
        <v>44109</v>
      </c>
      <c r="C678" s="1" t="n">
        <v>45845</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50169-2020</t>
        </is>
      </c>
      <c r="B679" s="1" t="n">
        <v>44109</v>
      </c>
      <c r="C679" s="1" t="n">
        <v>45845</v>
      </c>
      <c r="D679" t="inlineStr">
        <is>
          <t>VÄSTERNORRLANDS LÄN</t>
        </is>
      </c>
      <c r="E679" t="inlineStr">
        <is>
          <t>SUNDSVALL</t>
        </is>
      </c>
      <c r="G679" t="n">
        <v>4.1</v>
      </c>
      <c r="H679" t="n">
        <v>0</v>
      </c>
      <c r="I679" t="n">
        <v>0</v>
      </c>
      <c r="J679" t="n">
        <v>0</v>
      </c>
      <c r="K679" t="n">
        <v>0</v>
      </c>
      <c r="L679" t="n">
        <v>0</v>
      </c>
      <c r="M679" t="n">
        <v>0</v>
      </c>
      <c r="N679" t="n">
        <v>0</v>
      </c>
      <c r="O679" t="n">
        <v>0</v>
      </c>
      <c r="P679" t="n">
        <v>0</v>
      </c>
      <c r="Q679" t="n">
        <v>0</v>
      </c>
      <c r="R679" s="2" t="inlineStr"/>
    </row>
    <row r="680" ht="15" customHeight="1">
      <c r="A680" t="inlineStr">
        <is>
          <t>A 50485-2020</t>
        </is>
      </c>
      <c r="B680" s="1" t="n">
        <v>44110</v>
      </c>
      <c r="C680" s="1" t="n">
        <v>45845</v>
      </c>
      <c r="D680" t="inlineStr">
        <is>
          <t>VÄSTERNORRLANDS LÄN</t>
        </is>
      </c>
      <c r="E680" t="inlineStr">
        <is>
          <t>SUNDSVALL</t>
        </is>
      </c>
      <c r="F680" t="inlineStr">
        <is>
          <t>Kommuner</t>
        </is>
      </c>
      <c r="G680" t="n">
        <v>9</v>
      </c>
      <c r="H680" t="n">
        <v>0</v>
      </c>
      <c r="I680" t="n">
        <v>0</v>
      </c>
      <c r="J680" t="n">
        <v>0</v>
      </c>
      <c r="K680" t="n">
        <v>0</v>
      </c>
      <c r="L680" t="n">
        <v>0</v>
      </c>
      <c r="M680" t="n">
        <v>0</v>
      </c>
      <c r="N680" t="n">
        <v>0</v>
      </c>
      <c r="O680" t="n">
        <v>0</v>
      </c>
      <c r="P680" t="n">
        <v>0</v>
      </c>
      <c r="Q680" t="n">
        <v>0</v>
      </c>
      <c r="R680" s="2" t="inlineStr"/>
    </row>
    <row r="681" ht="15" customHeight="1">
      <c r="A681" t="inlineStr">
        <is>
          <t>A 50500-2020</t>
        </is>
      </c>
      <c r="B681" s="1" t="n">
        <v>44110</v>
      </c>
      <c r="C681" s="1" t="n">
        <v>45845</v>
      </c>
      <c r="D681" t="inlineStr">
        <is>
          <t>VÄSTERNORRLANDS LÄN</t>
        </is>
      </c>
      <c r="E681" t="inlineStr">
        <is>
          <t>SUNDSVALL</t>
        </is>
      </c>
      <c r="F681" t="inlineStr">
        <is>
          <t>Kommuner</t>
        </is>
      </c>
      <c r="G681" t="n">
        <v>1.7</v>
      </c>
      <c r="H681" t="n">
        <v>0</v>
      </c>
      <c r="I681" t="n">
        <v>0</v>
      </c>
      <c r="J681" t="n">
        <v>0</v>
      </c>
      <c r="K681" t="n">
        <v>0</v>
      </c>
      <c r="L681" t="n">
        <v>0</v>
      </c>
      <c r="M681" t="n">
        <v>0</v>
      </c>
      <c r="N681" t="n">
        <v>0</v>
      </c>
      <c r="O681" t="n">
        <v>0</v>
      </c>
      <c r="P681" t="n">
        <v>0</v>
      </c>
      <c r="Q681" t="n">
        <v>0</v>
      </c>
      <c r="R681" s="2" t="inlineStr"/>
    </row>
    <row r="682" ht="15" customHeight="1">
      <c r="A682" t="inlineStr">
        <is>
          <t>A 51368-2020</t>
        </is>
      </c>
      <c r="B682" s="1" t="n">
        <v>44112</v>
      </c>
      <c r="C682" s="1" t="n">
        <v>45845</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51712-2020</t>
        </is>
      </c>
      <c r="B683" s="1" t="n">
        <v>44113</v>
      </c>
      <c r="C683" s="1" t="n">
        <v>45845</v>
      </c>
      <c r="D683" t="inlineStr">
        <is>
          <t>VÄSTERNORRLANDS LÄN</t>
        </is>
      </c>
      <c r="E683" t="inlineStr">
        <is>
          <t>SUNDSVALL</t>
        </is>
      </c>
      <c r="F683" t="inlineStr">
        <is>
          <t>SCA</t>
        </is>
      </c>
      <c r="G683" t="n">
        <v>21.1</v>
      </c>
      <c r="H683" t="n">
        <v>0</v>
      </c>
      <c r="I683" t="n">
        <v>0</v>
      </c>
      <c r="J683" t="n">
        <v>0</v>
      </c>
      <c r="K683" t="n">
        <v>0</v>
      </c>
      <c r="L683" t="n">
        <v>0</v>
      </c>
      <c r="M683" t="n">
        <v>0</v>
      </c>
      <c r="N683" t="n">
        <v>0</v>
      </c>
      <c r="O683" t="n">
        <v>0</v>
      </c>
      <c r="P683" t="n">
        <v>0</v>
      </c>
      <c r="Q683" t="n">
        <v>0</v>
      </c>
      <c r="R683" s="2" t="inlineStr"/>
    </row>
    <row r="684" ht="15" customHeight="1">
      <c r="A684" t="inlineStr">
        <is>
          <t>A 51754-2020</t>
        </is>
      </c>
      <c r="B684" s="1" t="n">
        <v>44114</v>
      </c>
      <c r="C684" s="1" t="n">
        <v>45845</v>
      </c>
      <c r="D684" t="inlineStr">
        <is>
          <t>VÄSTERNORRLANDS LÄN</t>
        </is>
      </c>
      <c r="E684" t="inlineStr">
        <is>
          <t>SUNDSVALL</t>
        </is>
      </c>
      <c r="G684" t="n">
        <v>6.8</v>
      </c>
      <c r="H684" t="n">
        <v>0</v>
      </c>
      <c r="I684" t="n">
        <v>0</v>
      </c>
      <c r="J684" t="n">
        <v>0</v>
      </c>
      <c r="K684" t="n">
        <v>0</v>
      </c>
      <c r="L684" t="n">
        <v>0</v>
      </c>
      <c r="M684" t="n">
        <v>0</v>
      </c>
      <c r="N684" t="n">
        <v>0</v>
      </c>
      <c r="O684" t="n">
        <v>0</v>
      </c>
      <c r="P684" t="n">
        <v>0</v>
      </c>
      <c r="Q684" t="n">
        <v>0</v>
      </c>
      <c r="R684" s="2" t="inlineStr"/>
    </row>
    <row r="685" ht="15" customHeight="1">
      <c r="A685" t="inlineStr">
        <is>
          <t>A 52036-2020</t>
        </is>
      </c>
      <c r="B685" s="1" t="n">
        <v>44116</v>
      </c>
      <c r="C685" s="1" t="n">
        <v>45845</v>
      </c>
      <c r="D685" t="inlineStr">
        <is>
          <t>VÄSTERNORRLANDS LÄN</t>
        </is>
      </c>
      <c r="E685" t="inlineStr">
        <is>
          <t>SUNDSVALL</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53142-2020</t>
        </is>
      </c>
      <c r="B686" s="1" t="n">
        <v>44120</v>
      </c>
      <c r="C686" s="1" t="n">
        <v>45845</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53503-2020</t>
        </is>
      </c>
      <c r="B687" s="1" t="n">
        <v>44123</v>
      </c>
      <c r="C687" s="1" t="n">
        <v>45845</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54574-2020</t>
        </is>
      </c>
      <c r="B688" s="1" t="n">
        <v>44126</v>
      </c>
      <c r="C688" s="1" t="n">
        <v>45845</v>
      </c>
      <c r="D688" t="inlineStr">
        <is>
          <t>VÄSTERNORRLANDS LÄN</t>
        </is>
      </c>
      <c r="E688" t="inlineStr">
        <is>
          <t>SUNDSVALL</t>
        </is>
      </c>
      <c r="F688" t="inlineStr">
        <is>
          <t>Naturvårdsverket</t>
        </is>
      </c>
      <c r="G688" t="n">
        <v>4.9</v>
      </c>
      <c r="H688" t="n">
        <v>0</v>
      </c>
      <c r="I688" t="n">
        <v>0</v>
      </c>
      <c r="J688" t="n">
        <v>0</v>
      </c>
      <c r="K688" t="n">
        <v>0</v>
      </c>
      <c r="L688" t="n">
        <v>0</v>
      </c>
      <c r="M688" t="n">
        <v>0</v>
      </c>
      <c r="N688" t="n">
        <v>0</v>
      </c>
      <c r="O688" t="n">
        <v>0</v>
      </c>
      <c r="P688" t="n">
        <v>0</v>
      </c>
      <c r="Q688" t="n">
        <v>0</v>
      </c>
      <c r="R688" s="2" t="inlineStr"/>
    </row>
    <row r="689" ht="15" customHeight="1">
      <c r="A689" t="inlineStr">
        <is>
          <t>A 55313-2020</t>
        </is>
      </c>
      <c r="B689" s="1" t="n">
        <v>44130</v>
      </c>
      <c r="C689" s="1" t="n">
        <v>45845</v>
      </c>
      <c r="D689" t="inlineStr">
        <is>
          <t>VÄSTERNORRLANDS LÄN</t>
        </is>
      </c>
      <c r="E689" t="inlineStr">
        <is>
          <t>SUNDSVALL</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55988-2020</t>
        </is>
      </c>
      <c r="B690" s="1" t="n">
        <v>44132</v>
      </c>
      <c r="C690" s="1" t="n">
        <v>45845</v>
      </c>
      <c r="D690" t="inlineStr">
        <is>
          <t>VÄSTERNORRLANDS LÄN</t>
        </is>
      </c>
      <c r="E690" t="inlineStr">
        <is>
          <t>SUNDSVALL</t>
        </is>
      </c>
      <c r="G690" t="n">
        <v>1.1</v>
      </c>
      <c r="H690" t="n">
        <v>0</v>
      </c>
      <c r="I690" t="n">
        <v>0</v>
      </c>
      <c r="J690" t="n">
        <v>0</v>
      </c>
      <c r="K690" t="n">
        <v>0</v>
      </c>
      <c r="L690" t="n">
        <v>0</v>
      </c>
      <c r="M690" t="n">
        <v>0</v>
      </c>
      <c r="N690" t="n">
        <v>0</v>
      </c>
      <c r="O690" t="n">
        <v>0</v>
      </c>
      <c r="P690" t="n">
        <v>0</v>
      </c>
      <c r="Q690" t="n">
        <v>0</v>
      </c>
      <c r="R690" s="2" t="inlineStr"/>
    </row>
    <row r="691" ht="15" customHeight="1">
      <c r="A691" t="inlineStr">
        <is>
          <t>A 57405-2020</t>
        </is>
      </c>
      <c r="B691" s="1" t="n">
        <v>44139</v>
      </c>
      <c r="C691" s="1" t="n">
        <v>45845</v>
      </c>
      <c r="D691" t="inlineStr">
        <is>
          <t>VÄSTERNORRLANDS LÄN</t>
        </is>
      </c>
      <c r="E691" t="inlineStr">
        <is>
          <t>SUNDSVALL</t>
        </is>
      </c>
      <c r="G691" t="n">
        <v>1.5</v>
      </c>
      <c r="H691" t="n">
        <v>0</v>
      </c>
      <c r="I691" t="n">
        <v>0</v>
      </c>
      <c r="J691" t="n">
        <v>0</v>
      </c>
      <c r="K691" t="n">
        <v>0</v>
      </c>
      <c r="L691" t="n">
        <v>0</v>
      </c>
      <c r="M691" t="n">
        <v>0</v>
      </c>
      <c r="N691" t="n">
        <v>0</v>
      </c>
      <c r="O691" t="n">
        <v>0</v>
      </c>
      <c r="P691" t="n">
        <v>0</v>
      </c>
      <c r="Q691" t="n">
        <v>0</v>
      </c>
      <c r="R691" s="2" t="inlineStr"/>
    </row>
    <row r="692" ht="15" customHeight="1">
      <c r="A692" t="inlineStr">
        <is>
          <t>A 57900-2020</t>
        </is>
      </c>
      <c r="B692" s="1" t="n">
        <v>44140</v>
      </c>
      <c r="C692" s="1" t="n">
        <v>45845</v>
      </c>
      <c r="D692" t="inlineStr">
        <is>
          <t>VÄSTERNORRLANDS LÄN</t>
        </is>
      </c>
      <c r="E692" t="inlineStr">
        <is>
          <t>SUNDSVALL</t>
        </is>
      </c>
      <c r="G692" t="n">
        <v>6.8</v>
      </c>
      <c r="H692" t="n">
        <v>0</v>
      </c>
      <c r="I692" t="n">
        <v>0</v>
      </c>
      <c r="J692" t="n">
        <v>0</v>
      </c>
      <c r="K692" t="n">
        <v>0</v>
      </c>
      <c r="L692" t="n">
        <v>0</v>
      </c>
      <c r="M692" t="n">
        <v>0</v>
      </c>
      <c r="N692" t="n">
        <v>0</v>
      </c>
      <c r="O692" t="n">
        <v>0</v>
      </c>
      <c r="P692" t="n">
        <v>0</v>
      </c>
      <c r="Q692" t="n">
        <v>0</v>
      </c>
      <c r="R692" s="2" t="inlineStr"/>
    </row>
    <row r="693" ht="15" customHeight="1">
      <c r="A693" t="inlineStr">
        <is>
          <t>A 57890-2020</t>
        </is>
      </c>
      <c r="B693" s="1" t="n">
        <v>44140</v>
      </c>
      <c r="C693" s="1" t="n">
        <v>45845</v>
      </c>
      <c r="D693" t="inlineStr">
        <is>
          <t>VÄSTERNORRLANDS LÄN</t>
        </is>
      </c>
      <c r="E693" t="inlineStr">
        <is>
          <t>SUNDSVALL</t>
        </is>
      </c>
      <c r="G693" t="n">
        <v>2.9</v>
      </c>
      <c r="H693" t="n">
        <v>0</v>
      </c>
      <c r="I693" t="n">
        <v>0</v>
      </c>
      <c r="J693" t="n">
        <v>0</v>
      </c>
      <c r="K693" t="n">
        <v>0</v>
      </c>
      <c r="L693" t="n">
        <v>0</v>
      </c>
      <c r="M693" t="n">
        <v>0</v>
      </c>
      <c r="N693" t="n">
        <v>0</v>
      </c>
      <c r="O693" t="n">
        <v>0</v>
      </c>
      <c r="P693" t="n">
        <v>0</v>
      </c>
      <c r="Q693" t="n">
        <v>0</v>
      </c>
      <c r="R693" s="2" t="inlineStr"/>
    </row>
    <row r="694" ht="15" customHeight="1">
      <c r="A694" t="inlineStr">
        <is>
          <t>A 57735-2020</t>
        </is>
      </c>
      <c r="B694" s="1" t="n">
        <v>44140</v>
      </c>
      <c r="C694" s="1" t="n">
        <v>45845</v>
      </c>
      <c r="D694" t="inlineStr">
        <is>
          <t>VÄSTERNORRLANDS LÄN</t>
        </is>
      </c>
      <c r="E694" t="inlineStr">
        <is>
          <t>SUNDSVALL</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59013-2020</t>
        </is>
      </c>
      <c r="B695" s="1" t="n">
        <v>44146</v>
      </c>
      <c r="C695" s="1" t="n">
        <v>45845</v>
      </c>
      <c r="D695" t="inlineStr">
        <is>
          <t>VÄSTERNORRLANDS LÄN</t>
        </is>
      </c>
      <c r="E695" t="inlineStr">
        <is>
          <t>SUNDSVALL</t>
        </is>
      </c>
      <c r="G695" t="n">
        <v>2.4</v>
      </c>
      <c r="H695" t="n">
        <v>0</v>
      </c>
      <c r="I695" t="n">
        <v>0</v>
      </c>
      <c r="J695" t="n">
        <v>0</v>
      </c>
      <c r="K695" t="n">
        <v>0</v>
      </c>
      <c r="L695" t="n">
        <v>0</v>
      </c>
      <c r="M695" t="n">
        <v>0</v>
      </c>
      <c r="N695" t="n">
        <v>0</v>
      </c>
      <c r="O695" t="n">
        <v>0</v>
      </c>
      <c r="P695" t="n">
        <v>0</v>
      </c>
      <c r="Q695" t="n">
        <v>0</v>
      </c>
      <c r="R695" s="2" t="inlineStr"/>
    </row>
    <row r="696" ht="15" customHeight="1">
      <c r="A696" t="inlineStr">
        <is>
          <t>A 59106-2020</t>
        </is>
      </c>
      <c r="B696" s="1" t="n">
        <v>44147</v>
      </c>
      <c r="C696" s="1" t="n">
        <v>45845</v>
      </c>
      <c r="D696" t="inlineStr">
        <is>
          <t>VÄSTERNORRLANDS LÄN</t>
        </is>
      </c>
      <c r="E696" t="inlineStr">
        <is>
          <t>SUNDSVALL</t>
        </is>
      </c>
      <c r="G696" t="n">
        <v>0.6</v>
      </c>
      <c r="H696" t="n">
        <v>0</v>
      </c>
      <c r="I696" t="n">
        <v>0</v>
      </c>
      <c r="J696" t="n">
        <v>0</v>
      </c>
      <c r="K696" t="n">
        <v>0</v>
      </c>
      <c r="L696" t="n">
        <v>0</v>
      </c>
      <c r="M696" t="n">
        <v>0</v>
      </c>
      <c r="N696" t="n">
        <v>0</v>
      </c>
      <c r="O696" t="n">
        <v>0</v>
      </c>
      <c r="P696" t="n">
        <v>0</v>
      </c>
      <c r="Q696" t="n">
        <v>0</v>
      </c>
      <c r="R696" s="2" t="inlineStr"/>
    </row>
    <row r="697" ht="15" customHeight="1">
      <c r="A697" t="inlineStr">
        <is>
          <t>A 60178-2020</t>
        </is>
      </c>
      <c r="B697" s="1" t="n">
        <v>44152</v>
      </c>
      <c r="C697" s="1" t="n">
        <v>45845</v>
      </c>
      <c r="D697" t="inlineStr">
        <is>
          <t>VÄSTERNORRLANDS LÄN</t>
        </is>
      </c>
      <c r="E697" t="inlineStr">
        <is>
          <t>SUNDSVALL</t>
        </is>
      </c>
      <c r="G697" t="n">
        <v>0.4</v>
      </c>
      <c r="H697" t="n">
        <v>0</v>
      </c>
      <c r="I697" t="n">
        <v>0</v>
      </c>
      <c r="J697" t="n">
        <v>0</v>
      </c>
      <c r="K697" t="n">
        <v>0</v>
      </c>
      <c r="L697" t="n">
        <v>0</v>
      </c>
      <c r="M697" t="n">
        <v>0</v>
      </c>
      <c r="N697" t="n">
        <v>0</v>
      </c>
      <c r="O697" t="n">
        <v>0</v>
      </c>
      <c r="P697" t="n">
        <v>0</v>
      </c>
      <c r="Q697" t="n">
        <v>0</v>
      </c>
      <c r="R697" s="2" t="inlineStr"/>
    </row>
    <row r="698" ht="15" customHeight="1">
      <c r="A698" t="inlineStr">
        <is>
          <t>A 60391-2020</t>
        </is>
      </c>
      <c r="B698" s="1" t="n">
        <v>44152</v>
      </c>
      <c r="C698" s="1" t="n">
        <v>45845</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61568-2020</t>
        </is>
      </c>
      <c r="B699" s="1" t="n">
        <v>44154</v>
      </c>
      <c r="C699" s="1" t="n">
        <v>45845</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61142-2020</t>
        </is>
      </c>
      <c r="B700" s="1" t="n">
        <v>44154</v>
      </c>
      <c r="C700" s="1" t="n">
        <v>45845</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61719-2020</t>
        </is>
      </c>
      <c r="B701" s="1" t="n">
        <v>44158</v>
      </c>
      <c r="C701" s="1" t="n">
        <v>45845</v>
      </c>
      <c r="D701" t="inlineStr">
        <is>
          <t>VÄSTERNORRLANDS LÄN</t>
        </is>
      </c>
      <c r="E701" t="inlineStr">
        <is>
          <t>SUNDSVALL</t>
        </is>
      </c>
      <c r="G701" t="n">
        <v>4.8</v>
      </c>
      <c r="H701" t="n">
        <v>0</v>
      </c>
      <c r="I701" t="n">
        <v>0</v>
      </c>
      <c r="J701" t="n">
        <v>0</v>
      </c>
      <c r="K701" t="n">
        <v>0</v>
      </c>
      <c r="L701" t="n">
        <v>0</v>
      </c>
      <c r="M701" t="n">
        <v>0</v>
      </c>
      <c r="N701" t="n">
        <v>0</v>
      </c>
      <c r="O701" t="n">
        <v>0</v>
      </c>
      <c r="P701" t="n">
        <v>0</v>
      </c>
      <c r="Q701" t="n">
        <v>0</v>
      </c>
      <c r="R701" s="2" t="inlineStr"/>
    </row>
    <row r="702" ht="15" customHeight="1">
      <c r="A702" t="inlineStr">
        <is>
          <t>A 61723-2020</t>
        </is>
      </c>
      <c r="B702" s="1" t="n">
        <v>44158</v>
      </c>
      <c r="C702" s="1" t="n">
        <v>45845</v>
      </c>
      <c r="D702" t="inlineStr">
        <is>
          <t>VÄSTERNORRLANDS LÄN</t>
        </is>
      </c>
      <c r="E702" t="inlineStr">
        <is>
          <t>SUNDSVALL</t>
        </is>
      </c>
      <c r="G702" t="n">
        <v>2.1</v>
      </c>
      <c r="H702" t="n">
        <v>0</v>
      </c>
      <c r="I702" t="n">
        <v>0</v>
      </c>
      <c r="J702" t="n">
        <v>0</v>
      </c>
      <c r="K702" t="n">
        <v>0</v>
      </c>
      <c r="L702" t="n">
        <v>0</v>
      </c>
      <c r="M702" t="n">
        <v>0</v>
      </c>
      <c r="N702" t="n">
        <v>0</v>
      </c>
      <c r="O702" t="n">
        <v>0</v>
      </c>
      <c r="P702" t="n">
        <v>0</v>
      </c>
      <c r="Q702" t="n">
        <v>0</v>
      </c>
      <c r="R702" s="2" t="inlineStr"/>
    </row>
    <row r="703" ht="15" customHeight="1">
      <c r="A703" t="inlineStr">
        <is>
          <t>A 62294-2020</t>
        </is>
      </c>
      <c r="B703" s="1" t="n">
        <v>44160</v>
      </c>
      <c r="C703" s="1" t="n">
        <v>45845</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63598-2020</t>
        </is>
      </c>
      <c r="B704" s="1" t="n">
        <v>44165</v>
      </c>
      <c r="C704" s="1" t="n">
        <v>45845</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63681-2020</t>
        </is>
      </c>
      <c r="B705" s="1" t="n">
        <v>44166</v>
      </c>
      <c r="C705" s="1" t="n">
        <v>45845</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63786-2020</t>
        </is>
      </c>
      <c r="B706" s="1" t="n">
        <v>44166</v>
      </c>
      <c r="C706" s="1" t="n">
        <v>45845</v>
      </c>
      <c r="D706" t="inlineStr">
        <is>
          <t>VÄSTERNORRLANDS LÄN</t>
        </is>
      </c>
      <c r="E706" t="inlineStr">
        <is>
          <t>SUNDSVALL</t>
        </is>
      </c>
      <c r="F706" t="inlineStr">
        <is>
          <t>Kommuner</t>
        </is>
      </c>
      <c r="G706" t="n">
        <v>7.6</v>
      </c>
      <c r="H706" t="n">
        <v>0</v>
      </c>
      <c r="I706" t="n">
        <v>0</v>
      </c>
      <c r="J706" t="n">
        <v>0</v>
      </c>
      <c r="K706" t="n">
        <v>0</v>
      </c>
      <c r="L706" t="n">
        <v>0</v>
      </c>
      <c r="M706" t="n">
        <v>0</v>
      </c>
      <c r="N706" t="n">
        <v>0</v>
      </c>
      <c r="O706" t="n">
        <v>0</v>
      </c>
      <c r="P706" t="n">
        <v>0</v>
      </c>
      <c r="Q706" t="n">
        <v>0</v>
      </c>
      <c r="R706" s="2" t="inlineStr"/>
    </row>
    <row r="707" ht="15" customHeight="1">
      <c r="A707" t="inlineStr">
        <is>
          <t>A 63774-2020</t>
        </is>
      </c>
      <c r="B707" s="1" t="n">
        <v>44166</v>
      </c>
      <c r="C707" s="1" t="n">
        <v>45845</v>
      </c>
      <c r="D707" t="inlineStr">
        <is>
          <t>VÄSTERNORRLANDS LÄN</t>
        </is>
      </c>
      <c r="E707" t="inlineStr">
        <is>
          <t>SUNDSVALL</t>
        </is>
      </c>
      <c r="F707" t="inlineStr">
        <is>
          <t>Kommuner</t>
        </is>
      </c>
      <c r="G707" t="n">
        <v>4.4</v>
      </c>
      <c r="H707" t="n">
        <v>0</v>
      </c>
      <c r="I707" t="n">
        <v>0</v>
      </c>
      <c r="J707" t="n">
        <v>0</v>
      </c>
      <c r="K707" t="n">
        <v>0</v>
      </c>
      <c r="L707" t="n">
        <v>0</v>
      </c>
      <c r="M707" t="n">
        <v>0</v>
      </c>
      <c r="N707" t="n">
        <v>0</v>
      </c>
      <c r="O707" t="n">
        <v>0</v>
      </c>
      <c r="P707" t="n">
        <v>0</v>
      </c>
      <c r="Q707" t="n">
        <v>0</v>
      </c>
      <c r="R707" s="2" t="inlineStr"/>
    </row>
    <row r="708" ht="15" customHeight="1">
      <c r="A708" t="inlineStr">
        <is>
          <t>A 63817-2020</t>
        </is>
      </c>
      <c r="B708" s="1" t="n">
        <v>44166</v>
      </c>
      <c r="C708" s="1" t="n">
        <v>45845</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63840-2020</t>
        </is>
      </c>
      <c r="B709" s="1" t="n">
        <v>44166</v>
      </c>
      <c r="C709" s="1" t="n">
        <v>45845</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63862-2020</t>
        </is>
      </c>
      <c r="B710" s="1" t="n">
        <v>44166</v>
      </c>
      <c r="C710" s="1" t="n">
        <v>45845</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64394-2020</t>
        </is>
      </c>
      <c r="B711" s="1" t="n">
        <v>44168</v>
      </c>
      <c r="C711" s="1" t="n">
        <v>45845</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64479-2020</t>
        </is>
      </c>
      <c r="B712" s="1" t="n">
        <v>44168</v>
      </c>
      <c r="C712" s="1" t="n">
        <v>45845</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65465-2020</t>
        </is>
      </c>
      <c r="B713" s="1" t="n">
        <v>44173</v>
      </c>
      <c r="C713" s="1" t="n">
        <v>45845</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66016-2020</t>
        </is>
      </c>
      <c r="B714" s="1" t="n">
        <v>44175</v>
      </c>
      <c r="C714" s="1" t="n">
        <v>45845</v>
      </c>
      <c r="D714" t="inlineStr">
        <is>
          <t>VÄSTERNORRLANDS LÄN</t>
        </is>
      </c>
      <c r="E714" t="inlineStr">
        <is>
          <t>SUNDSVALL</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66236-2020</t>
        </is>
      </c>
      <c r="B715" s="1" t="n">
        <v>44175</v>
      </c>
      <c r="C715" s="1" t="n">
        <v>45845</v>
      </c>
      <c r="D715" t="inlineStr">
        <is>
          <t>VÄSTERNORRLANDS LÄN</t>
        </is>
      </c>
      <c r="E715" t="inlineStr">
        <is>
          <t>SUNDSVALL</t>
        </is>
      </c>
      <c r="G715" t="n">
        <v>6.2</v>
      </c>
      <c r="H715" t="n">
        <v>0</v>
      </c>
      <c r="I715" t="n">
        <v>0</v>
      </c>
      <c r="J715" t="n">
        <v>0</v>
      </c>
      <c r="K715" t="n">
        <v>0</v>
      </c>
      <c r="L715" t="n">
        <v>0</v>
      </c>
      <c r="M715" t="n">
        <v>0</v>
      </c>
      <c r="N715" t="n">
        <v>0</v>
      </c>
      <c r="O715" t="n">
        <v>0</v>
      </c>
      <c r="P715" t="n">
        <v>0</v>
      </c>
      <c r="Q715" t="n">
        <v>0</v>
      </c>
      <c r="R715" s="2" t="inlineStr"/>
    </row>
    <row r="716" ht="15" customHeight="1">
      <c r="A716" t="inlineStr">
        <is>
          <t>A 67233-2020</t>
        </is>
      </c>
      <c r="B716" s="1" t="n">
        <v>44180</v>
      </c>
      <c r="C716" s="1" t="n">
        <v>45845</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67987-2020</t>
        </is>
      </c>
      <c r="B717" s="1" t="n">
        <v>44182</v>
      </c>
      <c r="C717" s="1" t="n">
        <v>45845</v>
      </c>
      <c r="D717" t="inlineStr">
        <is>
          <t>VÄSTERNORRLANDS LÄN</t>
        </is>
      </c>
      <c r="E717" t="inlineStr">
        <is>
          <t>SUNDSVALL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68286-2020</t>
        </is>
      </c>
      <c r="B718" s="1" t="n">
        <v>44183</v>
      </c>
      <c r="C718" s="1" t="n">
        <v>45845</v>
      </c>
      <c r="D718" t="inlineStr">
        <is>
          <t>VÄSTERNORRLANDS LÄN</t>
        </is>
      </c>
      <c r="E718" t="inlineStr">
        <is>
          <t>SUNDSVALL</t>
        </is>
      </c>
      <c r="G718" t="n">
        <v>0.3</v>
      </c>
      <c r="H718" t="n">
        <v>0</v>
      </c>
      <c r="I718" t="n">
        <v>0</v>
      </c>
      <c r="J718" t="n">
        <v>0</v>
      </c>
      <c r="K718" t="n">
        <v>0</v>
      </c>
      <c r="L718" t="n">
        <v>0</v>
      </c>
      <c r="M718" t="n">
        <v>0</v>
      </c>
      <c r="N718" t="n">
        <v>0</v>
      </c>
      <c r="O718" t="n">
        <v>0</v>
      </c>
      <c r="P718" t="n">
        <v>0</v>
      </c>
      <c r="Q718" t="n">
        <v>0</v>
      </c>
      <c r="R718" s="2" t="inlineStr"/>
    </row>
    <row r="719" ht="15" customHeight="1">
      <c r="A719" t="inlineStr">
        <is>
          <t>A 68285-2020</t>
        </is>
      </c>
      <c r="B719" s="1" t="n">
        <v>44183</v>
      </c>
      <c r="C719" s="1" t="n">
        <v>45845</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69172-2020</t>
        </is>
      </c>
      <c r="B720" s="1" t="n">
        <v>44188</v>
      </c>
      <c r="C720" s="1" t="n">
        <v>45845</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695-2021</t>
        </is>
      </c>
      <c r="B721" s="1" t="n">
        <v>44203</v>
      </c>
      <c r="C721" s="1" t="n">
        <v>45845</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1174-2021</t>
        </is>
      </c>
      <c r="B722" s="1" t="n">
        <v>44207</v>
      </c>
      <c r="C722" s="1" t="n">
        <v>45845</v>
      </c>
      <c r="D722" t="inlineStr">
        <is>
          <t>VÄSTERNORRLANDS LÄN</t>
        </is>
      </c>
      <c r="E722" t="inlineStr">
        <is>
          <t>SUNDSVALL</t>
        </is>
      </c>
      <c r="G722" t="n">
        <v>2.9</v>
      </c>
      <c r="H722" t="n">
        <v>0</v>
      </c>
      <c r="I722" t="n">
        <v>0</v>
      </c>
      <c r="J722" t="n">
        <v>0</v>
      </c>
      <c r="K722" t="n">
        <v>0</v>
      </c>
      <c r="L722" t="n">
        <v>0</v>
      </c>
      <c r="M722" t="n">
        <v>0</v>
      </c>
      <c r="N722" t="n">
        <v>0</v>
      </c>
      <c r="O722" t="n">
        <v>0</v>
      </c>
      <c r="P722" t="n">
        <v>0</v>
      </c>
      <c r="Q722" t="n">
        <v>0</v>
      </c>
      <c r="R722" s="2" t="inlineStr"/>
    </row>
    <row r="723" ht="15" customHeight="1">
      <c r="A723" t="inlineStr">
        <is>
          <t>A 1480-2021</t>
        </is>
      </c>
      <c r="B723" s="1" t="n">
        <v>44208</v>
      </c>
      <c r="C723" s="1" t="n">
        <v>45845</v>
      </c>
      <c r="D723" t="inlineStr">
        <is>
          <t>VÄSTERNORRLANDS LÄN</t>
        </is>
      </c>
      <c r="E723" t="inlineStr">
        <is>
          <t>SUNDSVALL</t>
        </is>
      </c>
      <c r="G723" t="n">
        <v>7</v>
      </c>
      <c r="H723" t="n">
        <v>0</v>
      </c>
      <c r="I723" t="n">
        <v>0</v>
      </c>
      <c r="J723" t="n">
        <v>0</v>
      </c>
      <c r="K723" t="n">
        <v>0</v>
      </c>
      <c r="L723" t="n">
        <v>0</v>
      </c>
      <c r="M723" t="n">
        <v>0</v>
      </c>
      <c r="N723" t="n">
        <v>0</v>
      </c>
      <c r="O723" t="n">
        <v>0</v>
      </c>
      <c r="P723" t="n">
        <v>0</v>
      </c>
      <c r="Q723" t="n">
        <v>0</v>
      </c>
      <c r="R723" s="2" t="inlineStr"/>
    </row>
    <row r="724" ht="15" customHeight="1">
      <c r="A724" t="inlineStr">
        <is>
          <t>A 1473-2021</t>
        </is>
      </c>
      <c r="B724" s="1" t="n">
        <v>44208</v>
      </c>
      <c r="C724" s="1" t="n">
        <v>45845</v>
      </c>
      <c r="D724" t="inlineStr">
        <is>
          <t>VÄSTERNORRLANDS LÄN</t>
        </is>
      </c>
      <c r="E724" t="inlineStr">
        <is>
          <t>SUNDSVALL</t>
        </is>
      </c>
      <c r="G724" t="n">
        <v>3.7</v>
      </c>
      <c r="H724" t="n">
        <v>0</v>
      </c>
      <c r="I724" t="n">
        <v>0</v>
      </c>
      <c r="J724" t="n">
        <v>0</v>
      </c>
      <c r="K724" t="n">
        <v>0</v>
      </c>
      <c r="L724" t="n">
        <v>0</v>
      </c>
      <c r="M724" t="n">
        <v>0</v>
      </c>
      <c r="N724" t="n">
        <v>0</v>
      </c>
      <c r="O724" t="n">
        <v>0</v>
      </c>
      <c r="P724" t="n">
        <v>0</v>
      </c>
      <c r="Q724" t="n">
        <v>0</v>
      </c>
      <c r="R724" s="2" t="inlineStr"/>
    </row>
    <row r="725" ht="15" customHeight="1">
      <c r="A725" t="inlineStr">
        <is>
          <t>A 1561-2021</t>
        </is>
      </c>
      <c r="B725" s="1" t="n">
        <v>44209</v>
      </c>
      <c r="C725" s="1" t="n">
        <v>45845</v>
      </c>
      <c r="D725" t="inlineStr">
        <is>
          <t>VÄSTERNORRLANDS LÄN</t>
        </is>
      </c>
      <c r="E725" t="inlineStr">
        <is>
          <t>SUNDSVALL</t>
        </is>
      </c>
      <c r="G725" t="n">
        <v>3.7</v>
      </c>
      <c r="H725" t="n">
        <v>0</v>
      </c>
      <c r="I725" t="n">
        <v>0</v>
      </c>
      <c r="J725" t="n">
        <v>0</v>
      </c>
      <c r="K725" t="n">
        <v>0</v>
      </c>
      <c r="L725" t="n">
        <v>0</v>
      </c>
      <c r="M725" t="n">
        <v>0</v>
      </c>
      <c r="N725" t="n">
        <v>0</v>
      </c>
      <c r="O725" t="n">
        <v>0</v>
      </c>
      <c r="P725" t="n">
        <v>0</v>
      </c>
      <c r="Q725" t="n">
        <v>0</v>
      </c>
      <c r="R725" s="2" t="inlineStr"/>
    </row>
    <row r="726" ht="15" customHeight="1">
      <c r="A726" t="inlineStr">
        <is>
          <t>A 2233-2021</t>
        </is>
      </c>
      <c r="B726" s="1" t="n">
        <v>44211</v>
      </c>
      <c r="C726" s="1" t="n">
        <v>45845</v>
      </c>
      <c r="D726" t="inlineStr">
        <is>
          <t>VÄSTERNORRLANDS LÄN</t>
        </is>
      </c>
      <c r="E726" t="inlineStr">
        <is>
          <t>SUNDSVALL</t>
        </is>
      </c>
      <c r="G726" t="n">
        <v>2.3</v>
      </c>
      <c r="H726" t="n">
        <v>0</v>
      </c>
      <c r="I726" t="n">
        <v>0</v>
      </c>
      <c r="J726" t="n">
        <v>0</v>
      </c>
      <c r="K726" t="n">
        <v>0</v>
      </c>
      <c r="L726" t="n">
        <v>0</v>
      </c>
      <c r="M726" t="n">
        <v>0</v>
      </c>
      <c r="N726" t="n">
        <v>0</v>
      </c>
      <c r="O726" t="n">
        <v>0</v>
      </c>
      <c r="P726" t="n">
        <v>0</v>
      </c>
      <c r="Q726" t="n">
        <v>0</v>
      </c>
      <c r="R726" s="2" t="inlineStr"/>
    </row>
    <row r="727" ht="15" customHeight="1">
      <c r="A727" t="inlineStr">
        <is>
          <t>A 2835-2021</t>
        </is>
      </c>
      <c r="B727" s="1" t="n">
        <v>44215</v>
      </c>
      <c r="C727" s="1" t="n">
        <v>45845</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2836-2021</t>
        </is>
      </c>
      <c r="B728" s="1" t="n">
        <v>44215</v>
      </c>
      <c r="C728" s="1" t="n">
        <v>45845</v>
      </c>
      <c r="D728" t="inlineStr">
        <is>
          <t>VÄSTERNORRLANDS LÄN</t>
        </is>
      </c>
      <c r="E728" t="inlineStr">
        <is>
          <t>SUNDSVALL</t>
        </is>
      </c>
      <c r="G728" t="n">
        <v>1.6</v>
      </c>
      <c r="H728" t="n">
        <v>0</v>
      </c>
      <c r="I728" t="n">
        <v>0</v>
      </c>
      <c r="J728" t="n">
        <v>0</v>
      </c>
      <c r="K728" t="n">
        <v>0</v>
      </c>
      <c r="L728" t="n">
        <v>0</v>
      </c>
      <c r="M728" t="n">
        <v>0</v>
      </c>
      <c r="N728" t="n">
        <v>0</v>
      </c>
      <c r="O728" t="n">
        <v>0</v>
      </c>
      <c r="P728" t="n">
        <v>0</v>
      </c>
      <c r="Q728" t="n">
        <v>0</v>
      </c>
      <c r="R728" s="2" t="inlineStr"/>
    </row>
    <row r="729" ht="15" customHeight="1">
      <c r="A729" t="inlineStr">
        <is>
          <t>A 3351-2021</t>
        </is>
      </c>
      <c r="B729" s="1" t="n">
        <v>44217</v>
      </c>
      <c r="C729" s="1" t="n">
        <v>45845</v>
      </c>
      <c r="D729" t="inlineStr">
        <is>
          <t>VÄSTERNORRLANDS LÄN</t>
        </is>
      </c>
      <c r="E729" t="inlineStr">
        <is>
          <t>SUNDSVALL</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3811-2021</t>
        </is>
      </c>
      <c r="B730" s="1" t="n">
        <v>44221</v>
      </c>
      <c r="C730" s="1" t="n">
        <v>45845</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4365-2021</t>
        </is>
      </c>
      <c r="B731" s="1" t="n">
        <v>44221</v>
      </c>
      <c r="C731" s="1" t="n">
        <v>45845</v>
      </c>
      <c r="D731" t="inlineStr">
        <is>
          <t>VÄSTERNORRLANDS LÄN</t>
        </is>
      </c>
      <c r="E731" t="inlineStr">
        <is>
          <t>SUNDSVALL</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3821-2021</t>
        </is>
      </c>
      <c r="B732" s="1" t="n">
        <v>44222</v>
      </c>
      <c r="C732" s="1" t="n">
        <v>45845</v>
      </c>
      <c r="D732" t="inlineStr">
        <is>
          <t>VÄSTERNORRLANDS LÄN</t>
        </is>
      </c>
      <c r="E732" t="inlineStr">
        <is>
          <t>SUNDSVALL</t>
        </is>
      </c>
      <c r="G732" t="n">
        <v>1.6</v>
      </c>
      <c r="H732" t="n">
        <v>0</v>
      </c>
      <c r="I732" t="n">
        <v>0</v>
      </c>
      <c r="J732" t="n">
        <v>0</v>
      </c>
      <c r="K732" t="n">
        <v>0</v>
      </c>
      <c r="L732" t="n">
        <v>0</v>
      </c>
      <c r="M732" t="n">
        <v>0</v>
      </c>
      <c r="N732" t="n">
        <v>0</v>
      </c>
      <c r="O732" t="n">
        <v>0</v>
      </c>
      <c r="P732" t="n">
        <v>0</v>
      </c>
      <c r="Q732" t="n">
        <v>0</v>
      </c>
      <c r="R732" s="2" t="inlineStr"/>
    </row>
    <row r="733" ht="15" customHeight="1">
      <c r="A733" t="inlineStr">
        <is>
          <t>A 3824-2021</t>
        </is>
      </c>
      <c r="B733" s="1" t="n">
        <v>44222</v>
      </c>
      <c r="C733" s="1" t="n">
        <v>45845</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4123-2021</t>
        </is>
      </c>
      <c r="B734" s="1" t="n">
        <v>44222</v>
      </c>
      <c r="C734" s="1" t="n">
        <v>45845</v>
      </c>
      <c r="D734" t="inlineStr">
        <is>
          <t>VÄSTERNORRLANDS LÄN</t>
        </is>
      </c>
      <c r="E734" t="inlineStr">
        <is>
          <t>SUNDSVALL</t>
        </is>
      </c>
      <c r="G734" t="n">
        <v>1.3</v>
      </c>
      <c r="H734" t="n">
        <v>0</v>
      </c>
      <c r="I734" t="n">
        <v>0</v>
      </c>
      <c r="J734" t="n">
        <v>0</v>
      </c>
      <c r="K734" t="n">
        <v>0</v>
      </c>
      <c r="L734" t="n">
        <v>0</v>
      </c>
      <c r="M734" t="n">
        <v>0</v>
      </c>
      <c r="N734" t="n">
        <v>0</v>
      </c>
      <c r="O734" t="n">
        <v>0</v>
      </c>
      <c r="P734" t="n">
        <v>0</v>
      </c>
      <c r="Q734" t="n">
        <v>0</v>
      </c>
      <c r="R734" s="2" t="inlineStr"/>
    </row>
    <row r="735" ht="15" customHeight="1">
      <c r="A735" t="inlineStr">
        <is>
          <t>A 3822-2021</t>
        </is>
      </c>
      <c r="B735" s="1" t="n">
        <v>44222</v>
      </c>
      <c r="C735" s="1" t="n">
        <v>45845</v>
      </c>
      <c r="D735" t="inlineStr">
        <is>
          <t>VÄSTERNORRLANDS LÄN</t>
        </is>
      </c>
      <c r="E735" t="inlineStr">
        <is>
          <t>SUNDSVALL</t>
        </is>
      </c>
      <c r="G735" t="n">
        <v>5.2</v>
      </c>
      <c r="H735" t="n">
        <v>0</v>
      </c>
      <c r="I735" t="n">
        <v>0</v>
      </c>
      <c r="J735" t="n">
        <v>0</v>
      </c>
      <c r="K735" t="n">
        <v>0</v>
      </c>
      <c r="L735" t="n">
        <v>0</v>
      </c>
      <c r="M735" t="n">
        <v>0</v>
      </c>
      <c r="N735" t="n">
        <v>0</v>
      </c>
      <c r="O735" t="n">
        <v>0</v>
      </c>
      <c r="P735" t="n">
        <v>0</v>
      </c>
      <c r="Q735" t="n">
        <v>0</v>
      </c>
      <c r="R735" s="2" t="inlineStr"/>
    </row>
    <row r="736" ht="15" customHeight="1">
      <c r="A736" t="inlineStr">
        <is>
          <t>A 4659-2021</t>
        </is>
      </c>
      <c r="B736" s="1" t="n">
        <v>44224</v>
      </c>
      <c r="C736" s="1" t="n">
        <v>45845</v>
      </c>
      <c r="D736" t="inlineStr">
        <is>
          <t>VÄSTERNORRLANDS LÄN</t>
        </is>
      </c>
      <c r="E736" t="inlineStr">
        <is>
          <t>SUNDSVALL</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4760-2021</t>
        </is>
      </c>
      <c r="B737" s="1" t="n">
        <v>44225</v>
      </c>
      <c r="C737" s="1" t="n">
        <v>45845</v>
      </c>
      <c r="D737" t="inlineStr">
        <is>
          <t>VÄSTERNORRLANDS LÄN</t>
        </is>
      </c>
      <c r="E737" t="inlineStr">
        <is>
          <t>SUNDSVALL</t>
        </is>
      </c>
      <c r="F737" t="inlineStr">
        <is>
          <t>Kommuner</t>
        </is>
      </c>
      <c r="G737" t="n">
        <v>5.5</v>
      </c>
      <c r="H737" t="n">
        <v>0</v>
      </c>
      <c r="I737" t="n">
        <v>0</v>
      </c>
      <c r="J737" t="n">
        <v>0</v>
      </c>
      <c r="K737" t="n">
        <v>0</v>
      </c>
      <c r="L737" t="n">
        <v>0</v>
      </c>
      <c r="M737" t="n">
        <v>0</v>
      </c>
      <c r="N737" t="n">
        <v>0</v>
      </c>
      <c r="O737" t="n">
        <v>0</v>
      </c>
      <c r="P737" t="n">
        <v>0</v>
      </c>
      <c r="Q737" t="n">
        <v>0</v>
      </c>
      <c r="R737" s="2" t="inlineStr"/>
    </row>
    <row r="738" ht="15" customHeight="1">
      <c r="A738" t="inlineStr">
        <is>
          <t>A 5799-2021</t>
        </is>
      </c>
      <c r="B738" s="1" t="n">
        <v>44230</v>
      </c>
      <c r="C738" s="1" t="n">
        <v>45845</v>
      </c>
      <c r="D738" t="inlineStr">
        <is>
          <t>VÄSTERNORRLANDS LÄN</t>
        </is>
      </c>
      <c r="E738" t="inlineStr">
        <is>
          <t>SUNDSVALL</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5798-2021</t>
        </is>
      </c>
      <c r="B739" s="1" t="n">
        <v>44230</v>
      </c>
      <c r="C739" s="1" t="n">
        <v>45845</v>
      </c>
      <c r="D739" t="inlineStr">
        <is>
          <t>VÄSTERNORRLANDS LÄN</t>
        </is>
      </c>
      <c r="E739" t="inlineStr">
        <is>
          <t>SUNDSVALL</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5797-2021</t>
        </is>
      </c>
      <c r="B740" s="1" t="n">
        <v>44230</v>
      </c>
      <c r="C740" s="1" t="n">
        <v>45845</v>
      </c>
      <c r="D740" t="inlineStr">
        <is>
          <t>VÄSTERNORRLANDS LÄN</t>
        </is>
      </c>
      <c r="E740" t="inlineStr">
        <is>
          <t>SUNDSVALL</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6009-2021</t>
        </is>
      </c>
      <c r="B741" s="1" t="n">
        <v>44231</v>
      </c>
      <c r="C741" s="1" t="n">
        <v>45845</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6220-2021</t>
        </is>
      </c>
      <c r="B742" s="1" t="n">
        <v>44232</v>
      </c>
      <c r="C742" s="1" t="n">
        <v>45845</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6708-2021</t>
        </is>
      </c>
      <c r="B743" s="1" t="n">
        <v>44236</v>
      </c>
      <c r="C743" s="1" t="n">
        <v>45845</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7639-2021</t>
        </is>
      </c>
      <c r="B744" s="1" t="n">
        <v>44242</v>
      </c>
      <c r="C744" s="1" t="n">
        <v>45845</v>
      </c>
      <c r="D744" t="inlineStr">
        <is>
          <t>VÄSTERNORRLANDS LÄN</t>
        </is>
      </c>
      <c r="E744" t="inlineStr">
        <is>
          <t>SUNDSVALL</t>
        </is>
      </c>
      <c r="G744" t="n">
        <v>1.4</v>
      </c>
      <c r="H744" t="n">
        <v>0</v>
      </c>
      <c r="I744" t="n">
        <v>0</v>
      </c>
      <c r="J744" t="n">
        <v>0</v>
      </c>
      <c r="K744" t="n">
        <v>0</v>
      </c>
      <c r="L744" t="n">
        <v>0</v>
      </c>
      <c r="M744" t="n">
        <v>0</v>
      </c>
      <c r="N744" t="n">
        <v>0</v>
      </c>
      <c r="O744" t="n">
        <v>0</v>
      </c>
      <c r="P744" t="n">
        <v>0</v>
      </c>
      <c r="Q744" t="n">
        <v>0</v>
      </c>
      <c r="R744" s="2" t="inlineStr"/>
    </row>
    <row r="745" ht="15" customHeight="1">
      <c r="A745" t="inlineStr">
        <is>
          <t>A 7638-2021</t>
        </is>
      </c>
      <c r="B745" s="1" t="n">
        <v>44242</v>
      </c>
      <c r="C745" s="1" t="n">
        <v>45845</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7875-2021</t>
        </is>
      </c>
      <c r="B746" s="1" t="n">
        <v>44242</v>
      </c>
      <c r="C746" s="1" t="n">
        <v>45845</v>
      </c>
      <c r="D746" t="inlineStr">
        <is>
          <t>VÄSTERNORRLANDS LÄN</t>
        </is>
      </c>
      <c r="E746" t="inlineStr">
        <is>
          <t>SUNDSVALL</t>
        </is>
      </c>
      <c r="G746" t="n">
        <v>2.4</v>
      </c>
      <c r="H746" t="n">
        <v>0</v>
      </c>
      <c r="I746" t="n">
        <v>0</v>
      </c>
      <c r="J746" t="n">
        <v>0</v>
      </c>
      <c r="K746" t="n">
        <v>0</v>
      </c>
      <c r="L746" t="n">
        <v>0</v>
      </c>
      <c r="M746" t="n">
        <v>0</v>
      </c>
      <c r="N746" t="n">
        <v>0</v>
      </c>
      <c r="O746" t="n">
        <v>0</v>
      </c>
      <c r="P746" t="n">
        <v>0</v>
      </c>
      <c r="Q746" t="n">
        <v>0</v>
      </c>
      <c r="R746" s="2" t="inlineStr"/>
    </row>
    <row r="747" ht="15" customHeight="1">
      <c r="A747" t="inlineStr">
        <is>
          <t>A 7878-2021</t>
        </is>
      </c>
      <c r="B747" s="1" t="n">
        <v>44242</v>
      </c>
      <c r="C747" s="1" t="n">
        <v>45845</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7899-2021</t>
        </is>
      </c>
      <c r="B748" s="1" t="n">
        <v>44242</v>
      </c>
      <c r="C748" s="1" t="n">
        <v>45845</v>
      </c>
      <c r="D748" t="inlineStr">
        <is>
          <t>VÄSTERNORRLANDS LÄN</t>
        </is>
      </c>
      <c r="E748" t="inlineStr">
        <is>
          <t>SUNDSVALL</t>
        </is>
      </c>
      <c r="G748" t="n">
        <v>3.6</v>
      </c>
      <c r="H748" t="n">
        <v>0</v>
      </c>
      <c r="I748" t="n">
        <v>0</v>
      </c>
      <c r="J748" t="n">
        <v>0</v>
      </c>
      <c r="K748" t="n">
        <v>0</v>
      </c>
      <c r="L748" t="n">
        <v>0</v>
      </c>
      <c r="M748" t="n">
        <v>0</v>
      </c>
      <c r="N748" t="n">
        <v>0</v>
      </c>
      <c r="O748" t="n">
        <v>0</v>
      </c>
      <c r="P748" t="n">
        <v>0</v>
      </c>
      <c r="Q748" t="n">
        <v>0</v>
      </c>
      <c r="R748" s="2" t="inlineStr"/>
    </row>
    <row r="749" ht="15" customHeight="1">
      <c r="A749" t="inlineStr">
        <is>
          <t>A 7879-2021</t>
        </is>
      </c>
      <c r="B749" s="1" t="n">
        <v>44242</v>
      </c>
      <c r="C749" s="1" t="n">
        <v>45845</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8234-2021</t>
        </is>
      </c>
      <c r="B750" s="1" t="n">
        <v>44244</v>
      </c>
      <c r="C750" s="1" t="n">
        <v>45845</v>
      </c>
      <c r="D750" t="inlineStr">
        <is>
          <t>VÄSTERNORRLANDS LÄN</t>
        </is>
      </c>
      <c r="E750" t="inlineStr">
        <is>
          <t>SUNDSVALL</t>
        </is>
      </c>
      <c r="G750" t="n">
        <v>2.7</v>
      </c>
      <c r="H750" t="n">
        <v>0</v>
      </c>
      <c r="I750" t="n">
        <v>0</v>
      </c>
      <c r="J750" t="n">
        <v>0</v>
      </c>
      <c r="K750" t="n">
        <v>0</v>
      </c>
      <c r="L750" t="n">
        <v>0</v>
      </c>
      <c r="M750" t="n">
        <v>0</v>
      </c>
      <c r="N750" t="n">
        <v>0</v>
      </c>
      <c r="O750" t="n">
        <v>0</v>
      </c>
      <c r="P750" t="n">
        <v>0</v>
      </c>
      <c r="Q750" t="n">
        <v>0</v>
      </c>
      <c r="R750" s="2" t="inlineStr"/>
    </row>
    <row r="751" ht="15" customHeight="1">
      <c r="A751" t="inlineStr">
        <is>
          <t>A 9177-2021</t>
        </is>
      </c>
      <c r="B751" s="1" t="n">
        <v>44249</v>
      </c>
      <c r="C751" s="1" t="n">
        <v>45845</v>
      </c>
      <c r="D751" t="inlineStr">
        <is>
          <t>VÄSTERNORRLANDS LÄN</t>
        </is>
      </c>
      <c r="E751" t="inlineStr">
        <is>
          <t>SUNDSVALL</t>
        </is>
      </c>
      <c r="F751" t="inlineStr">
        <is>
          <t>SCA</t>
        </is>
      </c>
      <c r="G751" t="n">
        <v>46.4</v>
      </c>
      <c r="H751" t="n">
        <v>0</v>
      </c>
      <c r="I751" t="n">
        <v>0</v>
      </c>
      <c r="J751" t="n">
        <v>0</v>
      </c>
      <c r="K751" t="n">
        <v>0</v>
      </c>
      <c r="L751" t="n">
        <v>0</v>
      </c>
      <c r="M751" t="n">
        <v>0</v>
      </c>
      <c r="N751" t="n">
        <v>0</v>
      </c>
      <c r="O751" t="n">
        <v>0</v>
      </c>
      <c r="P751" t="n">
        <v>0</v>
      </c>
      <c r="Q751" t="n">
        <v>0</v>
      </c>
      <c r="R751" s="2" t="inlineStr"/>
    </row>
    <row r="752" ht="15" customHeight="1">
      <c r="A752" t="inlineStr">
        <is>
          <t>A 9628-2021</t>
        </is>
      </c>
      <c r="B752" s="1" t="n">
        <v>44251</v>
      </c>
      <c r="C752" s="1" t="n">
        <v>45845</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9624-2021</t>
        </is>
      </c>
      <c r="B753" s="1" t="n">
        <v>44251</v>
      </c>
      <c r="C753" s="1" t="n">
        <v>45845</v>
      </c>
      <c r="D753" t="inlineStr">
        <is>
          <t>VÄSTERNORRLANDS LÄN</t>
        </is>
      </c>
      <c r="E753" t="inlineStr">
        <is>
          <t>SUNDSVALL</t>
        </is>
      </c>
      <c r="G753" t="n">
        <v>1.2</v>
      </c>
      <c r="H753" t="n">
        <v>0</v>
      </c>
      <c r="I753" t="n">
        <v>0</v>
      </c>
      <c r="J753" t="n">
        <v>0</v>
      </c>
      <c r="K753" t="n">
        <v>0</v>
      </c>
      <c r="L753" t="n">
        <v>0</v>
      </c>
      <c r="M753" t="n">
        <v>0</v>
      </c>
      <c r="N753" t="n">
        <v>0</v>
      </c>
      <c r="O753" t="n">
        <v>0</v>
      </c>
      <c r="P753" t="n">
        <v>0</v>
      </c>
      <c r="Q753" t="n">
        <v>0</v>
      </c>
      <c r="R753" s="2" t="inlineStr"/>
    </row>
    <row r="754" ht="15" customHeight="1">
      <c r="A754" t="inlineStr">
        <is>
          <t>A 10482-2021</t>
        </is>
      </c>
      <c r="B754" s="1" t="n">
        <v>44257</v>
      </c>
      <c r="C754" s="1" t="n">
        <v>45845</v>
      </c>
      <c r="D754" t="inlineStr">
        <is>
          <t>VÄSTERNORRLANDS LÄN</t>
        </is>
      </c>
      <c r="E754" t="inlineStr">
        <is>
          <t>SUNDSVALL</t>
        </is>
      </c>
      <c r="G754" t="n">
        <v>5.7</v>
      </c>
      <c r="H754" t="n">
        <v>0</v>
      </c>
      <c r="I754" t="n">
        <v>0</v>
      </c>
      <c r="J754" t="n">
        <v>0</v>
      </c>
      <c r="K754" t="n">
        <v>0</v>
      </c>
      <c r="L754" t="n">
        <v>0</v>
      </c>
      <c r="M754" t="n">
        <v>0</v>
      </c>
      <c r="N754" t="n">
        <v>0</v>
      </c>
      <c r="O754" t="n">
        <v>0</v>
      </c>
      <c r="P754" t="n">
        <v>0</v>
      </c>
      <c r="Q754" t="n">
        <v>0</v>
      </c>
      <c r="R754" s="2" t="inlineStr"/>
    </row>
    <row r="755" ht="15" customHeight="1">
      <c r="A755" t="inlineStr">
        <is>
          <t>A 10602-2021</t>
        </is>
      </c>
      <c r="B755" s="1" t="n">
        <v>44258</v>
      </c>
      <c r="C755" s="1" t="n">
        <v>45845</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11139-2021</t>
        </is>
      </c>
      <c r="B756" s="1" t="n">
        <v>44260</v>
      </c>
      <c r="C756" s="1" t="n">
        <v>45845</v>
      </c>
      <c r="D756" t="inlineStr">
        <is>
          <t>VÄSTERNORRLANDS LÄN</t>
        </is>
      </c>
      <c r="E756" t="inlineStr">
        <is>
          <t>SUNDSVALL</t>
        </is>
      </c>
      <c r="F756" t="inlineStr">
        <is>
          <t>Naturvårdsverket</t>
        </is>
      </c>
      <c r="G756" t="n">
        <v>19.5</v>
      </c>
      <c r="H756" t="n">
        <v>0</v>
      </c>
      <c r="I756" t="n">
        <v>0</v>
      </c>
      <c r="J756" t="n">
        <v>0</v>
      </c>
      <c r="K756" t="n">
        <v>0</v>
      </c>
      <c r="L756" t="n">
        <v>0</v>
      </c>
      <c r="M756" t="n">
        <v>0</v>
      </c>
      <c r="N756" t="n">
        <v>0</v>
      </c>
      <c r="O756" t="n">
        <v>0</v>
      </c>
      <c r="P756" t="n">
        <v>0</v>
      </c>
      <c r="Q756" t="n">
        <v>0</v>
      </c>
      <c r="R756" s="2" t="inlineStr"/>
    </row>
    <row r="757" ht="15" customHeight="1">
      <c r="A757" t="inlineStr">
        <is>
          <t>A 11696-2021</t>
        </is>
      </c>
      <c r="B757" s="1" t="n">
        <v>44264</v>
      </c>
      <c r="C757" s="1" t="n">
        <v>45845</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13038-2021</t>
        </is>
      </c>
      <c r="B758" s="1" t="n">
        <v>44271</v>
      </c>
      <c r="C758" s="1" t="n">
        <v>45845</v>
      </c>
      <c r="D758" t="inlineStr">
        <is>
          <t>VÄSTERNORRLANDS LÄN</t>
        </is>
      </c>
      <c r="E758" t="inlineStr">
        <is>
          <t>SUNDSVALL</t>
        </is>
      </c>
      <c r="G758" t="n">
        <v>3.6</v>
      </c>
      <c r="H758" t="n">
        <v>0</v>
      </c>
      <c r="I758" t="n">
        <v>0</v>
      </c>
      <c r="J758" t="n">
        <v>0</v>
      </c>
      <c r="K758" t="n">
        <v>0</v>
      </c>
      <c r="L758" t="n">
        <v>0</v>
      </c>
      <c r="M758" t="n">
        <v>0</v>
      </c>
      <c r="N758" t="n">
        <v>0</v>
      </c>
      <c r="O758" t="n">
        <v>0</v>
      </c>
      <c r="P758" t="n">
        <v>0</v>
      </c>
      <c r="Q758" t="n">
        <v>0</v>
      </c>
      <c r="R758" s="2" t="inlineStr"/>
    </row>
    <row r="759" ht="15" customHeight="1">
      <c r="A759" t="inlineStr">
        <is>
          <t>A 13574-2021</t>
        </is>
      </c>
      <c r="B759" s="1" t="n">
        <v>44273</v>
      </c>
      <c r="C759" s="1" t="n">
        <v>45845</v>
      </c>
      <c r="D759" t="inlineStr">
        <is>
          <t>VÄSTERNORRLANDS LÄN</t>
        </is>
      </c>
      <c r="E759" t="inlineStr">
        <is>
          <t>SUNDSVALL</t>
        </is>
      </c>
      <c r="F759" t="inlineStr">
        <is>
          <t>Naturvårdsverket</t>
        </is>
      </c>
      <c r="G759" t="n">
        <v>3.6</v>
      </c>
      <c r="H759" t="n">
        <v>0</v>
      </c>
      <c r="I759" t="n">
        <v>0</v>
      </c>
      <c r="J759" t="n">
        <v>0</v>
      </c>
      <c r="K759" t="n">
        <v>0</v>
      </c>
      <c r="L759" t="n">
        <v>0</v>
      </c>
      <c r="M759" t="n">
        <v>0</v>
      </c>
      <c r="N759" t="n">
        <v>0</v>
      </c>
      <c r="O759" t="n">
        <v>0</v>
      </c>
      <c r="P759" t="n">
        <v>0</v>
      </c>
      <c r="Q759" t="n">
        <v>0</v>
      </c>
      <c r="R759" s="2" t="inlineStr"/>
    </row>
    <row r="760" ht="15" customHeight="1">
      <c r="A760" t="inlineStr">
        <is>
          <t>A 13987-2021</t>
        </is>
      </c>
      <c r="B760" s="1" t="n">
        <v>44277</v>
      </c>
      <c r="C760" s="1" t="n">
        <v>45845</v>
      </c>
      <c r="D760" t="inlineStr">
        <is>
          <t>VÄSTERNORRLANDS LÄN</t>
        </is>
      </c>
      <c r="E760" t="inlineStr">
        <is>
          <t>SUNDSVALL</t>
        </is>
      </c>
      <c r="G760" t="n">
        <v>2</v>
      </c>
      <c r="H760" t="n">
        <v>0</v>
      </c>
      <c r="I760" t="n">
        <v>0</v>
      </c>
      <c r="J760" t="n">
        <v>0</v>
      </c>
      <c r="K760" t="n">
        <v>0</v>
      </c>
      <c r="L760" t="n">
        <v>0</v>
      </c>
      <c r="M760" t="n">
        <v>0</v>
      </c>
      <c r="N760" t="n">
        <v>0</v>
      </c>
      <c r="O760" t="n">
        <v>0</v>
      </c>
      <c r="P760" t="n">
        <v>0</v>
      </c>
      <c r="Q760" t="n">
        <v>0</v>
      </c>
      <c r="R760" s="2" t="inlineStr"/>
    </row>
    <row r="761" ht="15" customHeight="1">
      <c r="A761" t="inlineStr">
        <is>
          <t>A 14113-2021</t>
        </is>
      </c>
      <c r="B761" s="1" t="n">
        <v>44277</v>
      </c>
      <c r="C761" s="1" t="n">
        <v>45845</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14231-2021</t>
        </is>
      </c>
      <c r="B762" s="1" t="n">
        <v>44277</v>
      </c>
      <c r="C762" s="1" t="n">
        <v>45845</v>
      </c>
      <c r="D762" t="inlineStr">
        <is>
          <t>VÄSTERNORRLANDS LÄN</t>
        </is>
      </c>
      <c r="E762" t="inlineStr">
        <is>
          <t>SUNDSVALL</t>
        </is>
      </c>
      <c r="G762" t="n">
        <v>0.9</v>
      </c>
      <c r="H762" t="n">
        <v>0</v>
      </c>
      <c r="I762" t="n">
        <v>0</v>
      </c>
      <c r="J762" t="n">
        <v>0</v>
      </c>
      <c r="K762" t="n">
        <v>0</v>
      </c>
      <c r="L762" t="n">
        <v>0</v>
      </c>
      <c r="M762" t="n">
        <v>0</v>
      </c>
      <c r="N762" t="n">
        <v>0</v>
      </c>
      <c r="O762" t="n">
        <v>0</v>
      </c>
      <c r="P762" t="n">
        <v>0</v>
      </c>
      <c r="Q762" t="n">
        <v>0</v>
      </c>
      <c r="R762" s="2" t="inlineStr"/>
    </row>
    <row r="763" ht="15" customHeight="1">
      <c r="A763" t="inlineStr">
        <is>
          <t>A 14328-2021</t>
        </is>
      </c>
      <c r="B763" s="1" t="n">
        <v>44278</v>
      </c>
      <c r="C763" s="1" t="n">
        <v>45845</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15769-2021</t>
        </is>
      </c>
      <c r="B764" s="1" t="n">
        <v>44286</v>
      </c>
      <c r="C764" s="1" t="n">
        <v>45845</v>
      </c>
      <c r="D764" t="inlineStr">
        <is>
          <t>VÄSTERNORRLANDS LÄN</t>
        </is>
      </c>
      <c r="E764" t="inlineStr">
        <is>
          <t>SUNDSVALL</t>
        </is>
      </c>
      <c r="F764" t="inlineStr">
        <is>
          <t>Kommuner</t>
        </is>
      </c>
      <c r="G764" t="n">
        <v>1.3</v>
      </c>
      <c r="H764" t="n">
        <v>0</v>
      </c>
      <c r="I764" t="n">
        <v>0</v>
      </c>
      <c r="J764" t="n">
        <v>0</v>
      </c>
      <c r="K764" t="n">
        <v>0</v>
      </c>
      <c r="L764" t="n">
        <v>0</v>
      </c>
      <c r="M764" t="n">
        <v>0</v>
      </c>
      <c r="N764" t="n">
        <v>0</v>
      </c>
      <c r="O764" t="n">
        <v>0</v>
      </c>
      <c r="P764" t="n">
        <v>0</v>
      </c>
      <c r="Q764" t="n">
        <v>0</v>
      </c>
      <c r="R764" s="2" t="inlineStr"/>
    </row>
    <row r="765" ht="15" customHeight="1">
      <c r="A765" t="inlineStr">
        <is>
          <t>A 16334-2021</t>
        </is>
      </c>
      <c r="B765" s="1" t="n">
        <v>44292</v>
      </c>
      <c r="C765" s="1" t="n">
        <v>45845</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16424-2021</t>
        </is>
      </c>
      <c r="B766" s="1" t="n">
        <v>44292</v>
      </c>
      <c r="C766" s="1" t="n">
        <v>45845</v>
      </c>
      <c r="D766" t="inlineStr">
        <is>
          <t>VÄSTERNORRLANDS LÄN</t>
        </is>
      </c>
      <c r="E766" t="inlineStr">
        <is>
          <t>SUNDSVALL</t>
        </is>
      </c>
      <c r="G766" t="n">
        <v>0.2</v>
      </c>
      <c r="H766" t="n">
        <v>0</v>
      </c>
      <c r="I766" t="n">
        <v>0</v>
      </c>
      <c r="J766" t="n">
        <v>0</v>
      </c>
      <c r="K766" t="n">
        <v>0</v>
      </c>
      <c r="L766" t="n">
        <v>0</v>
      </c>
      <c r="M766" t="n">
        <v>0</v>
      </c>
      <c r="N766" t="n">
        <v>0</v>
      </c>
      <c r="O766" t="n">
        <v>0</v>
      </c>
      <c r="P766" t="n">
        <v>0</v>
      </c>
      <c r="Q766" t="n">
        <v>0</v>
      </c>
      <c r="R766" s="2" t="inlineStr"/>
    </row>
    <row r="767" ht="15" customHeight="1">
      <c r="A767" t="inlineStr">
        <is>
          <t>A 17379-2021</t>
        </is>
      </c>
      <c r="B767" s="1" t="n">
        <v>44298</v>
      </c>
      <c r="C767" s="1" t="n">
        <v>45845</v>
      </c>
      <c r="D767" t="inlineStr">
        <is>
          <t>VÄSTERNORRLANDS LÄN</t>
        </is>
      </c>
      <c r="E767" t="inlineStr">
        <is>
          <t>SUNDSVALL</t>
        </is>
      </c>
      <c r="F767" t="inlineStr">
        <is>
          <t>SCA</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17690-2021</t>
        </is>
      </c>
      <c r="B768" s="1" t="n">
        <v>44300</v>
      </c>
      <c r="C768" s="1" t="n">
        <v>45845</v>
      </c>
      <c r="D768" t="inlineStr">
        <is>
          <t>VÄSTERNORRLANDS LÄN</t>
        </is>
      </c>
      <c r="E768" t="inlineStr">
        <is>
          <t>SUNDSVALL</t>
        </is>
      </c>
      <c r="G768" t="n">
        <v>0.5</v>
      </c>
      <c r="H768" t="n">
        <v>0</v>
      </c>
      <c r="I768" t="n">
        <v>0</v>
      </c>
      <c r="J768" t="n">
        <v>0</v>
      </c>
      <c r="K768" t="n">
        <v>0</v>
      </c>
      <c r="L768" t="n">
        <v>0</v>
      </c>
      <c r="M768" t="n">
        <v>0</v>
      </c>
      <c r="N768" t="n">
        <v>0</v>
      </c>
      <c r="O768" t="n">
        <v>0</v>
      </c>
      <c r="P768" t="n">
        <v>0</v>
      </c>
      <c r="Q768" t="n">
        <v>0</v>
      </c>
      <c r="R768" s="2" t="inlineStr"/>
    </row>
    <row r="769" ht="15" customHeight="1">
      <c r="A769" t="inlineStr">
        <is>
          <t>A 17845-2021</t>
        </is>
      </c>
      <c r="B769" s="1" t="n">
        <v>44301</v>
      </c>
      <c r="C769" s="1" t="n">
        <v>45845</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18453-2021</t>
        </is>
      </c>
      <c r="B770" s="1" t="n">
        <v>44306</v>
      </c>
      <c r="C770" s="1" t="n">
        <v>45845</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18672-2021</t>
        </is>
      </c>
      <c r="B771" s="1" t="n">
        <v>44306</v>
      </c>
      <c r="C771" s="1" t="n">
        <v>45845</v>
      </c>
      <c r="D771" t="inlineStr">
        <is>
          <t>VÄSTERNORRLANDS LÄN</t>
        </is>
      </c>
      <c r="E771" t="inlineStr">
        <is>
          <t>SUNDSVALL</t>
        </is>
      </c>
      <c r="G771" t="n">
        <v>3.1</v>
      </c>
      <c r="H771" t="n">
        <v>0</v>
      </c>
      <c r="I771" t="n">
        <v>0</v>
      </c>
      <c r="J771" t="n">
        <v>0</v>
      </c>
      <c r="K771" t="n">
        <v>0</v>
      </c>
      <c r="L771" t="n">
        <v>0</v>
      </c>
      <c r="M771" t="n">
        <v>0</v>
      </c>
      <c r="N771" t="n">
        <v>0</v>
      </c>
      <c r="O771" t="n">
        <v>0</v>
      </c>
      <c r="P771" t="n">
        <v>0</v>
      </c>
      <c r="Q771" t="n">
        <v>0</v>
      </c>
      <c r="R771" s="2" t="inlineStr"/>
    </row>
    <row r="772" ht="15" customHeight="1">
      <c r="A772" t="inlineStr">
        <is>
          <t>A 18774-2021</t>
        </is>
      </c>
      <c r="B772" s="1" t="n">
        <v>44307</v>
      </c>
      <c r="C772" s="1" t="n">
        <v>45845</v>
      </c>
      <c r="D772" t="inlineStr">
        <is>
          <t>VÄSTERNORRLANDS LÄN</t>
        </is>
      </c>
      <c r="E772" t="inlineStr">
        <is>
          <t>SUNDSVALL</t>
        </is>
      </c>
      <c r="G772" t="n">
        <v>0.3</v>
      </c>
      <c r="H772" t="n">
        <v>0</v>
      </c>
      <c r="I772" t="n">
        <v>0</v>
      </c>
      <c r="J772" t="n">
        <v>0</v>
      </c>
      <c r="K772" t="n">
        <v>0</v>
      </c>
      <c r="L772" t="n">
        <v>0</v>
      </c>
      <c r="M772" t="n">
        <v>0</v>
      </c>
      <c r="N772" t="n">
        <v>0</v>
      </c>
      <c r="O772" t="n">
        <v>0</v>
      </c>
      <c r="P772" t="n">
        <v>0</v>
      </c>
      <c r="Q772" t="n">
        <v>0</v>
      </c>
      <c r="R772" s="2" t="inlineStr"/>
    </row>
    <row r="773" ht="15" customHeight="1">
      <c r="A773" t="inlineStr">
        <is>
          <t>A 19208-2021</t>
        </is>
      </c>
      <c r="B773" s="1" t="n">
        <v>44308</v>
      </c>
      <c r="C773" s="1" t="n">
        <v>45845</v>
      </c>
      <c r="D773" t="inlineStr">
        <is>
          <t>VÄSTERNORRLANDS LÄN</t>
        </is>
      </c>
      <c r="E773" t="inlineStr">
        <is>
          <t>SUNDSVALL</t>
        </is>
      </c>
      <c r="G773" t="n">
        <v>19.1</v>
      </c>
      <c r="H773" t="n">
        <v>0</v>
      </c>
      <c r="I773" t="n">
        <v>0</v>
      </c>
      <c r="J773" t="n">
        <v>0</v>
      </c>
      <c r="K773" t="n">
        <v>0</v>
      </c>
      <c r="L773" t="n">
        <v>0</v>
      </c>
      <c r="M773" t="n">
        <v>0</v>
      </c>
      <c r="N773" t="n">
        <v>0</v>
      </c>
      <c r="O773" t="n">
        <v>0</v>
      </c>
      <c r="P773" t="n">
        <v>0</v>
      </c>
      <c r="Q773" t="n">
        <v>0</v>
      </c>
      <c r="R773" s="2" t="inlineStr"/>
    </row>
    <row r="774" ht="15" customHeight="1">
      <c r="A774" t="inlineStr">
        <is>
          <t>A 19236-2021</t>
        </is>
      </c>
      <c r="B774" s="1" t="n">
        <v>44309</v>
      </c>
      <c r="C774" s="1" t="n">
        <v>45845</v>
      </c>
      <c r="D774" t="inlineStr">
        <is>
          <t>VÄSTERNORRLANDS LÄN</t>
        </is>
      </c>
      <c r="E774" t="inlineStr">
        <is>
          <t>SUNDSVALL</t>
        </is>
      </c>
      <c r="G774" t="n">
        <v>0.6</v>
      </c>
      <c r="H774" t="n">
        <v>0</v>
      </c>
      <c r="I774" t="n">
        <v>0</v>
      </c>
      <c r="J774" t="n">
        <v>0</v>
      </c>
      <c r="K774" t="n">
        <v>0</v>
      </c>
      <c r="L774" t="n">
        <v>0</v>
      </c>
      <c r="M774" t="n">
        <v>0</v>
      </c>
      <c r="N774" t="n">
        <v>0</v>
      </c>
      <c r="O774" t="n">
        <v>0</v>
      </c>
      <c r="P774" t="n">
        <v>0</v>
      </c>
      <c r="Q774" t="n">
        <v>0</v>
      </c>
      <c r="R774" s="2" t="inlineStr"/>
    </row>
    <row r="775" ht="15" customHeight="1">
      <c r="A775" t="inlineStr">
        <is>
          <t>A 20416-2021</t>
        </is>
      </c>
      <c r="B775" s="1" t="n">
        <v>44312</v>
      </c>
      <c r="C775" s="1" t="n">
        <v>45845</v>
      </c>
      <c r="D775" t="inlineStr">
        <is>
          <t>VÄSTERNORRLANDS LÄN</t>
        </is>
      </c>
      <c r="E775" t="inlineStr">
        <is>
          <t>SUNDSVALL</t>
        </is>
      </c>
      <c r="G775" t="n">
        <v>2.1</v>
      </c>
      <c r="H775" t="n">
        <v>0</v>
      </c>
      <c r="I775" t="n">
        <v>0</v>
      </c>
      <c r="J775" t="n">
        <v>0</v>
      </c>
      <c r="K775" t="n">
        <v>0</v>
      </c>
      <c r="L775" t="n">
        <v>0</v>
      </c>
      <c r="M775" t="n">
        <v>0</v>
      </c>
      <c r="N775" t="n">
        <v>0</v>
      </c>
      <c r="O775" t="n">
        <v>0</v>
      </c>
      <c r="P775" t="n">
        <v>0</v>
      </c>
      <c r="Q775" t="n">
        <v>0</v>
      </c>
      <c r="R775" s="2" t="inlineStr"/>
    </row>
    <row r="776" ht="15" customHeight="1">
      <c r="A776" t="inlineStr">
        <is>
          <t>A 19729-2021</t>
        </is>
      </c>
      <c r="B776" s="1" t="n">
        <v>44312</v>
      </c>
      <c r="C776" s="1" t="n">
        <v>45845</v>
      </c>
      <c r="D776" t="inlineStr">
        <is>
          <t>VÄSTERNORRLANDS LÄN</t>
        </is>
      </c>
      <c r="E776" t="inlineStr">
        <is>
          <t>SUNDSVALL</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20010-2021</t>
        </is>
      </c>
      <c r="B777" s="1" t="n">
        <v>44313</v>
      </c>
      <c r="C777" s="1" t="n">
        <v>45845</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20011-2021</t>
        </is>
      </c>
      <c r="B778" s="1" t="n">
        <v>44313</v>
      </c>
      <c r="C778" s="1" t="n">
        <v>45845</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20186-2021</t>
        </is>
      </c>
      <c r="B779" s="1" t="n">
        <v>44314</v>
      </c>
      <c r="C779" s="1" t="n">
        <v>45845</v>
      </c>
      <c r="D779" t="inlineStr">
        <is>
          <t>VÄSTERNORRLANDS LÄN</t>
        </is>
      </c>
      <c r="E779" t="inlineStr">
        <is>
          <t>SUNDSVALL</t>
        </is>
      </c>
      <c r="G779" t="n">
        <v>2.3</v>
      </c>
      <c r="H779" t="n">
        <v>0</v>
      </c>
      <c r="I779" t="n">
        <v>0</v>
      </c>
      <c r="J779" t="n">
        <v>0</v>
      </c>
      <c r="K779" t="n">
        <v>0</v>
      </c>
      <c r="L779" t="n">
        <v>0</v>
      </c>
      <c r="M779" t="n">
        <v>0</v>
      </c>
      <c r="N779" t="n">
        <v>0</v>
      </c>
      <c r="O779" t="n">
        <v>0</v>
      </c>
      <c r="P779" t="n">
        <v>0</v>
      </c>
      <c r="Q779" t="n">
        <v>0</v>
      </c>
      <c r="R779" s="2" t="inlineStr"/>
    </row>
    <row r="780" ht="15" customHeight="1">
      <c r="A780" t="inlineStr">
        <is>
          <t>A 20514-2021</t>
        </is>
      </c>
      <c r="B780" s="1" t="n">
        <v>44315</v>
      </c>
      <c r="C780" s="1" t="n">
        <v>45845</v>
      </c>
      <c r="D780" t="inlineStr">
        <is>
          <t>VÄSTERNORRLANDS LÄN</t>
        </is>
      </c>
      <c r="E780" t="inlineStr">
        <is>
          <t>SUNDSVALL</t>
        </is>
      </c>
      <c r="G780" t="n">
        <v>6.7</v>
      </c>
      <c r="H780" t="n">
        <v>0</v>
      </c>
      <c r="I780" t="n">
        <v>0</v>
      </c>
      <c r="J780" t="n">
        <v>0</v>
      </c>
      <c r="K780" t="n">
        <v>0</v>
      </c>
      <c r="L780" t="n">
        <v>0</v>
      </c>
      <c r="M780" t="n">
        <v>0</v>
      </c>
      <c r="N780" t="n">
        <v>0</v>
      </c>
      <c r="O780" t="n">
        <v>0</v>
      </c>
      <c r="P780" t="n">
        <v>0</v>
      </c>
      <c r="Q780" t="n">
        <v>0</v>
      </c>
      <c r="R780" s="2" t="inlineStr"/>
    </row>
    <row r="781" ht="15" customHeight="1">
      <c r="A781" t="inlineStr">
        <is>
          <t>A 20520-2021</t>
        </is>
      </c>
      <c r="B781" s="1" t="n">
        <v>44315</v>
      </c>
      <c r="C781" s="1" t="n">
        <v>45845</v>
      </c>
      <c r="D781" t="inlineStr">
        <is>
          <t>VÄSTERNORRLANDS LÄN</t>
        </is>
      </c>
      <c r="E781" t="inlineStr">
        <is>
          <t>SUNDSVALL</t>
        </is>
      </c>
      <c r="G781" t="n">
        <v>2.3</v>
      </c>
      <c r="H781" t="n">
        <v>0</v>
      </c>
      <c r="I781" t="n">
        <v>0</v>
      </c>
      <c r="J781" t="n">
        <v>0</v>
      </c>
      <c r="K781" t="n">
        <v>0</v>
      </c>
      <c r="L781" t="n">
        <v>0</v>
      </c>
      <c r="M781" t="n">
        <v>0</v>
      </c>
      <c r="N781" t="n">
        <v>0</v>
      </c>
      <c r="O781" t="n">
        <v>0</v>
      </c>
      <c r="P781" t="n">
        <v>0</v>
      </c>
      <c r="Q781" t="n">
        <v>0</v>
      </c>
      <c r="R781" s="2" t="inlineStr"/>
    </row>
    <row r="782" ht="15" customHeight="1">
      <c r="A782" t="inlineStr">
        <is>
          <t>A 20698-2021</t>
        </is>
      </c>
      <c r="B782" s="1" t="n">
        <v>44316</v>
      </c>
      <c r="C782" s="1" t="n">
        <v>45845</v>
      </c>
      <c r="D782" t="inlineStr">
        <is>
          <t>VÄSTERNORRLANDS LÄN</t>
        </is>
      </c>
      <c r="E782" t="inlineStr">
        <is>
          <t>SUNDSVALL</t>
        </is>
      </c>
      <c r="G782" t="n">
        <v>5.2</v>
      </c>
      <c r="H782" t="n">
        <v>0</v>
      </c>
      <c r="I782" t="n">
        <v>0</v>
      </c>
      <c r="J782" t="n">
        <v>0</v>
      </c>
      <c r="K782" t="n">
        <v>0</v>
      </c>
      <c r="L782" t="n">
        <v>0</v>
      </c>
      <c r="M782" t="n">
        <v>0</v>
      </c>
      <c r="N782" t="n">
        <v>0</v>
      </c>
      <c r="O782" t="n">
        <v>0</v>
      </c>
      <c r="P782" t="n">
        <v>0</v>
      </c>
      <c r="Q782" t="n">
        <v>0</v>
      </c>
      <c r="R782" s="2" t="inlineStr"/>
    </row>
    <row r="783" ht="15" customHeight="1">
      <c r="A783" t="inlineStr">
        <is>
          <t>A 20713-2021</t>
        </is>
      </c>
      <c r="B783" s="1" t="n">
        <v>44316</v>
      </c>
      <c r="C783" s="1" t="n">
        <v>45845</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20660-2021</t>
        </is>
      </c>
      <c r="B784" s="1" t="n">
        <v>44316</v>
      </c>
      <c r="C784" s="1" t="n">
        <v>45845</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21099-2021</t>
        </is>
      </c>
      <c r="B785" s="1" t="n">
        <v>44319</v>
      </c>
      <c r="C785" s="1" t="n">
        <v>45845</v>
      </c>
      <c r="D785" t="inlineStr">
        <is>
          <t>VÄSTERNORRLANDS LÄN</t>
        </is>
      </c>
      <c r="E785" t="inlineStr">
        <is>
          <t>SUNDSVALL</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21102-2021</t>
        </is>
      </c>
      <c r="B786" s="1" t="n">
        <v>44319</v>
      </c>
      <c r="C786" s="1" t="n">
        <v>45845</v>
      </c>
      <c r="D786" t="inlineStr">
        <is>
          <t>VÄSTERNORRLANDS LÄN</t>
        </is>
      </c>
      <c r="E786" t="inlineStr">
        <is>
          <t>SUNDSVALL</t>
        </is>
      </c>
      <c r="G786" t="n">
        <v>3.1</v>
      </c>
      <c r="H786" t="n">
        <v>0</v>
      </c>
      <c r="I786" t="n">
        <v>0</v>
      </c>
      <c r="J786" t="n">
        <v>0</v>
      </c>
      <c r="K786" t="n">
        <v>0</v>
      </c>
      <c r="L786" t="n">
        <v>0</v>
      </c>
      <c r="M786" t="n">
        <v>0</v>
      </c>
      <c r="N786" t="n">
        <v>0</v>
      </c>
      <c r="O786" t="n">
        <v>0</v>
      </c>
      <c r="P786" t="n">
        <v>0</v>
      </c>
      <c r="Q786" t="n">
        <v>0</v>
      </c>
      <c r="R786" s="2" t="inlineStr"/>
    </row>
    <row r="787" ht="15" customHeight="1">
      <c r="A787" t="inlineStr">
        <is>
          <t>A 21370-2021</t>
        </is>
      </c>
      <c r="B787" s="1" t="n">
        <v>44320</v>
      </c>
      <c r="C787" s="1" t="n">
        <v>45845</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21427-2021</t>
        </is>
      </c>
      <c r="B788" s="1" t="n">
        <v>44320</v>
      </c>
      <c r="C788" s="1" t="n">
        <v>45845</v>
      </c>
      <c r="D788" t="inlineStr">
        <is>
          <t>VÄSTERNORRLANDS LÄN</t>
        </is>
      </c>
      <c r="E788" t="inlineStr">
        <is>
          <t>SUNDSVALL</t>
        </is>
      </c>
      <c r="G788" t="n">
        <v>0.9</v>
      </c>
      <c r="H788" t="n">
        <v>0</v>
      </c>
      <c r="I788" t="n">
        <v>0</v>
      </c>
      <c r="J788" t="n">
        <v>0</v>
      </c>
      <c r="K788" t="n">
        <v>0</v>
      </c>
      <c r="L788" t="n">
        <v>0</v>
      </c>
      <c r="M788" t="n">
        <v>0</v>
      </c>
      <c r="N788" t="n">
        <v>0</v>
      </c>
      <c r="O788" t="n">
        <v>0</v>
      </c>
      <c r="P788" t="n">
        <v>0</v>
      </c>
      <c r="Q788" t="n">
        <v>0</v>
      </c>
      <c r="R788" s="2" t="inlineStr"/>
    </row>
    <row r="789" ht="15" customHeight="1">
      <c r="A789" t="inlineStr">
        <is>
          <t>A 22336-2021</t>
        </is>
      </c>
      <c r="B789" s="1" t="n">
        <v>44326</v>
      </c>
      <c r="C789" s="1" t="n">
        <v>45845</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23052-2021</t>
        </is>
      </c>
      <c r="B790" s="1" t="n">
        <v>44329</v>
      </c>
      <c r="C790" s="1" t="n">
        <v>45845</v>
      </c>
      <c r="D790" t="inlineStr">
        <is>
          <t>VÄSTERNORRLANDS LÄN</t>
        </is>
      </c>
      <c r="E790" t="inlineStr">
        <is>
          <t>SUNDSVALL</t>
        </is>
      </c>
      <c r="G790" t="n">
        <v>1.3</v>
      </c>
      <c r="H790" t="n">
        <v>0</v>
      </c>
      <c r="I790" t="n">
        <v>0</v>
      </c>
      <c r="J790" t="n">
        <v>0</v>
      </c>
      <c r="K790" t="n">
        <v>0</v>
      </c>
      <c r="L790" t="n">
        <v>0</v>
      </c>
      <c r="M790" t="n">
        <v>0</v>
      </c>
      <c r="N790" t="n">
        <v>0</v>
      </c>
      <c r="O790" t="n">
        <v>0</v>
      </c>
      <c r="P790" t="n">
        <v>0</v>
      </c>
      <c r="Q790" t="n">
        <v>0</v>
      </c>
      <c r="R790" s="2" t="inlineStr"/>
    </row>
    <row r="791" ht="15" customHeight="1">
      <c r="A791" t="inlineStr">
        <is>
          <t>A 23480-2021</t>
        </is>
      </c>
      <c r="B791" s="1" t="n">
        <v>44333</v>
      </c>
      <c r="C791" s="1" t="n">
        <v>45845</v>
      </c>
      <c r="D791" t="inlineStr">
        <is>
          <t>VÄSTERNORRLANDS LÄN</t>
        </is>
      </c>
      <c r="E791" t="inlineStr">
        <is>
          <t>SUNDSVALL</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23951-2021</t>
        </is>
      </c>
      <c r="B792" s="1" t="n">
        <v>44335</v>
      </c>
      <c r="C792" s="1" t="n">
        <v>45845</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24068-2021</t>
        </is>
      </c>
      <c r="B793" s="1" t="n">
        <v>44336</v>
      </c>
      <c r="C793" s="1" t="n">
        <v>45845</v>
      </c>
      <c r="D793" t="inlineStr">
        <is>
          <t>VÄSTERNORRLANDS LÄN</t>
        </is>
      </c>
      <c r="E793" t="inlineStr">
        <is>
          <t>SUNDSVALL</t>
        </is>
      </c>
      <c r="G793" t="n">
        <v>39</v>
      </c>
      <c r="H793" t="n">
        <v>0</v>
      </c>
      <c r="I793" t="n">
        <v>0</v>
      </c>
      <c r="J793" t="n">
        <v>0</v>
      </c>
      <c r="K793" t="n">
        <v>0</v>
      </c>
      <c r="L793" t="n">
        <v>0</v>
      </c>
      <c r="M793" t="n">
        <v>0</v>
      </c>
      <c r="N793" t="n">
        <v>0</v>
      </c>
      <c r="O793" t="n">
        <v>0</v>
      </c>
      <c r="P793" t="n">
        <v>0</v>
      </c>
      <c r="Q793" t="n">
        <v>0</v>
      </c>
      <c r="R793" s="2" t="inlineStr"/>
    </row>
    <row r="794" ht="15" customHeight="1">
      <c r="A794" t="inlineStr">
        <is>
          <t>A 24342-2021</t>
        </is>
      </c>
      <c r="B794" s="1" t="n">
        <v>44337</v>
      </c>
      <c r="C794" s="1" t="n">
        <v>45845</v>
      </c>
      <c r="D794" t="inlineStr">
        <is>
          <t>VÄSTERNORRLANDS LÄN</t>
        </is>
      </c>
      <c r="E794" t="inlineStr">
        <is>
          <t>SUNDSVALL</t>
        </is>
      </c>
      <c r="F794" t="inlineStr">
        <is>
          <t>Holmen skog AB</t>
        </is>
      </c>
      <c r="G794" t="n">
        <v>1.3</v>
      </c>
      <c r="H794" t="n">
        <v>0</v>
      </c>
      <c r="I794" t="n">
        <v>0</v>
      </c>
      <c r="J794" t="n">
        <v>0</v>
      </c>
      <c r="K794" t="n">
        <v>0</v>
      </c>
      <c r="L794" t="n">
        <v>0</v>
      </c>
      <c r="M794" t="n">
        <v>0</v>
      </c>
      <c r="N794" t="n">
        <v>0</v>
      </c>
      <c r="O794" t="n">
        <v>0</v>
      </c>
      <c r="P794" t="n">
        <v>0</v>
      </c>
      <c r="Q794" t="n">
        <v>0</v>
      </c>
      <c r="R794" s="2" t="inlineStr"/>
    </row>
    <row r="795" ht="15" customHeight="1">
      <c r="A795" t="inlineStr">
        <is>
          <t>A 24433-2021</t>
        </is>
      </c>
      <c r="B795" s="1" t="n">
        <v>44337</v>
      </c>
      <c r="C795" s="1" t="n">
        <v>45845</v>
      </c>
      <c r="D795" t="inlineStr">
        <is>
          <t>VÄSTERNORRLANDS LÄN</t>
        </is>
      </c>
      <c r="E795" t="inlineStr">
        <is>
          <t>SUNDSVALL</t>
        </is>
      </c>
      <c r="G795" t="n">
        <v>1</v>
      </c>
      <c r="H795" t="n">
        <v>0</v>
      </c>
      <c r="I795" t="n">
        <v>0</v>
      </c>
      <c r="J795" t="n">
        <v>0</v>
      </c>
      <c r="K795" t="n">
        <v>0</v>
      </c>
      <c r="L795" t="n">
        <v>0</v>
      </c>
      <c r="M795" t="n">
        <v>0</v>
      </c>
      <c r="N795" t="n">
        <v>0</v>
      </c>
      <c r="O795" t="n">
        <v>0</v>
      </c>
      <c r="P795" t="n">
        <v>0</v>
      </c>
      <c r="Q795" t="n">
        <v>0</v>
      </c>
      <c r="R795" s="2" t="inlineStr"/>
    </row>
    <row r="796" ht="15" customHeight="1">
      <c r="A796" t="inlineStr">
        <is>
          <t>A 24505-2021</t>
        </is>
      </c>
      <c r="B796" s="1" t="n">
        <v>44338</v>
      </c>
      <c r="C796" s="1" t="n">
        <v>45845</v>
      </c>
      <c r="D796" t="inlineStr">
        <is>
          <t>VÄSTERNORRLANDS LÄN</t>
        </is>
      </c>
      <c r="E796" t="inlineStr">
        <is>
          <t>SUNDSVALL</t>
        </is>
      </c>
      <c r="G796" t="n">
        <v>2.7</v>
      </c>
      <c r="H796" t="n">
        <v>0</v>
      </c>
      <c r="I796" t="n">
        <v>0</v>
      </c>
      <c r="J796" t="n">
        <v>0</v>
      </c>
      <c r="K796" t="n">
        <v>0</v>
      </c>
      <c r="L796" t="n">
        <v>0</v>
      </c>
      <c r="M796" t="n">
        <v>0</v>
      </c>
      <c r="N796" t="n">
        <v>0</v>
      </c>
      <c r="O796" t="n">
        <v>0</v>
      </c>
      <c r="P796" t="n">
        <v>0</v>
      </c>
      <c r="Q796" t="n">
        <v>0</v>
      </c>
      <c r="R796" s="2" t="inlineStr"/>
    </row>
    <row r="797" ht="15" customHeight="1">
      <c r="A797" t="inlineStr">
        <is>
          <t>A 24853-2021</t>
        </is>
      </c>
      <c r="B797" s="1" t="n">
        <v>44340</v>
      </c>
      <c r="C797" s="1" t="n">
        <v>45845</v>
      </c>
      <c r="D797" t="inlineStr">
        <is>
          <t>VÄSTERNORRLANDS LÄN</t>
        </is>
      </c>
      <c r="E797" t="inlineStr">
        <is>
          <t>SUNDSVALL</t>
        </is>
      </c>
      <c r="G797" t="n">
        <v>3.2</v>
      </c>
      <c r="H797" t="n">
        <v>0</v>
      </c>
      <c r="I797" t="n">
        <v>0</v>
      </c>
      <c r="J797" t="n">
        <v>0</v>
      </c>
      <c r="K797" t="n">
        <v>0</v>
      </c>
      <c r="L797" t="n">
        <v>0</v>
      </c>
      <c r="M797" t="n">
        <v>0</v>
      </c>
      <c r="N797" t="n">
        <v>0</v>
      </c>
      <c r="O797" t="n">
        <v>0</v>
      </c>
      <c r="P797" t="n">
        <v>0</v>
      </c>
      <c r="Q797" t="n">
        <v>0</v>
      </c>
      <c r="R797" s="2" t="inlineStr"/>
    </row>
    <row r="798" ht="15" customHeight="1">
      <c r="A798" t="inlineStr">
        <is>
          <t>A 25147-2021</t>
        </is>
      </c>
      <c r="B798" s="1" t="n">
        <v>44341</v>
      </c>
      <c r="C798" s="1" t="n">
        <v>45845</v>
      </c>
      <c r="D798" t="inlineStr">
        <is>
          <t>VÄSTERNORRLANDS LÄN</t>
        </is>
      </c>
      <c r="E798" t="inlineStr">
        <is>
          <t>SUNDSVALL</t>
        </is>
      </c>
      <c r="G798" t="n">
        <v>2</v>
      </c>
      <c r="H798" t="n">
        <v>0</v>
      </c>
      <c r="I798" t="n">
        <v>0</v>
      </c>
      <c r="J798" t="n">
        <v>0</v>
      </c>
      <c r="K798" t="n">
        <v>0</v>
      </c>
      <c r="L798" t="n">
        <v>0</v>
      </c>
      <c r="M798" t="n">
        <v>0</v>
      </c>
      <c r="N798" t="n">
        <v>0</v>
      </c>
      <c r="O798" t="n">
        <v>0</v>
      </c>
      <c r="P798" t="n">
        <v>0</v>
      </c>
      <c r="Q798" t="n">
        <v>0</v>
      </c>
      <c r="R798" s="2" t="inlineStr"/>
    </row>
    <row r="799" ht="15" customHeight="1">
      <c r="A799" t="inlineStr">
        <is>
          <t>A 25148-2021</t>
        </is>
      </c>
      <c r="B799" s="1" t="n">
        <v>44341</v>
      </c>
      <c r="C799" s="1" t="n">
        <v>45845</v>
      </c>
      <c r="D799" t="inlineStr">
        <is>
          <t>VÄSTERNORRLANDS LÄN</t>
        </is>
      </c>
      <c r="E799" t="inlineStr">
        <is>
          <t>SUNDSVALL</t>
        </is>
      </c>
      <c r="G799" t="n">
        <v>0.6</v>
      </c>
      <c r="H799" t="n">
        <v>0</v>
      </c>
      <c r="I799" t="n">
        <v>0</v>
      </c>
      <c r="J799" t="n">
        <v>0</v>
      </c>
      <c r="K799" t="n">
        <v>0</v>
      </c>
      <c r="L799" t="n">
        <v>0</v>
      </c>
      <c r="M799" t="n">
        <v>0</v>
      </c>
      <c r="N799" t="n">
        <v>0</v>
      </c>
      <c r="O799" t="n">
        <v>0</v>
      </c>
      <c r="P799" t="n">
        <v>0</v>
      </c>
      <c r="Q799" t="n">
        <v>0</v>
      </c>
      <c r="R799" s="2" t="inlineStr"/>
    </row>
    <row r="800" ht="15" customHeight="1">
      <c r="A800" t="inlineStr">
        <is>
          <t>A 25371-2021</t>
        </is>
      </c>
      <c r="B800" s="1" t="n">
        <v>44342</v>
      </c>
      <c r="C800" s="1" t="n">
        <v>45845</v>
      </c>
      <c r="D800" t="inlineStr">
        <is>
          <t>VÄSTERNORRLANDS LÄN</t>
        </is>
      </c>
      <c r="E800" t="inlineStr">
        <is>
          <t>SUNDSVALL</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25484-2021</t>
        </is>
      </c>
      <c r="B801" s="1" t="n">
        <v>44342</v>
      </c>
      <c r="C801" s="1" t="n">
        <v>45845</v>
      </c>
      <c r="D801" t="inlineStr">
        <is>
          <t>VÄSTERNORRLANDS LÄN</t>
        </is>
      </c>
      <c r="E801" t="inlineStr">
        <is>
          <t>SUNDSVALL</t>
        </is>
      </c>
      <c r="G801" t="n">
        <v>1.8</v>
      </c>
      <c r="H801" t="n">
        <v>0</v>
      </c>
      <c r="I801" t="n">
        <v>0</v>
      </c>
      <c r="J801" t="n">
        <v>0</v>
      </c>
      <c r="K801" t="n">
        <v>0</v>
      </c>
      <c r="L801" t="n">
        <v>0</v>
      </c>
      <c r="M801" t="n">
        <v>0</v>
      </c>
      <c r="N801" t="n">
        <v>0</v>
      </c>
      <c r="O801" t="n">
        <v>0</v>
      </c>
      <c r="P801" t="n">
        <v>0</v>
      </c>
      <c r="Q801" t="n">
        <v>0</v>
      </c>
      <c r="R801" s="2" t="inlineStr"/>
    </row>
    <row r="802" ht="15" customHeight="1">
      <c r="A802" t="inlineStr">
        <is>
          <t>A 25747-2021</t>
        </is>
      </c>
      <c r="B802" s="1" t="n">
        <v>44343</v>
      </c>
      <c r="C802" s="1" t="n">
        <v>45845</v>
      </c>
      <c r="D802" t="inlineStr">
        <is>
          <t>VÄSTERNORRLANDS LÄN</t>
        </is>
      </c>
      <c r="E802" t="inlineStr">
        <is>
          <t>SUNDSVALL</t>
        </is>
      </c>
      <c r="F802" t="inlineStr">
        <is>
          <t>Kyrkan</t>
        </is>
      </c>
      <c r="G802" t="n">
        <v>2.9</v>
      </c>
      <c r="H802" t="n">
        <v>0</v>
      </c>
      <c r="I802" t="n">
        <v>0</v>
      </c>
      <c r="J802" t="n">
        <v>0</v>
      </c>
      <c r="K802" t="n">
        <v>0</v>
      </c>
      <c r="L802" t="n">
        <v>0</v>
      </c>
      <c r="M802" t="n">
        <v>0</v>
      </c>
      <c r="N802" t="n">
        <v>0</v>
      </c>
      <c r="O802" t="n">
        <v>0</v>
      </c>
      <c r="P802" t="n">
        <v>0</v>
      </c>
      <c r="Q802" t="n">
        <v>0</v>
      </c>
      <c r="R802" s="2" t="inlineStr"/>
    </row>
    <row r="803" ht="15" customHeight="1">
      <c r="A803" t="inlineStr">
        <is>
          <t>A 25539-2021</t>
        </is>
      </c>
      <c r="B803" s="1" t="n">
        <v>44343</v>
      </c>
      <c r="C803" s="1" t="n">
        <v>45845</v>
      </c>
      <c r="D803" t="inlineStr">
        <is>
          <t>VÄSTERNORRLANDS LÄN</t>
        </is>
      </c>
      <c r="E803" t="inlineStr">
        <is>
          <t>SUNDSVALL</t>
        </is>
      </c>
      <c r="G803" t="n">
        <v>0.8</v>
      </c>
      <c r="H803" t="n">
        <v>0</v>
      </c>
      <c r="I803" t="n">
        <v>0</v>
      </c>
      <c r="J803" t="n">
        <v>0</v>
      </c>
      <c r="K803" t="n">
        <v>0</v>
      </c>
      <c r="L803" t="n">
        <v>0</v>
      </c>
      <c r="M803" t="n">
        <v>0</v>
      </c>
      <c r="N803" t="n">
        <v>0</v>
      </c>
      <c r="O803" t="n">
        <v>0</v>
      </c>
      <c r="P803" t="n">
        <v>0</v>
      </c>
      <c r="Q803" t="n">
        <v>0</v>
      </c>
      <c r="R803" s="2" t="inlineStr"/>
    </row>
    <row r="804" ht="15" customHeight="1">
      <c r="A804" t="inlineStr">
        <is>
          <t>A 25748-2021</t>
        </is>
      </c>
      <c r="B804" s="1" t="n">
        <v>44343</v>
      </c>
      <c r="C804" s="1" t="n">
        <v>45845</v>
      </c>
      <c r="D804" t="inlineStr">
        <is>
          <t>VÄSTERNORRLANDS LÄN</t>
        </is>
      </c>
      <c r="E804" t="inlineStr">
        <is>
          <t>SUNDSVALL</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25980-2021</t>
        </is>
      </c>
      <c r="B805" s="1" t="n">
        <v>44344</v>
      </c>
      <c r="C805" s="1" t="n">
        <v>45845</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26089-2021</t>
        </is>
      </c>
      <c r="B806" s="1" t="n">
        <v>44344</v>
      </c>
      <c r="C806" s="1" t="n">
        <v>45845</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26108-2021</t>
        </is>
      </c>
      <c r="B807" s="1" t="n">
        <v>44344</v>
      </c>
      <c r="C807" s="1" t="n">
        <v>45845</v>
      </c>
      <c r="D807" t="inlineStr">
        <is>
          <t>VÄSTERNORRLANDS LÄN</t>
        </is>
      </c>
      <c r="E807" t="inlineStr">
        <is>
          <t>SUNDSVALL</t>
        </is>
      </c>
      <c r="G807" t="n">
        <v>5.1</v>
      </c>
      <c r="H807" t="n">
        <v>0</v>
      </c>
      <c r="I807" t="n">
        <v>0</v>
      </c>
      <c r="J807" t="n">
        <v>0</v>
      </c>
      <c r="K807" t="n">
        <v>0</v>
      </c>
      <c r="L807" t="n">
        <v>0</v>
      </c>
      <c r="M807" t="n">
        <v>0</v>
      </c>
      <c r="N807" t="n">
        <v>0</v>
      </c>
      <c r="O807" t="n">
        <v>0</v>
      </c>
      <c r="P807" t="n">
        <v>0</v>
      </c>
      <c r="Q807" t="n">
        <v>0</v>
      </c>
      <c r="R807" s="2" t="inlineStr"/>
    </row>
    <row r="808" ht="15" customHeight="1">
      <c r="A808" t="inlineStr">
        <is>
          <t>A 26424-2021</t>
        </is>
      </c>
      <c r="B808" s="1" t="n">
        <v>44347</v>
      </c>
      <c r="C808" s="1" t="n">
        <v>45845</v>
      </c>
      <c r="D808" t="inlineStr">
        <is>
          <t>VÄSTERNORRLANDS LÄN</t>
        </is>
      </c>
      <c r="E808" t="inlineStr">
        <is>
          <t>SUNDSVALL</t>
        </is>
      </c>
      <c r="G808" t="n">
        <v>0.8</v>
      </c>
      <c r="H808" t="n">
        <v>0</v>
      </c>
      <c r="I808" t="n">
        <v>0</v>
      </c>
      <c r="J808" t="n">
        <v>0</v>
      </c>
      <c r="K808" t="n">
        <v>0</v>
      </c>
      <c r="L808" t="n">
        <v>0</v>
      </c>
      <c r="M808" t="n">
        <v>0</v>
      </c>
      <c r="N808" t="n">
        <v>0</v>
      </c>
      <c r="O808" t="n">
        <v>0</v>
      </c>
      <c r="P808" t="n">
        <v>0</v>
      </c>
      <c r="Q808" t="n">
        <v>0</v>
      </c>
      <c r="R808" s="2" t="inlineStr"/>
    </row>
    <row r="809" ht="15" customHeight="1">
      <c r="A809" t="inlineStr">
        <is>
          <t>A 26396-2021</t>
        </is>
      </c>
      <c r="B809" s="1" t="n">
        <v>44347</v>
      </c>
      <c r="C809" s="1" t="n">
        <v>45845</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26972-2021</t>
        </is>
      </c>
      <c r="B810" s="1" t="n">
        <v>44350</v>
      </c>
      <c r="C810" s="1" t="n">
        <v>45845</v>
      </c>
      <c r="D810" t="inlineStr">
        <is>
          <t>VÄSTERNORRLANDS LÄN</t>
        </is>
      </c>
      <c r="E810" t="inlineStr">
        <is>
          <t>SUNDSVALL</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26950-2021</t>
        </is>
      </c>
      <c r="B811" s="1" t="n">
        <v>44349</v>
      </c>
      <c r="C811" s="1" t="n">
        <v>45845</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27015-2021</t>
        </is>
      </c>
      <c r="B812" s="1" t="n">
        <v>44349</v>
      </c>
      <c r="C812" s="1" t="n">
        <v>45845</v>
      </c>
      <c r="D812" t="inlineStr">
        <is>
          <t>VÄSTERNORRLANDS LÄN</t>
        </is>
      </c>
      <c r="E812" t="inlineStr">
        <is>
          <t>SUNDSVALL</t>
        </is>
      </c>
      <c r="G812" t="n">
        <v>1.7</v>
      </c>
      <c r="H812" t="n">
        <v>0</v>
      </c>
      <c r="I812" t="n">
        <v>0</v>
      </c>
      <c r="J812" t="n">
        <v>0</v>
      </c>
      <c r="K812" t="n">
        <v>0</v>
      </c>
      <c r="L812" t="n">
        <v>0</v>
      </c>
      <c r="M812" t="n">
        <v>0</v>
      </c>
      <c r="N812" t="n">
        <v>0</v>
      </c>
      <c r="O812" t="n">
        <v>0</v>
      </c>
      <c r="P812" t="n">
        <v>0</v>
      </c>
      <c r="Q812" t="n">
        <v>0</v>
      </c>
      <c r="R812" s="2" t="inlineStr"/>
    </row>
    <row r="813" ht="15" customHeight="1">
      <c r="A813" t="inlineStr">
        <is>
          <t>A 27170-2021</t>
        </is>
      </c>
      <c r="B813" s="1" t="n">
        <v>44350</v>
      </c>
      <c r="C813" s="1" t="n">
        <v>45845</v>
      </c>
      <c r="D813" t="inlineStr">
        <is>
          <t>VÄSTERNORRLANDS LÄN</t>
        </is>
      </c>
      <c r="E813" t="inlineStr">
        <is>
          <t>SUNDSVALL</t>
        </is>
      </c>
      <c r="G813" t="n">
        <v>7.2</v>
      </c>
      <c r="H813" t="n">
        <v>0</v>
      </c>
      <c r="I813" t="n">
        <v>0</v>
      </c>
      <c r="J813" t="n">
        <v>0</v>
      </c>
      <c r="K813" t="n">
        <v>0</v>
      </c>
      <c r="L813" t="n">
        <v>0</v>
      </c>
      <c r="M813" t="n">
        <v>0</v>
      </c>
      <c r="N813" t="n">
        <v>0</v>
      </c>
      <c r="O813" t="n">
        <v>0</v>
      </c>
      <c r="P813" t="n">
        <v>0</v>
      </c>
      <c r="Q813" t="n">
        <v>0</v>
      </c>
      <c r="R813" s="2" t="inlineStr"/>
    </row>
    <row r="814" ht="15" customHeight="1">
      <c r="A814" t="inlineStr">
        <is>
          <t>A 27238-2021</t>
        </is>
      </c>
      <c r="B814" s="1" t="n">
        <v>44350</v>
      </c>
      <c r="C814" s="1" t="n">
        <v>45845</v>
      </c>
      <c r="D814" t="inlineStr">
        <is>
          <t>VÄSTERNORRLANDS LÄN</t>
        </is>
      </c>
      <c r="E814" t="inlineStr">
        <is>
          <t>SUNDSVALL</t>
        </is>
      </c>
      <c r="G814" t="n">
        <v>1.8</v>
      </c>
      <c r="H814" t="n">
        <v>0</v>
      </c>
      <c r="I814" t="n">
        <v>0</v>
      </c>
      <c r="J814" t="n">
        <v>0</v>
      </c>
      <c r="K814" t="n">
        <v>0</v>
      </c>
      <c r="L814" t="n">
        <v>0</v>
      </c>
      <c r="M814" t="n">
        <v>0</v>
      </c>
      <c r="N814" t="n">
        <v>0</v>
      </c>
      <c r="O814" t="n">
        <v>0</v>
      </c>
      <c r="P814" t="n">
        <v>0</v>
      </c>
      <c r="Q814" t="n">
        <v>0</v>
      </c>
      <c r="R814" s="2" t="inlineStr"/>
    </row>
    <row r="815" ht="15" customHeight="1">
      <c r="A815" t="inlineStr">
        <is>
          <t>A 27366-2021</t>
        </is>
      </c>
      <c r="B815" s="1" t="n">
        <v>44351</v>
      </c>
      <c r="C815" s="1" t="n">
        <v>45845</v>
      </c>
      <c r="D815" t="inlineStr">
        <is>
          <t>VÄSTERNORRLANDS LÄN</t>
        </is>
      </c>
      <c r="E815" t="inlineStr">
        <is>
          <t>SUNDSVALL</t>
        </is>
      </c>
      <c r="G815" t="n">
        <v>15.9</v>
      </c>
      <c r="H815" t="n">
        <v>0</v>
      </c>
      <c r="I815" t="n">
        <v>0</v>
      </c>
      <c r="J815" t="n">
        <v>0</v>
      </c>
      <c r="K815" t="n">
        <v>0</v>
      </c>
      <c r="L815" t="n">
        <v>0</v>
      </c>
      <c r="M815" t="n">
        <v>0</v>
      </c>
      <c r="N815" t="n">
        <v>0</v>
      </c>
      <c r="O815" t="n">
        <v>0</v>
      </c>
      <c r="P815" t="n">
        <v>0</v>
      </c>
      <c r="Q815" t="n">
        <v>0</v>
      </c>
      <c r="R815" s="2" t="inlineStr"/>
    </row>
    <row r="816" ht="15" customHeight="1">
      <c r="A816" t="inlineStr">
        <is>
          <t>A 27959-2021</t>
        </is>
      </c>
      <c r="B816" s="1" t="n">
        <v>44354</v>
      </c>
      <c r="C816" s="1" t="n">
        <v>45845</v>
      </c>
      <c r="D816" t="inlineStr">
        <is>
          <t>VÄSTERNORRLANDS LÄN</t>
        </is>
      </c>
      <c r="E816" t="inlineStr">
        <is>
          <t>SUNDSVALL</t>
        </is>
      </c>
      <c r="G816" t="n">
        <v>1.3</v>
      </c>
      <c r="H816" t="n">
        <v>0</v>
      </c>
      <c r="I816" t="n">
        <v>0</v>
      </c>
      <c r="J816" t="n">
        <v>0</v>
      </c>
      <c r="K816" t="n">
        <v>0</v>
      </c>
      <c r="L816" t="n">
        <v>0</v>
      </c>
      <c r="M816" t="n">
        <v>0</v>
      </c>
      <c r="N816" t="n">
        <v>0</v>
      </c>
      <c r="O816" t="n">
        <v>0</v>
      </c>
      <c r="P816" t="n">
        <v>0</v>
      </c>
      <c r="Q816" t="n">
        <v>0</v>
      </c>
      <c r="R816" s="2" t="inlineStr"/>
    </row>
    <row r="817" ht="15" customHeight="1">
      <c r="A817" t="inlineStr">
        <is>
          <t>A 28238-2021</t>
        </is>
      </c>
      <c r="B817" s="1" t="n">
        <v>44355</v>
      </c>
      <c r="C817" s="1" t="n">
        <v>45845</v>
      </c>
      <c r="D817" t="inlineStr">
        <is>
          <t>VÄSTERNORRLANDS LÄN</t>
        </is>
      </c>
      <c r="E817" t="inlineStr">
        <is>
          <t>SUNDSVALL</t>
        </is>
      </c>
      <c r="G817" t="n">
        <v>0.4</v>
      </c>
      <c r="H817" t="n">
        <v>0</v>
      </c>
      <c r="I817" t="n">
        <v>0</v>
      </c>
      <c r="J817" t="n">
        <v>0</v>
      </c>
      <c r="K817" t="n">
        <v>0</v>
      </c>
      <c r="L817" t="n">
        <v>0</v>
      </c>
      <c r="M817" t="n">
        <v>0</v>
      </c>
      <c r="N817" t="n">
        <v>0</v>
      </c>
      <c r="O817" t="n">
        <v>0</v>
      </c>
      <c r="P817" t="n">
        <v>0</v>
      </c>
      <c r="Q817" t="n">
        <v>0</v>
      </c>
      <c r="R817" s="2" t="inlineStr"/>
    </row>
    <row r="818" ht="15" customHeight="1">
      <c r="A818" t="inlineStr">
        <is>
          <t>A 28264-2021</t>
        </is>
      </c>
      <c r="B818" s="1" t="n">
        <v>44355</v>
      </c>
      <c r="C818" s="1" t="n">
        <v>45845</v>
      </c>
      <c r="D818" t="inlineStr">
        <is>
          <t>VÄSTERNORRLANDS LÄN</t>
        </is>
      </c>
      <c r="E818" t="inlineStr">
        <is>
          <t>SUNDSVALL</t>
        </is>
      </c>
      <c r="G818" t="n">
        <v>0.1</v>
      </c>
      <c r="H818" t="n">
        <v>0</v>
      </c>
      <c r="I818" t="n">
        <v>0</v>
      </c>
      <c r="J818" t="n">
        <v>0</v>
      </c>
      <c r="K818" t="n">
        <v>0</v>
      </c>
      <c r="L818" t="n">
        <v>0</v>
      </c>
      <c r="M818" t="n">
        <v>0</v>
      </c>
      <c r="N818" t="n">
        <v>0</v>
      </c>
      <c r="O818" t="n">
        <v>0</v>
      </c>
      <c r="P818" t="n">
        <v>0</v>
      </c>
      <c r="Q818" t="n">
        <v>0</v>
      </c>
      <c r="R818" s="2" t="inlineStr"/>
    </row>
    <row r="819" ht="15" customHeight="1">
      <c r="A819" t="inlineStr">
        <is>
          <t>A 28341-2021</t>
        </is>
      </c>
      <c r="B819" s="1" t="n">
        <v>44356</v>
      </c>
      <c r="C819" s="1" t="n">
        <v>45845</v>
      </c>
      <c r="D819" t="inlineStr">
        <is>
          <t>VÄSTERNORRLANDS LÄN</t>
        </is>
      </c>
      <c r="E819" t="inlineStr">
        <is>
          <t>SUNDSVALL</t>
        </is>
      </c>
      <c r="G819" t="n">
        <v>0.9</v>
      </c>
      <c r="H819" t="n">
        <v>0</v>
      </c>
      <c r="I819" t="n">
        <v>0</v>
      </c>
      <c r="J819" t="n">
        <v>0</v>
      </c>
      <c r="K819" t="n">
        <v>0</v>
      </c>
      <c r="L819" t="n">
        <v>0</v>
      </c>
      <c r="M819" t="n">
        <v>0</v>
      </c>
      <c r="N819" t="n">
        <v>0</v>
      </c>
      <c r="O819" t="n">
        <v>0</v>
      </c>
      <c r="P819" t="n">
        <v>0</v>
      </c>
      <c r="Q819" t="n">
        <v>0</v>
      </c>
      <c r="R819" s="2" t="inlineStr"/>
    </row>
    <row r="820" ht="15" customHeight="1">
      <c r="A820" t="inlineStr">
        <is>
          <t>A 28595-2021</t>
        </is>
      </c>
      <c r="B820" s="1" t="n">
        <v>44356</v>
      </c>
      <c r="C820" s="1" t="n">
        <v>45845</v>
      </c>
      <c r="D820" t="inlineStr">
        <is>
          <t>VÄSTERNORRLANDS LÄN</t>
        </is>
      </c>
      <c r="E820" t="inlineStr">
        <is>
          <t>SUNDSVALL</t>
        </is>
      </c>
      <c r="G820" t="n">
        <v>1.8</v>
      </c>
      <c r="H820" t="n">
        <v>0</v>
      </c>
      <c r="I820" t="n">
        <v>0</v>
      </c>
      <c r="J820" t="n">
        <v>0</v>
      </c>
      <c r="K820" t="n">
        <v>0</v>
      </c>
      <c r="L820" t="n">
        <v>0</v>
      </c>
      <c r="M820" t="n">
        <v>0</v>
      </c>
      <c r="N820" t="n">
        <v>0</v>
      </c>
      <c r="O820" t="n">
        <v>0</v>
      </c>
      <c r="P820" t="n">
        <v>0</v>
      </c>
      <c r="Q820" t="n">
        <v>0</v>
      </c>
      <c r="R820" s="2" t="inlineStr"/>
    </row>
    <row r="821" ht="15" customHeight="1">
      <c r="A821" t="inlineStr">
        <is>
          <t>A 28594-2021</t>
        </is>
      </c>
      <c r="B821" s="1" t="n">
        <v>44356</v>
      </c>
      <c r="C821" s="1" t="n">
        <v>45845</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28684-2021</t>
        </is>
      </c>
      <c r="B822" s="1" t="n">
        <v>44357</v>
      </c>
      <c r="C822" s="1" t="n">
        <v>45845</v>
      </c>
      <c r="D822" t="inlineStr">
        <is>
          <t>VÄSTERNORRLANDS LÄN</t>
        </is>
      </c>
      <c r="E822" t="inlineStr">
        <is>
          <t>SUNDSVALL</t>
        </is>
      </c>
      <c r="G822" t="n">
        <v>12.2</v>
      </c>
      <c r="H822" t="n">
        <v>0</v>
      </c>
      <c r="I822" t="n">
        <v>0</v>
      </c>
      <c r="J822" t="n">
        <v>0</v>
      </c>
      <c r="K822" t="n">
        <v>0</v>
      </c>
      <c r="L822" t="n">
        <v>0</v>
      </c>
      <c r="M822" t="n">
        <v>0</v>
      </c>
      <c r="N822" t="n">
        <v>0</v>
      </c>
      <c r="O822" t="n">
        <v>0</v>
      </c>
      <c r="P822" t="n">
        <v>0</v>
      </c>
      <c r="Q822" t="n">
        <v>0</v>
      </c>
      <c r="R822" s="2" t="inlineStr"/>
    </row>
    <row r="823" ht="15" customHeight="1">
      <c r="A823" t="inlineStr">
        <is>
          <t>A 28825-2021</t>
        </is>
      </c>
      <c r="B823" s="1" t="n">
        <v>44357</v>
      </c>
      <c r="C823" s="1" t="n">
        <v>45845</v>
      </c>
      <c r="D823" t="inlineStr">
        <is>
          <t>VÄSTERNORRLANDS LÄN</t>
        </is>
      </c>
      <c r="E823" t="inlineStr">
        <is>
          <t>SUNDSVALL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28829-2021</t>
        </is>
      </c>
      <c r="B824" s="1" t="n">
        <v>44357</v>
      </c>
      <c r="C824" s="1" t="n">
        <v>45845</v>
      </c>
      <c r="D824" t="inlineStr">
        <is>
          <t>VÄSTERNORRLANDS LÄN</t>
        </is>
      </c>
      <c r="E824" t="inlineStr">
        <is>
          <t>SUNDSVALL</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29292-2021</t>
        </is>
      </c>
      <c r="B825" s="1" t="n">
        <v>44358</v>
      </c>
      <c r="C825" s="1" t="n">
        <v>45845</v>
      </c>
      <c r="D825" t="inlineStr">
        <is>
          <t>VÄSTERNORRLANDS LÄN</t>
        </is>
      </c>
      <c r="E825" t="inlineStr">
        <is>
          <t>SUNDSVALL</t>
        </is>
      </c>
      <c r="G825" t="n">
        <v>0.2</v>
      </c>
      <c r="H825" t="n">
        <v>0</v>
      </c>
      <c r="I825" t="n">
        <v>0</v>
      </c>
      <c r="J825" t="n">
        <v>0</v>
      </c>
      <c r="K825" t="n">
        <v>0</v>
      </c>
      <c r="L825" t="n">
        <v>0</v>
      </c>
      <c r="M825" t="n">
        <v>0</v>
      </c>
      <c r="N825" t="n">
        <v>0</v>
      </c>
      <c r="O825" t="n">
        <v>0</v>
      </c>
      <c r="P825" t="n">
        <v>0</v>
      </c>
      <c r="Q825" t="n">
        <v>0</v>
      </c>
      <c r="R825" s="2" t="inlineStr"/>
    </row>
    <row r="826" ht="15" customHeight="1">
      <c r="A826" t="inlineStr">
        <is>
          <t>A 29256-2021</t>
        </is>
      </c>
      <c r="B826" s="1" t="n">
        <v>44361</v>
      </c>
      <c r="C826" s="1" t="n">
        <v>45845</v>
      </c>
      <c r="D826" t="inlineStr">
        <is>
          <t>VÄSTERNORRLANDS LÄN</t>
        </is>
      </c>
      <c r="E826" t="inlineStr">
        <is>
          <t>SUNDSVALL</t>
        </is>
      </c>
      <c r="F826" t="inlineStr">
        <is>
          <t>Holmen skog AB</t>
        </is>
      </c>
      <c r="G826" t="n">
        <v>1.7</v>
      </c>
      <c r="H826" t="n">
        <v>0</v>
      </c>
      <c r="I826" t="n">
        <v>0</v>
      </c>
      <c r="J826" t="n">
        <v>0</v>
      </c>
      <c r="K826" t="n">
        <v>0</v>
      </c>
      <c r="L826" t="n">
        <v>0</v>
      </c>
      <c r="M826" t="n">
        <v>0</v>
      </c>
      <c r="N826" t="n">
        <v>0</v>
      </c>
      <c r="O826" t="n">
        <v>0</v>
      </c>
      <c r="P826" t="n">
        <v>0</v>
      </c>
      <c r="Q826" t="n">
        <v>0</v>
      </c>
      <c r="R826" s="2" t="inlineStr"/>
    </row>
    <row r="827" ht="15" customHeight="1">
      <c r="A827" t="inlineStr">
        <is>
          <t>A 29322-2021</t>
        </is>
      </c>
      <c r="B827" s="1" t="n">
        <v>44361</v>
      </c>
      <c r="C827" s="1" t="n">
        <v>45845</v>
      </c>
      <c r="D827" t="inlineStr">
        <is>
          <t>VÄSTERNORRLANDS LÄN</t>
        </is>
      </c>
      <c r="E827" t="inlineStr">
        <is>
          <t>SUNDSVALL</t>
        </is>
      </c>
      <c r="G827" t="n">
        <v>7.2</v>
      </c>
      <c r="H827" t="n">
        <v>0</v>
      </c>
      <c r="I827" t="n">
        <v>0</v>
      </c>
      <c r="J827" t="n">
        <v>0</v>
      </c>
      <c r="K827" t="n">
        <v>0</v>
      </c>
      <c r="L827" t="n">
        <v>0</v>
      </c>
      <c r="M827" t="n">
        <v>0</v>
      </c>
      <c r="N827" t="n">
        <v>0</v>
      </c>
      <c r="O827" t="n">
        <v>0</v>
      </c>
      <c r="P827" t="n">
        <v>0</v>
      </c>
      <c r="Q827" t="n">
        <v>0</v>
      </c>
      <c r="R827" s="2" t="inlineStr"/>
    </row>
    <row r="828" ht="15" customHeight="1">
      <c r="A828" t="inlineStr">
        <is>
          <t>A 29301-2021</t>
        </is>
      </c>
      <c r="B828" s="1" t="n">
        <v>44361</v>
      </c>
      <c r="C828" s="1" t="n">
        <v>45845</v>
      </c>
      <c r="D828" t="inlineStr">
        <is>
          <t>VÄSTERNORRLANDS LÄN</t>
        </is>
      </c>
      <c r="E828" t="inlineStr">
        <is>
          <t>SUNDSVALL</t>
        </is>
      </c>
      <c r="G828" t="n">
        <v>3.8</v>
      </c>
      <c r="H828" t="n">
        <v>0</v>
      </c>
      <c r="I828" t="n">
        <v>0</v>
      </c>
      <c r="J828" t="n">
        <v>0</v>
      </c>
      <c r="K828" t="n">
        <v>0</v>
      </c>
      <c r="L828" t="n">
        <v>0</v>
      </c>
      <c r="M828" t="n">
        <v>0</v>
      </c>
      <c r="N828" t="n">
        <v>0</v>
      </c>
      <c r="O828" t="n">
        <v>0</v>
      </c>
      <c r="P828" t="n">
        <v>0</v>
      </c>
      <c r="Q828" t="n">
        <v>0</v>
      </c>
      <c r="R828" s="2" t="inlineStr"/>
    </row>
    <row r="829" ht="15" customHeight="1">
      <c r="A829" t="inlineStr">
        <is>
          <t>A 29403-2021</t>
        </is>
      </c>
      <c r="B829" s="1" t="n">
        <v>44361</v>
      </c>
      <c r="C829" s="1" t="n">
        <v>45845</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29468-2021</t>
        </is>
      </c>
      <c r="B830" s="1" t="n">
        <v>44361</v>
      </c>
      <c r="C830" s="1" t="n">
        <v>45845</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29484-2021</t>
        </is>
      </c>
      <c r="B831" s="1" t="n">
        <v>44361</v>
      </c>
      <c r="C831" s="1" t="n">
        <v>45845</v>
      </c>
      <c r="D831" t="inlineStr">
        <is>
          <t>VÄSTERNORRLANDS LÄN</t>
        </is>
      </c>
      <c r="E831" t="inlineStr">
        <is>
          <t>SUNDSVALL</t>
        </is>
      </c>
      <c r="G831" t="n">
        <v>1.2</v>
      </c>
      <c r="H831" t="n">
        <v>0</v>
      </c>
      <c r="I831" t="n">
        <v>0</v>
      </c>
      <c r="J831" t="n">
        <v>0</v>
      </c>
      <c r="K831" t="n">
        <v>0</v>
      </c>
      <c r="L831" t="n">
        <v>0</v>
      </c>
      <c r="M831" t="n">
        <v>0</v>
      </c>
      <c r="N831" t="n">
        <v>0</v>
      </c>
      <c r="O831" t="n">
        <v>0</v>
      </c>
      <c r="P831" t="n">
        <v>0</v>
      </c>
      <c r="Q831" t="n">
        <v>0</v>
      </c>
      <c r="R831" s="2" t="inlineStr"/>
    </row>
    <row r="832" ht="15" customHeight="1">
      <c r="A832" t="inlineStr">
        <is>
          <t>A 29535-2021</t>
        </is>
      </c>
      <c r="B832" s="1" t="n">
        <v>44361</v>
      </c>
      <c r="C832" s="1" t="n">
        <v>45845</v>
      </c>
      <c r="D832" t="inlineStr">
        <is>
          <t>VÄSTERNORRLANDS LÄN</t>
        </is>
      </c>
      <c r="E832" t="inlineStr">
        <is>
          <t>SUNDSVALL</t>
        </is>
      </c>
      <c r="G832" t="n">
        <v>1.9</v>
      </c>
      <c r="H832" t="n">
        <v>0</v>
      </c>
      <c r="I832" t="n">
        <v>0</v>
      </c>
      <c r="J832" t="n">
        <v>0</v>
      </c>
      <c r="K832" t="n">
        <v>0</v>
      </c>
      <c r="L832" t="n">
        <v>0</v>
      </c>
      <c r="M832" t="n">
        <v>0</v>
      </c>
      <c r="N832" t="n">
        <v>0</v>
      </c>
      <c r="O832" t="n">
        <v>0</v>
      </c>
      <c r="P832" t="n">
        <v>0</v>
      </c>
      <c r="Q832" t="n">
        <v>0</v>
      </c>
      <c r="R832" s="2" t="inlineStr"/>
    </row>
    <row r="833" ht="15" customHeight="1">
      <c r="A833" t="inlineStr">
        <is>
          <t>A 29576-2021</t>
        </is>
      </c>
      <c r="B833" s="1" t="n">
        <v>44361</v>
      </c>
      <c r="C833" s="1" t="n">
        <v>45845</v>
      </c>
      <c r="D833" t="inlineStr">
        <is>
          <t>VÄSTERNORRLANDS LÄN</t>
        </is>
      </c>
      <c r="E833" t="inlineStr">
        <is>
          <t>SUNDSVALL</t>
        </is>
      </c>
      <c r="G833" t="n">
        <v>2</v>
      </c>
      <c r="H833" t="n">
        <v>0</v>
      </c>
      <c r="I833" t="n">
        <v>0</v>
      </c>
      <c r="J833" t="n">
        <v>0</v>
      </c>
      <c r="K833" t="n">
        <v>0</v>
      </c>
      <c r="L833" t="n">
        <v>0</v>
      </c>
      <c r="M833" t="n">
        <v>0</v>
      </c>
      <c r="N833" t="n">
        <v>0</v>
      </c>
      <c r="O833" t="n">
        <v>0</v>
      </c>
      <c r="P833" t="n">
        <v>0</v>
      </c>
      <c r="Q833" t="n">
        <v>0</v>
      </c>
      <c r="R833" s="2" t="inlineStr"/>
    </row>
    <row r="834" ht="15" customHeight="1">
      <c r="A834" t="inlineStr">
        <is>
          <t>A 29577-2021</t>
        </is>
      </c>
      <c r="B834" s="1" t="n">
        <v>44361</v>
      </c>
      <c r="C834" s="1" t="n">
        <v>45845</v>
      </c>
      <c r="D834" t="inlineStr">
        <is>
          <t>VÄSTERNORRLANDS LÄN</t>
        </is>
      </c>
      <c r="E834" t="inlineStr">
        <is>
          <t>SUNDSVALL</t>
        </is>
      </c>
      <c r="G834" t="n">
        <v>2.3</v>
      </c>
      <c r="H834" t="n">
        <v>0</v>
      </c>
      <c r="I834" t="n">
        <v>0</v>
      </c>
      <c r="J834" t="n">
        <v>0</v>
      </c>
      <c r="K834" t="n">
        <v>0</v>
      </c>
      <c r="L834" t="n">
        <v>0</v>
      </c>
      <c r="M834" t="n">
        <v>0</v>
      </c>
      <c r="N834" t="n">
        <v>0</v>
      </c>
      <c r="O834" t="n">
        <v>0</v>
      </c>
      <c r="P834" t="n">
        <v>0</v>
      </c>
      <c r="Q834" t="n">
        <v>0</v>
      </c>
      <c r="R834" s="2" t="inlineStr"/>
    </row>
    <row r="835" ht="15" customHeight="1">
      <c r="A835" t="inlineStr">
        <is>
          <t>A 29584-2021</t>
        </is>
      </c>
      <c r="B835" s="1" t="n">
        <v>44361</v>
      </c>
      <c r="C835" s="1" t="n">
        <v>45845</v>
      </c>
      <c r="D835" t="inlineStr">
        <is>
          <t>VÄSTERNORRLANDS LÄN</t>
        </is>
      </c>
      <c r="E835" t="inlineStr">
        <is>
          <t>SUNDSVALL</t>
        </is>
      </c>
      <c r="G835" t="n">
        <v>14.6</v>
      </c>
      <c r="H835" t="n">
        <v>0</v>
      </c>
      <c r="I835" t="n">
        <v>0</v>
      </c>
      <c r="J835" t="n">
        <v>0</v>
      </c>
      <c r="K835" t="n">
        <v>0</v>
      </c>
      <c r="L835" t="n">
        <v>0</v>
      </c>
      <c r="M835" t="n">
        <v>0</v>
      </c>
      <c r="N835" t="n">
        <v>0</v>
      </c>
      <c r="O835" t="n">
        <v>0</v>
      </c>
      <c r="P835" t="n">
        <v>0</v>
      </c>
      <c r="Q835" t="n">
        <v>0</v>
      </c>
      <c r="R835" s="2" t="inlineStr"/>
    </row>
    <row r="836" ht="15" customHeight="1">
      <c r="A836" t="inlineStr">
        <is>
          <t>A 29643-2021</t>
        </is>
      </c>
      <c r="B836" s="1" t="n">
        <v>44361</v>
      </c>
      <c r="C836" s="1" t="n">
        <v>45845</v>
      </c>
      <c r="D836" t="inlineStr">
        <is>
          <t>VÄSTERNORRLANDS LÄN</t>
        </is>
      </c>
      <c r="E836" t="inlineStr">
        <is>
          <t>SUNDSVALL</t>
        </is>
      </c>
      <c r="F836" t="inlineStr">
        <is>
          <t>SCA</t>
        </is>
      </c>
      <c r="G836" t="n">
        <v>15.2</v>
      </c>
      <c r="H836" t="n">
        <v>0</v>
      </c>
      <c r="I836" t="n">
        <v>0</v>
      </c>
      <c r="J836" t="n">
        <v>0</v>
      </c>
      <c r="K836" t="n">
        <v>0</v>
      </c>
      <c r="L836" t="n">
        <v>0</v>
      </c>
      <c r="M836" t="n">
        <v>0</v>
      </c>
      <c r="N836" t="n">
        <v>0</v>
      </c>
      <c r="O836" t="n">
        <v>0</v>
      </c>
      <c r="P836" t="n">
        <v>0</v>
      </c>
      <c r="Q836" t="n">
        <v>0</v>
      </c>
      <c r="R836" s="2" t="inlineStr"/>
    </row>
    <row r="837" ht="15" customHeight="1">
      <c r="A837" t="inlineStr">
        <is>
          <t>A 29925-2021</t>
        </is>
      </c>
      <c r="B837" s="1" t="n">
        <v>44363</v>
      </c>
      <c r="C837" s="1" t="n">
        <v>45845</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29926-2021</t>
        </is>
      </c>
      <c r="B838" s="1" t="n">
        <v>44363</v>
      </c>
      <c r="C838" s="1" t="n">
        <v>45845</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30019-2021</t>
        </is>
      </c>
      <c r="B839" s="1" t="n">
        <v>44363</v>
      </c>
      <c r="C839" s="1" t="n">
        <v>45845</v>
      </c>
      <c r="D839" t="inlineStr">
        <is>
          <t>VÄSTERNORRLANDS LÄN</t>
        </is>
      </c>
      <c r="E839" t="inlineStr">
        <is>
          <t>SUNDSVALL</t>
        </is>
      </c>
      <c r="G839" t="n">
        <v>1.8</v>
      </c>
      <c r="H839" t="n">
        <v>0</v>
      </c>
      <c r="I839" t="n">
        <v>0</v>
      </c>
      <c r="J839" t="n">
        <v>0</v>
      </c>
      <c r="K839" t="n">
        <v>0</v>
      </c>
      <c r="L839" t="n">
        <v>0</v>
      </c>
      <c r="M839" t="n">
        <v>0</v>
      </c>
      <c r="N839" t="n">
        <v>0</v>
      </c>
      <c r="O839" t="n">
        <v>0</v>
      </c>
      <c r="P839" t="n">
        <v>0</v>
      </c>
      <c r="Q839" t="n">
        <v>0</v>
      </c>
      <c r="R839" s="2" t="inlineStr"/>
    </row>
    <row r="840" ht="15" customHeight="1">
      <c r="A840" t="inlineStr">
        <is>
          <t>A 30450-2021</t>
        </is>
      </c>
      <c r="B840" s="1" t="n">
        <v>44364</v>
      </c>
      <c r="C840" s="1" t="n">
        <v>45845</v>
      </c>
      <c r="D840" t="inlineStr">
        <is>
          <t>VÄSTERNORRLANDS LÄN</t>
        </is>
      </c>
      <c r="E840" t="inlineStr">
        <is>
          <t>SUNDSVALL</t>
        </is>
      </c>
      <c r="G840" t="n">
        <v>6.3</v>
      </c>
      <c r="H840" t="n">
        <v>0</v>
      </c>
      <c r="I840" t="n">
        <v>0</v>
      </c>
      <c r="J840" t="n">
        <v>0</v>
      </c>
      <c r="K840" t="n">
        <v>0</v>
      </c>
      <c r="L840" t="n">
        <v>0</v>
      </c>
      <c r="M840" t="n">
        <v>0</v>
      </c>
      <c r="N840" t="n">
        <v>0</v>
      </c>
      <c r="O840" t="n">
        <v>0</v>
      </c>
      <c r="P840" t="n">
        <v>0</v>
      </c>
      <c r="Q840" t="n">
        <v>0</v>
      </c>
      <c r="R840" s="2" t="inlineStr"/>
    </row>
    <row r="841" ht="15" customHeight="1">
      <c r="A841" t="inlineStr">
        <is>
          <t>A 30460-2021</t>
        </is>
      </c>
      <c r="B841" s="1" t="n">
        <v>44364</v>
      </c>
      <c r="C841" s="1" t="n">
        <v>45845</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31510-2021</t>
        </is>
      </c>
      <c r="B842" s="1" t="n">
        <v>44369</v>
      </c>
      <c r="C842" s="1" t="n">
        <v>45845</v>
      </c>
      <c r="D842" t="inlineStr">
        <is>
          <t>VÄSTERNORRLANDS LÄN</t>
        </is>
      </c>
      <c r="E842" t="inlineStr">
        <is>
          <t>SUNDSVALL</t>
        </is>
      </c>
      <c r="G842" t="n">
        <v>1.4</v>
      </c>
      <c r="H842" t="n">
        <v>0</v>
      </c>
      <c r="I842" t="n">
        <v>0</v>
      </c>
      <c r="J842" t="n">
        <v>0</v>
      </c>
      <c r="K842" t="n">
        <v>0</v>
      </c>
      <c r="L842" t="n">
        <v>0</v>
      </c>
      <c r="M842" t="n">
        <v>0</v>
      </c>
      <c r="N842" t="n">
        <v>0</v>
      </c>
      <c r="O842" t="n">
        <v>0</v>
      </c>
      <c r="P842" t="n">
        <v>0</v>
      </c>
      <c r="Q842" t="n">
        <v>0</v>
      </c>
      <c r="R842" s="2" t="inlineStr"/>
    </row>
    <row r="843" ht="15" customHeight="1">
      <c r="A843" t="inlineStr">
        <is>
          <t>A 32172-2021</t>
        </is>
      </c>
      <c r="B843" s="1" t="n">
        <v>44371</v>
      </c>
      <c r="C843" s="1" t="n">
        <v>45845</v>
      </c>
      <c r="D843" t="inlineStr">
        <is>
          <t>VÄSTERNORRLANDS LÄN</t>
        </is>
      </c>
      <c r="E843" t="inlineStr">
        <is>
          <t>SUNDSVALL</t>
        </is>
      </c>
      <c r="G843" t="n">
        <v>0.5</v>
      </c>
      <c r="H843" t="n">
        <v>0</v>
      </c>
      <c r="I843" t="n">
        <v>0</v>
      </c>
      <c r="J843" t="n">
        <v>0</v>
      </c>
      <c r="K843" t="n">
        <v>0</v>
      </c>
      <c r="L843" t="n">
        <v>0</v>
      </c>
      <c r="M843" t="n">
        <v>0</v>
      </c>
      <c r="N843" t="n">
        <v>0</v>
      </c>
      <c r="O843" t="n">
        <v>0</v>
      </c>
      <c r="P843" t="n">
        <v>0</v>
      </c>
      <c r="Q843" t="n">
        <v>0</v>
      </c>
      <c r="R843" s="2" t="inlineStr"/>
    </row>
    <row r="844" ht="15" customHeight="1">
      <c r="A844" t="inlineStr">
        <is>
          <t>A 32183-2021</t>
        </is>
      </c>
      <c r="B844" s="1" t="n">
        <v>44371</v>
      </c>
      <c r="C844" s="1" t="n">
        <v>45845</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32203-2021</t>
        </is>
      </c>
      <c r="B845" s="1" t="n">
        <v>44371</v>
      </c>
      <c r="C845" s="1" t="n">
        <v>45845</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32275-2021</t>
        </is>
      </c>
      <c r="B846" s="1" t="n">
        <v>44371</v>
      </c>
      <c r="C846" s="1" t="n">
        <v>45845</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32285-2021</t>
        </is>
      </c>
      <c r="B847" s="1" t="n">
        <v>44371</v>
      </c>
      <c r="C847" s="1" t="n">
        <v>45845</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32335-2021</t>
        </is>
      </c>
      <c r="B848" s="1" t="n">
        <v>44371</v>
      </c>
      <c r="C848" s="1" t="n">
        <v>45845</v>
      </c>
      <c r="D848" t="inlineStr">
        <is>
          <t>VÄSTERNORRLANDS LÄN</t>
        </is>
      </c>
      <c r="E848" t="inlineStr">
        <is>
          <t>SUNDSVALL</t>
        </is>
      </c>
      <c r="G848" t="n">
        <v>3.1</v>
      </c>
      <c r="H848" t="n">
        <v>0</v>
      </c>
      <c r="I848" t="n">
        <v>0</v>
      </c>
      <c r="J848" t="n">
        <v>0</v>
      </c>
      <c r="K848" t="n">
        <v>0</v>
      </c>
      <c r="L848" t="n">
        <v>0</v>
      </c>
      <c r="M848" t="n">
        <v>0</v>
      </c>
      <c r="N848" t="n">
        <v>0</v>
      </c>
      <c r="O848" t="n">
        <v>0</v>
      </c>
      <c r="P848" t="n">
        <v>0</v>
      </c>
      <c r="Q848" t="n">
        <v>0</v>
      </c>
      <c r="R848" s="2" t="inlineStr"/>
    </row>
    <row r="849" ht="15" customHeight="1">
      <c r="A849" t="inlineStr">
        <is>
          <t>A 33206-2021</t>
        </is>
      </c>
      <c r="B849" s="1" t="n">
        <v>44377</v>
      </c>
      <c r="C849" s="1" t="n">
        <v>45845</v>
      </c>
      <c r="D849" t="inlineStr">
        <is>
          <t>VÄSTERNORRLANDS LÄN</t>
        </is>
      </c>
      <c r="E849" t="inlineStr">
        <is>
          <t>SUNDSVALL</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33990-2021</t>
        </is>
      </c>
      <c r="B850" s="1" t="n">
        <v>44379</v>
      </c>
      <c r="C850" s="1" t="n">
        <v>45845</v>
      </c>
      <c r="D850" t="inlineStr">
        <is>
          <t>VÄSTERNORRLANDS LÄN</t>
        </is>
      </c>
      <c r="E850" t="inlineStr">
        <is>
          <t>SUNDSVALL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34198-2021</t>
        </is>
      </c>
      <c r="B851" s="1" t="n">
        <v>44379</v>
      </c>
      <c r="C851" s="1" t="n">
        <v>45845</v>
      </c>
      <c r="D851" t="inlineStr">
        <is>
          <t>VÄSTERNORRLANDS LÄN</t>
        </is>
      </c>
      <c r="E851" t="inlineStr">
        <is>
          <t>SUNDSVALL</t>
        </is>
      </c>
      <c r="G851" t="n">
        <v>5.5</v>
      </c>
      <c r="H851" t="n">
        <v>0</v>
      </c>
      <c r="I851" t="n">
        <v>0</v>
      </c>
      <c r="J851" t="n">
        <v>0</v>
      </c>
      <c r="K851" t="n">
        <v>0</v>
      </c>
      <c r="L851" t="n">
        <v>0</v>
      </c>
      <c r="M851" t="n">
        <v>0</v>
      </c>
      <c r="N851" t="n">
        <v>0</v>
      </c>
      <c r="O851" t="n">
        <v>0</v>
      </c>
      <c r="P851" t="n">
        <v>0</v>
      </c>
      <c r="Q851" t="n">
        <v>0</v>
      </c>
      <c r="R851" s="2" t="inlineStr"/>
    </row>
    <row r="852" ht="15" customHeight="1">
      <c r="A852" t="inlineStr">
        <is>
          <t>A 34605-2021</t>
        </is>
      </c>
      <c r="B852" s="1" t="n">
        <v>44379</v>
      </c>
      <c r="C852" s="1" t="n">
        <v>45845</v>
      </c>
      <c r="D852" t="inlineStr">
        <is>
          <t>VÄSTERNORRLANDS LÄN</t>
        </is>
      </c>
      <c r="E852" t="inlineStr">
        <is>
          <t>SUNDSVALL</t>
        </is>
      </c>
      <c r="G852" t="n">
        <v>1.1</v>
      </c>
      <c r="H852" t="n">
        <v>0</v>
      </c>
      <c r="I852" t="n">
        <v>0</v>
      </c>
      <c r="J852" t="n">
        <v>0</v>
      </c>
      <c r="K852" t="n">
        <v>0</v>
      </c>
      <c r="L852" t="n">
        <v>0</v>
      </c>
      <c r="M852" t="n">
        <v>0</v>
      </c>
      <c r="N852" t="n">
        <v>0</v>
      </c>
      <c r="O852" t="n">
        <v>0</v>
      </c>
      <c r="P852" t="n">
        <v>0</v>
      </c>
      <c r="Q852" t="n">
        <v>0</v>
      </c>
      <c r="R852" s="2" t="inlineStr"/>
    </row>
    <row r="853" ht="15" customHeight="1">
      <c r="A853" t="inlineStr">
        <is>
          <t>A 34612-2021</t>
        </is>
      </c>
      <c r="B853" s="1" t="n">
        <v>44379</v>
      </c>
      <c r="C853" s="1" t="n">
        <v>45845</v>
      </c>
      <c r="D853" t="inlineStr">
        <is>
          <t>VÄSTERNORRLANDS LÄN</t>
        </is>
      </c>
      <c r="E853" t="inlineStr">
        <is>
          <t>SUNDSVALL</t>
        </is>
      </c>
      <c r="G853" t="n">
        <v>0.4</v>
      </c>
      <c r="H853" t="n">
        <v>0</v>
      </c>
      <c r="I853" t="n">
        <v>0</v>
      </c>
      <c r="J853" t="n">
        <v>0</v>
      </c>
      <c r="K853" t="n">
        <v>0</v>
      </c>
      <c r="L853" t="n">
        <v>0</v>
      </c>
      <c r="M853" t="n">
        <v>0</v>
      </c>
      <c r="N853" t="n">
        <v>0</v>
      </c>
      <c r="O853" t="n">
        <v>0</v>
      </c>
      <c r="P853" t="n">
        <v>0</v>
      </c>
      <c r="Q853" t="n">
        <v>0</v>
      </c>
      <c r="R853" s="2" t="inlineStr"/>
    </row>
    <row r="854" ht="15" customHeight="1">
      <c r="A854" t="inlineStr">
        <is>
          <t>A 34931-2021</t>
        </is>
      </c>
      <c r="B854" s="1" t="n">
        <v>44379</v>
      </c>
      <c r="C854" s="1" t="n">
        <v>45845</v>
      </c>
      <c r="D854" t="inlineStr">
        <is>
          <t>VÄSTERNORRLANDS LÄN</t>
        </is>
      </c>
      <c r="E854" t="inlineStr">
        <is>
          <t>SUNDSVALL</t>
        </is>
      </c>
      <c r="G854" t="n">
        <v>2.2</v>
      </c>
      <c r="H854" t="n">
        <v>0</v>
      </c>
      <c r="I854" t="n">
        <v>0</v>
      </c>
      <c r="J854" t="n">
        <v>0</v>
      </c>
      <c r="K854" t="n">
        <v>0</v>
      </c>
      <c r="L854" t="n">
        <v>0</v>
      </c>
      <c r="M854" t="n">
        <v>0</v>
      </c>
      <c r="N854" t="n">
        <v>0</v>
      </c>
      <c r="O854" t="n">
        <v>0</v>
      </c>
      <c r="P854" t="n">
        <v>0</v>
      </c>
      <c r="Q854" t="n">
        <v>0</v>
      </c>
      <c r="R854" s="2" t="inlineStr"/>
    </row>
    <row r="855" ht="15" customHeight="1">
      <c r="A855" t="inlineStr">
        <is>
          <t>A 34643-2021</t>
        </is>
      </c>
      <c r="B855" s="1" t="n">
        <v>44379</v>
      </c>
      <c r="C855" s="1" t="n">
        <v>45845</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35318-2021</t>
        </is>
      </c>
      <c r="B856" s="1" t="n">
        <v>44384</v>
      </c>
      <c r="C856" s="1" t="n">
        <v>45845</v>
      </c>
      <c r="D856" t="inlineStr">
        <is>
          <t>VÄSTERNORRLANDS LÄN</t>
        </is>
      </c>
      <c r="E856" t="inlineStr">
        <is>
          <t>SUNDSVALL</t>
        </is>
      </c>
      <c r="G856" t="n">
        <v>2.6</v>
      </c>
      <c r="H856" t="n">
        <v>0</v>
      </c>
      <c r="I856" t="n">
        <v>0</v>
      </c>
      <c r="J856" t="n">
        <v>0</v>
      </c>
      <c r="K856" t="n">
        <v>0</v>
      </c>
      <c r="L856" t="n">
        <v>0</v>
      </c>
      <c r="M856" t="n">
        <v>0</v>
      </c>
      <c r="N856" t="n">
        <v>0</v>
      </c>
      <c r="O856" t="n">
        <v>0</v>
      </c>
      <c r="P856" t="n">
        <v>0</v>
      </c>
      <c r="Q856" t="n">
        <v>0</v>
      </c>
      <c r="R856" s="2" t="inlineStr"/>
    </row>
    <row r="857" ht="15" customHeight="1">
      <c r="A857" t="inlineStr">
        <is>
          <t>A 36007-2021</t>
        </is>
      </c>
      <c r="B857" s="1" t="n">
        <v>44389</v>
      </c>
      <c r="C857" s="1" t="n">
        <v>45845</v>
      </c>
      <c r="D857" t="inlineStr">
        <is>
          <t>VÄSTERNORRLANDS LÄN</t>
        </is>
      </c>
      <c r="E857" t="inlineStr">
        <is>
          <t>SUNDSVALL</t>
        </is>
      </c>
      <c r="G857" t="n">
        <v>6.4</v>
      </c>
      <c r="H857" t="n">
        <v>0</v>
      </c>
      <c r="I857" t="n">
        <v>0</v>
      </c>
      <c r="J857" t="n">
        <v>0</v>
      </c>
      <c r="K857" t="n">
        <v>0</v>
      </c>
      <c r="L857" t="n">
        <v>0</v>
      </c>
      <c r="M857" t="n">
        <v>0</v>
      </c>
      <c r="N857" t="n">
        <v>0</v>
      </c>
      <c r="O857" t="n">
        <v>0</v>
      </c>
      <c r="P857" t="n">
        <v>0</v>
      </c>
      <c r="Q857" t="n">
        <v>0</v>
      </c>
      <c r="R857" s="2" t="inlineStr"/>
    </row>
    <row r="858" ht="15" customHeight="1">
      <c r="A858" t="inlineStr">
        <is>
          <t>A 36226-2021</t>
        </is>
      </c>
      <c r="B858" s="1" t="n">
        <v>44390</v>
      </c>
      <c r="C858" s="1" t="n">
        <v>45845</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36251-2021</t>
        </is>
      </c>
      <c r="B859" s="1" t="n">
        <v>44390</v>
      </c>
      <c r="C859" s="1" t="n">
        <v>45845</v>
      </c>
      <c r="D859" t="inlineStr">
        <is>
          <t>VÄSTERNORRLANDS LÄN</t>
        </is>
      </c>
      <c r="E859" t="inlineStr">
        <is>
          <t>SUNDSVALL</t>
        </is>
      </c>
      <c r="G859" t="n">
        <v>1.9</v>
      </c>
      <c r="H859" t="n">
        <v>0</v>
      </c>
      <c r="I859" t="n">
        <v>0</v>
      </c>
      <c r="J859" t="n">
        <v>0</v>
      </c>
      <c r="K859" t="n">
        <v>0</v>
      </c>
      <c r="L859" t="n">
        <v>0</v>
      </c>
      <c r="M859" t="n">
        <v>0</v>
      </c>
      <c r="N859" t="n">
        <v>0</v>
      </c>
      <c r="O859" t="n">
        <v>0</v>
      </c>
      <c r="P859" t="n">
        <v>0</v>
      </c>
      <c r="Q859" t="n">
        <v>0</v>
      </c>
      <c r="R859" s="2" t="inlineStr"/>
    </row>
    <row r="860" ht="15" customHeight="1">
      <c r="A860" t="inlineStr">
        <is>
          <t>A 36316-2021</t>
        </is>
      </c>
      <c r="B860" s="1" t="n">
        <v>44390</v>
      </c>
      <c r="C860" s="1" t="n">
        <v>45845</v>
      </c>
      <c r="D860" t="inlineStr">
        <is>
          <t>VÄSTERNORRLANDS LÄN</t>
        </is>
      </c>
      <c r="E860" t="inlineStr">
        <is>
          <t>SUNDSVALL</t>
        </is>
      </c>
      <c r="G860" t="n">
        <v>0.5</v>
      </c>
      <c r="H860" t="n">
        <v>0</v>
      </c>
      <c r="I860" t="n">
        <v>0</v>
      </c>
      <c r="J860" t="n">
        <v>0</v>
      </c>
      <c r="K860" t="n">
        <v>0</v>
      </c>
      <c r="L860" t="n">
        <v>0</v>
      </c>
      <c r="M860" t="n">
        <v>0</v>
      </c>
      <c r="N860" t="n">
        <v>0</v>
      </c>
      <c r="O860" t="n">
        <v>0</v>
      </c>
      <c r="P860" t="n">
        <v>0</v>
      </c>
      <c r="Q860" t="n">
        <v>0</v>
      </c>
      <c r="R860" s="2" t="inlineStr"/>
    </row>
    <row r="861" ht="15" customHeight="1">
      <c r="A861" t="inlineStr">
        <is>
          <t>A 36809-2021</t>
        </is>
      </c>
      <c r="B861" s="1" t="n">
        <v>44392</v>
      </c>
      <c r="C861" s="1" t="n">
        <v>45845</v>
      </c>
      <c r="D861" t="inlineStr">
        <is>
          <t>VÄSTERNORRLANDS LÄN</t>
        </is>
      </c>
      <c r="E861" t="inlineStr">
        <is>
          <t>SUNDSVALL</t>
        </is>
      </c>
      <c r="G861" t="n">
        <v>2</v>
      </c>
      <c r="H861" t="n">
        <v>0</v>
      </c>
      <c r="I861" t="n">
        <v>0</v>
      </c>
      <c r="J861" t="n">
        <v>0</v>
      </c>
      <c r="K861" t="n">
        <v>0</v>
      </c>
      <c r="L861" t="n">
        <v>0</v>
      </c>
      <c r="M861" t="n">
        <v>0</v>
      </c>
      <c r="N861" t="n">
        <v>0</v>
      </c>
      <c r="O861" t="n">
        <v>0</v>
      </c>
      <c r="P861" t="n">
        <v>0</v>
      </c>
      <c r="Q861" t="n">
        <v>0</v>
      </c>
      <c r="R861" s="2" t="inlineStr"/>
    </row>
    <row r="862" ht="15" customHeight="1">
      <c r="A862" t="inlineStr">
        <is>
          <t>A 37040-2021</t>
        </is>
      </c>
      <c r="B862" s="1" t="n">
        <v>44394</v>
      </c>
      <c r="C862" s="1" t="n">
        <v>45845</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37059-2021</t>
        </is>
      </c>
      <c r="B863" s="1" t="n">
        <v>44394</v>
      </c>
      <c r="C863" s="1" t="n">
        <v>45845</v>
      </c>
      <c r="D863" t="inlineStr">
        <is>
          <t>VÄSTERNORRLANDS LÄN</t>
        </is>
      </c>
      <c r="E863" t="inlineStr">
        <is>
          <t>SUNDSVALL</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37617-2021</t>
        </is>
      </c>
      <c r="B864" s="1" t="n">
        <v>44399</v>
      </c>
      <c r="C864" s="1" t="n">
        <v>45845</v>
      </c>
      <c r="D864" t="inlineStr">
        <is>
          <t>VÄSTERNORRLANDS LÄN</t>
        </is>
      </c>
      <c r="E864" t="inlineStr">
        <is>
          <t>SUNDSVALL</t>
        </is>
      </c>
      <c r="G864" t="n">
        <v>6.8</v>
      </c>
      <c r="H864" t="n">
        <v>0</v>
      </c>
      <c r="I864" t="n">
        <v>0</v>
      </c>
      <c r="J864" t="n">
        <v>0</v>
      </c>
      <c r="K864" t="n">
        <v>0</v>
      </c>
      <c r="L864" t="n">
        <v>0</v>
      </c>
      <c r="M864" t="n">
        <v>0</v>
      </c>
      <c r="N864" t="n">
        <v>0</v>
      </c>
      <c r="O864" t="n">
        <v>0</v>
      </c>
      <c r="P864" t="n">
        <v>0</v>
      </c>
      <c r="Q864" t="n">
        <v>0</v>
      </c>
      <c r="R864" s="2" t="inlineStr"/>
    </row>
    <row r="865" ht="15" customHeight="1">
      <c r="A865" t="inlineStr">
        <is>
          <t>A 37611-2021</t>
        </is>
      </c>
      <c r="B865" s="1" t="n">
        <v>44399</v>
      </c>
      <c r="C865" s="1" t="n">
        <v>45845</v>
      </c>
      <c r="D865" t="inlineStr">
        <is>
          <t>VÄSTERNORRLANDS LÄN</t>
        </is>
      </c>
      <c r="E865" t="inlineStr">
        <is>
          <t>SUNDSVALL</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37708-2021</t>
        </is>
      </c>
      <c r="B866" s="1" t="n">
        <v>44400</v>
      </c>
      <c r="C866" s="1" t="n">
        <v>45845</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37718-2021</t>
        </is>
      </c>
      <c r="B867" s="1" t="n">
        <v>44400</v>
      </c>
      <c r="C867" s="1" t="n">
        <v>45845</v>
      </c>
      <c r="D867" t="inlineStr">
        <is>
          <t>VÄSTERNORRLANDS LÄN</t>
        </is>
      </c>
      <c r="E867" t="inlineStr">
        <is>
          <t>SUNDSVALL</t>
        </is>
      </c>
      <c r="G867" t="n">
        <v>7.2</v>
      </c>
      <c r="H867" t="n">
        <v>0</v>
      </c>
      <c r="I867" t="n">
        <v>0</v>
      </c>
      <c r="J867" t="n">
        <v>0</v>
      </c>
      <c r="K867" t="n">
        <v>0</v>
      </c>
      <c r="L867" t="n">
        <v>0</v>
      </c>
      <c r="M867" t="n">
        <v>0</v>
      </c>
      <c r="N867" t="n">
        <v>0</v>
      </c>
      <c r="O867" t="n">
        <v>0</v>
      </c>
      <c r="P867" t="n">
        <v>0</v>
      </c>
      <c r="Q867" t="n">
        <v>0</v>
      </c>
      <c r="R867" s="2" t="inlineStr"/>
    </row>
    <row r="868" ht="15" customHeight="1">
      <c r="A868" t="inlineStr">
        <is>
          <t>A 37704-2021</t>
        </is>
      </c>
      <c r="B868" s="1" t="n">
        <v>44400</v>
      </c>
      <c r="C868" s="1" t="n">
        <v>45845</v>
      </c>
      <c r="D868" t="inlineStr">
        <is>
          <t>VÄSTERNORRLANDS LÄN</t>
        </is>
      </c>
      <c r="E868" t="inlineStr">
        <is>
          <t>SUNDSVALL</t>
        </is>
      </c>
      <c r="G868" t="n">
        <v>1.8</v>
      </c>
      <c r="H868" t="n">
        <v>0</v>
      </c>
      <c r="I868" t="n">
        <v>0</v>
      </c>
      <c r="J868" t="n">
        <v>0</v>
      </c>
      <c r="K868" t="n">
        <v>0</v>
      </c>
      <c r="L868" t="n">
        <v>0</v>
      </c>
      <c r="M868" t="n">
        <v>0</v>
      </c>
      <c r="N868" t="n">
        <v>0</v>
      </c>
      <c r="O868" t="n">
        <v>0</v>
      </c>
      <c r="P868" t="n">
        <v>0</v>
      </c>
      <c r="Q868" t="n">
        <v>0</v>
      </c>
      <c r="R868" s="2" t="inlineStr"/>
    </row>
    <row r="869" ht="15" customHeight="1">
      <c r="A869" t="inlineStr">
        <is>
          <t>A 37965-2021</t>
        </is>
      </c>
      <c r="B869" s="1" t="n">
        <v>44404</v>
      </c>
      <c r="C869" s="1" t="n">
        <v>45845</v>
      </c>
      <c r="D869" t="inlineStr">
        <is>
          <t>VÄSTERNORRLANDS LÄN</t>
        </is>
      </c>
      <c r="E869" t="inlineStr">
        <is>
          <t>SUNDSVALL</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37962-2021</t>
        </is>
      </c>
      <c r="B870" s="1" t="n">
        <v>44404</v>
      </c>
      <c r="C870" s="1" t="n">
        <v>45845</v>
      </c>
      <c r="D870" t="inlineStr">
        <is>
          <t>VÄSTERNORRLANDS LÄN</t>
        </is>
      </c>
      <c r="E870" t="inlineStr">
        <is>
          <t>SUNDSVALL</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38306-2021</t>
        </is>
      </c>
      <c r="B871" s="1" t="n">
        <v>44406</v>
      </c>
      <c r="C871" s="1" t="n">
        <v>45845</v>
      </c>
      <c r="D871" t="inlineStr">
        <is>
          <t>VÄSTERNORRLANDS LÄN</t>
        </is>
      </c>
      <c r="E871" t="inlineStr">
        <is>
          <t>SUNDSVALL</t>
        </is>
      </c>
      <c r="G871" t="n">
        <v>1.7</v>
      </c>
      <c r="H871" t="n">
        <v>0</v>
      </c>
      <c r="I871" t="n">
        <v>0</v>
      </c>
      <c r="J871" t="n">
        <v>0</v>
      </c>
      <c r="K871" t="n">
        <v>0</v>
      </c>
      <c r="L871" t="n">
        <v>0</v>
      </c>
      <c r="M871" t="n">
        <v>0</v>
      </c>
      <c r="N871" t="n">
        <v>0</v>
      </c>
      <c r="O871" t="n">
        <v>0</v>
      </c>
      <c r="P871" t="n">
        <v>0</v>
      </c>
      <c r="Q871" t="n">
        <v>0</v>
      </c>
      <c r="R871" s="2" t="inlineStr"/>
    </row>
    <row r="872" ht="15" customHeight="1">
      <c r="A872" t="inlineStr">
        <is>
          <t>A 39169-2021</t>
        </is>
      </c>
      <c r="B872" s="1" t="n">
        <v>44412</v>
      </c>
      <c r="C872" s="1" t="n">
        <v>45845</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39502-2021</t>
        </is>
      </c>
      <c r="B873" s="1" t="n">
        <v>44414</v>
      </c>
      <c r="C873" s="1" t="n">
        <v>45845</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39503-2021</t>
        </is>
      </c>
      <c r="B874" s="1" t="n">
        <v>44414</v>
      </c>
      <c r="C874" s="1" t="n">
        <v>45845</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39676-2021</t>
        </is>
      </c>
      <c r="B875" s="1" t="n">
        <v>44414</v>
      </c>
      <c r="C875" s="1" t="n">
        <v>45845</v>
      </c>
      <c r="D875" t="inlineStr">
        <is>
          <t>VÄSTERNORRLANDS LÄN</t>
        </is>
      </c>
      <c r="E875" t="inlineStr">
        <is>
          <t>SUNDSVALL</t>
        </is>
      </c>
      <c r="G875" t="n">
        <v>2.8</v>
      </c>
      <c r="H875" t="n">
        <v>0</v>
      </c>
      <c r="I875" t="n">
        <v>0</v>
      </c>
      <c r="J875" t="n">
        <v>0</v>
      </c>
      <c r="K875" t="n">
        <v>0</v>
      </c>
      <c r="L875" t="n">
        <v>0</v>
      </c>
      <c r="M875" t="n">
        <v>0</v>
      </c>
      <c r="N875" t="n">
        <v>0</v>
      </c>
      <c r="O875" t="n">
        <v>0</v>
      </c>
      <c r="P875" t="n">
        <v>0</v>
      </c>
      <c r="Q875" t="n">
        <v>0</v>
      </c>
      <c r="R875" s="2" t="inlineStr"/>
    </row>
    <row r="876" ht="15" customHeight="1">
      <c r="A876" t="inlineStr">
        <is>
          <t>A 39933-2021</t>
        </is>
      </c>
      <c r="B876" s="1" t="n">
        <v>44417</v>
      </c>
      <c r="C876" s="1" t="n">
        <v>45845</v>
      </c>
      <c r="D876" t="inlineStr">
        <is>
          <t>VÄSTERNORRLANDS LÄN</t>
        </is>
      </c>
      <c r="E876" t="inlineStr">
        <is>
          <t>SUNDSVALL</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40141-2021</t>
        </is>
      </c>
      <c r="B877" s="1" t="n">
        <v>44418</v>
      </c>
      <c r="C877" s="1" t="n">
        <v>45845</v>
      </c>
      <c r="D877" t="inlineStr">
        <is>
          <t>VÄSTERNORRLANDS LÄN</t>
        </is>
      </c>
      <c r="E877" t="inlineStr">
        <is>
          <t>SUNDSVALL</t>
        </is>
      </c>
      <c r="G877" t="n">
        <v>5.3</v>
      </c>
      <c r="H877" t="n">
        <v>0</v>
      </c>
      <c r="I877" t="n">
        <v>0</v>
      </c>
      <c r="J877" t="n">
        <v>0</v>
      </c>
      <c r="K877" t="n">
        <v>0</v>
      </c>
      <c r="L877" t="n">
        <v>0</v>
      </c>
      <c r="M877" t="n">
        <v>0</v>
      </c>
      <c r="N877" t="n">
        <v>0</v>
      </c>
      <c r="O877" t="n">
        <v>0</v>
      </c>
      <c r="P877" t="n">
        <v>0</v>
      </c>
      <c r="Q877" t="n">
        <v>0</v>
      </c>
      <c r="R877" s="2" t="inlineStr"/>
    </row>
    <row r="878" ht="15" customHeight="1">
      <c r="A878" t="inlineStr">
        <is>
          <t>A 40160-2021</t>
        </is>
      </c>
      <c r="B878" s="1" t="n">
        <v>44418</v>
      </c>
      <c r="C878" s="1" t="n">
        <v>45845</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40534-2021</t>
        </is>
      </c>
      <c r="B879" s="1" t="n">
        <v>44420</v>
      </c>
      <c r="C879" s="1" t="n">
        <v>45845</v>
      </c>
      <c r="D879" t="inlineStr">
        <is>
          <t>VÄSTERNORRLANDS LÄN</t>
        </is>
      </c>
      <c r="E879" t="inlineStr">
        <is>
          <t>SUNDSVALL</t>
        </is>
      </c>
      <c r="F879" t="inlineStr">
        <is>
          <t>Holmen skog AB</t>
        </is>
      </c>
      <c r="G879" t="n">
        <v>6.8</v>
      </c>
      <c r="H879" t="n">
        <v>0</v>
      </c>
      <c r="I879" t="n">
        <v>0</v>
      </c>
      <c r="J879" t="n">
        <v>0</v>
      </c>
      <c r="K879" t="n">
        <v>0</v>
      </c>
      <c r="L879" t="n">
        <v>0</v>
      </c>
      <c r="M879" t="n">
        <v>0</v>
      </c>
      <c r="N879" t="n">
        <v>0</v>
      </c>
      <c r="O879" t="n">
        <v>0</v>
      </c>
      <c r="P879" t="n">
        <v>0</v>
      </c>
      <c r="Q879" t="n">
        <v>0</v>
      </c>
      <c r="R879" s="2" t="inlineStr"/>
    </row>
    <row r="880" ht="15" customHeight="1">
      <c r="A880" t="inlineStr">
        <is>
          <t>A 40908-2021</t>
        </is>
      </c>
      <c r="B880" s="1" t="n">
        <v>44421</v>
      </c>
      <c r="C880" s="1" t="n">
        <v>45845</v>
      </c>
      <c r="D880" t="inlineStr">
        <is>
          <t>VÄSTERNORRLANDS LÄN</t>
        </is>
      </c>
      <c r="E880" t="inlineStr">
        <is>
          <t>SUNDSVALL</t>
        </is>
      </c>
      <c r="G880" t="n">
        <v>12.9</v>
      </c>
      <c r="H880" t="n">
        <v>0</v>
      </c>
      <c r="I880" t="n">
        <v>0</v>
      </c>
      <c r="J880" t="n">
        <v>0</v>
      </c>
      <c r="K880" t="n">
        <v>0</v>
      </c>
      <c r="L880" t="n">
        <v>0</v>
      </c>
      <c r="M880" t="n">
        <v>0</v>
      </c>
      <c r="N880" t="n">
        <v>0</v>
      </c>
      <c r="O880" t="n">
        <v>0</v>
      </c>
      <c r="P880" t="n">
        <v>0</v>
      </c>
      <c r="Q880" t="n">
        <v>0</v>
      </c>
      <c r="R880" s="2" t="inlineStr"/>
    </row>
    <row r="881" ht="15" customHeight="1">
      <c r="A881" t="inlineStr">
        <is>
          <t>A 41469-2021</t>
        </is>
      </c>
      <c r="B881" s="1" t="n">
        <v>44424</v>
      </c>
      <c r="C881" s="1" t="n">
        <v>45845</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42169-2021</t>
        </is>
      </c>
      <c r="B882" s="1" t="n">
        <v>44426</v>
      </c>
      <c r="C882" s="1" t="n">
        <v>45845</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42199-2021</t>
        </is>
      </c>
      <c r="B883" s="1" t="n">
        <v>44426</v>
      </c>
      <c r="C883" s="1" t="n">
        <v>45845</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42201-2021</t>
        </is>
      </c>
      <c r="B884" s="1" t="n">
        <v>44426</v>
      </c>
      <c r="C884" s="1" t="n">
        <v>45845</v>
      </c>
      <c r="D884" t="inlineStr">
        <is>
          <t>VÄSTERNORRLANDS LÄN</t>
        </is>
      </c>
      <c r="E884" t="inlineStr">
        <is>
          <t>SUNDSVALL</t>
        </is>
      </c>
      <c r="G884" t="n">
        <v>5.7</v>
      </c>
      <c r="H884" t="n">
        <v>0</v>
      </c>
      <c r="I884" t="n">
        <v>0</v>
      </c>
      <c r="J884" t="n">
        <v>0</v>
      </c>
      <c r="K884" t="n">
        <v>0</v>
      </c>
      <c r="L884" t="n">
        <v>0</v>
      </c>
      <c r="M884" t="n">
        <v>0</v>
      </c>
      <c r="N884" t="n">
        <v>0</v>
      </c>
      <c r="O884" t="n">
        <v>0</v>
      </c>
      <c r="P884" t="n">
        <v>0</v>
      </c>
      <c r="Q884" t="n">
        <v>0</v>
      </c>
      <c r="R884" s="2" t="inlineStr"/>
    </row>
    <row r="885" ht="15" customHeight="1">
      <c r="A885" t="inlineStr">
        <is>
          <t>A 42195-2021</t>
        </is>
      </c>
      <c r="B885" s="1" t="n">
        <v>44426</v>
      </c>
      <c r="C885" s="1" t="n">
        <v>45845</v>
      </c>
      <c r="D885" t="inlineStr">
        <is>
          <t>VÄSTERNORRLANDS LÄN</t>
        </is>
      </c>
      <c r="E885" t="inlineStr">
        <is>
          <t>SUNDSVALL</t>
        </is>
      </c>
      <c r="G885" t="n">
        <v>2.1</v>
      </c>
      <c r="H885" t="n">
        <v>0</v>
      </c>
      <c r="I885" t="n">
        <v>0</v>
      </c>
      <c r="J885" t="n">
        <v>0</v>
      </c>
      <c r="K885" t="n">
        <v>0</v>
      </c>
      <c r="L885" t="n">
        <v>0</v>
      </c>
      <c r="M885" t="n">
        <v>0</v>
      </c>
      <c r="N885" t="n">
        <v>0</v>
      </c>
      <c r="O885" t="n">
        <v>0</v>
      </c>
      <c r="P885" t="n">
        <v>0</v>
      </c>
      <c r="Q885" t="n">
        <v>0</v>
      </c>
      <c r="R885" s="2" t="inlineStr"/>
    </row>
    <row r="886" ht="15" customHeight="1">
      <c r="A886" t="inlineStr">
        <is>
          <t>A 42700-2021</t>
        </is>
      </c>
      <c r="B886" s="1" t="n">
        <v>44428</v>
      </c>
      <c r="C886" s="1" t="n">
        <v>45845</v>
      </c>
      <c r="D886" t="inlineStr">
        <is>
          <t>VÄSTERNORRLANDS LÄN</t>
        </is>
      </c>
      <c r="E886" t="inlineStr">
        <is>
          <t>SUNDSVALL</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42728-2021</t>
        </is>
      </c>
      <c r="B887" s="1" t="n">
        <v>44428</v>
      </c>
      <c r="C887" s="1" t="n">
        <v>45845</v>
      </c>
      <c r="D887" t="inlineStr">
        <is>
          <t>VÄSTERNORRLANDS LÄN</t>
        </is>
      </c>
      <c r="E887" t="inlineStr">
        <is>
          <t>SUNDSVALL</t>
        </is>
      </c>
      <c r="G887" t="n">
        <v>3.6</v>
      </c>
      <c r="H887" t="n">
        <v>0</v>
      </c>
      <c r="I887" t="n">
        <v>0</v>
      </c>
      <c r="J887" t="n">
        <v>0</v>
      </c>
      <c r="K887" t="n">
        <v>0</v>
      </c>
      <c r="L887" t="n">
        <v>0</v>
      </c>
      <c r="M887" t="n">
        <v>0</v>
      </c>
      <c r="N887" t="n">
        <v>0</v>
      </c>
      <c r="O887" t="n">
        <v>0</v>
      </c>
      <c r="P887" t="n">
        <v>0</v>
      </c>
      <c r="Q887" t="n">
        <v>0</v>
      </c>
      <c r="R887" s="2" t="inlineStr"/>
    </row>
    <row r="888" ht="15" customHeight="1">
      <c r="A888" t="inlineStr">
        <is>
          <t>A 43194-2021</t>
        </is>
      </c>
      <c r="B888" s="1" t="n">
        <v>44431</v>
      </c>
      <c r="C888" s="1" t="n">
        <v>45845</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43199-2021</t>
        </is>
      </c>
      <c r="B889" s="1" t="n">
        <v>44432</v>
      </c>
      <c r="C889" s="1" t="n">
        <v>45845</v>
      </c>
      <c r="D889" t="inlineStr">
        <is>
          <t>VÄSTERNORRLANDS LÄN</t>
        </is>
      </c>
      <c r="E889" t="inlineStr">
        <is>
          <t>SUNDSVALL</t>
        </is>
      </c>
      <c r="G889" t="n">
        <v>0.8</v>
      </c>
      <c r="H889" t="n">
        <v>0</v>
      </c>
      <c r="I889" t="n">
        <v>0</v>
      </c>
      <c r="J889" t="n">
        <v>0</v>
      </c>
      <c r="K889" t="n">
        <v>0</v>
      </c>
      <c r="L889" t="n">
        <v>0</v>
      </c>
      <c r="M889" t="n">
        <v>0</v>
      </c>
      <c r="N889" t="n">
        <v>0</v>
      </c>
      <c r="O889" t="n">
        <v>0</v>
      </c>
      <c r="P889" t="n">
        <v>0</v>
      </c>
      <c r="Q889" t="n">
        <v>0</v>
      </c>
      <c r="R889" s="2" t="inlineStr"/>
    </row>
    <row r="890" ht="15" customHeight="1">
      <c r="A890" t="inlineStr">
        <is>
          <t>A 43195-2021</t>
        </is>
      </c>
      <c r="B890" s="1" t="n">
        <v>44431</v>
      </c>
      <c r="C890" s="1" t="n">
        <v>45845</v>
      </c>
      <c r="D890" t="inlineStr">
        <is>
          <t>VÄSTERNORRLANDS LÄN</t>
        </is>
      </c>
      <c r="E890" t="inlineStr">
        <is>
          <t>SUNDSVALL</t>
        </is>
      </c>
      <c r="G890" t="n">
        <v>3.7</v>
      </c>
      <c r="H890" t="n">
        <v>0</v>
      </c>
      <c r="I890" t="n">
        <v>0</v>
      </c>
      <c r="J890" t="n">
        <v>0</v>
      </c>
      <c r="K890" t="n">
        <v>0</v>
      </c>
      <c r="L890" t="n">
        <v>0</v>
      </c>
      <c r="M890" t="n">
        <v>0</v>
      </c>
      <c r="N890" t="n">
        <v>0</v>
      </c>
      <c r="O890" t="n">
        <v>0</v>
      </c>
      <c r="P890" t="n">
        <v>0</v>
      </c>
      <c r="Q890" t="n">
        <v>0</v>
      </c>
      <c r="R890" s="2" t="inlineStr"/>
    </row>
    <row r="891" ht="15" customHeight="1">
      <c r="A891" t="inlineStr">
        <is>
          <t>A 43204-2021</t>
        </is>
      </c>
      <c r="B891" s="1" t="n">
        <v>44431</v>
      </c>
      <c r="C891" s="1" t="n">
        <v>45845</v>
      </c>
      <c r="D891" t="inlineStr">
        <is>
          <t>VÄSTERNORRLANDS LÄN</t>
        </is>
      </c>
      <c r="E891" t="inlineStr">
        <is>
          <t>SUNDSVALL</t>
        </is>
      </c>
      <c r="G891" t="n">
        <v>3.9</v>
      </c>
      <c r="H891" t="n">
        <v>0</v>
      </c>
      <c r="I891" t="n">
        <v>0</v>
      </c>
      <c r="J891" t="n">
        <v>0</v>
      </c>
      <c r="K891" t="n">
        <v>0</v>
      </c>
      <c r="L891" t="n">
        <v>0</v>
      </c>
      <c r="M891" t="n">
        <v>0</v>
      </c>
      <c r="N891" t="n">
        <v>0</v>
      </c>
      <c r="O891" t="n">
        <v>0</v>
      </c>
      <c r="P891" t="n">
        <v>0</v>
      </c>
      <c r="Q891" t="n">
        <v>0</v>
      </c>
      <c r="R891" s="2" t="inlineStr"/>
    </row>
    <row r="892" ht="15" customHeight="1">
      <c r="A892" t="inlineStr">
        <is>
          <t>A 43197-2021</t>
        </is>
      </c>
      <c r="B892" s="1" t="n">
        <v>44432</v>
      </c>
      <c r="C892" s="1" t="n">
        <v>45845</v>
      </c>
      <c r="D892" t="inlineStr">
        <is>
          <t>VÄSTERNORRLANDS LÄN</t>
        </is>
      </c>
      <c r="E892" t="inlineStr">
        <is>
          <t>SUNDSVALL</t>
        </is>
      </c>
      <c r="G892" t="n">
        <v>3.1</v>
      </c>
      <c r="H892" t="n">
        <v>0</v>
      </c>
      <c r="I892" t="n">
        <v>0</v>
      </c>
      <c r="J892" t="n">
        <v>0</v>
      </c>
      <c r="K892" t="n">
        <v>0</v>
      </c>
      <c r="L892" t="n">
        <v>0</v>
      </c>
      <c r="M892" t="n">
        <v>0</v>
      </c>
      <c r="N892" t="n">
        <v>0</v>
      </c>
      <c r="O892" t="n">
        <v>0</v>
      </c>
      <c r="P892" t="n">
        <v>0</v>
      </c>
      <c r="Q892" t="n">
        <v>0</v>
      </c>
      <c r="R892" s="2" t="inlineStr"/>
    </row>
    <row r="893" ht="15" customHeight="1">
      <c r="A893" t="inlineStr">
        <is>
          <t>A 43205-2021</t>
        </is>
      </c>
      <c r="B893" s="1" t="n">
        <v>44431</v>
      </c>
      <c r="C893" s="1" t="n">
        <v>45845</v>
      </c>
      <c r="D893" t="inlineStr">
        <is>
          <t>VÄSTERNORRLANDS LÄN</t>
        </is>
      </c>
      <c r="E893" t="inlineStr">
        <is>
          <t>SUNDSVALL</t>
        </is>
      </c>
      <c r="G893" t="n">
        <v>2.9</v>
      </c>
      <c r="H893" t="n">
        <v>0</v>
      </c>
      <c r="I893" t="n">
        <v>0</v>
      </c>
      <c r="J893" t="n">
        <v>0</v>
      </c>
      <c r="K893" t="n">
        <v>0</v>
      </c>
      <c r="L893" t="n">
        <v>0</v>
      </c>
      <c r="M893" t="n">
        <v>0</v>
      </c>
      <c r="N893" t="n">
        <v>0</v>
      </c>
      <c r="O893" t="n">
        <v>0</v>
      </c>
      <c r="P893" t="n">
        <v>0</v>
      </c>
      <c r="Q893" t="n">
        <v>0</v>
      </c>
      <c r="R893" s="2" t="inlineStr"/>
    </row>
    <row r="894" ht="15" customHeight="1">
      <c r="A894" t="inlineStr">
        <is>
          <t>A 43834-2021</t>
        </is>
      </c>
      <c r="B894" s="1" t="n">
        <v>44433</v>
      </c>
      <c r="C894" s="1" t="n">
        <v>45845</v>
      </c>
      <c r="D894" t="inlineStr">
        <is>
          <t>VÄSTERNORRLANDS LÄN</t>
        </is>
      </c>
      <c r="E894" t="inlineStr">
        <is>
          <t>SUNDSVALL</t>
        </is>
      </c>
      <c r="G894" t="n">
        <v>1.3</v>
      </c>
      <c r="H894" t="n">
        <v>0</v>
      </c>
      <c r="I894" t="n">
        <v>0</v>
      </c>
      <c r="J894" t="n">
        <v>0</v>
      </c>
      <c r="K894" t="n">
        <v>0</v>
      </c>
      <c r="L894" t="n">
        <v>0</v>
      </c>
      <c r="M894" t="n">
        <v>0</v>
      </c>
      <c r="N894" t="n">
        <v>0</v>
      </c>
      <c r="O894" t="n">
        <v>0</v>
      </c>
      <c r="P894" t="n">
        <v>0</v>
      </c>
      <c r="Q894" t="n">
        <v>0</v>
      </c>
      <c r="R894" s="2" t="inlineStr"/>
    </row>
    <row r="895" ht="15" customHeight="1">
      <c r="A895" t="inlineStr">
        <is>
          <t>A 44030-2021</t>
        </is>
      </c>
      <c r="B895" s="1" t="n">
        <v>44434</v>
      </c>
      <c r="C895" s="1" t="n">
        <v>45845</v>
      </c>
      <c r="D895" t="inlineStr">
        <is>
          <t>VÄSTERNORRLANDS LÄN</t>
        </is>
      </c>
      <c r="E895" t="inlineStr">
        <is>
          <t>SUNDSVALL</t>
        </is>
      </c>
      <c r="G895" t="n">
        <v>2.7</v>
      </c>
      <c r="H895" t="n">
        <v>0</v>
      </c>
      <c r="I895" t="n">
        <v>0</v>
      </c>
      <c r="J895" t="n">
        <v>0</v>
      </c>
      <c r="K895" t="n">
        <v>0</v>
      </c>
      <c r="L895" t="n">
        <v>0</v>
      </c>
      <c r="M895" t="n">
        <v>0</v>
      </c>
      <c r="N895" t="n">
        <v>0</v>
      </c>
      <c r="O895" t="n">
        <v>0</v>
      </c>
      <c r="P895" t="n">
        <v>0</v>
      </c>
      <c r="Q895" t="n">
        <v>0</v>
      </c>
      <c r="R895" s="2" t="inlineStr"/>
    </row>
    <row r="896" ht="15" customHeight="1">
      <c r="A896" t="inlineStr">
        <is>
          <t>A 44039-2021</t>
        </is>
      </c>
      <c r="B896" s="1" t="n">
        <v>44434</v>
      </c>
      <c r="C896" s="1" t="n">
        <v>45845</v>
      </c>
      <c r="D896" t="inlineStr">
        <is>
          <t>VÄSTERNORRLANDS LÄN</t>
        </is>
      </c>
      <c r="E896" t="inlineStr">
        <is>
          <t>SUNDSVALL</t>
        </is>
      </c>
      <c r="G896" t="n">
        <v>1.7</v>
      </c>
      <c r="H896" t="n">
        <v>0</v>
      </c>
      <c r="I896" t="n">
        <v>0</v>
      </c>
      <c r="J896" t="n">
        <v>0</v>
      </c>
      <c r="K896" t="n">
        <v>0</v>
      </c>
      <c r="L896" t="n">
        <v>0</v>
      </c>
      <c r="M896" t="n">
        <v>0</v>
      </c>
      <c r="N896" t="n">
        <v>0</v>
      </c>
      <c r="O896" t="n">
        <v>0</v>
      </c>
      <c r="P896" t="n">
        <v>0</v>
      </c>
      <c r="Q896" t="n">
        <v>0</v>
      </c>
      <c r="R896" s="2" t="inlineStr"/>
    </row>
    <row r="897" ht="15" customHeight="1">
      <c r="A897" t="inlineStr">
        <is>
          <t>A 44610-2021</t>
        </is>
      </c>
      <c r="B897" s="1" t="n">
        <v>44436</v>
      </c>
      <c r="C897" s="1" t="n">
        <v>45845</v>
      </c>
      <c r="D897" t="inlineStr">
        <is>
          <t>VÄSTERNORRLANDS LÄN</t>
        </is>
      </c>
      <c r="E897" t="inlineStr">
        <is>
          <t>SUNDSVALL</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45005-2021</t>
        </is>
      </c>
      <c r="B898" s="1" t="n">
        <v>44439</v>
      </c>
      <c r="C898" s="1" t="n">
        <v>45845</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44920-2021</t>
        </is>
      </c>
      <c r="B899" s="1" t="n">
        <v>44438</v>
      </c>
      <c r="C899" s="1" t="n">
        <v>45845</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44934-2021</t>
        </is>
      </c>
      <c r="B900" s="1" t="n">
        <v>44438</v>
      </c>
      <c r="C900" s="1" t="n">
        <v>45845</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45000-2021</t>
        </is>
      </c>
      <c r="B901" s="1" t="n">
        <v>44439</v>
      </c>
      <c r="C901" s="1" t="n">
        <v>45845</v>
      </c>
      <c r="D901" t="inlineStr">
        <is>
          <t>VÄSTERNORRLANDS LÄN</t>
        </is>
      </c>
      <c r="E901" t="inlineStr">
        <is>
          <t>SUNDSVALL</t>
        </is>
      </c>
      <c r="G901" t="n">
        <v>4.8</v>
      </c>
      <c r="H901" t="n">
        <v>0</v>
      </c>
      <c r="I901" t="n">
        <v>0</v>
      </c>
      <c r="J901" t="n">
        <v>0</v>
      </c>
      <c r="K901" t="n">
        <v>0</v>
      </c>
      <c r="L901" t="n">
        <v>0</v>
      </c>
      <c r="M901" t="n">
        <v>0</v>
      </c>
      <c r="N901" t="n">
        <v>0</v>
      </c>
      <c r="O901" t="n">
        <v>0</v>
      </c>
      <c r="P901" t="n">
        <v>0</v>
      </c>
      <c r="Q901" t="n">
        <v>0</v>
      </c>
      <c r="R901" s="2" t="inlineStr"/>
    </row>
    <row r="902" ht="15" customHeight="1">
      <c r="A902" t="inlineStr">
        <is>
          <t>A 45006-2021</t>
        </is>
      </c>
      <c r="B902" s="1" t="n">
        <v>44439</v>
      </c>
      <c r="C902" s="1" t="n">
        <v>45845</v>
      </c>
      <c r="D902" t="inlineStr">
        <is>
          <t>VÄSTERNORRLANDS LÄN</t>
        </is>
      </c>
      <c r="E902" t="inlineStr">
        <is>
          <t>SUNDSVALL</t>
        </is>
      </c>
      <c r="G902" t="n">
        <v>2.2</v>
      </c>
      <c r="H902" t="n">
        <v>0</v>
      </c>
      <c r="I902" t="n">
        <v>0</v>
      </c>
      <c r="J902" t="n">
        <v>0</v>
      </c>
      <c r="K902" t="n">
        <v>0</v>
      </c>
      <c r="L902" t="n">
        <v>0</v>
      </c>
      <c r="M902" t="n">
        <v>0</v>
      </c>
      <c r="N902" t="n">
        <v>0</v>
      </c>
      <c r="O902" t="n">
        <v>0</v>
      </c>
      <c r="P902" t="n">
        <v>0</v>
      </c>
      <c r="Q902" t="n">
        <v>0</v>
      </c>
      <c r="R902" s="2" t="inlineStr"/>
    </row>
    <row r="903" ht="15" customHeight="1">
      <c r="A903" t="inlineStr">
        <is>
          <t>A 45506-2021</t>
        </is>
      </c>
      <c r="B903" s="1" t="n">
        <v>44440</v>
      </c>
      <c r="C903" s="1" t="n">
        <v>45845</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45515-2021</t>
        </is>
      </c>
      <c r="B904" s="1" t="n">
        <v>44440</v>
      </c>
      <c r="C904" s="1" t="n">
        <v>45845</v>
      </c>
      <c r="D904" t="inlineStr">
        <is>
          <t>VÄSTERNORRLANDS LÄN</t>
        </is>
      </c>
      <c r="E904" t="inlineStr">
        <is>
          <t>SUNDSVALL</t>
        </is>
      </c>
      <c r="G904" t="n">
        <v>7.3</v>
      </c>
      <c r="H904" t="n">
        <v>0</v>
      </c>
      <c r="I904" t="n">
        <v>0</v>
      </c>
      <c r="J904" t="n">
        <v>0</v>
      </c>
      <c r="K904" t="n">
        <v>0</v>
      </c>
      <c r="L904" t="n">
        <v>0</v>
      </c>
      <c r="M904" t="n">
        <v>0</v>
      </c>
      <c r="N904" t="n">
        <v>0</v>
      </c>
      <c r="O904" t="n">
        <v>0</v>
      </c>
      <c r="P904" t="n">
        <v>0</v>
      </c>
      <c r="Q904" t="n">
        <v>0</v>
      </c>
      <c r="R904" s="2" t="inlineStr"/>
    </row>
    <row r="905" ht="15" customHeight="1">
      <c r="A905" t="inlineStr">
        <is>
          <t>A 45646-2021</t>
        </is>
      </c>
      <c r="B905" s="1" t="n">
        <v>44440</v>
      </c>
      <c r="C905" s="1" t="n">
        <v>45845</v>
      </c>
      <c r="D905" t="inlineStr">
        <is>
          <t>VÄSTERNORRLANDS LÄN</t>
        </is>
      </c>
      <c r="E905" t="inlineStr">
        <is>
          <t>SUNDSVALL</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45775-2021</t>
        </is>
      </c>
      <c r="B906" s="1" t="n">
        <v>44441</v>
      </c>
      <c r="C906" s="1" t="n">
        <v>45845</v>
      </c>
      <c r="D906" t="inlineStr">
        <is>
          <t>VÄSTERNORRLANDS LÄN</t>
        </is>
      </c>
      <c r="E906" t="inlineStr">
        <is>
          <t>SUNDSVALL</t>
        </is>
      </c>
      <c r="G906" t="n">
        <v>3.7</v>
      </c>
      <c r="H906" t="n">
        <v>0</v>
      </c>
      <c r="I906" t="n">
        <v>0</v>
      </c>
      <c r="J906" t="n">
        <v>0</v>
      </c>
      <c r="K906" t="n">
        <v>0</v>
      </c>
      <c r="L906" t="n">
        <v>0</v>
      </c>
      <c r="M906" t="n">
        <v>0</v>
      </c>
      <c r="N906" t="n">
        <v>0</v>
      </c>
      <c r="O906" t="n">
        <v>0</v>
      </c>
      <c r="P906" t="n">
        <v>0</v>
      </c>
      <c r="Q906" t="n">
        <v>0</v>
      </c>
      <c r="R906" s="2" t="inlineStr"/>
    </row>
    <row r="907" ht="15" customHeight="1">
      <c r="A907" t="inlineStr">
        <is>
          <t>A 45739-2021</t>
        </is>
      </c>
      <c r="B907" s="1" t="n">
        <v>44441</v>
      </c>
      <c r="C907" s="1" t="n">
        <v>45845</v>
      </c>
      <c r="D907" t="inlineStr">
        <is>
          <t>VÄSTERNORRLANDS LÄN</t>
        </is>
      </c>
      <c r="E907" t="inlineStr">
        <is>
          <t>SUNDSVALL</t>
        </is>
      </c>
      <c r="G907" t="n">
        <v>14.8</v>
      </c>
      <c r="H907" t="n">
        <v>0</v>
      </c>
      <c r="I907" t="n">
        <v>0</v>
      </c>
      <c r="J907" t="n">
        <v>0</v>
      </c>
      <c r="K907" t="n">
        <v>0</v>
      </c>
      <c r="L907" t="n">
        <v>0</v>
      </c>
      <c r="M907" t="n">
        <v>0</v>
      </c>
      <c r="N907" t="n">
        <v>0</v>
      </c>
      <c r="O907" t="n">
        <v>0</v>
      </c>
      <c r="P907" t="n">
        <v>0</v>
      </c>
      <c r="Q907" t="n">
        <v>0</v>
      </c>
      <c r="R907" s="2" t="inlineStr"/>
    </row>
    <row r="908" ht="15" customHeight="1">
      <c r="A908" t="inlineStr">
        <is>
          <t>A 45959-2021</t>
        </is>
      </c>
      <c r="B908" s="1" t="n">
        <v>44441</v>
      </c>
      <c r="C908" s="1" t="n">
        <v>45845</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47565-2021</t>
        </is>
      </c>
      <c r="B909" s="1" t="n">
        <v>44447</v>
      </c>
      <c r="C909" s="1" t="n">
        <v>45845</v>
      </c>
      <c r="D909" t="inlineStr">
        <is>
          <t>VÄSTERNORRLANDS LÄN</t>
        </is>
      </c>
      <c r="E909" t="inlineStr">
        <is>
          <t>SUNDSVALL</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47944-2021</t>
        </is>
      </c>
      <c r="B910" s="1" t="n">
        <v>44448</v>
      </c>
      <c r="C910" s="1" t="n">
        <v>45845</v>
      </c>
      <c r="D910" t="inlineStr">
        <is>
          <t>VÄSTERNORRLANDS LÄN</t>
        </is>
      </c>
      <c r="E910" t="inlineStr">
        <is>
          <t>SUNDSVALL</t>
        </is>
      </c>
      <c r="F910" t="inlineStr">
        <is>
          <t>SCA</t>
        </is>
      </c>
      <c r="G910" t="n">
        <v>5.5</v>
      </c>
      <c r="H910" t="n">
        <v>0</v>
      </c>
      <c r="I910" t="n">
        <v>0</v>
      </c>
      <c r="J910" t="n">
        <v>0</v>
      </c>
      <c r="K910" t="n">
        <v>0</v>
      </c>
      <c r="L910" t="n">
        <v>0</v>
      </c>
      <c r="M910" t="n">
        <v>0</v>
      </c>
      <c r="N910" t="n">
        <v>0</v>
      </c>
      <c r="O910" t="n">
        <v>0</v>
      </c>
      <c r="P910" t="n">
        <v>0</v>
      </c>
      <c r="Q910" t="n">
        <v>0</v>
      </c>
      <c r="R910" s="2" t="inlineStr"/>
    </row>
    <row r="911" ht="15" customHeight="1">
      <c r="A911" t="inlineStr">
        <is>
          <t>A 48662-2021</t>
        </is>
      </c>
      <c r="B911" s="1" t="n">
        <v>44452</v>
      </c>
      <c r="C911" s="1" t="n">
        <v>45845</v>
      </c>
      <c r="D911" t="inlineStr">
        <is>
          <t>VÄSTERNORRLANDS LÄN</t>
        </is>
      </c>
      <c r="E911" t="inlineStr">
        <is>
          <t>SUNDSVALL</t>
        </is>
      </c>
      <c r="G911" t="n">
        <v>2.5</v>
      </c>
      <c r="H911" t="n">
        <v>0</v>
      </c>
      <c r="I911" t="n">
        <v>0</v>
      </c>
      <c r="J911" t="n">
        <v>0</v>
      </c>
      <c r="K911" t="n">
        <v>0</v>
      </c>
      <c r="L911" t="n">
        <v>0</v>
      </c>
      <c r="M911" t="n">
        <v>0</v>
      </c>
      <c r="N911" t="n">
        <v>0</v>
      </c>
      <c r="O911" t="n">
        <v>0</v>
      </c>
      <c r="P911" t="n">
        <v>0</v>
      </c>
      <c r="Q911" t="n">
        <v>0</v>
      </c>
      <c r="R911" s="2" t="inlineStr"/>
    </row>
    <row r="912" ht="15" customHeight="1">
      <c r="A912" t="inlineStr">
        <is>
          <t>A 48705-2021</t>
        </is>
      </c>
      <c r="B912" s="1" t="n">
        <v>44452</v>
      </c>
      <c r="C912" s="1" t="n">
        <v>45845</v>
      </c>
      <c r="D912" t="inlineStr">
        <is>
          <t>VÄSTERNORRLANDS LÄN</t>
        </is>
      </c>
      <c r="E912" t="inlineStr">
        <is>
          <t>SUNDSVALL</t>
        </is>
      </c>
      <c r="G912" t="n">
        <v>3.3</v>
      </c>
      <c r="H912" t="n">
        <v>0</v>
      </c>
      <c r="I912" t="n">
        <v>0</v>
      </c>
      <c r="J912" t="n">
        <v>0</v>
      </c>
      <c r="K912" t="n">
        <v>0</v>
      </c>
      <c r="L912" t="n">
        <v>0</v>
      </c>
      <c r="M912" t="n">
        <v>0</v>
      </c>
      <c r="N912" t="n">
        <v>0</v>
      </c>
      <c r="O912" t="n">
        <v>0</v>
      </c>
      <c r="P912" t="n">
        <v>0</v>
      </c>
      <c r="Q912" t="n">
        <v>0</v>
      </c>
      <c r="R912" s="2" t="inlineStr"/>
    </row>
    <row r="913" ht="15" customHeight="1">
      <c r="A913" t="inlineStr">
        <is>
          <t>A 48878-2021</t>
        </is>
      </c>
      <c r="B913" s="1" t="n">
        <v>44453</v>
      </c>
      <c r="C913" s="1" t="n">
        <v>45845</v>
      </c>
      <c r="D913" t="inlineStr">
        <is>
          <t>VÄSTERNORRLANDS LÄN</t>
        </is>
      </c>
      <c r="E913" t="inlineStr">
        <is>
          <t>SUNDSVALL</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48864-2021</t>
        </is>
      </c>
      <c r="B914" s="1" t="n">
        <v>44453</v>
      </c>
      <c r="C914" s="1" t="n">
        <v>45845</v>
      </c>
      <c r="D914" t="inlineStr">
        <is>
          <t>VÄSTERNORRLANDS LÄN</t>
        </is>
      </c>
      <c r="E914" t="inlineStr">
        <is>
          <t>SUNDSVALL</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49480-2021</t>
        </is>
      </c>
      <c r="B915" s="1" t="n">
        <v>44454</v>
      </c>
      <c r="C915" s="1" t="n">
        <v>45845</v>
      </c>
      <c r="D915" t="inlineStr">
        <is>
          <t>VÄSTERNORRLANDS LÄN</t>
        </is>
      </c>
      <c r="E915" t="inlineStr">
        <is>
          <t>SUNDSVALL</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49368-2021</t>
        </is>
      </c>
      <c r="B916" s="1" t="n">
        <v>44454</v>
      </c>
      <c r="C916" s="1" t="n">
        <v>45845</v>
      </c>
      <c r="D916" t="inlineStr">
        <is>
          <t>VÄSTERNORRLANDS LÄN</t>
        </is>
      </c>
      <c r="E916" t="inlineStr">
        <is>
          <t>SUNDSVALL</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50127-2021</t>
        </is>
      </c>
      <c r="B917" s="1" t="n">
        <v>44456</v>
      </c>
      <c r="C917" s="1" t="n">
        <v>45845</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50237-2021</t>
        </is>
      </c>
      <c r="B918" s="1" t="n">
        <v>44458</v>
      </c>
      <c r="C918" s="1" t="n">
        <v>45845</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50659-2021</t>
        </is>
      </c>
      <c r="B919" s="1" t="n">
        <v>44460</v>
      </c>
      <c r="C919" s="1" t="n">
        <v>45845</v>
      </c>
      <c r="D919" t="inlineStr">
        <is>
          <t>VÄSTERNORRLANDS LÄN</t>
        </is>
      </c>
      <c r="E919" t="inlineStr">
        <is>
          <t>SUNDSVALL</t>
        </is>
      </c>
      <c r="F919" t="inlineStr">
        <is>
          <t>Naturvårdsverket</t>
        </is>
      </c>
      <c r="G919" t="n">
        <v>3.6</v>
      </c>
      <c r="H919" t="n">
        <v>0</v>
      </c>
      <c r="I919" t="n">
        <v>0</v>
      </c>
      <c r="J919" t="n">
        <v>0</v>
      </c>
      <c r="K919" t="n">
        <v>0</v>
      </c>
      <c r="L919" t="n">
        <v>0</v>
      </c>
      <c r="M919" t="n">
        <v>0</v>
      </c>
      <c r="N919" t="n">
        <v>0</v>
      </c>
      <c r="O919" t="n">
        <v>0</v>
      </c>
      <c r="P919" t="n">
        <v>0</v>
      </c>
      <c r="Q919" t="n">
        <v>0</v>
      </c>
      <c r="R919" s="2" t="inlineStr"/>
    </row>
    <row r="920" ht="15" customHeight="1">
      <c r="A920" t="inlineStr">
        <is>
          <t>A 50921-2021</t>
        </is>
      </c>
      <c r="B920" s="1" t="n">
        <v>44460</v>
      </c>
      <c r="C920" s="1" t="n">
        <v>45845</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45845</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51681-2021</t>
        </is>
      </c>
      <c r="B922" s="1" t="n">
        <v>44461</v>
      </c>
      <c r="C922" s="1" t="n">
        <v>45845</v>
      </c>
      <c r="D922" t="inlineStr">
        <is>
          <t>VÄSTERNORRLANDS LÄN</t>
        </is>
      </c>
      <c r="E922" t="inlineStr">
        <is>
          <t>SUNDSVALL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51599-2021</t>
        </is>
      </c>
      <c r="B923" s="1" t="n">
        <v>44461</v>
      </c>
      <c r="C923" s="1" t="n">
        <v>45845</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51621-2021</t>
        </is>
      </c>
      <c r="B924" s="1" t="n">
        <v>44462</v>
      </c>
      <c r="C924" s="1" t="n">
        <v>45845</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51687-2021</t>
        </is>
      </c>
      <c r="B925" s="1" t="n">
        <v>44462</v>
      </c>
      <c r="C925" s="1" t="n">
        <v>45845</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51768-2021</t>
        </is>
      </c>
      <c r="B926" s="1" t="n">
        <v>44462</v>
      </c>
      <c r="C926" s="1" t="n">
        <v>45845</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51910-2021</t>
        </is>
      </c>
      <c r="B927" s="1" t="n">
        <v>44463</v>
      </c>
      <c r="C927" s="1" t="n">
        <v>45845</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51948-2021</t>
        </is>
      </c>
      <c r="B928" s="1" t="n">
        <v>44463</v>
      </c>
      <c r="C928" s="1" t="n">
        <v>45845</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52315-2021</t>
        </is>
      </c>
      <c r="B929" s="1" t="n">
        <v>44463</v>
      </c>
      <c r="C929" s="1" t="n">
        <v>45845</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52318-2021</t>
        </is>
      </c>
      <c r="B930" s="1" t="n">
        <v>44463</v>
      </c>
      <c r="C930" s="1" t="n">
        <v>45845</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52651-2021</t>
        </is>
      </c>
      <c r="B931" s="1" t="n">
        <v>44466</v>
      </c>
      <c r="C931" s="1" t="n">
        <v>45845</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52554-2021</t>
        </is>
      </c>
      <c r="B932" s="1" t="n">
        <v>44466</v>
      </c>
      <c r="C932" s="1" t="n">
        <v>45845</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54470-2021</t>
        </is>
      </c>
      <c r="B933" s="1" t="n">
        <v>44473</v>
      </c>
      <c r="C933" s="1" t="n">
        <v>45845</v>
      </c>
      <c r="D933" t="inlineStr">
        <is>
          <t>VÄSTERNORRLANDS LÄN</t>
        </is>
      </c>
      <c r="E933" t="inlineStr">
        <is>
          <t>SUNDSVALL</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54506-2021</t>
        </is>
      </c>
      <c r="B934" s="1" t="n">
        <v>44473</v>
      </c>
      <c r="C934" s="1" t="n">
        <v>45845</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54739-2021</t>
        </is>
      </c>
      <c r="B935" s="1" t="n">
        <v>44473</v>
      </c>
      <c r="C935" s="1" t="n">
        <v>45845</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55158-2021</t>
        </is>
      </c>
      <c r="B936" s="1" t="n">
        <v>44474</v>
      </c>
      <c r="C936" s="1" t="n">
        <v>45845</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55161-2021</t>
        </is>
      </c>
      <c r="B937" s="1" t="n">
        <v>44475</v>
      </c>
      <c r="C937" s="1" t="n">
        <v>45845</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55594-2021</t>
        </is>
      </c>
      <c r="B938" s="1" t="n">
        <v>44475</v>
      </c>
      <c r="C938" s="1" t="n">
        <v>45845</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55676-2021</t>
        </is>
      </c>
      <c r="B939" s="1" t="n">
        <v>44476</v>
      </c>
      <c r="C939" s="1" t="n">
        <v>45845</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56216-2021</t>
        </is>
      </c>
      <c r="B940" s="1" t="n">
        <v>44478</v>
      </c>
      <c r="C940" s="1" t="n">
        <v>45845</v>
      </c>
      <c r="D940" t="inlineStr">
        <is>
          <t>VÄSTERNORRLANDS LÄN</t>
        </is>
      </c>
      <c r="E940" t="inlineStr">
        <is>
          <t>SUNDSVALL</t>
        </is>
      </c>
      <c r="F940" t="inlineStr">
        <is>
          <t>SCA</t>
        </is>
      </c>
      <c r="G940" t="n">
        <v>11.8</v>
      </c>
      <c r="H940" t="n">
        <v>0</v>
      </c>
      <c r="I940" t="n">
        <v>0</v>
      </c>
      <c r="J940" t="n">
        <v>0</v>
      </c>
      <c r="K940" t="n">
        <v>0</v>
      </c>
      <c r="L940" t="n">
        <v>0</v>
      </c>
      <c r="M940" t="n">
        <v>0</v>
      </c>
      <c r="N940" t="n">
        <v>0</v>
      </c>
      <c r="O940" t="n">
        <v>0</v>
      </c>
      <c r="P940" t="n">
        <v>0</v>
      </c>
      <c r="Q940" t="n">
        <v>0</v>
      </c>
      <c r="R940" s="2" t="inlineStr"/>
    </row>
    <row r="941" ht="15" customHeight="1">
      <c r="A941" t="inlineStr">
        <is>
          <t>A 56218-2021</t>
        </is>
      </c>
      <c r="B941" s="1" t="n">
        <v>44478</v>
      </c>
      <c r="C941" s="1" t="n">
        <v>45845</v>
      </c>
      <c r="D941" t="inlineStr">
        <is>
          <t>VÄSTERNORRLANDS LÄN</t>
        </is>
      </c>
      <c r="E941" t="inlineStr">
        <is>
          <t>SUNDSVALL</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56660-2021</t>
        </is>
      </c>
      <c r="B942" s="1" t="n">
        <v>44481</v>
      </c>
      <c r="C942" s="1" t="n">
        <v>45845</v>
      </c>
      <c r="D942" t="inlineStr">
        <is>
          <t>VÄSTERNORRLANDS LÄN</t>
        </is>
      </c>
      <c r="E942" t="inlineStr">
        <is>
          <t>SUNDSVALL</t>
        </is>
      </c>
      <c r="F942" t="inlineStr">
        <is>
          <t>Naturvårdsverket</t>
        </is>
      </c>
      <c r="G942" t="n">
        <v>6.9</v>
      </c>
      <c r="H942" t="n">
        <v>0</v>
      </c>
      <c r="I942" t="n">
        <v>0</v>
      </c>
      <c r="J942" t="n">
        <v>0</v>
      </c>
      <c r="K942" t="n">
        <v>0</v>
      </c>
      <c r="L942" t="n">
        <v>0</v>
      </c>
      <c r="M942" t="n">
        <v>0</v>
      </c>
      <c r="N942" t="n">
        <v>0</v>
      </c>
      <c r="O942" t="n">
        <v>0</v>
      </c>
      <c r="P942" t="n">
        <v>0</v>
      </c>
      <c r="Q942" t="n">
        <v>0</v>
      </c>
      <c r="R942" s="2" t="inlineStr"/>
    </row>
    <row r="943" ht="15" customHeight="1">
      <c r="A943" t="inlineStr">
        <is>
          <t>A 56894-2021</t>
        </is>
      </c>
      <c r="B943" s="1" t="n">
        <v>44481</v>
      </c>
      <c r="C943" s="1" t="n">
        <v>45845</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56755-2021</t>
        </is>
      </c>
      <c r="B944" s="1" t="n">
        <v>44481</v>
      </c>
      <c r="C944" s="1" t="n">
        <v>45845</v>
      </c>
      <c r="D944" t="inlineStr">
        <is>
          <t>VÄSTERNORRLANDS LÄN</t>
        </is>
      </c>
      <c r="E944" t="inlineStr">
        <is>
          <t>SUNDSVALL</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56892-2021</t>
        </is>
      </c>
      <c r="B945" s="1" t="n">
        <v>44481</v>
      </c>
      <c r="C945" s="1" t="n">
        <v>45845</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57202-2021</t>
        </is>
      </c>
      <c r="B946" s="1" t="n">
        <v>44482</v>
      </c>
      <c r="C946" s="1" t="n">
        <v>45845</v>
      </c>
      <c r="D946" t="inlineStr">
        <is>
          <t>VÄSTERNORRLANDS LÄN</t>
        </is>
      </c>
      <c r="E946" t="inlineStr">
        <is>
          <t>SUNDSVALL</t>
        </is>
      </c>
      <c r="G946" t="n">
        <v>3</v>
      </c>
      <c r="H946" t="n">
        <v>0</v>
      </c>
      <c r="I946" t="n">
        <v>0</v>
      </c>
      <c r="J946" t="n">
        <v>0</v>
      </c>
      <c r="K946" t="n">
        <v>0</v>
      </c>
      <c r="L946" t="n">
        <v>0</v>
      </c>
      <c r="M946" t="n">
        <v>0</v>
      </c>
      <c r="N946" t="n">
        <v>0</v>
      </c>
      <c r="O946" t="n">
        <v>0</v>
      </c>
      <c r="P946" t="n">
        <v>0</v>
      </c>
      <c r="Q946" t="n">
        <v>0</v>
      </c>
      <c r="R946" s="2" t="inlineStr"/>
    </row>
    <row r="947" ht="15" customHeight="1">
      <c r="A947" t="inlineStr">
        <is>
          <t>A 57212-2021</t>
        </is>
      </c>
      <c r="B947" s="1" t="n">
        <v>44483</v>
      </c>
      <c r="C947" s="1" t="n">
        <v>45845</v>
      </c>
      <c r="D947" t="inlineStr">
        <is>
          <t>VÄSTERNORRLANDS LÄN</t>
        </is>
      </c>
      <c r="E947" t="inlineStr">
        <is>
          <t>SUNDSVALL</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57082-2021</t>
        </is>
      </c>
      <c r="B948" s="1" t="n">
        <v>44482</v>
      </c>
      <c r="C948" s="1" t="n">
        <v>45845</v>
      </c>
      <c r="D948" t="inlineStr">
        <is>
          <t>VÄSTERNORRLANDS LÄN</t>
        </is>
      </c>
      <c r="E948" t="inlineStr">
        <is>
          <t>SUNDSVALL</t>
        </is>
      </c>
      <c r="G948" t="n">
        <v>0.3</v>
      </c>
      <c r="H948" t="n">
        <v>0</v>
      </c>
      <c r="I948" t="n">
        <v>0</v>
      </c>
      <c r="J948" t="n">
        <v>0</v>
      </c>
      <c r="K948" t="n">
        <v>0</v>
      </c>
      <c r="L948" t="n">
        <v>0</v>
      </c>
      <c r="M948" t="n">
        <v>0</v>
      </c>
      <c r="N948" t="n">
        <v>0</v>
      </c>
      <c r="O948" t="n">
        <v>0</v>
      </c>
      <c r="P948" t="n">
        <v>0</v>
      </c>
      <c r="Q948" t="n">
        <v>0</v>
      </c>
      <c r="R948" s="2" t="inlineStr"/>
    </row>
    <row r="949" ht="15" customHeight="1">
      <c r="A949" t="inlineStr">
        <is>
          <t>A 57234-2021</t>
        </is>
      </c>
      <c r="B949" s="1" t="n">
        <v>44482</v>
      </c>
      <c r="C949" s="1" t="n">
        <v>45845</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57533-2021</t>
        </is>
      </c>
      <c r="B950" s="1" t="n">
        <v>44484</v>
      </c>
      <c r="C950" s="1" t="n">
        <v>45845</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57543-2021</t>
        </is>
      </c>
      <c r="B951" s="1" t="n">
        <v>44483</v>
      </c>
      <c r="C951" s="1" t="n">
        <v>45845</v>
      </c>
      <c r="D951" t="inlineStr">
        <is>
          <t>VÄSTERNORRLANDS LÄN</t>
        </is>
      </c>
      <c r="E951" t="inlineStr">
        <is>
          <t>SUNDSVALL</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58032-2021</t>
        </is>
      </c>
      <c r="B952" s="1" t="n">
        <v>44487</v>
      </c>
      <c r="C952" s="1" t="n">
        <v>45845</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58037-2021</t>
        </is>
      </c>
      <c r="B953" s="1" t="n">
        <v>44487</v>
      </c>
      <c r="C953" s="1" t="n">
        <v>45845</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58274-2021</t>
        </is>
      </c>
      <c r="B954" s="1" t="n">
        <v>44488</v>
      </c>
      <c r="C954" s="1" t="n">
        <v>45845</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59127-2021</t>
        </is>
      </c>
      <c r="B955" s="1" t="n">
        <v>44490</v>
      </c>
      <c r="C955" s="1" t="n">
        <v>45845</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59146-2021</t>
        </is>
      </c>
      <c r="B956" s="1" t="n">
        <v>44490</v>
      </c>
      <c r="C956" s="1" t="n">
        <v>45845</v>
      </c>
      <c r="D956" t="inlineStr">
        <is>
          <t>VÄSTERNORRLANDS LÄN</t>
        </is>
      </c>
      <c r="E956" t="inlineStr">
        <is>
          <t>SUNDSVALL</t>
        </is>
      </c>
      <c r="G956" t="n">
        <v>4</v>
      </c>
      <c r="H956" t="n">
        <v>0</v>
      </c>
      <c r="I956" t="n">
        <v>0</v>
      </c>
      <c r="J956" t="n">
        <v>0</v>
      </c>
      <c r="K956" t="n">
        <v>0</v>
      </c>
      <c r="L956" t="n">
        <v>0</v>
      </c>
      <c r="M956" t="n">
        <v>0</v>
      </c>
      <c r="N956" t="n">
        <v>0</v>
      </c>
      <c r="O956" t="n">
        <v>0</v>
      </c>
      <c r="P956" t="n">
        <v>0</v>
      </c>
      <c r="Q956" t="n">
        <v>0</v>
      </c>
      <c r="R956" s="2" t="inlineStr"/>
    </row>
    <row r="957" ht="15" customHeight="1">
      <c r="A957" t="inlineStr">
        <is>
          <t>A 59326-2021</t>
        </is>
      </c>
      <c r="B957" s="1" t="n">
        <v>44491</v>
      </c>
      <c r="C957" s="1" t="n">
        <v>45845</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59325-2021</t>
        </is>
      </c>
      <c r="B958" s="1" t="n">
        <v>44491</v>
      </c>
      <c r="C958" s="1" t="n">
        <v>45845</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59496-2021</t>
        </is>
      </c>
      <c r="B959" s="1" t="n">
        <v>44491</v>
      </c>
      <c r="C959" s="1" t="n">
        <v>45845</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59440-2021</t>
        </is>
      </c>
      <c r="B960" s="1" t="n">
        <v>44491</v>
      </c>
      <c r="C960" s="1" t="n">
        <v>45845</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59579-2021</t>
        </is>
      </c>
      <c r="B961" s="1" t="n">
        <v>44491</v>
      </c>
      <c r="C961" s="1" t="n">
        <v>45845</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59978-2021</t>
        </is>
      </c>
      <c r="B962" s="1" t="n">
        <v>44495</v>
      </c>
      <c r="C962" s="1" t="n">
        <v>45845</v>
      </c>
      <c r="D962" t="inlineStr">
        <is>
          <t>VÄSTERNORRLANDS LÄN</t>
        </is>
      </c>
      <c r="E962" t="inlineStr">
        <is>
          <t>SUNDSVALL</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44495</v>
      </c>
      <c r="C963" s="1" t="n">
        <v>45845</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59975-2021</t>
        </is>
      </c>
      <c r="B964" s="1" t="n">
        <v>44495</v>
      </c>
      <c r="C964" s="1" t="n">
        <v>45845</v>
      </c>
      <c r="D964" t="inlineStr">
        <is>
          <t>VÄSTERNORRLANDS LÄN</t>
        </is>
      </c>
      <c r="E964" t="inlineStr">
        <is>
          <t>SUNDSVALL</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60891-2021</t>
        </is>
      </c>
      <c r="B965" s="1" t="n">
        <v>44497</v>
      </c>
      <c r="C965" s="1" t="n">
        <v>45845</v>
      </c>
      <c r="D965" t="inlineStr">
        <is>
          <t>VÄSTERNORRLANDS LÄN</t>
        </is>
      </c>
      <c r="E965" t="inlineStr">
        <is>
          <t>SUNDSVALL</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61300-2021</t>
        </is>
      </c>
      <c r="B966" s="1" t="n">
        <v>44497</v>
      </c>
      <c r="C966" s="1" t="n">
        <v>45845</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60911-2021</t>
        </is>
      </c>
      <c r="B967" s="1" t="n">
        <v>44497</v>
      </c>
      <c r="C967" s="1" t="n">
        <v>45845</v>
      </c>
      <c r="D967" t="inlineStr">
        <is>
          <t>VÄSTERNORRLANDS LÄN</t>
        </is>
      </c>
      <c r="E967" t="inlineStr">
        <is>
          <t>SUNDSVALL</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61407-2021</t>
        </is>
      </c>
      <c r="B968" s="1" t="n">
        <v>44500</v>
      </c>
      <c r="C968" s="1" t="n">
        <v>45845</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61409-2021</t>
        </is>
      </c>
      <c r="B969" s="1" t="n">
        <v>44500</v>
      </c>
      <c r="C969" s="1" t="n">
        <v>45845</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61562-2021</t>
        </is>
      </c>
      <c r="B970" s="1" t="n">
        <v>44501</v>
      </c>
      <c r="C970" s="1" t="n">
        <v>45845</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61851-2021</t>
        </is>
      </c>
      <c r="B971" s="1" t="n">
        <v>44501</v>
      </c>
      <c r="C971" s="1" t="n">
        <v>45845</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62077-2021</t>
        </is>
      </c>
      <c r="B972" s="1" t="n">
        <v>44502</v>
      </c>
      <c r="C972" s="1" t="n">
        <v>45845</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62080-2021</t>
        </is>
      </c>
      <c r="B973" s="1" t="n">
        <v>44502</v>
      </c>
      <c r="C973" s="1" t="n">
        <v>45845</v>
      </c>
      <c r="D973" t="inlineStr">
        <is>
          <t>VÄSTERNORRLANDS LÄN</t>
        </is>
      </c>
      <c r="E973" t="inlineStr">
        <is>
          <t>SUNDSVALL</t>
        </is>
      </c>
      <c r="G973" t="n">
        <v>1.8</v>
      </c>
      <c r="H973" t="n">
        <v>0</v>
      </c>
      <c r="I973" t="n">
        <v>0</v>
      </c>
      <c r="J973" t="n">
        <v>0</v>
      </c>
      <c r="K973" t="n">
        <v>0</v>
      </c>
      <c r="L973" t="n">
        <v>0</v>
      </c>
      <c r="M973" t="n">
        <v>0</v>
      </c>
      <c r="N973" t="n">
        <v>0</v>
      </c>
      <c r="O973" t="n">
        <v>0</v>
      </c>
      <c r="P973" t="n">
        <v>0</v>
      </c>
      <c r="Q973" t="n">
        <v>0</v>
      </c>
      <c r="R973" s="2" t="inlineStr"/>
    </row>
    <row r="974" ht="15" customHeight="1">
      <c r="A974" t="inlineStr">
        <is>
          <t>A 62073-2021</t>
        </is>
      </c>
      <c r="B974" s="1" t="n">
        <v>44502</v>
      </c>
      <c r="C974" s="1" t="n">
        <v>45845</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62083-2021</t>
        </is>
      </c>
      <c r="B975" s="1" t="n">
        <v>44502</v>
      </c>
      <c r="C975" s="1" t="n">
        <v>45845</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62184-2021</t>
        </is>
      </c>
      <c r="B976" s="1" t="n">
        <v>44502</v>
      </c>
      <c r="C976" s="1" t="n">
        <v>45845</v>
      </c>
      <c r="D976" t="inlineStr">
        <is>
          <t>VÄSTERNORRLANDS LÄN</t>
        </is>
      </c>
      <c r="E976" t="inlineStr">
        <is>
          <t>SUNDSVALL</t>
        </is>
      </c>
      <c r="G976" t="n">
        <v>1.5</v>
      </c>
      <c r="H976" t="n">
        <v>0</v>
      </c>
      <c r="I976" t="n">
        <v>0</v>
      </c>
      <c r="J976" t="n">
        <v>0</v>
      </c>
      <c r="K976" t="n">
        <v>0</v>
      </c>
      <c r="L976" t="n">
        <v>0</v>
      </c>
      <c r="M976" t="n">
        <v>0</v>
      </c>
      <c r="N976" t="n">
        <v>0</v>
      </c>
      <c r="O976" t="n">
        <v>0</v>
      </c>
      <c r="P976" t="n">
        <v>0</v>
      </c>
      <c r="Q976" t="n">
        <v>0</v>
      </c>
      <c r="R976" s="2" t="inlineStr"/>
    </row>
    <row r="977" ht="15" customHeight="1">
      <c r="A977" t="inlineStr">
        <is>
          <t>A 62662-2021</t>
        </is>
      </c>
      <c r="B977" s="1" t="n">
        <v>44503</v>
      </c>
      <c r="C977" s="1" t="n">
        <v>45845</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63464-2021</t>
        </is>
      </c>
      <c r="B978" s="1" t="n">
        <v>44504</v>
      </c>
      <c r="C978" s="1" t="n">
        <v>45845</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63163-2021</t>
        </is>
      </c>
      <c r="B979" s="1" t="n">
        <v>44505</v>
      </c>
      <c r="C979" s="1" t="n">
        <v>45845</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63651-2021</t>
        </is>
      </c>
      <c r="B980" s="1" t="n">
        <v>44508</v>
      </c>
      <c r="C980" s="1" t="n">
        <v>45845</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63655-2021</t>
        </is>
      </c>
      <c r="B981" s="1" t="n">
        <v>44508</v>
      </c>
      <c r="C981" s="1" t="n">
        <v>45845</v>
      </c>
      <c r="D981" t="inlineStr">
        <is>
          <t>VÄSTERNORRLANDS LÄN</t>
        </is>
      </c>
      <c r="E981" t="inlineStr">
        <is>
          <t>SUNDSVALL</t>
        </is>
      </c>
      <c r="G981" t="n">
        <v>2.1</v>
      </c>
      <c r="H981" t="n">
        <v>0</v>
      </c>
      <c r="I981" t="n">
        <v>0</v>
      </c>
      <c r="J981" t="n">
        <v>0</v>
      </c>
      <c r="K981" t="n">
        <v>0</v>
      </c>
      <c r="L981" t="n">
        <v>0</v>
      </c>
      <c r="M981" t="n">
        <v>0</v>
      </c>
      <c r="N981" t="n">
        <v>0</v>
      </c>
      <c r="O981" t="n">
        <v>0</v>
      </c>
      <c r="P981" t="n">
        <v>0</v>
      </c>
      <c r="Q981" t="n">
        <v>0</v>
      </c>
      <c r="R981" s="2" t="inlineStr"/>
    </row>
    <row r="982" ht="15" customHeight="1">
      <c r="A982" t="inlineStr">
        <is>
          <t>A 63665-2021</t>
        </is>
      </c>
      <c r="B982" s="1" t="n">
        <v>44508</v>
      </c>
      <c r="C982" s="1" t="n">
        <v>45845</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63661-2021</t>
        </is>
      </c>
      <c r="B983" s="1" t="n">
        <v>44508</v>
      </c>
      <c r="C983" s="1" t="n">
        <v>45845</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64367-2021</t>
        </is>
      </c>
      <c r="B984" s="1" t="n">
        <v>44511</v>
      </c>
      <c r="C984" s="1" t="n">
        <v>45845</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64478-2021</t>
        </is>
      </c>
      <c r="B985" s="1" t="n">
        <v>44511</v>
      </c>
      <c r="C985" s="1" t="n">
        <v>45845</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64641-2021</t>
        </is>
      </c>
      <c r="B986" s="1" t="n">
        <v>44511</v>
      </c>
      <c r="C986" s="1" t="n">
        <v>45845</v>
      </c>
      <c r="D986" t="inlineStr">
        <is>
          <t>VÄSTERNORRLANDS LÄN</t>
        </is>
      </c>
      <c r="E986" t="inlineStr">
        <is>
          <t>SUNDSVALL</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64649-2021</t>
        </is>
      </c>
      <c r="B987" s="1" t="n">
        <v>44511</v>
      </c>
      <c r="C987" s="1" t="n">
        <v>45845</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64917-2021</t>
        </is>
      </c>
      <c r="B988" s="1" t="n">
        <v>44512</v>
      </c>
      <c r="C988" s="1" t="n">
        <v>45845</v>
      </c>
      <c r="D988" t="inlineStr">
        <is>
          <t>VÄSTERNORRLANDS LÄN</t>
        </is>
      </c>
      <c r="E988" t="inlineStr">
        <is>
          <t>SUNDSVALL</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65743-2021</t>
        </is>
      </c>
      <c r="B989" s="1" t="n">
        <v>44516</v>
      </c>
      <c r="C989" s="1" t="n">
        <v>45845</v>
      </c>
      <c r="D989" t="inlineStr">
        <is>
          <t>VÄSTERNORRLANDS LÄN</t>
        </is>
      </c>
      <c r="E989" t="inlineStr">
        <is>
          <t>SUNDSVALL</t>
        </is>
      </c>
      <c r="F989" t="inlineStr">
        <is>
          <t>Kommuner</t>
        </is>
      </c>
      <c r="G989" t="n">
        <v>0.3</v>
      </c>
      <c r="H989" t="n">
        <v>0</v>
      </c>
      <c r="I989" t="n">
        <v>0</v>
      </c>
      <c r="J989" t="n">
        <v>0</v>
      </c>
      <c r="K989" t="n">
        <v>0</v>
      </c>
      <c r="L989" t="n">
        <v>0</v>
      </c>
      <c r="M989" t="n">
        <v>0</v>
      </c>
      <c r="N989" t="n">
        <v>0</v>
      </c>
      <c r="O989" t="n">
        <v>0</v>
      </c>
      <c r="P989" t="n">
        <v>0</v>
      </c>
      <c r="Q989" t="n">
        <v>0</v>
      </c>
      <c r="R989" s="2" t="inlineStr"/>
    </row>
    <row r="990" ht="15" customHeight="1">
      <c r="A990" t="inlineStr">
        <is>
          <t>A 65696-2021</t>
        </is>
      </c>
      <c r="B990" s="1" t="n">
        <v>44516</v>
      </c>
      <c r="C990" s="1" t="n">
        <v>45845</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66027-2021</t>
        </is>
      </c>
      <c r="B991" s="1" t="n">
        <v>44517</v>
      </c>
      <c r="C991" s="1" t="n">
        <v>45845</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66191-2021</t>
        </is>
      </c>
      <c r="B992" s="1" t="n">
        <v>44517</v>
      </c>
      <c r="C992" s="1" t="n">
        <v>45845</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66160-2021</t>
        </is>
      </c>
      <c r="B993" s="1" t="n">
        <v>44517</v>
      </c>
      <c r="C993" s="1" t="n">
        <v>45845</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66872-2021</t>
        </is>
      </c>
      <c r="B994" s="1" t="n">
        <v>44522</v>
      </c>
      <c r="C994" s="1" t="n">
        <v>45845</v>
      </c>
      <c r="D994" t="inlineStr">
        <is>
          <t>VÄSTERNORRLANDS LÄN</t>
        </is>
      </c>
      <c r="E994" t="inlineStr">
        <is>
          <t>SUNDSVALL</t>
        </is>
      </c>
      <c r="G994" t="n">
        <v>4.3</v>
      </c>
      <c r="H994" t="n">
        <v>0</v>
      </c>
      <c r="I994" t="n">
        <v>0</v>
      </c>
      <c r="J994" t="n">
        <v>0</v>
      </c>
      <c r="K994" t="n">
        <v>0</v>
      </c>
      <c r="L994" t="n">
        <v>0</v>
      </c>
      <c r="M994" t="n">
        <v>0</v>
      </c>
      <c r="N994" t="n">
        <v>0</v>
      </c>
      <c r="O994" t="n">
        <v>0</v>
      </c>
      <c r="P994" t="n">
        <v>0</v>
      </c>
      <c r="Q994" t="n">
        <v>0</v>
      </c>
      <c r="R994" s="2" t="inlineStr"/>
    </row>
    <row r="995" ht="15" customHeight="1">
      <c r="A995" t="inlineStr">
        <is>
          <t>A 67075-2021</t>
        </is>
      </c>
      <c r="B995" s="1" t="n">
        <v>44522</v>
      </c>
      <c r="C995" s="1" t="n">
        <v>45845</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67095-2021</t>
        </is>
      </c>
      <c r="B996" s="1" t="n">
        <v>44522</v>
      </c>
      <c r="C996" s="1" t="n">
        <v>45845</v>
      </c>
      <c r="D996" t="inlineStr">
        <is>
          <t>VÄSTERNORRLANDS LÄN</t>
        </is>
      </c>
      <c r="E996" t="inlineStr">
        <is>
          <t>SUNDSVALL</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67098-2021</t>
        </is>
      </c>
      <c r="B997" s="1" t="n">
        <v>44522</v>
      </c>
      <c r="C997" s="1" t="n">
        <v>45845</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67123-2021</t>
        </is>
      </c>
      <c r="B998" s="1" t="n">
        <v>44522</v>
      </c>
      <c r="C998" s="1" t="n">
        <v>45845</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67277-2021</t>
        </is>
      </c>
      <c r="B999" s="1" t="n">
        <v>44523</v>
      </c>
      <c r="C999" s="1" t="n">
        <v>45845</v>
      </c>
      <c r="D999" t="inlineStr">
        <is>
          <t>VÄSTERNORRLANDS LÄN</t>
        </is>
      </c>
      <c r="E999" t="inlineStr">
        <is>
          <t>SUNDSVALL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67388-2021</t>
        </is>
      </c>
      <c r="B1000" s="1" t="n">
        <v>44523</v>
      </c>
      <c r="C1000" s="1" t="n">
        <v>45845</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67474-2021</t>
        </is>
      </c>
      <c r="B1001" s="1" t="n">
        <v>44524</v>
      </c>
      <c r="C1001" s="1" t="n">
        <v>45845</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67562-2021</t>
        </is>
      </c>
      <c r="B1002" s="1" t="n">
        <v>44524</v>
      </c>
      <c r="C1002" s="1" t="n">
        <v>45845</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67698-2021</t>
        </is>
      </c>
      <c r="B1003" s="1" t="n">
        <v>44524</v>
      </c>
      <c r="C1003" s="1" t="n">
        <v>45845</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67706-2021</t>
        </is>
      </c>
      <c r="B1004" s="1" t="n">
        <v>44524</v>
      </c>
      <c r="C1004" s="1" t="n">
        <v>45845</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68055-2021</t>
        </is>
      </c>
      <c r="B1005" s="1" t="n">
        <v>44525</v>
      </c>
      <c r="C1005" s="1" t="n">
        <v>45845</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68880-2021</t>
        </is>
      </c>
      <c r="B1006" s="1" t="n">
        <v>44529</v>
      </c>
      <c r="C1006" s="1" t="n">
        <v>45845</v>
      </c>
      <c r="D1006" t="inlineStr">
        <is>
          <t>VÄSTERNORRLANDS LÄN</t>
        </is>
      </c>
      <c r="E1006" t="inlineStr">
        <is>
          <t>SUNDSVALL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69260-2021</t>
        </is>
      </c>
      <c r="B1007" s="1" t="n">
        <v>44530</v>
      </c>
      <c r="C1007" s="1" t="n">
        <v>45845</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69210-2021</t>
        </is>
      </c>
      <c r="B1008" s="1" t="n">
        <v>44531</v>
      </c>
      <c r="C1008" s="1" t="n">
        <v>45845</v>
      </c>
      <c r="D1008" t="inlineStr">
        <is>
          <t>VÄSTERNORRLANDS LÄN</t>
        </is>
      </c>
      <c r="E1008" t="inlineStr">
        <is>
          <t>SUNDSVALL</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70174-2021</t>
        </is>
      </c>
      <c r="B1009" s="1" t="n">
        <v>44533</v>
      </c>
      <c r="C1009" s="1" t="n">
        <v>45845</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45845</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70171-2021</t>
        </is>
      </c>
      <c r="B1011" s="1" t="n">
        <v>44533</v>
      </c>
      <c r="C1011" s="1" t="n">
        <v>45845</v>
      </c>
      <c r="D1011" t="inlineStr">
        <is>
          <t>VÄSTERNORRLANDS LÄN</t>
        </is>
      </c>
      <c r="E1011" t="inlineStr">
        <is>
          <t>SUNDSVALL</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70309-2021</t>
        </is>
      </c>
      <c r="B1012" s="1" t="n">
        <v>44533</v>
      </c>
      <c r="C1012" s="1" t="n">
        <v>45845</v>
      </c>
      <c r="D1012" t="inlineStr">
        <is>
          <t>VÄSTERNORRLANDS LÄN</t>
        </is>
      </c>
      <c r="E1012" t="inlineStr">
        <is>
          <t>SUNDSVALL</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70690-2021</t>
        </is>
      </c>
      <c r="B1013" s="1" t="n">
        <v>44537</v>
      </c>
      <c r="C1013" s="1" t="n">
        <v>45845</v>
      </c>
      <c r="D1013" t="inlineStr">
        <is>
          <t>VÄSTERNORRLANDS LÄN</t>
        </is>
      </c>
      <c r="E1013" t="inlineStr">
        <is>
          <t>SUNDSVALL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70879-2021</t>
        </is>
      </c>
      <c r="B1014" s="1" t="n">
        <v>44538</v>
      </c>
      <c r="C1014" s="1" t="n">
        <v>45845</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70873-2021</t>
        </is>
      </c>
      <c r="B1015" s="1" t="n">
        <v>44538</v>
      </c>
      <c r="C1015" s="1" t="n">
        <v>45845</v>
      </c>
      <c r="D1015" t="inlineStr">
        <is>
          <t>VÄSTERNORRLANDS LÄN</t>
        </is>
      </c>
      <c r="E1015" t="inlineStr">
        <is>
          <t>SUNDSVALL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70901-2021</t>
        </is>
      </c>
      <c r="B1016" s="1" t="n">
        <v>44538</v>
      </c>
      <c r="C1016" s="1" t="n">
        <v>45845</v>
      </c>
      <c r="D1016" t="inlineStr">
        <is>
          <t>VÄSTERNORRLANDS LÄN</t>
        </is>
      </c>
      <c r="E1016" t="inlineStr">
        <is>
          <t>SUNDSVALL</t>
        </is>
      </c>
      <c r="F1016" t="inlineStr">
        <is>
          <t>Kommuner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71983-2021</t>
        </is>
      </c>
      <c r="B1017" s="1" t="n">
        <v>44540</v>
      </c>
      <c r="C1017" s="1" t="n">
        <v>45845</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72499-2021</t>
        </is>
      </c>
      <c r="B1018" s="1" t="n">
        <v>44545</v>
      </c>
      <c r="C1018" s="1" t="n">
        <v>45845</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72769-2021</t>
        </is>
      </c>
      <c r="B1019" s="1" t="n">
        <v>44546</v>
      </c>
      <c r="C1019" s="1" t="n">
        <v>45845</v>
      </c>
      <c r="D1019" t="inlineStr">
        <is>
          <t>VÄSTERNORRLANDS LÄN</t>
        </is>
      </c>
      <c r="E1019" t="inlineStr">
        <is>
          <t>SUNDSVALL</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73980-2021</t>
        </is>
      </c>
      <c r="B1020" s="1" t="n">
        <v>44554</v>
      </c>
      <c r="C1020" s="1" t="n">
        <v>45845</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73979-2021</t>
        </is>
      </c>
      <c r="B1021" s="1" t="n">
        <v>44554</v>
      </c>
      <c r="C1021" s="1" t="n">
        <v>45845</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74104-2021</t>
        </is>
      </c>
      <c r="B1022" s="1" t="n">
        <v>44557</v>
      </c>
      <c r="C1022" s="1" t="n">
        <v>45845</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74383-2021</t>
        </is>
      </c>
      <c r="B1023" s="1" t="n">
        <v>44559</v>
      </c>
      <c r="C1023" s="1" t="n">
        <v>45845</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74384-2021</t>
        </is>
      </c>
      <c r="B1024" s="1" t="n">
        <v>44559</v>
      </c>
      <c r="C1024" s="1" t="n">
        <v>45845</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227-2022</t>
        </is>
      </c>
      <c r="B1025" s="1" t="n">
        <v>44564</v>
      </c>
      <c r="C1025" s="1" t="n">
        <v>45845</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223-2022</t>
        </is>
      </c>
      <c r="B1026" s="1" t="n">
        <v>44564</v>
      </c>
      <c r="C1026" s="1" t="n">
        <v>45845</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228-2022</t>
        </is>
      </c>
      <c r="B1027" s="1" t="n">
        <v>44564</v>
      </c>
      <c r="C1027" s="1" t="n">
        <v>45845</v>
      </c>
      <c r="D1027" t="inlineStr">
        <is>
          <t>VÄSTERNORRLANDS LÄN</t>
        </is>
      </c>
      <c r="E1027" t="inlineStr">
        <is>
          <t>SUNDSVALL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1079-2022</t>
        </is>
      </c>
      <c r="B1028" s="1" t="n">
        <v>44571</v>
      </c>
      <c r="C1028" s="1" t="n">
        <v>45845</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1097-2022</t>
        </is>
      </c>
      <c r="B1029" s="1" t="n">
        <v>44571</v>
      </c>
      <c r="C1029" s="1" t="n">
        <v>45845</v>
      </c>
      <c r="D1029" t="inlineStr">
        <is>
          <t>VÄSTERNORRLANDS LÄN</t>
        </is>
      </c>
      <c r="E1029" t="inlineStr">
        <is>
          <t>SUNDSVALL</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1080-2022</t>
        </is>
      </c>
      <c r="B1030" s="1" t="n">
        <v>44571</v>
      </c>
      <c r="C1030" s="1" t="n">
        <v>45845</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1100-2022</t>
        </is>
      </c>
      <c r="B1031" s="1" t="n">
        <v>44571</v>
      </c>
      <c r="C1031" s="1" t="n">
        <v>45845</v>
      </c>
      <c r="D1031" t="inlineStr">
        <is>
          <t>VÄSTERNORRLANDS LÄN</t>
        </is>
      </c>
      <c r="E1031" t="inlineStr">
        <is>
          <t>SUNDSVALL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1232-2022</t>
        </is>
      </c>
      <c r="B1032" s="1" t="n">
        <v>44572</v>
      </c>
      <c r="C1032" s="1" t="n">
        <v>45845</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1335-2022</t>
        </is>
      </c>
      <c r="B1033" s="1" t="n">
        <v>44572</v>
      </c>
      <c r="C1033" s="1" t="n">
        <v>45845</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1873-2022</t>
        </is>
      </c>
      <c r="B1034" s="1" t="n">
        <v>44574</v>
      </c>
      <c r="C1034" s="1" t="n">
        <v>45845</v>
      </c>
      <c r="D1034" t="inlineStr">
        <is>
          <t>VÄSTERNORRLANDS LÄN</t>
        </is>
      </c>
      <c r="E1034" t="inlineStr">
        <is>
          <t>SUNDSVALL</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2330-2022</t>
        </is>
      </c>
      <c r="B1035" s="1" t="n">
        <v>44578</v>
      </c>
      <c r="C1035" s="1" t="n">
        <v>45845</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2347-2022</t>
        </is>
      </c>
      <c r="B1036" s="1" t="n">
        <v>44578</v>
      </c>
      <c r="C1036" s="1" t="n">
        <v>45845</v>
      </c>
      <c r="D1036" t="inlineStr">
        <is>
          <t>VÄSTERNORRLANDS LÄN</t>
        </is>
      </c>
      <c r="E1036" t="inlineStr">
        <is>
          <t>SUNDSVALL</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2332-2022</t>
        </is>
      </c>
      <c r="B1037" s="1" t="n">
        <v>44578</v>
      </c>
      <c r="C1037" s="1" t="n">
        <v>45845</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3161-2022</t>
        </is>
      </c>
      <c r="B1038" s="1" t="n">
        <v>44582</v>
      </c>
      <c r="C1038" s="1" t="n">
        <v>45845</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3238-2022</t>
        </is>
      </c>
      <c r="B1039" s="1" t="n">
        <v>44582</v>
      </c>
      <c r="C1039" s="1" t="n">
        <v>45845</v>
      </c>
      <c r="D1039" t="inlineStr">
        <is>
          <t>VÄSTERNORRLANDS LÄN</t>
        </is>
      </c>
      <c r="E1039" t="inlineStr">
        <is>
          <t>SUNDSVALL</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3236-2022</t>
        </is>
      </c>
      <c r="B1040" s="1" t="n">
        <v>44582</v>
      </c>
      <c r="C1040" s="1" t="n">
        <v>45845</v>
      </c>
      <c r="D1040" t="inlineStr">
        <is>
          <t>VÄSTERNORRLANDS LÄN</t>
        </is>
      </c>
      <c r="E1040" t="inlineStr">
        <is>
          <t>SUNDSVALL</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3359-2022</t>
        </is>
      </c>
      <c r="B1041" s="1" t="n">
        <v>44585</v>
      </c>
      <c r="C1041" s="1" t="n">
        <v>45845</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3545-2022</t>
        </is>
      </c>
      <c r="B1042" s="1" t="n">
        <v>44585</v>
      </c>
      <c r="C1042" s="1" t="n">
        <v>45845</v>
      </c>
      <c r="D1042" t="inlineStr">
        <is>
          <t>VÄSTERNORRLANDS LÄN</t>
        </is>
      </c>
      <c r="E1042" t="inlineStr">
        <is>
          <t>SUNDSVALL</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3546-2022</t>
        </is>
      </c>
      <c r="B1043" s="1" t="n">
        <v>44585</v>
      </c>
      <c r="C1043" s="1" t="n">
        <v>45845</v>
      </c>
      <c r="D1043" t="inlineStr">
        <is>
          <t>VÄSTERNORRLANDS LÄN</t>
        </is>
      </c>
      <c r="E1043" t="inlineStr">
        <is>
          <t>SUNDSVALL</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4332-2022</t>
        </is>
      </c>
      <c r="B1044" s="1" t="n">
        <v>44588</v>
      </c>
      <c r="C1044" s="1" t="n">
        <v>45845</v>
      </c>
      <c r="D1044" t="inlineStr">
        <is>
          <t>VÄSTERNORRLANDS LÄN</t>
        </is>
      </c>
      <c r="E1044" t="inlineStr">
        <is>
          <t>SUNDSVALL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4519-2022</t>
        </is>
      </c>
      <c r="B1045" s="1" t="n">
        <v>44589</v>
      </c>
      <c r="C1045" s="1" t="n">
        <v>45845</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4871-2022</t>
        </is>
      </c>
      <c r="B1046" s="1" t="n">
        <v>44592</v>
      </c>
      <c r="C1046" s="1" t="n">
        <v>45845</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5119-2022</t>
        </is>
      </c>
      <c r="B1047" s="1" t="n">
        <v>44593</v>
      </c>
      <c r="C1047" s="1" t="n">
        <v>45845</v>
      </c>
      <c r="D1047" t="inlineStr">
        <is>
          <t>VÄSTERNORRLANDS LÄN</t>
        </is>
      </c>
      <c r="E1047" t="inlineStr">
        <is>
          <t>SUNDSVALL</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5123-2022</t>
        </is>
      </c>
      <c r="B1048" s="1" t="n">
        <v>44593</v>
      </c>
      <c r="C1048" s="1" t="n">
        <v>45845</v>
      </c>
      <c r="D1048" t="inlineStr">
        <is>
          <t>VÄSTERNORRLANDS LÄN</t>
        </is>
      </c>
      <c r="E1048" t="inlineStr">
        <is>
          <t>SUNDSVALL</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5362-2022</t>
        </is>
      </c>
      <c r="B1049" s="1" t="n">
        <v>44594</v>
      </c>
      <c r="C1049" s="1" t="n">
        <v>45845</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5332-2022</t>
        </is>
      </c>
      <c r="B1050" s="1" t="n">
        <v>44594</v>
      </c>
      <c r="C1050" s="1" t="n">
        <v>45845</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5650-2022</t>
        </is>
      </c>
      <c r="B1051" s="1" t="n">
        <v>44595</v>
      </c>
      <c r="C1051" s="1" t="n">
        <v>45845</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5654-2022</t>
        </is>
      </c>
      <c r="B1052" s="1" t="n">
        <v>44595</v>
      </c>
      <c r="C1052" s="1" t="n">
        <v>45845</v>
      </c>
      <c r="D1052" t="inlineStr">
        <is>
          <t>VÄSTERNORRLANDS LÄN</t>
        </is>
      </c>
      <c r="E1052" t="inlineStr">
        <is>
          <t>SUNDSVALL</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6239-2022</t>
        </is>
      </c>
      <c r="B1053" s="1" t="n">
        <v>44599</v>
      </c>
      <c r="C1053" s="1" t="n">
        <v>45845</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6644-2022</t>
        </is>
      </c>
      <c r="B1054" s="1" t="n">
        <v>44601</v>
      </c>
      <c r="C1054" s="1" t="n">
        <v>45845</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6808-2022</t>
        </is>
      </c>
      <c r="B1055" s="1" t="n">
        <v>44602</v>
      </c>
      <c r="C1055" s="1" t="n">
        <v>45845</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7432-2022</t>
        </is>
      </c>
      <c r="B1056" s="1" t="n">
        <v>44606</v>
      </c>
      <c r="C1056" s="1" t="n">
        <v>45845</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7436-2022</t>
        </is>
      </c>
      <c r="B1057" s="1" t="n">
        <v>44606</v>
      </c>
      <c r="C1057" s="1" t="n">
        <v>45845</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7434-2022</t>
        </is>
      </c>
      <c r="B1058" s="1" t="n">
        <v>44606</v>
      </c>
      <c r="C1058" s="1" t="n">
        <v>45845</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7437-2022</t>
        </is>
      </c>
      <c r="B1059" s="1" t="n">
        <v>44606</v>
      </c>
      <c r="C1059" s="1" t="n">
        <v>45845</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7431-2022</t>
        </is>
      </c>
      <c r="B1060" s="1" t="n">
        <v>44606</v>
      </c>
      <c r="C1060" s="1" t="n">
        <v>45845</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7943-2022</t>
        </is>
      </c>
      <c r="B1061" s="1" t="n">
        <v>44608</v>
      </c>
      <c r="C1061" s="1" t="n">
        <v>45845</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7946-2022</t>
        </is>
      </c>
      <c r="B1062" s="1" t="n">
        <v>44608</v>
      </c>
      <c r="C1062" s="1" t="n">
        <v>45845</v>
      </c>
      <c r="D1062" t="inlineStr">
        <is>
          <t>VÄSTERNORRLANDS LÄN</t>
        </is>
      </c>
      <c r="E1062" t="inlineStr">
        <is>
          <t>SUNDSVALL</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8224-2022</t>
        </is>
      </c>
      <c r="B1063" s="1" t="n">
        <v>44609</v>
      </c>
      <c r="C1063" s="1" t="n">
        <v>45845</v>
      </c>
      <c r="D1063" t="inlineStr">
        <is>
          <t>VÄSTERNORRLANDS LÄN</t>
        </is>
      </c>
      <c r="E1063" t="inlineStr">
        <is>
          <t>SUNDSVALL</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8232-2022</t>
        </is>
      </c>
      <c r="B1064" s="1" t="n">
        <v>44609</v>
      </c>
      <c r="C1064" s="1" t="n">
        <v>45845</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8233-2022</t>
        </is>
      </c>
      <c r="B1065" s="1" t="n">
        <v>44609</v>
      </c>
      <c r="C1065" s="1" t="n">
        <v>45845</v>
      </c>
      <c r="D1065" t="inlineStr">
        <is>
          <t>VÄSTERNORRLANDS LÄN</t>
        </is>
      </c>
      <c r="E1065" t="inlineStr">
        <is>
          <t>SUNDSVALL</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9365-2022</t>
        </is>
      </c>
      <c r="B1066" s="1" t="n">
        <v>44616</v>
      </c>
      <c r="C1066" s="1" t="n">
        <v>45845</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9400-2022</t>
        </is>
      </c>
      <c r="B1067" s="1" t="n">
        <v>44616</v>
      </c>
      <c r="C1067" s="1" t="n">
        <v>45845</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9393-2022</t>
        </is>
      </c>
      <c r="B1068" s="1" t="n">
        <v>44616</v>
      </c>
      <c r="C1068" s="1" t="n">
        <v>45845</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9385-2022</t>
        </is>
      </c>
      <c r="B1069" s="1" t="n">
        <v>44616</v>
      </c>
      <c r="C1069" s="1" t="n">
        <v>45845</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10528-2022</t>
        </is>
      </c>
      <c r="B1070" s="1" t="n">
        <v>44623</v>
      </c>
      <c r="C1070" s="1" t="n">
        <v>45845</v>
      </c>
      <c r="D1070" t="inlineStr">
        <is>
          <t>VÄSTERNORRLANDS LÄN</t>
        </is>
      </c>
      <c r="E1070" t="inlineStr">
        <is>
          <t>SUNDSVALL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10890-2022</t>
        </is>
      </c>
      <c r="B1071" s="1" t="n">
        <v>44627</v>
      </c>
      <c r="C1071" s="1" t="n">
        <v>45845</v>
      </c>
      <c r="D1071" t="inlineStr">
        <is>
          <t>VÄSTERNORRLANDS LÄN</t>
        </is>
      </c>
      <c r="E1071" t="inlineStr">
        <is>
          <t>SUNDSVALL</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10984-2022</t>
        </is>
      </c>
      <c r="B1072" s="1" t="n">
        <v>44628</v>
      </c>
      <c r="C1072" s="1" t="n">
        <v>45845</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10994-2022</t>
        </is>
      </c>
      <c r="B1073" s="1" t="n">
        <v>44628</v>
      </c>
      <c r="C1073" s="1" t="n">
        <v>45845</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45845</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10988-2022</t>
        </is>
      </c>
      <c r="B1075" s="1" t="n">
        <v>44628</v>
      </c>
      <c r="C1075" s="1" t="n">
        <v>45845</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10993-2022</t>
        </is>
      </c>
      <c r="B1076" s="1" t="n">
        <v>44628</v>
      </c>
      <c r="C1076" s="1" t="n">
        <v>45845</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11352-2022</t>
        </is>
      </c>
      <c r="B1077" s="1" t="n">
        <v>44630</v>
      </c>
      <c r="C1077" s="1" t="n">
        <v>45845</v>
      </c>
      <c r="D1077" t="inlineStr">
        <is>
          <t>VÄSTERNORRLANDS LÄN</t>
        </is>
      </c>
      <c r="E1077" t="inlineStr">
        <is>
          <t>SUNDSVALL</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11610-2022</t>
        </is>
      </c>
      <c r="B1078" s="1" t="n">
        <v>44631</v>
      </c>
      <c r="C1078" s="1" t="n">
        <v>45845</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11813-2022</t>
        </is>
      </c>
      <c r="B1079" s="1" t="n">
        <v>44634</v>
      </c>
      <c r="C1079" s="1" t="n">
        <v>45845</v>
      </c>
      <c r="D1079" t="inlineStr">
        <is>
          <t>VÄSTERNORRLANDS LÄN</t>
        </is>
      </c>
      <c r="E1079" t="inlineStr">
        <is>
          <t>SUNDSVALL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11862-2022</t>
        </is>
      </c>
      <c r="B1080" s="1" t="n">
        <v>44635</v>
      </c>
      <c r="C1080" s="1" t="n">
        <v>45845</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11865-2022</t>
        </is>
      </c>
      <c r="B1081" s="1" t="n">
        <v>44635</v>
      </c>
      <c r="C1081" s="1" t="n">
        <v>45845</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12015-2022</t>
        </is>
      </c>
      <c r="B1082" s="1" t="n">
        <v>44635</v>
      </c>
      <c r="C1082" s="1" t="n">
        <v>45845</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12177-2022</t>
        </is>
      </c>
      <c r="B1083" s="1" t="n">
        <v>44636</v>
      </c>
      <c r="C1083" s="1" t="n">
        <v>45845</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12208-2022</t>
        </is>
      </c>
      <c r="B1084" s="1" t="n">
        <v>44636</v>
      </c>
      <c r="C1084" s="1" t="n">
        <v>45845</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12496-2022</t>
        </is>
      </c>
      <c r="B1085" s="1" t="n">
        <v>44638</v>
      </c>
      <c r="C1085" s="1" t="n">
        <v>45845</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12494-2022</t>
        </is>
      </c>
      <c r="B1086" s="1" t="n">
        <v>44638</v>
      </c>
      <c r="C1086" s="1" t="n">
        <v>45845</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12751-2022</t>
        </is>
      </c>
      <c r="B1087" s="1" t="n">
        <v>44641</v>
      </c>
      <c r="C1087" s="1" t="n">
        <v>45845</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13291-2022</t>
        </is>
      </c>
      <c r="B1088" s="1" t="n">
        <v>44644</v>
      </c>
      <c r="C1088" s="1" t="n">
        <v>45845</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13260-2022</t>
        </is>
      </c>
      <c r="B1089" s="1" t="n">
        <v>44644</v>
      </c>
      <c r="C1089" s="1" t="n">
        <v>45845</v>
      </c>
      <c r="D1089" t="inlineStr">
        <is>
          <t>VÄSTERNORRLANDS LÄN</t>
        </is>
      </c>
      <c r="E1089" t="inlineStr">
        <is>
          <t>SUNDSVALL</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13293-2022</t>
        </is>
      </c>
      <c r="B1090" s="1" t="n">
        <v>44644</v>
      </c>
      <c r="C1090" s="1" t="n">
        <v>45845</v>
      </c>
      <c r="D1090" t="inlineStr">
        <is>
          <t>VÄSTERNORRLANDS LÄN</t>
        </is>
      </c>
      <c r="E1090" t="inlineStr">
        <is>
          <t>SUNDSVALL</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13461-2022</t>
        </is>
      </c>
      <c r="B1091" s="1" t="n">
        <v>44645</v>
      </c>
      <c r="C1091" s="1" t="n">
        <v>45845</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14040-2022</t>
        </is>
      </c>
      <c r="B1092" s="1" t="n">
        <v>44651</v>
      </c>
      <c r="C1092" s="1" t="n">
        <v>45845</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14233-2022</t>
        </is>
      </c>
      <c r="B1093" s="1" t="n">
        <v>44651</v>
      </c>
      <c r="C1093" s="1" t="n">
        <v>45845</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14462-2022</t>
        </is>
      </c>
      <c r="B1094" s="1" t="n">
        <v>44654</v>
      </c>
      <c r="C1094" s="1" t="n">
        <v>45845</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14468-2022</t>
        </is>
      </c>
      <c r="B1095" s="1" t="n">
        <v>44654</v>
      </c>
      <c r="C1095" s="1" t="n">
        <v>45845</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14464-2022</t>
        </is>
      </c>
      <c r="B1096" s="1" t="n">
        <v>44654</v>
      </c>
      <c r="C1096" s="1" t="n">
        <v>45845</v>
      </c>
      <c r="D1096" t="inlineStr">
        <is>
          <t>VÄSTERNORRLANDS LÄN</t>
        </is>
      </c>
      <c r="E1096" t="inlineStr">
        <is>
          <t>SUNDSVALL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14466-2022</t>
        </is>
      </c>
      <c r="B1097" s="1" t="n">
        <v>44654</v>
      </c>
      <c r="C1097" s="1" t="n">
        <v>45845</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15089-2022</t>
        </is>
      </c>
      <c r="B1098" s="1" t="n">
        <v>44657</v>
      </c>
      <c r="C1098" s="1" t="n">
        <v>45845</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15598-2022</t>
        </is>
      </c>
      <c r="B1099" s="1" t="n">
        <v>44662</v>
      </c>
      <c r="C1099" s="1" t="n">
        <v>45845</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15599-2022</t>
        </is>
      </c>
      <c r="B1100" s="1" t="n">
        <v>44662</v>
      </c>
      <c r="C1100" s="1" t="n">
        <v>45845</v>
      </c>
      <c r="D1100" t="inlineStr">
        <is>
          <t>VÄSTERNORRLANDS LÄN</t>
        </is>
      </c>
      <c r="E1100" t="inlineStr">
        <is>
          <t>SUNDSVALL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15698-2022</t>
        </is>
      </c>
      <c r="B1101" s="1" t="n">
        <v>44663</v>
      </c>
      <c r="C1101" s="1" t="n">
        <v>45845</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15724-2022</t>
        </is>
      </c>
      <c r="B1102" s="1" t="n">
        <v>44663</v>
      </c>
      <c r="C1102" s="1" t="n">
        <v>45845</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15802-2022</t>
        </is>
      </c>
      <c r="B1103" s="1" t="n">
        <v>44664</v>
      </c>
      <c r="C1103" s="1" t="n">
        <v>45845</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15726-2022</t>
        </is>
      </c>
      <c r="B1104" s="1" t="n">
        <v>44663</v>
      </c>
      <c r="C1104" s="1" t="n">
        <v>45845</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15733-2022</t>
        </is>
      </c>
      <c r="B1105" s="1" t="n">
        <v>44663</v>
      </c>
      <c r="C1105" s="1" t="n">
        <v>45845</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15687-2022</t>
        </is>
      </c>
      <c r="B1106" s="1" t="n">
        <v>44663</v>
      </c>
      <c r="C1106" s="1" t="n">
        <v>45845</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15712-2022</t>
        </is>
      </c>
      <c r="B1107" s="1" t="n">
        <v>44663</v>
      </c>
      <c r="C1107" s="1" t="n">
        <v>45845</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16147-2022</t>
        </is>
      </c>
      <c r="B1108" s="1" t="n">
        <v>44665</v>
      </c>
      <c r="C1108" s="1" t="n">
        <v>45845</v>
      </c>
      <c r="D1108" t="inlineStr">
        <is>
          <t>VÄSTERNORRLANDS LÄN</t>
        </is>
      </c>
      <c r="E1108" t="inlineStr">
        <is>
          <t>SUNDSVALL</t>
        </is>
      </c>
      <c r="F1108" t="inlineStr">
        <is>
          <t>SCA</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17039-2022</t>
        </is>
      </c>
      <c r="B1109" s="1" t="n">
        <v>44677</v>
      </c>
      <c r="C1109" s="1" t="n">
        <v>45845</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17059-2022</t>
        </is>
      </c>
      <c r="B1110" s="1" t="n">
        <v>44676</v>
      </c>
      <c r="C1110" s="1" t="n">
        <v>45845</v>
      </c>
      <c r="D1110" t="inlineStr">
        <is>
          <t>VÄSTERNORRLANDS LÄN</t>
        </is>
      </c>
      <c r="E1110" t="inlineStr">
        <is>
          <t>SUNDSVALL</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17060-2022</t>
        </is>
      </c>
      <c r="B1111" s="1" t="n">
        <v>44677</v>
      </c>
      <c r="C1111" s="1" t="n">
        <v>45845</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45845</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17579-2022</t>
        </is>
      </c>
      <c r="B1113" s="1" t="n">
        <v>44679</v>
      </c>
      <c r="C1113" s="1" t="n">
        <v>45845</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17586-2022</t>
        </is>
      </c>
      <c r="B1114" s="1" t="n">
        <v>44680</v>
      </c>
      <c r="C1114" s="1" t="n">
        <v>45845</v>
      </c>
      <c r="D1114" t="inlineStr">
        <is>
          <t>VÄSTERNORRLANDS LÄN</t>
        </is>
      </c>
      <c r="E1114" t="inlineStr">
        <is>
          <t>SUNDSVALL</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17585-2022</t>
        </is>
      </c>
      <c r="B1115" s="1" t="n">
        <v>44679</v>
      </c>
      <c r="C1115" s="1" t="n">
        <v>45845</v>
      </c>
      <c r="D1115" t="inlineStr">
        <is>
          <t>VÄSTERNORRLANDS LÄN</t>
        </is>
      </c>
      <c r="E1115" t="inlineStr">
        <is>
          <t>SUNDSVALL</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17993-2022</t>
        </is>
      </c>
      <c r="B1116" s="1" t="n">
        <v>44683</v>
      </c>
      <c r="C1116" s="1" t="n">
        <v>45845</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18207-2022</t>
        </is>
      </c>
      <c r="B1117" s="1" t="n">
        <v>44684</v>
      </c>
      <c r="C1117" s="1" t="n">
        <v>45845</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18452-2022</t>
        </is>
      </c>
      <c r="B1118" s="1" t="n">
        <v>44686</v>
      </c>
      <c r="C1118" s="1" t="n">
        <v>45845</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18455-2022</t>
        </is>
      </c>
      <c r="B1119" s="1" t="n">
        <v>44686</v>
      </c>
      <c r="C1119" s="1" t="n">
        <v>45845</v>
      </c>
      <c r="D1119" t="inlineStr">
        <is>
          <t>VÄSTERNORRLANDS LÄN</t>
        </is>
      </c>
      <c r="E1119" t="inlineStr">
        <is>
          <t>SUNDSVALL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18838-2022</t>
        </is>
      </c>
      <c r="B1120" s="1" t="n">
        <v>44690</v>
      </c>
      <c r="C1120" s="1" t="n">
        <v>45845</v>
      </c>
      <c r="D1120" t="inlineStr">
        <is>
          <t>VÄSTERNORRLANDS LÄN</t>
        </is>
      </c>
      <c r="E1120" t="inlineStr">
        <is>
          <t>SUNDSVALL</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18986-2022</t>
        </is>
      </c>
      <c r="B1121" s="1" t="n">
        <v>44691</v>
      </c>
      <c r="C1121" s="1" t="n">
        <v>45845</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18987-2022</t>
        </is>
      </c>
      <c r="B1122" s="1" t="n">
        <v>44691</v>
      </c>
      <c r="C1122" s="1" t="n">
        <v>45845</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19178-2022</t>
        </is>
      </c>
      <c r="B1123" s="1" t="n">
        <v>44691</v>
      </c>
      <c r="C1123" s="1" t="n">
        <v>45845</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19176-2022</t>
        </is>
      </c>
      <c r="B1124" s="1" t="n">
        <v>44691</v>
      </c>
      <c r="C1124" s="1" t="n">
        <v>45845</v>
      </c>
      <c r="D1124" t="inlineStr">
        <is>
          <t>VÄSTERNORRLANDS LÄN</t>
        </is>
      </c>
      <c r="E1124" t="inlineStr">
        <is>
          <t>SUNDSVALL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19388-2022</t>
        </is>
      </c>
      <c r="B1125" s="1" t="n">
        <v>44693</v>
      </c>
      <c r="C1125" s="1" t="n">
        <v>45845</v>
      </c>
      <c r="D1125" t="inlineStr">
        <is>
          <t>VÄSTERNORRLANDS LÄN</t>
        </is>
      </c>
      <c r="E1125" t="inlineStr">
        <is>
          <t>SUNDSVALL</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19385-2022</t>
        </is>
      </c>
      <c r="B1126" s="1" t="n">
        <v>44693</v>
      </c>
      <c r="C1126" s="1" t="n">
        <v>45845</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19468-2022</t>
        </is>
      </c>
      <c r="B1127" s="1" t="n">
        <v>44693</v>
      </c>
      <c r="C1127" s="1" t="n">
        <v>45845</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20086-2022</t>
        </is>
      </c>
      <c r="B1128" s="1" t="n">
        <v>44697</v>
      </c>
      <c r="C1128" s="1" t="n">
        <v>45845</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20509-2022</t>
        </is>
      </c>
      <c r="B1129" s="1" t="n">
        <v>44700</v>
      </c>
      <c r="C1129" s="1" t="n">
        <v>45845</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20516-2022</t>
        </is>
      </c>
      <c r="B1130" s="1" t="n">
        <v>44700</v>
      </c>
      <c r="C1130" s="1" t="n">
        <v>45845</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20522-2022</t>
        </is>
      </c>
      <c r="B1131" s="1" t="n">
        <v>44699</v>
      </c>
      <c r="C1131" s="1" t="n">
        <v>45845</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20510-2022</t>
        </is>
      </c>
      <c r="B1132" s="1" t="n">
        <v>44700</v>
      </c>
      <c r="C1132" s="1" t="n">
        <v>45845</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20517-2022</t>
        </is>
      </c>
      <c r="B1133" s="1" t="n">
        <v>44700</v>
      </c>
      <c r="C1133" s="1" t="n">
        <v>45845</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20655-2022</t>
        </is>
      </c>
      <c r="B1134" s="1" t="n">
        <v>44700</v>
      </c>
      <c r="C1134" s="1" t="n">
        <v>45845</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20715-2022</t>
        </is>
      </c>
      <c r="B1135" s="1" t="n">
        <v>44701</v>
      </c>
      <c r="C1135" s="1" t="n">
        <v>45845</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20714-2022</t>
        </is>
      </c>
      <c r="B1136" s="1" t="n">
        <v>44700</v>
      </c>
      <c r="C1136" s="1" t="n">
        <v>45845</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20732-2022</t>
        </is>
      </c>
      <c r="B1137" s="1" t="n">
        <v>44701</v>
      </c>
      <c r="C1137" s="1" t="n">
        <v>45845</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20734-2022</t>
        </is>
      </c>
      <c r="B1138" s="1" t="n">
        <v>44701</v>
      </c>
      <c r="C1138" s="1" t="n">
        <v>45845</v>
      </c>
      <c r="D1138" t="inlineStr">
        <is>
          <t>VÄSTERNORRLANDS LÄN</t>
        </is>
      </c>
      <c r="E1138" t="inlineStr">
        <is>
          <t>SUNDSVALL</t>
        </is>
      </c>
      <c r="F1138" t="inlineStr">
        <is>
          <t>SCA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20731-2022</t>
        </is>
      </c>
      <c r="B1139" s="1" t="n">
        <v>44700</v>
      </c>
      <c r="C1139" s="1" t="n">
        <v>45845</v>
      </c>
      <c r="D1139" t="inlineStr">
        <is>
          <t>VÄSTERNORRLANDS LÄN</t>
        </is>
      </c>
      <c r="E1139" t="inlineStr">
        <is>
          <t>SUNDSVALL</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20733-2022</t>
        </is>
      </c>
      <c r="B1140" s="1" t="n">
        <v>44700</v>
      </c>
      <c r="C1140" s="1" t="n">
        <v>45845</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20975-2022</t>
        </is>
      </c>
      <c r="B1141" s="1" t="n">
        <v>44702</v>
      </c>
      <c r="C1141" s="1" t="n">
        <v>45845</v>
      </c>
      <c r="D1141" t="inlineStr">
        <is>
          <t>VÄSTERNORRLANDS LÄN</t>
        </is>
      </c>
      <c r="E1141" t="inlineStr">
        <is>
          <t>SUNDSVALL</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20947-2022</t>
        </is>
      </c>
      <c r="B1142" s="1" t="n">
        <v>44702</v>
      </c>
      <c r="C1142" s="1" t="n">
        <v>45845</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21182-2022</t>
        </is>
      </c>
      <c r="B1143" s="1" t="n">
        <v>44704</v>
      </c>
      <c r="C1143" s="1" t="n">
        <v>45845</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21183-2022</t>
        </is>
      </c>
      <c r="B1144" s="1" t="n">
        <v>44704</v>
      </c>
      <c r="C1144" s="1" t="n">
        <v>45845</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21396-2022</t>
        </is>
      </c>
      <c r="B1145" s="1" t="n">
        <v>44705</v>
      </c>
      <c r="C1145" s="1" t="n">
        <v>45845</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21389-2022</t>
        </is>
      </c>
      <c r="B1146" s="1" t="n">
        <v>44705</v>
      </c>
      <c r="C1146" s="1" t="n">
        <v>45845</v>
      </c>
      <c r="D1146" t="inlineStr">
        <is>
          <t>VÄSTERNORRLANDS LÄN</t>
        </is>
      </c>
      <c r="E1146" t="inlineStr">
        <is>
          <t>SUNDSVALL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22249-2022</t>
        </is>
      </c>
      <c r="B1147" s="1" t="n">
        <v>44712</v>
      </c>
      <c r="C1147" s="1" t="n">
        <v>45845</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22486-2022</t>
        </is>
      </c>
      <c r="B1148" s="1" t="n">
        <v>44713</v>
      </c>
      <c r="C1148" s="1" t="n">
        <v>45845</v>
      </c>
      <c r="D1148" t="inlineStr">
        <is>
          <t>VÄSTERNORRLANDS LÄN</t>
        </is>
      </c>
      <c r="E1148" t="inlineStr">
        <is>
          <t>SUNDSVALL</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22563-2022</t>
        </is>
      </c>
      <c r="B1149" s="1" t="n">
        <v>44714</v>
      </c>
      <c r="C1149" s="1" t="n">
        <v>45845</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22729-2022</t>
        </is>
      </c>
      <c r="B1150" s="1" t="n">
        <v>44714</v>
      </c>
      <c r="C1150" s="1" t="n">
        <v>45845</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22767-2022</t>
        </is>
      </c>
      <c r="B1151" s="1" t="n">
        <v>44715</v>
      </c>
      <c r="C1151" s="1" t="n">
        <v>45845</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22890-2022</t>
        </is>
      </c>
      <c r="B1152" s="1" t="n">
        <v>44715</v>
      </c>
      <c r="C1152" s="1" t="n">
        <v>45845</v>
      </c>
      <c r="D1152" t="inlineStr">
        <is>
          <t>VÄSTERNORRLANDS LÄN</t>
        </is>
      </c>
      <c r="E1152" t="inlineStr">
        <is>
          <t>SUNDSVALL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23025-2022</t>
        </is>
      </c>
      <c r="B1153" s="1" t="n">
        <v>44719</v>
      </c>
      <c r="C1153" s="1" t="n">
        <v>45845</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23054-2022</t>
        </is>
      </c>
      <c r="B1154" s="1" t="n">
        <v>44719</v>
      </c>
      <c r="C1154" s="1" t="n">
        <v>45845</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23081-2022</t>
        </is>
      </c>
      <c r="B1155" s="1" t="n">
        <v>44719</v>
      </c>
      <c r="C1155" s="1" t="n">
        <v>45845</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23298-2022</t>
        </is>
      </c>
      <c r="B1156" s="1" t="n">
        <v>44720</v>
      </c>
      <c r="C1156" s="1" t="n">
        <v>45845</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23300-2022</t>
        </is>
      </c>
      <c r="B1157" s="1" t="n">
        <v>44720</v>
      </c>
      <c r="C1157" s="1" t="n">
        <v>45845</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23422-2022</t>
        </is>
      </c>
      <c r="B1158" s="1" t="n">
        <v>44720</v>
      </c>
      <c r="C1158" s="1" t="n">
        <v>45845</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23432-2022</t>
        </is>
      </c>
      <c r="B1159" s="1" t="n">
        <v>44720</v>
      </c>
      <c r="C1159" s="1" t="n">
        <v>45845</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23423-2022</t>
        </is>
      </c>
      <c r="B1160" s="1" t="n">
        <v>44720</v>
      </c>
      <c r="C1160" s="1" t="n">
        <v>45845</v>
      </c>
      <c r="D1160" t="inlineStr">
        <is>
          <t>VÄSTERNORRLANDS LÄN</t>
        </is>
      </c>
      <c r="E1160" t="inlineStr">
        <is>
          <t>SUNDSVALL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23556-2022</t>
        </is>
      </c>
      <c r="B1161" s="1" t="n">
        <v>44721</v>
      </c>
      <c r="C1161" s="1" t="n">
        <v>45845</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23669-2022</t>
        </is>
      </c>
      <c r="B1162" s="1" t="n">
        <v>44721</v>
      </c>
      <c r="C1162" s="1" t="n">
        <v>45845</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23677-2022</t>
        </is>
      </c>
      <c r="B1163" s="1" t="n">
        <v>44722</v>
      </c>
      <c r="C1163" s="1" t="n">
        <v>45845</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23841-2022</t>
        </is>
      </c>
      <c r="B1164" s="1" t="n">
        <v>44722</v>
      </c>
      <c r="C1164" s="1" t="n">
        <v>45845</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23840-2022</t>
        </is>
      </c>
      <c r="B1165" s="1" t="n">
        <v>44722</v>
      </c>
      <c r="C1165" s="1" t="n">
        <v>45845</v>
      </c>
      <c r="D1165" t="inlineStr">
        <is>
          <t>VÄSTERNORRLANDS LÄN</t>
        </is>
      </c>
      <c r="E1165" t="inlineStr">
        <is>
          <t>SUNDSVALL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23890-2022</t>
        </is>
      </c>
      <c r="B1166" s="1" t="n">
        <v>44722</v>
      </c>
      <c r="C1166" s="1" t="n">
        <v>45845</v>
      </c>
      <c r="D1166" t="inlineStr">
        <is>
          <t>VÄSTERNORRLANDS LÄN</t>
        </is>
      </c>
      <c r="E1166" t="inlineStr">
        <is>
          <t>SUNDSVALL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23990-2022</t>
        </is>
      </c>
      <c r="B1167" s="1" t="n">
        <v>44722</v>
      </c>
      <c r="C1167" s="1" t="n">
        <v>45845</v>
      </c>
      <c r="D1167" t="inlineStr">
        <is>
          <t>VÄSTERNORRLANDS LÄN</t>
        </is>
      </c>
      <c r="E1167" t="inlineStr">
        <is>
          <t>SUNDSVALL</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23998-2022</t>
        </is>
      </c>
      <c r="B1168" s="1" t="n">
        <v>44722</v>
      </c>
      <c r="C1168" s="1" t="n">
        <v>45845</v>
      </c>
      <c r="D1168" t="inlineStr">
        <is>
          <t>VÄSTERNORRLANDS LÄN</t>
        </is>
      </c>
      <c r="E1168" t="inlineStr">
        <is>
          <t>SUNDSVALL</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24089-2022</t>
        </is>
      </c>
      <c r="B1169" s="1" t="n">
        <v>44725</v>
      </c>
      <c r="C1169" s="1" t="n">
        <v>45845</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24313-2022</t>
        </is>
      </c>
      <c r="B1170" s="1" t="n">
        <v>44726</v>
      </c>
      <c r="C1170" s="1" t="n">
        <v>45845</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24518-2022</t>
        </is>
      </c>
      <c r="B1171" s="1" t="n">
        <v>44726</v>
      </c>
      <c r="C1171" s="1" t="n">
        <v>45845</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24517-2022</t>
        </is>
      </c>
      <c r="B1172" s="1" t="n">
        <v>44727</v>
      </c>
      <c r="C1172" s="1" t="n">
        <v>45845</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24514-2022</t>
        </is>
      </c>
      <c r="B1173" s="1" t="n">
        <v>44726</v>
      </c>
      <c r="C1173" s="1" t="n">
        <v>45845</v>
      </c>
      <c r="D1173" t="inlineStr">
        <is>
          <t>VÄSTERNORRLANDS LÄN</t>
        </is>
      </c>
      <c r="E1173" t="inlineStr">
        <is>
          <t>SUNDSVALL</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24791-2022</t>
        </is>
      </c>
      <c r="B1174" s="1" t="n">
        <v>44728</v>
      </c>
      <c r="C1174" s="1" t="n">
        <v>45845</v>
      </c>
      <c r="D1174" t="inlineStr">
        <is>
          <t>VÄSTERNORRLANDS LÄN</t>
        </is>
      </c>
      <c r="E1174" t="inlineStr">
        <is>
          <t>SUNDSVALL</t>
        </is>
      </c>
      <c r="F1174" t="inlineStr">
        <is>
          <t>Holmen skog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24784-2022</t>
        </is>
      </c>
      <c r="B1175" s="1" t="n">
        <v>44728</v>
      </c>
      <c r="C1175" s="1" t="n">
        <v>45845</v>
      </c>
      <c r="D1175" t="inlineStr">
        <is>
          <t>VÄSTERNORRLANDS LÄN</t>
        </is>
      </c>
      <c r="E1175" t="inlineStr">
        <is>
          <t>SUNDSVALL</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25034-2022</t>
        </is>
      </c>
      <c r="B1176" s="1" t="n">
        <v>44729</v>
      </c>
      <c r="C1176" s="1" t="n">
        <v>45845</v>
      </c>
      <c r="D1176" t="inlineStr">
        <is>
          <t>VÄSTERNORRLANDS LÄN</t>
        </is>
      </c>
      <c r="E1176" t="inlineStr">
        <is>
          <t>SUNDSVALL</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25011-2022</t>
        </is>
      </c>
      <c r="B1177" s="1" t="n">
        <v>44729</v>
      </c>
      <c r="C1177" s="1" t="n">
        <v>45845</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25208-2022</t>
        </is>
      </c>
      <c r="B1178" s="1" t="n">
        <v>44729</v>
      </c>
      <c r="C1178" s="1" t="n">
        <v>45845</v>
      </c>
      <c r="D1178" t="inlineStr">
        <is>
          <t>VÄSTERNORRLANDS LÄN</t>
        </is>
      </c>
      <c r="E1178" t="inlineStr">
        <is>
          <t>SUNDSVALL</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25251-2022</t>
        </is>
      </c>
      <c r="B1179" s="1" t="n">
        <v>44729</v>
      </c>
      <c r="C1179" s="1" t="n">
        <v>45845</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25211-2022</t>
        </is>
      </c>
      <c r="B1180" s="1" t="n">
        <v>44729</v>
      </c>
      <c r="C1180" s="1" t="n">
        <v>45845</v>
      </c>
      <c r="D1180" t="inlineStr">
        <is>
          <t>VÄSTERNORRLANDS LÄN</t>
        </is>
      </c>
      <c r="E1180" t="inlineStr">
        <is>
          <t>SUNDSVALL</t>
        </is>
      </c>
      <c r="F1180" t="inlineStr">
        <is>
          <t>Holmen skog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25196-2022</t>
        </is>
      </c>
      <c r="B1181" s="1" t="n">
        <v>44729</v>
      </c>
      <c r="C1181" s="1" t="n">
        <v>45845</v>
      </c>
      <c r="D1181" t="inlineStr">
        <is>
          <t>VÄSTERNORRLANDS LÄN</t>
        </is>
      </c>
      <c r="E1181" t="inlineStr">
        <is>
          <t>SUNDSVALL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44733</v>
      </c>
      <c r="C1182" s="1" t="n">
        <v>45845</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25953-2022</t>
        </is>
      </c>
      <c r="B1183" s="1" t="n">
        <v>44734</v>
      </c>
      <c r="C1183" s="1" t="n">
        <v>45845</v>
      </c>
      <c r="D1183" t="inlineStr">
        <is>
          <t>VÄSTERNORRLANDS LÄN</t>
        </is>
      </c>
      <c r="E1183" t="inlineStr">
        <is>
          <t>SUNDSVALL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25964-2022</t>
        </is>
      </c>
      <c r="B1184" s="1" t="n">
        <v>44734</v>
      </c>
      <c r="C1184" s="1" t="n">
        <v>45845</v>
      </c>
      <c r="D1184" t="inlineStr">
        <is>
          <t>VÄSTERNORRLANDS LÄN</t>
        </is>
      </c>
      <c r="E1184" t="inlineStr">
        <is>
          <t>SUNDSVALL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26015-2022</t>
        </is>
      </c>
      <c r="B1185" s="1" t="n">
        <v>44734</v>
      </c>
      <c r="C1185" s="1" t="n">
        <v>45845</v>
      </c>
      <c r="D1185" t="inlineStr">
        <is>
          <t>VÄSTERNORRLANDS LÄN</t>
        </is>
      </c>
      <c r="E1185" t="inlineStr">
        <is>
          <t>SUNDSVALL</t>
        </is>
      </c>
      <c r="F1185" t="inlineStr">
        <is>
          <t>Holmen skog AB</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25930-2022</t>
        </is>
      </c>
      <c r="B1186" s="1" t="n">
        <v>44734</v>
      </c>
      <c r="C1186" s="1" t="n">
        <v>45845</v>
      </c>
      <c r="D1186" t="inlineStr">
        <is>
          <t>VÄSTERNORRLANDS LÄN</t>
        </is>
      </c>
      <c r="E1186" t="inlineStr">
        <is>
          <t>SUNDSVALL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25937-2022</t>
        </is>
      </c>
      <c r="B1187" s="1" t="n">
        <v>44734</v>
      </c>
      <c r="C1187" s="1" t="n">
        <v>45845</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26287-2022</t>
        </is>
      </c>
      <c r="B1188" s="1" t="n">
        <v>44735</v>
      </c>
      <c r="C1188" s="1" t="n">
        <v>45845</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26337-2022</t>
        </is>
      </c>
      <c r="B1189" s="1" t="n">
        <v>44735</v>
      </c>
      <c r="C1189" s="1" t="n">
        <v>45845</v>
      </c>
      <c r="D1189" t="inlineStr">
        <is>
          <t>VÄSTERNORRLANDS LÄN</t>
        </is>
      </c>
      <c r="E1189" t="inlineStr">
        <is>
          <t>SUNDSVALL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26436-2022</t>
        </is>
      </c>
      <c r="B1190" s="1" t="n">
        <v>44737</v>
      </c>
      <c r="C1190" s="1" t="n">
        <v>45845</v>
      </c>
      <c r="D1190" t="inlineStr">
        <is>
          <t>VÄSTERNORRLANDS LÄN</t>
        </is>
      </c>
      <c r="E1190" t="inlineStr">
        <is>
          <t>SUNDSVALL</t>
        </is>
      </c>
      <c r="F1190" t="inlineStr">
        <is>
          <t>Naturvårdsverket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26453-2022</t>
        </is>
      </c>
      <c r="B1191" s="1" t="n">
        <v>44739</v>
      </c>
      <c r="C1191" s="1" t="n">
        <v>45845</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26674-2022</t>
        </is>
      </c>
      <c r="B1192" s="1" t="n">
        <v>44739</v>
      </c>
      <c r="C1192" s="1" t="n">
        <v>45845</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27005-2022</t>
        </is>
      </c>
      <c r="B1193" s="1" t="n">
        <v>44740</v>
      </c>
      <c r="C1193" s="1" t="n">
        <v>45845</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27009-2022</t>
        </is>
      </c>
      <c r="B1194" s="1" t="n">
        <v>44741</v>
      </c>
      <c r="C1194" s="1" t="n">
        <v>45845</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27004-2022</t>
        </is>
      </c>
      <c r="B1195" s="1" t="n">
        <v>44740</v>
      </c>
      <c r="C1195" s="1" t="n">
        <v>45845</v>
      </c>
      <c r="D1195" t="inlineStr">
        <is>
          <t>VÄSTERNORRLANDS LÄN</t>
        </is>
      </c>
      <c r="E1195" t="inlineStr">
        <is>
          <t>SUNDSVALL</t>
        </is>
      </c>
      <c r="G1195" t="n">
        <v>26.1</v>
      </c>
      <c r="H1195" t="n">
        <v>0</v>
      </c>
      <c r="I1195" t="n">
        <v>0</v>
      </c>
      <c r="J1195" t="n">
        <v>0</v>
      </c>
      <c r="K1195" t="n">
        <v>0</v>
      </c>
      <c r="L1195" t="n">
        <v>0</v>
      </c>
      <c r="M1195" t="n">
        <v>0</v>
      </c>
      <c r="N1195" t="n">
        <v>0</v>
      </c>
      <c r="O1195" t="n">
        <v>0</v>
      </c>
      <c r="P1195" t="n">
        <v>0</v>
      </c>
      <c r="Q1195" t="n">
        <v>0</v>
      </c>
      <c r="R1195" s="2" t="inlineStr"/>
    </row>
    <row r="1196" ht="15" customHeight="1">
      <c r="A1196" t="inlineStr">
        <is>
          <t>A 27026-2022</t>
        </is>
      </c>
      <c r="B1196" s="1" t="n">
        <v>44740</v>
      </c>
      <c r="C1196" s="1" t="n">
        <v>45845</v>
      </c>
      <c r="D1196" t="inlineStr">
        <is>
          <t>VÄSTERNORRLANDS LÄN</t>
        </is>
      </c>
      <c r="E1196" t="inlineStr">
        <is>
          <t>SUNDSVALL</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27271-2022</t>
        </is>
      </c>
      <c r="B1197" s="1" t="n">
        <v>44742</v>
      </c>
      <c r="C1197" s="1" t="n">
        <v>45845</v>
      </c>
      <c r="D1197" t="inlineStr">
        <is>
          <t>VÄSTERNORRLANDS LÄN</t>
        </is>
      </c>
      <c r="E1197" t="inlineStr">
        <is>
          <t>SUNDSVALL</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27932-2022</t>
        </is>
      </c>
      <c r="B1198" s="1" t="n">
        <v>44743</v>
      </c>
      <c r="C1198" s="1" t="n">
        <v>45845</v>
      </c>
      <c r="D1198" t="inlineStr">
        <is>
          <t>VÄSTERNORRLANDS LÄN</t>
        </is>
      </c>
      <c r="E1198" t="inlineStr">
        <is>
          <t>SUNDSVALL</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27934-2022</t>
        </is>
      </c>
      <c r="B1199" s="1" t="n">
        <v>44743</v>
      </c>
      <c r="C1199" s="1" t="n">
        <v>45845</v>
      </c>
      <c r="D1199" t="inlineStr">
        <is>
          <t>VÄSTERNORRLANDS LÄN</t>
        </is>
      </c>
      <c r="E1199" t="inlineStr">
        <is>
          <t>SUNDSVALL</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27948-2022</t>
        </is>
      </c>
      <c r="B1200" s="1" t="n">
        <v>44743</v>
      </c>
      <c r="C1200" s="1" t="n">
        <v>45845</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28295-2022</t>
        </is>
      </c>
      <c r="B1201" s="1" t="n">
        <v>44747</v>
      </c>
      <c r="C1201" s="1" t="n">
        <v>45845</v>
      </c>
      <c r="D1201" t="inlineStr">
        <is>
          <t>VÄSTERNORRLANDS LÄN</t>
        </is>
      </c>
      <c r="E1201" t="inlineStr">
        <is>
          <t>SUNDSVALL</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28232-2022</t>
        </is>
      </c>
      <c r="B1202" s="1" t="n">
        <v>44746</v>
      </c>
      <c r="C1202" s="1" t="n">
        <v>45845</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28447-2022</t>
        </is>
      </c>
      <c r="B1203" s="1" t="n">
        <v>44747</v>
      </c>
      <c r="C1203" s="1" t="n">
        <v>45845</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28449-2022</t>
        </is>
      </c>
      <c r="B1204" s="1" t="n">
        <v>44747</v>
      </c>
      <c r="C1204" s="1" t="n">
        <v>45845</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28442-2022</t>
        </is>
      </c>
      <c r="B1205" s="1" t="n">
        <v>44747</v>
      </c>
      <c r="C1205" s="1" t="n">
        <v>45845</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28450-2022</t>
        </is>
      </c>
      <c r="B1206" s="1" t="n">
        <v>44747</v>
      </c>
      <c r="C1206" s="1" t="n">
        <v>45845</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28480-2022</t>
        </is>
      </c>
      <c r="B1207" s="1" t="n">
        <v>44747</v>
      </c>
      <c r="C1207" s="1" t="n">
        <v>45845</v>
      </c>
      <c r="D1207" t="inlineStr">
        <is>
          <t>VÄSTERNORRLANDS LÄN</t>
        </is>
      </c>
      <c r="E1207" t="inlineStr">
        <is>
          <t>SUNDSVALL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45845</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28708-2022</t>
        </is>
      </c>
      <c r="B1209" s="1" t="n">
        <v>44748</v>
      </c>
      <c r="C1209" s="1" t="n">
        <v>45845</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28726-2022</t>
        </is>
      </c>
      <c r="B1210" s="1" t="n">
        <v>44748</v>
      </c>
      <c r="C1210" s="1" t="n">
        <v>45845</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28961-2022</t>
        </is>
      </c>
      <c r="B1211" s="1" t="n">
        <v>44749</v>
      </c>
      <c r="C1211" s="1" t="n">
        <v>45845</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29127-2022</t>
        </is>
      </c>
      <c r="B1212" s="1" t="n">
        <v>44750</v>
      </c>
      <c r="C1212" s="1" t="n">
        <v>45845</v>
      </c>
      <c r="D1212" t="inlineStr">
        <is>
          <t>VÄSTERNORRLANDS LÄN</t>
        </is>
      </c>
      <c r="E1212" t="inlineStr">
        <is>
          <t>SUNDSVALL</t>
        </is>
      </c>
      <c r="G1212" t="n">
        <v>7.4</v>
      </c>
      <c r="H1212" t="n">
        <v>0</v>
      </c>
      <c r="I1212" t="n">
        <v>0</v>
      </c>
      <c r="J1212" t="n">
        <v>0</v>
      </c>
      <c r="K1212" t="n">
        <v>0</v>
      </c>
      <c r="L1212" t="n">
        <v>0</v>
      </c>
      <c r="M1212" t="n">
        <v>0</v>
      </c>
      <c r="N1212" t="n">
        <v>0</v>
      </c>
      <c r="O1212" t="n">
        <v>0</v>
      </c>
      <c r="P1212" t="n">
        <v>0</v>
      </c>
      <c r="Q1212" t="n">
        <v>0</v>
      </c>
      <c r="R1212" s="2" t="inlineStr"/>
      <c r="U1212">
        <f>HYPERLINK("https://klasma.github.io/Logging_2281/knärot/A 29127-2022 karta knärot.png", "A 29127-2022")</f>
        <v/>
      </c>
      <c r="V1212">
        <f>HYPERLINK("https://klasma.github.io/Logging_2281/klagomål/A 29127-2022 FSC-klagomål.docx", "A 29127-2022")</f>
        <v/>
      </c>
      <c r="W1212">
        <f>HYPERLINK("https://klasma.github.io/Logging_2281/klagomålsmail/A 29127-2022 FSC-klagomål mail.docx", "A 29127-2022")</f>
        <v/>
      </c>
      <c r="X1212">
        <f>HYPERLINK("https://klasma.github.io/Logging_2281/tillsyn/A 29127-2022 tillsynsbegäran.docx", "A 29127-2022")</f>
        <v/>
      </c>
      <c r="Y1212">
        <f>HYPERLINK("https://klasma.github.io/Logging_2281/tillsynsmail/A 29127-2022 tillsynsbegäran mail.docx", "A 29127-2022")</f>
        <v/>
      </c>
    </row>
    <row r="1213" ht="15" customHeight="1">
      <c r="A1213" t="inlineStr">
        <is>
          <t>A 29298-2022</t>
        </is>
      </c>
      <c r="B1213" s="1" t="n">
        <v>44751</v>
      </c>
      <c r="C1213" s="1" t="n">
        <v>45845</v>
      </c>
      <c r="D1213" t="inlineStr">
        <is>
          <t>VÄSTERNORRLANDS LÄN</t>
        </is>
      </c>
      <c r="E1213" t="inlineStr">
        <is>
          <t>SUNDSVALL</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29297-2022</t>
        </is>
      </c>
      <c r="B1214" s="1" t="n">
        <v>44751</v>
      </c>
      <c r="C1214" s="1" t="n">
        <v>45845</v>
      </c>
      <c r="D1214" t="inlineStr">
        <is>
          <t>VÄSTERNORRLANDS LÄN</t>
        </is>
      </c>
      <c r="E1214" t="inlineStr">
        <is>
          <t>SUNDSVALL</t>
        </is>
      </c>
      <c r="F1214" t="inlineStr">
        <is>
          <t>Naturvårdsverket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29805-2022</t>
        </is>
      </c>
      <c r="B1215" s="1" t="n">
        <v>44755</v>
      </c>
      <c r="C1215" s="1" t="n">
        <v>45845</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30084-2022</t>
        </is>
      </c>
      <c r="B1216" s="1" t="n">
        <v>44757</v>
      </c>
      <c r="C1216" s="1" t="n">
        <v>45845</v>
      </c>
      <c r="D1216" t="inlineStr">
        <is>
          <t>VÄSTERNORRLANDS LÄN</t>
        </is>
      </c>
      <c r="E1216" t="inlineStr">
        <is>
          <t>SUNDSVALL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30518-2022</t>
        </is>
      </c>
      <c r="B1217" s="1" t="n">
        <v>44762</v>
      </c>
      <c r="C1217" s="1" t="n">
        <v>45845</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30778-2022</t>
        </is>
      </c>
      <c r="B1218" s="1" t="n">
        <v>44764</v>
      </c>
      <c r="C1218" s="1" t="n">
        <v>45845</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31439-2022</t>
        </is>
      </c>
      <c r="B1219" s="1" t="n">
        <v>44774</v>
      </c>
      <c r="C1219" s="1" t="n">
        <v>45845</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31454-2022</t>
        </is>
      </c>
      <c r="B1220" s="1" t="n">
        <v>44775</v>
      </c>
      <c r="C1220" s="1" t="n">
        <v>45845</v>
      </c>
      <c r="D1220" t="inlineStr">
        <is>
          <t>VÄSTERNORRLANDS LÄN</t>
        </is>
      </c>
      <c r="E1220" t="inlineStr">
        <is>
          <t>SUNDSVALL</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31497-2022</t>
        </is>
      </c>
      <c r="B1221" s="1" t="n">
        <v>44774</v>
      </c>
      <c r="C1221" s="1" t="n">
        <v>45845</v>
      </c>
      <c r="D1221" t="inlineStr">
        <is>
          <t>VÄSTERNORRLANDS LÄN</t>
        </is>
      </c>
      <c r="E1221" t="inlineStr">
        <is>
          <t>SUNDSVALL</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31498-2022</t>
        </is>
      </c>
      <c r="B1222" s="1" t="n">
        <v>44775</v>
      </c>
      <c r="C1222" s="1" t="n">
        <v>45845</v>
      </c>
      <c r="D1222" t="inlineStr">
        <is>
          <t>VÄSTERNORRLANDS LÄN</t>
        </is>
      </c>
      <c r="E1222" t="inlineStr">
        <is>
          <t>SUNDSVALL</t>
        </is>
      </c>
      <c r="F1222" t="inlineStr">
        <is>
          <t>Naturvårdsverket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31527-2022</t>
        </is>
      </c>
      <c r="B1223" s="1" t="n">
        <v>44775</v>
      </c>
      <c r="C1223" s="1" t="n">
        <v>45845</v>
      </c>
      <c r="D1223" t="inlineStr">
        <is>
          <t>VÄSTERNORRLANDS LÄN</t>
        </is>
      </c>
      <c r="E1223" t="inlineStr">
        <is>
          <t>SUNDSVALL</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v>
      </c>
      <c r="C1224" s="1" t="n">
        <v>45845</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31526-2022</t>
        </is>
      </c>
      <c r="B1225" s="1" t="n">
        <v>44775</v>
      </c>
      <c r="C1225" s="1" t="n">
        <v>45845</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31959-2022</t>
        </is>
      </c>
      <c r="B1226" s="1" t="n">
        <v>44778</v>
      </c>
      <c r="C1226" s="1" t="n">
        <v>45845</v>
      </c>
      <c r="D1226" t="inlineStr">
        <is>
          <t>VÄSTERNORRLANDS LÄN</t>
        </is>
      </c>
      <c r="E1226" t="inlineStr">
        <is>
          <t>SUNDSVALL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31956-2022</t>
        </is>
      </c>
      <c r="B1227" s="1" t="n">
        <v>44778</v>
      </c>
      <c r="C1227" s="1" t="n">
        <v>45845</v>
      </c>
      <c r="D1227" t="inlineStr">
        <is>
          <t>VÄSTERNORRLANDS LÄN</t>
        </is>
      </c>
      <c r="E1227" t="inlineStr">
        <is>
          <t>SUNDSVALL</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31957-2022</t>
        </is>
      </c>
      <c r="B1228" s="1" t="n">
        <v>44777</v>
      </c>
      <c r="C1228" s="1" t="n">
        <v>45845</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32119-2022</t>
        </is>
      </c>
      <c r="B1229" s="1" t="n">
        <v>44779</v>
      </c>
      <c r="C1229" s="1" t="n">
        <v>45845</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32411-2022</t>
        </is>
      </c>
      <c r="B1230" s="1" t="n">
        <v>44782</v>
      </c>
      <c r="C1230" s="1" t="n">
        <v>45845</v>
      </c>
      <c r="D1230" t="inlineStr">
        <is>
          <t>VÄSTERNORRLANDS LÄN</t>
        </is>
      </c>
      <c r="E1230" t="inlineStr">
        <is>
          <t>SUNDSVALL</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32532-2022</t>
        </is>
      </c>
      <c r="B1231" s="1" t="n">
        <v>44782</v>
      </c>
      <c r="C1231" s="1" t="n">
        <v>45845</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32987-2022</t>
        </is>
      </c>
      <c r="B1232" s="1" t="n">
        <v>44784</v>
      </c>
      <c r="C1232" s="1" t="n">
        <v>45845</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33220-2022</t>
        </is>
      </c>
      <c r="B1233" s="1" t="n">
        <v>44786</v>
      </c>
      <c r="C1233" s="1" t="n">
        <v>45845</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33498-2022</t>
        </is>
      </c>
      <c r="B1234" s="1" t="n">
        <v>44789</v>
      </c>
      <c r="C1234" s="1" t="n">
        <v>45845</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33515-2022</t>
        </is>
      </c>
      <c r="B1235" s="1" t="n">
        <v>44789</v>
      </c>
      <c r="C1235" s="1" t="n">
        <v>45845</v>
      </c>
      <c r="D1235" t="inlineStr">
        <is>
          <t>VÄSTERNORRLANDS LÄN</t>
        </is>
      </c>
      <c r="E1235" t="inlineStr">
        <is>
          <t>SUNDSVALL</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33725-2022</t>
        </is>
      </c>
      <c r="B1236" s="1" t="n">
        <v>44790</v>
      </c>
      <c r="C1236" s="1" t="n">
        <v>45845</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33723-2022</t>
        </is>
      </c>
      <c r="B1237" s="1" t="n">
        <v>44790</v>
      </c>
      <c r="C1237" s="1" t="n">
        <v>45845</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33724-2022</t>
        </is>
      </c>
      <c r="B1238" s="1" t="n">
        <v>44790</v>
      </c>
      <c r="C1238" s="1" t="n">
        <v>45845</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34054-2022</t>
        </is>
      </c>
      <c r="B1239" s="1" t="n">
        <v>44790</v>
      </c>
      <c r="C1239" s="1" t="n">
        <v>45845</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45845</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34148-2022</t>
        </is>
      </c>
      <c r="B1241" s="1" t="n">
        <v>44791</v>
      </c>
      <c r="C1241" s="1" t="n">
        <v>45845</v>
      </c>
      <c r="D1241" t="inlineStr">
        <is>
          <t>VÄSTERNORRLANDS LÄN</t>
        </is>
      </c>
      <c r="E1241" t="inlineStr">
        <is>
          <t>SUNDSVALL</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34192-2022</t>
        </is>
      </c>
      <c r="B1242" s="1" t="n">
        <v>44791</v>
      </c>
      <c r="C1242" s="1" t="n">
        <v>45845</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34302-2022</t>
        </is>
      </c>
      <c r="B1243" s="1" t="n">
        <v>44792</v>
      </c>
      <c r="C1243" s="1" t="n">
        <v>45845</v>
      </c>
      <c r="D1243" t="inlineStr">
        <is>
          <t>VÄSTERNORRLANDS LÄN</t>
        </is>
      </c>
      <c r="E1243" t="inlineStr">
        <is>
          <t>SUNDSVALL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34554-2022</t>
        </is>
      </c>
      <c r="B1244" s="1" t="n">
        <v>44794</v>
      </c>
      <c r="C1244" s="1" t="n">
        <v>45845</v>
      </c>
      <c r="D1244" t="inlineStr">
        <is>
          <t>VÄSTERNORRLANDS LÄN</t>
        </is>
      </c>
      <c r="E1244" t="inlineStr">
        <is>
          <t>SUNDSVALL</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34744-2022</t>
        </is>
      </c>
      <c r="B1245" s="1" t="n">
        <v>44795</v>
      </c>
      <c r="C1245" s="1" t="n">
        <v>45845</v>
      </c>
      <c r="D1245" t="inlineStr">
        <is>
          <t>VÄSTERNORRLANDS LÄN</t>
        </is>
      </c>
      <c r="E1245" t="inlineStr">
        <is>
          <t>SUNDSVALL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34812-2022</t>
        </is>
      </c>
      <c r="B1246" s="1" t="n">
        <v>44795</v>
      </c>
      <c r="C1246" s="1" t="n">
        <v>45845</v>
      </c>
      <c r="D1246" t="inlineStr">
        <is>
          <t>VÄSTERNORRLANDS LÄN</t>
        </is>
      </c>
      <c r="E1246" t="inlineStr">
        <is>
          <t>SUNDSVALL</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35008-2022</t>
        </is>
      </c>
      <c r="B1247" s="1" t="n">
        <v>44796</v>
      </c>
      <c r="C1247" s="1" t="n">
        <v>45845</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35004-2022</t>
        </is>
      </c>
      <c r="B1248" s="1" t="n">
        <v>44796</v>
      </c>
      <c r="C1248" s="1" t="n">
        <v>45845</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35165-2022</t>
        </is>
      </c>
      <c r="B1249" s="1" t="n">
        <v>44797</v>
      </c>
      <c r="C1249" s="1" t="n">
        <v>45845</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35314-2022</t>
        </is>
      </c>
      <c r="B1250" s="1" t="n">
        <v>44798</v>
      </c>
      <c r="C1250" s="1" t="n">
        <v>45845</v>
      </c>
      <c r="D1250" t="inlineStr">
        <is>
          <t>VÄSTERNORRLANDS LÄN</t>
        </is>
      </c>
      <c r="E1250" t="inlineStr">
        <is>
          <t>SUNDSVALL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35483-2022</t>
        </is>
      </c>
      <c r="B1251" s="1" t="n">
        <v>44799</v>
      </c>
      <c r="C1251" s="1" t="n">
        <v>45845</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35481-2022</t>
        </is>
      </c>
      <c r="B1252" s="1" t="n">
        <v>44798</v>
      </c>
      <c r="C1252" s="1" t="n">
        <v>45845</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35480-2022</t>
        </is>
      </c>
      <c r="B1253" s="1" t="n">
        <v>44798</v>
      </c>
      <c r="C1253" s="1" t="n">
        <v>45845</v>
      </c>
      <c r="D1253" t="inlineStr">
        <is>
          <t>VÄSTERNORRLANDS LÄN</t>
        </is>
      </c>
      <c r="E1253" t="inlineStr">
        <is>
          <t>SUNDSVALL</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35484-2022</t>
        </is>
      </c>
      <c r="B1254" s="1" t="n">
        <v>44799</v>
      </c>
      <c r="C1254" s="1" t="n">
        <v>45845</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35750-2022</t>
        </is>
      </c>
      <c r="B1255" s="1" t="n">
        <v>44800</v>
      </c>
      <c r="C1255" s="1" t="n">
        <v>45845</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35923-2022</t>
        </is>
      </c>
      <c r="B1256" s="1" t="n">
        <v>44802</v>
      </c>
      <c r="C1256" s="1" t="n">
        <v>45845</v>
      </c>
      <c r="D1256" t="inlineStr">
        <is>
          <t>VÄSTERNORRLANDS LÄN</t>
        </is>
      </c>
      <c r="E1256" t="inlineStr">
        <is>
          <t>SUNDSVALL</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36110-2022</t>
        </is>
      </c>
      <c r="B1257" s="1" t="n">
        <v>44802</v>
      </c>
      <c r="C1257" s="1" t="n">
        <v>45845</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36694-2022</t>
        </is>
      </c>
      <c r="B1258" s="1" t="n">
        <v>44805</v>
      </c>
      <c r="C1258" s="1" t="n">
        <v>45845</v>
      </c>
      <c r="D1258" t="inlineStr">
        <is>
          <t>VÄSTERNORRLANDS LÄN</t>
        </is>
      </c>
      <c r="E1258" t="inlineStr">
        <is>
          <t>SUNDSVALL</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37240-2022</t>
        </is>
      </c>
      <c r="B1259" s="1" t="n">
        <v>44806</v>
      </c>
      <c r="C1259" s="1" t="n">
        <v>45845</v>
      </c>
      <c r="D1259" t="inlineStr">
        <is>
          <t>VÄSTERNORRLANDS LÄN</t>
        </is>
      </c>
      <c r="E1259" t="inlineStr">
        <is>
          <t>SUNDSVALL</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37225-2022</t>
        </is>
      </c>
      <c r="B1260" s="1" t="n">
        <v>44806</v>
      </c>
      <c r="C1260" s="1" t="n">
        <v>45845</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37238-2022</t>
        </is>
      </c>
      <c r="B1261" s="1" t="n">
        <v>44806</v>
      </c>
      <c r="C1261" s="1" t="n">
        <v>45845</v>
      </c>
      <c r="D1261" t="inlineStr">
        <is>
          <t>VÄSTERNORRLANDS LÄN</t>
        </is>
      </c>
      <c r="E1261" t="inlineStr">
        <is>
          <t>SUNDSVALL</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37541-2022</t>
        </is>
      </c>
      <c r="B1262" s="1" t="n">
        <v>44809</v>
      </c>
      <c r="C1262" s="1" t="n">
        <v>45845</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37839-2022</t>
        </is>
      </c>
      <c r="B1263" s="1" t="n">
        <v>44810</v>
      </c>
      <c r="C1263" s="1" t="n">
        <v>45845</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45845</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38670-2022</t>
        </is>
      </c>
      <c r="B1265" s="1" t="n">
        <v>44814</v>
      </c>
      <c r="C1265" s="1" t="n">
        <v>45845</v>
      </c>
      <c r="D1265" t="inlineStr">
        <is>
          <t>VÄSTERNORRLANDS LÄN</t>
        </is>
      </c>
      <c r="E1265" t="inlineStr">
        <is>
          <t>SUNDSVALL</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38888-2022</t>
        </is>
      </c>
      <c r="B1266" s="1" t="n">
        <v>44816</v>
      </c>
      <c r="C1266" s="1" t="n">
        <v>45845</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38900-2022</t>
        </is>
      </c>
      <c r="B1267" s="1" t="n">
        <v>44816</v>
      </c>
      <c r="C1267" s="1" t="n">
        <v>45845</v>
      </c>
      <c r="D1267" t="inlineStr">
        <is>
          <t>VÄSTERNORRLANDS LÄN</t>
        </is>
      </c>
      <c r="E1267" t="inlineStr">
        <is>
          <t>SUNDSVALL</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38774-2022</t>
        </is>
      </c>
      <c r="B1268" s="1" t="n">
        <v>44816</v>
      </c>
      <c r="C1268" s="1" t="n">
        <v>45845</v>
      </c>
      <c r="D1268" t="inlineStr">
        <is>
          <t>VÄSTERNORRLANDS LÄN</t>
        </is>
      </c>
      <c r="E1268" t="inlineStr">
        <is>
          <t>SUNDSVALL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38792-2022</t>
        </is>
      </c>
      <c r="B1269" s="1" t="n">
        <v>44816</v>
      </c>
      <c r="C1269" s="1" t="n">
        <v>45845</v>
      </c>
      <c r="D1269" t="inlineStr">
        <is>
          <t>VÄSTERNORRLANDS LÄN</t>
        </is>
      </c>
      <c r="E1269" t="inlineStr">
        <is>
          <t>SUNDSVALL</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39008-2022</t>
        </is>
      </c>
      <c r="B1270" s="1" t="n">
        <v>44817</v>
      </c>
      <c r="C1270" s="1" t="n">
        <v>45845</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39406-2022</t>
        </is>
      </c>
      <c r="B1271" s="1" t="n">
        <v>44818</v>
      </c>
      <c r="C1271" s="1" t="n">
        <v>45845</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39913-2022</t>
        </is>
      </c>
      <c r="B1272" s="1" t="n">
        <v>44819</v>
      </c>
      <c r="C1272" s="1" t="n">
        <v>45845</v>
      </c>
      <c r="D1272" t="inlineStr">
        <is>
          <t>VÄSTERNORRLANDS LÄN</t>
        </is>
      </c>
      <c r="E1272" t="inlineStr">
        <is>
          <t>SUNDSVALL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40016-2022</t>
        </is>
      </c>
      <c r="B1273" s="1" t="n">
        <v>44820</v>
      </c>
      <c r="C1273" s="1" t="n">
        <v>45845</v>
      </c>
      <c r="D1273" t="inlineStr">
        <is>
          <t>VÄSTERNORRLANDS LÄN</t>
        </is>
      </c>
      <c r="E1273" t="inlineStr">
        <is>
          <t>SUNDSVALL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40279-2022</t>
        </is>
      </c>
      <c r="B1274" s="1" t="n">
        <v>44820</v>
      </c>
      <c r="C1274" s="1" t="n">
        <v>45845</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40591-2022</t>
        </is>
      </c>
      <c r="B1275" s="1" t="n">
        <v>44823</v>
      </c>
      <c r="C1275" s="1" t="n">
        <v>45845</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40946-2022</t>
        </is>
      </c>
      <c r="B1276" s="1" t="n">
        <v>44823</v>
      </c>
      <c r="C1276" s="1" t="n">
        <v>45845</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40950-2022</t>
        </is>
      </c>
      <c r="B1277" s="1" t="n">
        <v>44823</v>
      </c>
      <c r="C1277" s="1" t="n">
        <v>45845</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40846-2022</t>
        </is>
      </c>
      <c r="B1278" s="1" t="n">
        <v>44825</v>
      </c>
      <c r="C1278" s="1" t="n">
        <v>45845</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40827-2022</t>
        </is>
      </c>
      <c r="B1279" s="1" t="n">
        <v>44824</v>
      </c>
      <c r="C1279" s="1" t="n">
        <v>45845</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40828-2022</t>
        </is>
      </c>
      <c r="B1280" s="1" t="n">
        <v>44825</v>
      </c>
      <c r="C1280" s="1" t="n">
        <v>45845</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41173-2022</t>
        </is>
      </c>
      <c r="B1281" s="1" t="n">
        <v>44826</v>
      </c>
      <c r="C1281" s="1" t="n">
        <v>45845</v>
      </c>
      <c r="D1281" t="inlineStr">
        <is>
          <t>VÄSTERNORRLANDS LÄN</t>
        </is>
      </c>
      <c r="E1281" t="inlineStr">
        <is>
          <t>SUNDSVALL</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41222-2022</t>
        </is>
      </c>
      <c r="B1282" s="1" t="n">
        <v>44825</v>
      </c>
      <c r="C1282" s="1" t="n">
        <v>45845</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41495-2022</t>
        </is>
      </c>
      <c r="B1283" s="1" t="n">
        <v>44826</v>
      </c>
      <c r="C1283" s="1" t="n">
        <v>45845</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41494-2022</t>
        </is>
      </c>
      <c r="B1284" s="1" t="n">
        <v>44827</v>
      </c>
      <c r="C1284" s="1" t="n">
        <v>45845</v>
      </c>
      <c r="D1284" t="inlineStr">
        <is>
          <t>VÄSTERNORRLANDS LÄN</t>
        </is>
      </c>
      <c r="E1284" t="inlineStr">
        <is>
          <t>SUNDSVALL</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41805-2022</t>
        </is>
      </c>
      <c r="B1285" s="1" t="n">
        <v>44827</v>
      </c>
      <c r="C1285" s="1" t="n">
        <v>45845</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41800-2022</t>
        </is>
      </c>
      <c r="B1286" s="1" t="n">
        <v>44828</v>
      </c>
      <c r="C1286" s="1" t="n">
        <v>45845</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41804-2022</t>
        </is>
      </c>
      <c r="B1287" s="1" t="n">
        <v>44827</v>
      </c>
      <c r="C1287" s="1" t="n">
        <v>45845</v>
      </c>
      <c r="D1287" t="inlineStr">
        <is>
          <t>VÄSTERNORRLANDS LÄN</t>
        </is>
      </c>
      <c r="E1287" t="inlineStr">
        <is>
          <t>SUNDSVALL</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42282-2022</t>
        </is>
      </c>
      <c r="B1288" s="1" t="n">
        <v>44831</v>
      </c>
      <c r="C1288" s="1" t="n">
        <v>45845</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42818-2022</t>
        </is>
      </c>
      <c r="B1289" s="1" t="n">
        <v>44832</v>
      </c>
      <c r="C1289" s="1" t="n">
        <v>45845</v>
      </c>
      <c r="D1289" t="inlineStr">
        <is>
          <t>VÄSTERNORRLANDS LÄN</t>
        </is>
      </c>
      <c r="E1289" t="inlineStr">
        <is>
          <t>SUNDSVALL</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42726-2022</t>
        </is>
      </c>
      <c r="B1290" s="1" t="n">
        <v>44832</v>
      </c>
      <c r="C1290" s="1" t="n">
        <v>45845</v>
      </c>
      <c r="D1290" t="inlineStr">
        <is>
          <t>VÄSTERNORRLANDS LÄN</t>
        </is>
      </c>
      <c r="E1290" t="inlineStr">
        <is>
          <t>SUNDSVALL</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42879-2022</t>
        </is>
      </c>
      <c r="B1291" s="1" t="n">
        <v>44832</v>
      </c>
      <c r="C1291" s="1" t="n">
        <v>45845</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42878-2022</t>
        </is>
      </c>
      <c r="B1292" s="1" t="n">
        <v>44833</v>
      </c>
      <c r="C1292" s="1" t="n">
        <v>45845</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42969-2022</t>
        </is>
      </c>
      <c r="B1293" s="1" t="n">
        <v>44833</v>
      </c>
      <c r="C1293" s="1" t="n">
        <v>45845</v>
      </c>
      <c r="D1293" t="inlineStr">
        <is>
          <t>VÄSTERNORRLANDS LÄN</t>
        </is>
      </c>
      <c r="E1293" t="inlineStr">
        <is>
          <t>SUNDSVALL</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43112-2022</t>
        </is>
      </c>
      <c r="B1294" s="1" t="n">
        <v>44833</v>
      </c>
      <c r="C1294" s="1" t="n">
        <v>45845</v>
      </c>
      <c r="D1294" t="inlineStr">
        <is>
          <t>VÄSTERNORRLANDS LÄN</t>
        </is>
      </c>
      <c r="E1294" t="inlineStr">
        <is>
          <t>SUNDSVALL</t>
        </is>
      </c>
      <c r="F1294" t="inlineStr">
        <is>
          <t>Kyrkan</t>
        </is>
      </c>
      <c r="G1294" t="n">
        <v>19.4</v>
      </c>
      <c r="H1294" t="n">
        <v>0</v>
      </c>
      <c r="I1294" t="n">
        <v>0</v>
      </c>
      <c r="J1294" t="n">
        <v>0</v>
      </c>
      <c r="K1294" t="n">
        <v>0</v>
      </c>
      <c r="L1294" t="n">
        <v>0</v>
      </c>
      <c r="M1294" t="n">
        <v>0</v>
      </c>
      <c r="N1294" t="n">
        <v>0</v>
      </c>
      <c r="O1294" t="n">
        <v>0</v>
      </c>
      <c r="P1294" t="n">
        <v>0</v>
      </c>
      <c r="Q1294" t="n">
        <v>0</v>
      </c>
      <c r="R1294" s="2" t="inlineStr"/>
    </row>
    <row r="1295" ht="15" customHeight="1">
      <c r="A1295" t="inlineStr">
        <is>
          <t>A 43151-2022</t>
        </is>
      </c>
      <c r="B1295" s="1" t="n">
        <v>44834</v>
      </c>
      <c r="C1295" s="1" t="n">
        <v>45845</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43413-2022</t>
        </is>
      </c>
      <c r="B1296" s="1" t="n">
        <v>44834</v>
      </c>
      <c r="C1296" s="1" t="n">
        <v>45845</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43770-2022</t>
        </is>
      </c>
      <c r="B1297" s="1" t="n">
        <v>44837</v>
      </c>
      <c r="C1297" s="1" t="n">
        <v>45845</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44404-2022</t>
        </is>
      </c>
      <c r="B1298" s="1" t="n">
        <v>44838</v>
      </c>
      <c r="C1298" s="1" t="n">
        <v>45845</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44399-2022</t>
        </is>
      </c>
      <c r="B1299" s="1" t="n">
        <v>44838</v>
      </c>
      <c r="C1299" s="1" t="n">
        <v>45845</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44405-2022</t>
        </is>
      </c>
      <c r="B1300" s="1" t="n">
        <v>44838</v>
      </c>
      <c r="C1300" s="1" t="n">
        <v>45845</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44378-2022</t>
        </is>
      </c>
      <c r="B1301" s="1" t="n">
        <v>44838</v>
      </c>
      <c r="C1301" s="1" t="n">
        <v>45845</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44406-2022</t>
        </is>
      </c>
      <c r="B1302" s="1" t="n">
        <v>44838</v>
      </c>
      <c r="C1302" s="1" t="n">
        <v>45845</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44416-2022</t>
        </is>
      </c>
      <c r="B1303" s="1" t="n">
        <v>44839</v>
      </c>
      <c r="C1303" s="1" t="n">
        <v>45845</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44402-2022</t>
        </is>
      </c>
      <c r="B1304" s="1" t="n">
        <v>44839</v>
      </c>
      <c r="C1304" s="1" t="n">
        <v>45845</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44409-2022</t>
        </is>
      </c>
      <c r="B1305" s="1" t="n">
        <v>44839</v>
      </c>
      <c r="C1305" s="1" t="n">
        <v>45845</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44350-2022</t>
        </is>
      </c>
      <c r="B1306" s="1" t="n">
        <v>44839</v>
      </c>
      <c r="C1306" s="1" t="n">
        <v>45845</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44603-2022</t>
        </is>
      </c>
      <c r="B1307" s="1" t="n">
        <v>44839</v>
      </c>
      <c r="C1307" s="1" t="n">
        <v>45845</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44605-2022</t>
        </is>
      </c>
      <c r="B1308" s="1" t="n">
        <v>44839</v>
      </c>
      <c r="C1308" s="1" t="n">
        <v>45845</v>
      </c>
      <c r="D1308" t="inlineStr">
        <is>
          <t>VÄSTERNORRLANDS LÄN</t>
        </is>
      </c>
      <c r="E1308" t="inlineStr">
        <is>
          <t>SUNDSVALL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44346-2022</t>
        </is>
      </c>
      <c r="B1309" s="1" t="n">
        <v>44839</v>
      </c>
      <c r="C1309" s="1" t="n">
        <v>45845</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44415-2022</t>
        </is>
      </c>
      <c r="B1310" s="1" t="n">
        <v>44839</v>
      </c>
      <c r="C1310" s="1" t="n">
        <v>45845</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44419-2022</t>
        </is>
      </c>
      <c r="B1311" s="1" t="n">
        <v>44839</v>
      </c>
      <c r="C1311" s="1" t="n">
        <v>45845</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44596-2022</t>
        </is>
      </c>
      <c r="B1312" s="1" t="n">
        <v>44839</v>
      </c>
      <c r="C1312" s="1" t="n">
        <v>45845</v>
      </c>
      <c r="D1312" t="inlineStr">
        <is>
          <t>VÄSTERNORRLANDS LÄN</t>
        </is>
      </c>
      <c r="E1312" t="inlineStr">
        <is>
          <t>SUNDSVALL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44610-2022</t>
        </is>
      </c>
      <c r="B1313" s="1" t="n">
        <v>44839</v>
      </c>
      <c r="C1313" s="1" t="n">
        <v>45845</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44506-2022</t>
        </is>
      </c>
      <c r="B1314" s="1" t="n">
        <v>44840</v>
      </c>
      <c r="C1314" s="1" t="n">
        <v>45845</v>
      </c>
      <c r="D1314" t="inlineStr">
        <is>
          <t>VÄSTERNORRLANDS LÄN</t>
        </is>
      </c>
      <c r="E1314" t="inlineStr">
        <is>
          <t>SUNDSVALL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44756-2022</t>
        </is>
      </c>
      <c r="B1315" s="1" t="n">
        <v>44841</v>
      </c>
      <c r="C1315" s="1" t="n">
        <v>45845</v>
      </c>
      <c r="D1315" t="inlineStr">
        <is>
          <t>VÄSTERNORRLANDS LÄN</t>
        </is>
      </c>
      <c r="E1315" t="inlineStr">
        <is>
          <t>SUNDSVALL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44773-2022</t>
        </is>
      </c>
      <c r="B1316" s="1" t="n">
        <v>44841</v>
      </c>
      <c r="C1316" s="1" t="n">
        <v>45845</v>
      </c>
      <c r="D1316" t="inlineStr">
        <is>
          <t>VÄSTERNORRLANDS LÄN</t>
        </is>
      </c>
      <c r="E1316" t="inlineStr">
        <is>
          <t>SUNDSVALL</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44774-2022</t>
        </is>
      </c>
      <c r="B1317" s="1" t="n">
        <v>44841</v>
      </c>
      <c r="C1317" s="1" t="n">
        <v>45845</v>
      </c>
      <c r="D1317" t="inlineStr">
        <is>
          <t>VÄSTERNORRLANDS LÄN</t>
        </is>
      </c>
      <c r="E1317" t="inlineStr">
        <is>
          <t>SUNDSVALL</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44800-2022</t>
        </is>
      </c>
      <c r="B1318" s="1" t="n">
        <v>44841</v>
      </c>
      <c r="C1318" s="1" t="n">
        <v>45845</v>
      </c>
      <c r="D1318" t="inlineStr">
        <is>
          <t>VÄSTERNORRLANDS LÄN</t>
        </is>
      </c>
      <c r="E1318" t="inlineStr">
        <is>
          <t>SUNDSVALL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45440-2022</t>
        </is>
      </c>
      <c r="B1319" s="1" t="n">
        <v>44845</v>
      </c>
      <c r="C1319" s="1" t="n">
        <v>45845</v>
      </c>
      <c r="D1319" t="inlineStr">
        <is>
          <t>VÄSTERNORRLANDS LÄN</t>
        </is>
      </c>
      <c r="E1319" t="inlineStr">
        <is>
          <t>SUNDSVALL</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45870-2022</t>
        </is>
      </c>
      <c r="B1320" s="1" t="n">
        <v>44844</v>
      </c>
      <c r="C1320" s="1" t="n">
        <v>45845</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45696-2022</t>
        </is>
      </c>
      <c r="B1321" s="1" t="n">
        <v>44846</v>
      </c>
      <c r="C1321" s="1" t="n">
        <v>45845</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45700-2022</t>
        </is>
      </c>
      <c r="B1322" s="1" t="n">
        <v>44845</v>
      </c>
      <c r="C1322" s="1" t="n">
        <v>45845</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45704-2022</t>
        </is>
      </c>
      <c r="B1323" s="1" t="n">
        <v>44846</v>
      </c>
      <c r="C1323" s="1" t="n">
        <v>45845</v>
      </c>
      <c r="D1323" t="inlineStr">
        <is>
          <t>VÄSTERNORRLANDS LÄN</t>
        </is>
      </c>
      <c r="E1323" t="inlineStr">
        <is>
          <t>SUNDSVALL</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45716-2022</t>
        </is>
      </c>
      <c r="B1324" s="1" t="n">
        <v>44845</v>
      </c>
      <c r="C1324" s="1" t="n">
        <v>45845</v>
      </c>
      <c r="D1324" t="inlineStr">
        <is>
          <t>VÄSTERNORRLANDS LÄN</t>
        </is>
      </c>
      <c r="E1324" t="inlineStr">
        <is>
          <t>SUNDSVALL</t>
        </is>
      </c>
      <c r="F1324" t="inlineStr">
        <is>
          <t>Naturvårdsverket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46044-2022</t>
        </is>
      </c>
      <c r="B1325" s="1" t="n">
        <v>44846</v>
      </c>
      <c r="C1325" s="1" t="n">
        <v>45845</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46247-2022</t>
        </is>
      </c>
      <c r="B1326" s="1" t="n">
        <v>44846</v>
      </c>
      <c r="C1326" s="1" t="n">
        <v>45845</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46632-2022</t>
        </is>
      </c>
      <c r="B1327" s="1" t="n">
        <v>44849</v>
      </c>
      <c r="C1327" s="1" t="n">
        <v>45845</v>
      </c>
      <c r="D1327" t="inlineStr">
        <is>
          <t>VÄSTERNORRLANDS LÄN</t>
        </is>
      </c>
      <c r="E1327" t="inlineStr">
        <is>
          <t>SUNDSVALL</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46735-2022</t>
        </is>
      </c>
      <c r="B1328" s="1" t="n">
        <v>44851</v>
      </c>
      <c r="C1328" s="1" t="n">
        <v>45845</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45845</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46954-2022</t>
        </is>
      </c>
      <c r="B1330" s="1" t="n">
        <v>44851</v>
      </c>
      <c r="C1330" s="1" t="n">
        <v>45845</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46949-2022</t>
        </is>
      </c>
      <c r="B1331" s="1" t="n">
        <v>44851</v>
      </c>
      <c r="C1331" s="1" t="n">
        <v>45845</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46956-2022</t>
        </is>
      </c>
      <c r="B1332" s="1" t="n">
        <v>44851</v>
      </c>
      <c r="C1332" s="1" t="n">
        <v>45845</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46970-2022</t>
        </is>
      </c>
      <c r="B1333" s="1" t="n">
        <v>44852</v>
      </c>
      <c r="C1333" s="1" t="n">
        <v>45845</v>
      </c>
      <c r="D1333" t="inlineStr">
        <is>
          <t>VÄSTERNORRLANDS LÄN</t>
        </is>
      </c>
      <c r="E1333" t="inlineStr">
        <is>
          <t>SUNDSVALL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47197-2022</t>
        </is>
      </c>
      <c r="B1334" s="1" t="n">
        <v>44851</v>
      </c>
      <c r="C1334" s="1" t="n">
        <v>45845</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47512-2022</t>
        </is>
      </c>
      <c r="B1335" s="1" t="n">
        <v>44852</v>
      </c>
      <c r="C1335" s="1" t="n">
        <v>45845</v>
      </c>
      <c r="D1335" t="inlineStr">
        <is>
          <t>VÄSTERNORRLANDS LÄN</t>
        </is>
      </c>
      <c r="E1335" t="inlineStr">
        <is>
          <t>SUNDSVALL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47249-2022</t>
        </is>
      </c>
      <c r="B1336" s="1" t="n">
        <v>44852</v>
      </c>
      <c r="C1336" s="1" t="n">
        <v>45845</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47809-2022</t>
        </is>
      </c>
      <c r="B1337" s="1" t="n">
        <v>44854</v>
      </c>
      <c r="C1337" s="1" t="n">
        <v>45845</v>
      </c>
      <c r="D1337" t="inlineStr">
        <is>
          <t>VÄSTERNORRLANDS LÄN</t>
        </is>
      </c>
      <c r="E1337" t="inlineStr">
        <is>
          <t>SUNDSVALL</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47897-2022</t>
        </is>
      </c>
      <c r="B1338" s="1" t="n">
        <v>44855</v>
      </c>
      <c r="C1338" s="1" t="n">
        <v>45845</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47905-2022</t>
        </is>
      </c>
      <c r="B1339" s="1" t="n">
        <v>44855</v>
      </c>
      <c r="C1339" s="1" t="n">
        <v>45845</v>
      </c>
      <c r="D1339" t="inlineStr">
        <is>
          <t>VÄSTERNORRLANDS LÄN</t>
        </is>
      </c>
      <c r="E1339" t="inlineStr">
        <is>
          <t>SUNDSVALL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48541-2022</t>
        </is>
      </c>
      <c r="B1340" s="1" t="n">
        <v>44859</v>
      </c>
      <c r="C1340" s="1" t="n">
        <v>45845</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48552-2022</t>
        </is>
      </c>
      <c r="B1341" s="1" t="n">
        <v>44858</v>
      </c>
      <c r="C1341" s="1" t="n">
        <v>45845</v>
      </c>
      <c r="D1341" t="inlineStr">
        <is>
          <t>VÄSTERNORRLANDS LÄN</t>
        </is>
      </c>
      <c r="E1341" t="inlineStr">
        <is>
          <t>SUNDSVALL</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48540-2022</t>
        </is>
      </c>
      <c r="B1342" s="1" t="n">
        <v>44859</v>
      </c>
      <c r="C1342" s="1" t="n">
        <v>45845</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48550-2022</t>
        </is>
      </c>
      <c r="B1343" s="1" t="n">
        <v>44858</v>
      </c>
      <c r="C1343" s="1" t="n">
        <v>45845</v>
      </c>
      <c r="D1343" t="inlineStr">
        <is>
          <t>VÄSTERNORRLANDS LÄN</t>
        </is>
      </c>
      <c r="E1343" t="inlineStr">
        <is>
          <t>SUNDSVALL</t>
        </is>
      </c>
      <c r="F1343" t="inlineStr">
        <is>
          <t>Naturvårdsverket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48931-2022</t>
        </is>
      </c>
      <c r="B1344" s="1" t="n">
        <v>44860</v>
      </c>
      <c r="C1344" s="1" t="n">
        <v>45845</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49984-2022</t>
        </is>
      </c>
      <c r="B1345" s="1" t="n">
        <v>44859</v>
      </c>
      <c r="C1345" s="1" t="n">
        <v>45845</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48993-2022</t>
        </is>
      </c>
      <c r="B1346" s="1" t="n">
        <v>44860</v>
      </c>
      <c r="C1346" s="1" t="n">
        <v>45845</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49186-2022</t>
        </is>
      </c>
      <c r="B1347" s="1" t="n">
        <v>44860</v>
      </c>
      <c r="C1347" s="1" t="n">
        <v>45845</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50405-2022</t>
        </is>
      </c>
      <c r="B1348" s="1" t="n">
        <v>44861</v>
      </c>
      <c r="C1348" s="1" t="n">
        <v>45845</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50426-2022</t>
        </is>
      </c>
      <c r="B1349" s="1" t="n">
        <v>44861</v>
      </c>
      <c r="C1349" s="1" t="n">
        <v>45845</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49539-2022</t>
        </is>
      </c>
      <c r="B1350" s="1" t="n">
        <v>44862</v>
      </c>
      <c r="C1350" s="1" t="n">
        <v>45845</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49857-2022</t>
        </is>
      </c>
      <c r="B1351" s="1" t="n">
        <v>44862</v>
      </c>
      <c r="C1351" s="1" t="n">
        <v>45845</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50824-2022</t>
        </is>
      </c>
      <c r="B1352" s="1" t="n">
        <v>44862</v>
      </c>
      <c r="C1352" s="1" t="n">
        <v>45845</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50652-2022</t>
        </is>
      </c>
      <c r="B1353" s="1" t="n">
        <v>44866</v>
      </c>
      <c r="C1353" s="1" t="n">
        <v>45845</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50651-2022</t>
        </is>
      </c>
      <c r="B1354" s="1" t="n">
        <v>44866</v>
      </c>
      <c r="C1354" s="1" t="n">
        <v>45845</v>
      </c>
      <c r="D1354" t="inlineStr">
        <is>
          <t>VÄSTERNORRLANDS LÄN</t>
        </is>
      </c>
      <c r="E1354" t="inlineStr">
        <is>
          <t>SUNDSVALL</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50654-2022</t>
        </is>
      </c>
      <c r="B1355" s="1" t="n">
        <v>44866</v>
      </c>
      <c r="C1355" s="1" t="n">
        <v>45845</v>
      </c>
      <c r="D1355" t="inlineStr">
        <is>
          <t>VÄSTERNORRLANDS LÄN</t>
        </is>
      </c>
      <c r="E1355" t="inlineStr">
        <is>
          <t>SUNDSVALL</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51004-2022</t>
        </is>
      </c>
      <c r="B1356" s="1" t="n">
        <v>44867</v>
      </c>
      <c r="C1356" s="1" t="n">
        <v>45845</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51366-2022</t>
        </is>
      </c>
      <c r="B1357" s="1" t="n">
        <v>44869</v>
      </c>
      <c r="C1357" s="1" t="n">
        <v>45845</v>
      </c>
      <c r="D1357" t="inlineStr">
        <is>
          <t>VÄSTERNORRLANDS LÄN</t>
        </is>
      </c>
      <c r="E1357" t="inlineStr">
        <is>
          <t>SUNDSVALL</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51370-2022</t>
        </is>
      </c>
      <c r="B1358" s="1" t="n">
        <v>44869</v>
      </c>
      <c r="C1358" s="1" t="n">
        <v>45845</v>
      </c>
      <c r="D1358" t="inlineStr">
        <is>
          <t>VÄSTERNORRLANDS LÄN</t>
        </is>
      </c>
      <c r="E1358" t="inlineStr">
        <is>
          <t>SUNDSVALL</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51382-2022</t>
        </is>
      </c>
      <c r="B1359" s="1" t="n">
        <v>44869</v>
      </c>
      <c r="C1359" s="1" t="n">
        <v>45845</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51360-2022</t>
        </is>
      </c>
      <c r="B1360" s="1" t="n">
        <v>44869</v>
      </c>
      <c r="C1360" s="1" t="n">
        <v>45845</v>
      </c>
      <c r="D1360" t="inlineStr">
        <is>
          <t>VÄSTERNORRLANDS LÄN</t>
        </is>
      </c>
      <c r="E1360" t="inlineStr">
        <is>
          <t>SUNDSVALL</t>
        </is>
      </c>
      <c r="G1360" t="n">
        <v>30.9</v>
      </c>
      <c r="H1360" t="n">
        <v>0</v>
      </c>
      <c r="I1360" t="n">
        <v>0</v>
      </c>
      <c r="J1360" t="n">
        <v>0</v>
      </c>
      <c r="K1360" t="n">
        <v>0</v>
      </c>
      <c r="L1360" t="n">
        <v>0</v>
      </c>
      <c r="M1360" t="n">
        <v>0</v>
      </c>
      <c r="N1360" t="n">
        <v>0</v>
      </c>
      <c r="O1360" t="n">
        <v>0</v>
      </c>
      <c r="P1360" t="n">
        <v>0</v>
      </c>
      <c r="Q1360" t="n">
        <v>0</v>
      </c>
      <c r="R1360" s="2" t="inlineStr"/>
    </row>
    <row r="1361" ht="15" customHeight="1">
      <c r="A1361" t="inlineStr">
        <is>
          <t>A 51547-2022</t>
        </is>
      </c>
      <c r="B1361" s="1" t="n">
        <v>44869</v>
      </c>
      <c r="C1361" s="1" t="n">
        <v>45845</v>
      </c>
      <c r="D1361" t="inlineStr">
        <is>
          <t>VÄSTERNORRLANDS LÄN</t>
        </is>
      </c>
      <c r="E1361" t="inlineStr">
        <is>
          <t>SUNDSVALL</t>
        </is>
      </c>
      <c r="F1361" t="inlineStr">
        <is>
          <t>SCA</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51585-2022</t>
        </is>
      </c>
      <c r="B1362" s="1" t="n">
        <v>44870</v>
      </c>
      <c r="C1362" s="1" t="n">
        <v>45845</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52029-2022</t>
        </is>
      </c>
      <c r="B1363" s="1" t="n">
        <v>44872</v>
      </c>
      <c r="C1363" s="1" t="n">
        <v>45845</v>
      </c>
      <c r="D1363" t="inlineStr">
        <is>
          <t>VÄSTERNORRLANDS LÄN</t>
        </is>
      </c>
      <c r="E1363" t="inlineStr">
        <is>
          <t>SUNDSVALL</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52334-2022</t>
        </is>
      </c>
      <c r="B1364" s="1" t="n">
        <v>44873</v>
      </c>
      <c r="C1364" s="1" t="n">
        <v>45845</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52731-2022</t>
        </is>
      </c>
      <c r="B1365" s="1" t="n">
        <v>44874</v>
      </c>
      <c r="C1365" s="1" t="n">
        <v>45845</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52706-2022</t>
        </is>
      </c>
      <c r="B1366" s="1" t="n">
        <v>44874</v>
      </c>
      <c r="C1366" s="1" t="n">
        <v>45845</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52740-2022</t>
        </is>
      </c>
      <c r="B1367" s="1" t="n">
        <v>44874</v>
      </c>
      <c r="C1367" s="1" t="n">
        <v>45845</v>
      </c>
      <c r="D1367" t="inlineStr">
        <is>
          <t>VÄSTERNORRLANDS LÄN</t>
        </is>
      </c>
      <c r="E1367" t="inlineStr">
        <is>
          <t>SUNDSVALL</t>
        </is>
      </c>
      <c r="F1367" t="inlineStr">
        <is>
          <t>SCA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53002-2022</t>
        </is>
      </c>
      <c r="B1368" s="1" t="n">
        <v>44875</v>
      </c>
      <c r="C1368" s="1" t="n">
        <v>45845</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53003-2022</t>
        </is>
      </c>
      <c r="B1369" s="1" t="n">
        <v>44875</v>
      </c>
      <c r="C1369" s="1" t="n">
        <v>45845</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53023-2022</t>
        </is>
      </c>
      <c r="B1370" s="1" t="n">
        <v>44875</v>
      </c>
      <c r="C1370" s="1" t="n">
        <v>45845</v>
      </c>
      <c r="D1370" t="inlineStr">
        <is>
          <t>VÄSTERNORRLANDS LÄN</t>
        </is>
      </c>
      <c r="E1370" t="inlineStr">
        <is>
          <t>SUNDSVALL</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53286-2022</t>
        </is>
      </c>
      <c r="B1371" s="1" t="n">
        <v>44876</v>
      </c>
      <c r="C1371" s="1" t="n">
        <v>45845</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53272-2022</t>
        </is>
      </c>
      <c r="B1372" s="1" t="n">
        <v>44876</v>
      </c>
      <c r="C1372" s="1" t="n">
        <v>45845</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53289-2022</t>
        </is>
      </c>
      <c r="B1373" s="1" t="n">
        <v>44876</v>
      </c>
      <c r="C1373" s="1" t="n">
        <v>45845</v>
      </c>
      <c r="D1373" t="inlineStr">
        <is>
          <t>VÄSTERNORRLANDS LÄN</t>
        </is>
      </c>
      <c r="E1373" t="inlineStr">
        <is>
          <t>SUNDSVALL</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53648-2022</t>
        </is>
      </c>
      <c r="B1374" s="1" t="n">
        <v>44879</v>
      </c>
      <c r="C1374" s="1" t="n">
        <v>45845</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53645-2022</t>
        </is>
      </c>
      <c r="B1375" s="1" t="n">
        <v>44879</v>
      </c>
      <c r="C1375" s="1" t="n">
        <v>45845</v>
      </c>
      <c r="D1375" t="inlineStr">
        <is>
          <t>VÄSTERNORRLANDS LÄN</t>
        </is>
      </c>
      <c r="E1375" t="inlineStr">
        <is>
          <t>SUNDSVALL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53649-2022</t>
        </is>
      </c>
      <c r="B1376" s="1" t="n">
        <v>44879</v>
      </c>
      <c r="C1376" s="1" t="n">
        <v>45845</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53647-2022</t>
        </is>
      </c>
      <c r="B1377" s="1" t="n">
        <v>44879</v>
      </c>
      <c r="C1377" s="1" t="n">
        <v>45845</v>
      </c>
      <c r="D1377" t="inlineStr">
        <is>
          <t>VÄSTERNORRLANDS LÄN</t>
        </is>
      </c>
      <c r="E1377" t="inlineStr">
        <is>
          <t>SUNDSVALL</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53921-2022</t>
        </is>
      </c>
      <c r="B1378" s="1" t="n">
        <v>44880</v>
      </c>
      <c r="C1378" s="1" t="n">
        <v>45845</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53949-2022</t>
        </is>
      </c>
      <c r="B1379" s="1" t="n">
        <v>44880</v>
      </c>
      <c r="C1379" s="1" t="n">
        <v>45845</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53939-2022</t>
        </is>
      </c>
      <c r="B1380" s="1" t="n">
        <v>44880</v>
      </c>
      <c r="C1380" s="1" t="n">
        <v>45845</v>
      </c>
      <c r="D1380" t="inlineStr">
        <is>
          <t>VÄSTERNORRLANDS LÄN</t>
        </is>
      </c>
      <c r="E1380" t="inlineStr">
        <is>
          <t>SUNDSVALL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53934-2022</t>
        </is>
      </c>
      <c r="B1381" s="1" t="n">
        <v>44880</v>
      </c>
      <c r="C1381" s="1" t="n">
        <v>45845</v>
      </c>
      <c r="D1381" t="inlineStr">
        <is>
          <t>VÄSTERNORRLANDS LÄN</t>
        </is>
      </c>
      <c r="E1381" t="inlineStr">
        <is>
          <t>SUNDSVALL</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53932-2022</t>
        </is>
      </c>
      <c r="B1382" s="1" t="n">
        <v>44880</v>
      </c>
      <c r="C1382" s="1" t="n">
        <v>45845</v>
      </c>
      <c r="D1382" t="inlineStr">
        <is>
          <t>VÄSTERNORRLANDS LÄN</t>
        </is>
      </c>
      <c r="E1382" t="inlineStr">
        <is>
          <t>SUNDSVALL</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53943-2022</t>
        </is>
      </c>
      <c r="B1383" s="1" t="n">
        <v>44880</v>
      </c>
      <c r="C1383" s="1" t="n">
        <v>45845</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54030-2022</t>
        </is>
      </c>
      <c r="B1384" s="1" t="n">
        <v>44881</v>
      </c>
      <c r="C1384" s="1" t="n">
        <v>45845</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54180-2022</t>
        </is>
      </c>
      <c r="B1385" s="1" t="n">
        <v>44881</v>
      </c>
      <c r="C1385" s="1" t="n">
        <v>45845</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54998-2022</t>
        </is>
      </c>
      <c r="B1386" s="1" t="n">
        <v>44881</v>
      </c>
      <c r="C1386" s="1" t="n">
        <v>45845</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54993-2022</t>
        </is>
      </c>
      <c r="B1387" s="1" t="n">
        <v>44881</v>
      </c>
      <c r="C1387" s="1" t="n">
        <v>45845</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55019-2022</t>
        </is>
      </c>
      <c r="B1388" s="1" t="n">
        <v>44881</v>
      </c>
      <c r="C1388" s="1" t="n">
        <v>45845</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45845</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54578-2022</t>
        </is>
      </c>
      <c r="B1390" s="1" t="n">
        <v>44882</v>
      </c>
      <c r="C1390" s="1" t="n">
        <v>45845</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45845</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55340-2022</t>
        </is>
      </c>
      <c r="B1392" s="1" t="n">
        <v>44882</v>
      </c>
      <c r="C1392" s="1" t="n">
        <v>45845</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55217-2022</t>
        </is>
      </c>
      <c r="B1393" s="1" t="n">
        <v>44887</v>
      </c>
      <c r="C1393" s="1" t="n">
        <v>45845</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55498-2022</t>
        </is>
      </c>
      <c r="B1394" s="1" t="n">
        <v>44887</v>
      </c>
      <c r="C1394" s="1" t="n">
        <v>45845</v>
      </c>
      <c r="D1394" t="inlineStr">
        <is>
          <t>VÄSTERNORRLANDS LÄN</t>
        </is>
      </c>
      <c r="E1394" t="inlineStr">
        <is>
          <t>SUNDSVALL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v>
      </c>
      <c r="C1395" s="1" t="n">
        <v>45845</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55528-2022</t>
        </is>
      </c>
      <c r="B1396" s="1" t="n">
        <v>44887</v>
      </c>
      <c r="C1396" s="1" t="n">
        <v>45845</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55876-2022</t>
        </is>
      </c>
      <c r="B1397" s="1" t="n">
        <v>44888</v>
      </c>
      <c r="C1397" s="1" t="n">
        <v>45845</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55874-2022</t>
        </is>
      </c>
      <c r="B1398" s="1" t="n">
        <v>44888</v>
      </c>
      <c r="C1398" s="1" t="n">
        <v>45845</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55881-2022</t>
        </is>
      </c>
      <c r="B1399" s="1" t="n">
        <v>44888</v>
      </c>
      <c r="C1399" s="1" t="n">
        <v>45845</v>
      </c>
      <c r="D1399" t="inlineStr">
        <is>
          <t>VÄSTERNORRLANDS LÄN</t>
        </is>
      </c>
      <c r="E1399" t="inlineStr">
        <is>
          <t>SUNDSVALL</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55873-2022</t>
        </is>
      </c>
      <c r="B1400" s="1" t="n">
        <v>44888</v>
      </c>
      <c r="C1400" s="1" t="n">
        <v>45845</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55878-2022</t>
        </is>
      </c>
      <c r="B1401" s="1" t="n">
        <v>44888</v>
      </c>
      <c r="C1401" s="1" t="n">
        <v>45845</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55875-2022</t>
        </is>
      </c>
      <c r="B1402" s="1" t="n">
        <v>44888</v>
      </c>
      <c r="C1402" s="1" t="n">
        <v>45845</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55896-2022</t>
        </is>
      </c>
      <c r="B1403" s="1" t="n">
        <v>44888</v>
      </c>
      <c r="C1403" s="1" t="n">
        <v>45845</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55890-2022</t>
        </is>
      </c>
      <c r="B1404" s="1" t="n">
        <v>44888</v>
      </c>
      <c r="C1404" s="1" t="n">
        <v>45845</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55897-2022</t>
        </is>
      </c>
      <c r="B1405" s="1" t="n">
        <v>44888</v>
      </c>
      <c r="C1405" s="1" t="n">
        <v>45845</v>
      </c>
      <c r="D1405" t="inlineStr">
        <is>
          <t>VÄSTERNORRLANDS LÄN</t>
        </is>
      </c>
      <c r="E1405" t="inlineStr">
        <is>
          <t>SUNDSVALL</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55985-2022</t>
        </is>
      </c>
      <c r="B1406" s="1" t="n">
        <v>44889</v>
      </c>
      <c r="C1406" s="1" t="n">
        <v>45845</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55986-2022</t>
        </is>
      </c>
      <c r="B1407" s="1" t="n">
        <v>44889</v>
      </c>
      <c r="C1407" s="1" t="n">
        <v>45845</v>
      </c>
      <c r="D1407" t="inlineStr">
        <is>
          <t>VÄSTERNORRLANDS LÄN</t>
        </is>
      </c>
      <c r="E1407" t="inlineStr">
        <is>
          <t>SUNDSVALL</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56178-2022</t>
        </is>
      </c>
      <c r="B1408" s="1" t="n">
        <v>44889</v>
      </c>
      <c r="C1408" s="1" t="n">
        <v>45845</v>
      </c>
      <c r="D1408" t="inlineStr">
        <is>
          <t>VÄSTERNORRLANDS LÄN</t>
        </is>
      </c>
      <c r="E1408" t="inlineStr">
        <is>
          <t>SUNDSVALL</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56417-2022</t>
        </is>
      </c>
      <c r="B1409" s="1" t="n">
        <v>44890</v>
      </c>
      <c r="C1409" s="1" t="n">
        <v>45845</v>
      </c>
      <c r="D1409" t="inlineStr">
        <is>
          <t>VÄSTERNORRLANDS LÄN</t>
        </is>
      </c>
      <c r="E1409" t="inlineStr">
        <is>
          <t>SUNDSVALL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56420-2022</t>
        </is>
      </c>
      <c r="B1410" s="1" t="n">
        <v>44890</v>
      </c>
      <c r="C1410" s="1" t="n">
        <v>45845</v>
      </c>
      <c r="D1410" t="inlineStr">
        <is>
          <t>VÄSTERNORRLANDS LÄN</t>
        </is>
      </c>
      <c r="E1410" t="inlineStr">
        <is>
          <t>SUNDSVALL</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58218-2022</t>
        </is>
      </c>
      <c r="B1411" s="1" t="n">
        <v>44893</v>
      </c>
      <c r="C1411" s="1" t="n">
        <v>45845</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57007-2022</t>
        </is>
      </c>
      <c r="B1412" s="1" t="n">
        <v>44894</v>
      </c>
      <c r="C1412" s="1" t="n">
        <v>45845</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57363-2022</t>
        </is>
      </c>
      <c r="B1413" s="1" t="n">
        <v>44896</v>
      </c>
      <c r="C1413" s="1" t="n">
        <v>45845</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57373-2022</t>
        </is>
      </c>
      <c r="B1414" s="1" t="n">
        <v>44896</v>
      </c>
      <c r="C1414" s="1" t="n">
        <v>45845</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57832-2022</t>
        </is>
      </c>
      <c r="B1415" s="1" t="n">
        <v>44897</v>
      </c>
      <c r="C1415" s="1" t="n">
        <v>45845</v>
      </c>
      <c r="D1415" t="inlineStr">
        <is>
          <t>VÄSTERNORRLANDS LÄN</t>
        </is>
      </c>
      <c r="E1415" t="inlineStr">
        <is>
          <t>SUNDSVALL</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57830-2022</t>
        </is>
      </c>
      <c r="B1416" s="1" t="n">
        <v>44897</v>
      </c>
      <c r="C1416" s="1" t="n">
        <v>45845</v>
      </c>
      <c r="D1416" t="inlineStr">
        <is>
          <t>VÄSTERNORRLANDS LÄN</t>
        </is>
      </c>
      <c r="E1416" t="inlineStr">
        <is>
          <t>SUNDSVALL</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57838-2022</t>
        </is>
      </c>
      <c r="B1417" s="1" t="n">
        <v>44897</v>
      </c>
      <c r="C1417" s="1" t="n">
        <v>45845</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57828-2022</t>
        </is>
      </c>
      <c r="B1418" s="1" t="n">
        <v>44897</v>
      </c>
      <c r="C1418" s="1" t="n">
        <v>45845</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58185-2022</t>
        </is>
      </c>
      <c r="B1419" s="1" t="n">
        <v>44900</v>
      </c>
      <c r="C1419" s="1" t="n">
        <v>45845</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58165-2022</t>
        </is>
      </c>
      <c r="B1420" s="1" t="n">
        <v>44900</v>
      </c>
      <c r="C1420" s="1" t="n">
        <v>45845</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v>
      </c>
      <c r="C1421" s="1" t="n">
        <v>45845</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58290-2022</t>
        </is>
      </c>
      <c r="B1422" s="1" t="n">
        <v>44901</v>
      </c>
      <c r="C1422" s="1" t="n">
        <v>45845</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58352-2022</t>
        </is>
      </c>
      <c r="B1423" s="1" t="n">
        <v>44901</v>
      </c>
      <c r="C1423" s="1" t="n">
        <v>45845</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58419-2022</t>
        </is>
      </c>
      <c r="B1424" s="1" t="n">
        <v>44901</v>
      </c>
      <c r="C1424" s="1" t="n">
        <v>45845</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58713-2022</t>
        </is>
      </c>
      <c r="B1425" s="1" t="n">
        <v>44902</v>
      </c>
      <c r="C1425" s="1" t="n">
        <v>45845</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58781-2022</t>
        </is>
      </c>
      <c r="B1426" s="1" t="n">
        <v>44903</v>
      </c>
      <c r="C1426" s="1" t="n">
        <v>45845</v>
      </c>
      <c r="D1426" t="inlineStr">
        <is>
          <t>VÄSTERNORRLANDS LÄN</t>
        </is>
      </c>
      <c r="E1426" t="inlineStr">
        <is>
          <t>SUNDSVALL</t>
        </is>
      </c>
      <c r="F1426" t="inlineStr">
        <is>
          <t>Holmen skog AB</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59296-2022</t>
        </is>
      </c>
      <c r="B1427" s="1" t="n">
        <v>44904</v>
      </c>
      <c r="C1427" s="1" t="n">
        <v>45845</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59115-2022</t>
        </is>
      </c>
      <c r="B1428" s="1" t="n">
        <v>44904</v>
      </c>
      <c r="C1428" s="1" t="n">
        <v>45845</v>
      </c>
      <c r="D1428" t="inlineStr">
        <is>
          <t>VÄSTERNORRLANDS LÄN</t>
        </is>
      </c>
      <c r="E1428" t="inlineStr">
        <is>
          <t>SUNDSVALL</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59122-2022</t>
        </is>
      </c>
      <c r="B1429" s="1" t="n">
        <v>44904</v>
      </c>
      <c r="C1429" s="1" t="n">
        <v>45845</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59335-2022</t>
        </is>
      </c>
      <c r="B1430" s="1" t="n">
        <v>44904</v>
      </c>
      <c r="C1430" s="1" t="n">
        <v>45845</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59512-2022</t>
        </is>
      </c>
      <c r="B1431" s="1" t="n">
        <v>44907</v>
      </c>
      <c r="C1431" s="1" t="n">
        <v>45845</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44908</v>
      </c>
      <c r="C1432" s="1" t="n">
        <v>45845</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59639-2022</t>
        </is>
      </c>
      <c r="B1433" s="1" t="n">
        <v>44908</v>
      </c>
      <c r="C1433" s="1" t="n">
        <v>45845</v>
      </c>
      <c r="D1433" t="inlineStr">
        <is>
          <t>VÄSTERNORRLANDS LÄN</t>
        </is>
      </c>
      <c r="E1433" t="inlineStr">
        <is>
          <t>SUNDSVALL</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59770-2022</t>
        </is>
      </c>
      <c r="B1434" s="1" t="n">
        <v>44908</v>
      </c>
      <c r="C1434" s="1" t="n">
        <v>45845</v>
      </c>
      <c r="D1434" t="inlineStr">
        <is>
          <t>VÄSTERNORRLANDS LÄN</t>
        </is>
      </c>
      <c r="E1434" t="inlineStr">
        <is>
          <t>SUNDSVALL</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45845</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60399-2022</t>
        </is>
      </c>
      <c r="B1436" s="1" t="n">
        <v>44910</v>
      </c>
      <c r="C1436" s="1" t="n">
        <v>45845</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60604-2022</t>
        </is>
      </c>
      <c r="B1437" s="1" t="n">
        <v>44911</v>
      </c>
      <c r="C1437" s="1" t="n">
        <v>45845</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60613-2022</t>
        </is>
      </c>
      <c r="B1438" s="1" t="n">
        <v>44911</v>
      </c>
      <c r="C1438" s="1" t="n">
        <v>45845</v>
      </c>
      <c r="D1438" t="inlineStr">
        <is>
          <t>VÄSTERNORRLANDS LÄN</t>
        </is>
      </c>
      <c r="E1438" t="inlineStr">
        <is>
          <t>SUNDSVALL</t>
        </is>
      </c>
      <c r="F1438" t="inlineStr">
        <is>
          <t>Kyrkan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60651-2022</t>
        </is>
      </c>
      <c r="B1439" s="1" t="n">
        <v>44911</v>
      </c>
      <c r="C1439" s="1" t="n">
        <v>45845</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60684-2022</t>
        </is>
      </c>
      <c r="B1440" s="1" t="n">
        <v>44911</v>
      </c>
      <c r="C1440" s="1" t="n">
        <v>45845</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60650-2022</t>
        </is>
      </c>
      <c r="B1441" s="1" t="n">
        <v>44911</v>
      </c>
      <c r="C1441" s="1" t="n">
        <v>45845</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60890-2022</t>
        </is>
      </c>
      <c r="B1442" s="1" t="n">
        <v>44914</v>
      </c>
      <c r="C1442" s="1" t="n">
        <v>45845</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61049-2022</t>
        </is>
      </c>
      <c r="B1443" s="1" t="n">
        <v>44915</v>
      </c>
      <c r="C1443" s="1" t="n">
        <v>45845</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61727-2022</t>
        </is>
      </c>
      <c r="B1444" s="1" t="n">
        <v>44917</v>
      </c>
      <c r="C1444" s="1" t="n">
        <v>45845</v>
      </c>
      <c r="D1444" t="inlineStr">
        <is>
          <t>VÄSTERNORRLANDS LÄN</t>
        </is>
      </c>
      <c r="E1444" t="inlineStr">
        <is>
          <t>SUNDSVALL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61735-2022</t>
        </is>
      </c>
      <c r="B1445" s="1" t="n">
        <v>44917</v>
      </c>
      <c r="C1445" s="1" t="n">
        <v>45845</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61733-2022</t>
        </is>
      </c>
      <c r="B1446" s="1" t="n">
        <v>44917</v>
      </c>
      <c r="C1446" s="1" t="n">
        <v>45845</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62076-2022</t>
        </is>
      </c>
      <c r="B1447" s="1" t="n">
        <v>44918</v>
      </c>
      <c r="C1447" s="1" t="n">
        <v>45845</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200-2023</t>
        </is>
      </c>
      <c r="B1448" s="1" t="n">
        <v>44928</v>
      </c>
      <c r="C1448" s="1" t="n">
        <v>45845</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284-2023</t>
        </is>
      </c>
      <c r="B1449" s="1" t="n">
        <v>44928</v>
      </c>
      <c r="C1449" s="1" t="n">
        <v>45845</v>
      </c>
      <c r="D1449" t="inlineStr">
        <is>
          <t>VÄSTERNORRLANDS LÄN</t>
        </is>
      </c>
      <c r="E1449" t="inlineStr">
        <is>
          <t>SUNDSVALL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795-2023</t>
        </is>
      </c>
      <c r="B1450" s="1" t="n">
        <v>44928</v>
      </c>
      <c r="C1450" s="1" t="n">
        <v>45845</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304-2023</t>
        </is>
      </c>
      <c r="B1451" s="1" t="n">
        <v>44929</v>
      </c>
      <c r="C1451" s="1" t="n">
        <v>45845</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303-2023</t>
        </is>
      </c>
      <c r="B1452" s="1" t="n">
        <v>44929</v>
      </c>
      <c r="C1452" s="1" t="n">
        <v>45845</v>
      </c>
      <c r="D1452" t="inlineStr">
        <is>
          <t>VÄSTERNORRLANDS LÄN</t>
        </is>
      </c>
      <c r="E1452" t="inlineStr">
        <is>
          <t>SUNDSVALL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712-2023</t>
        </is>
      </c>
      <c r="B1453" s="1" t="n">
        <v>44930</v>
      </c>
      <c r="C1453" s="1" t="n">
        <v>45845</v>
      </c>
      <c r="D1453" t="inlineStr">
        <is>
          <t>VÄSTERNORRLANDS LÄN</t>
        </is>
      </c>
      <c r="E1453" t="inlineStr">
        <is>
          <t>SUNDSVALL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512-2023</t>
        </is>
      </c>
      <c r="B1454" s="1" t="n">
        <v>44930</v>
      </c>
      <c r="C1454" s="1" t="n">
        <v>45845</v>
      </c>
      <c r="D1454" t="inlineStr">
        <is>
          <t>VÄSTERNORRLANDS LÄN</t>
        </is>
      </c>
      <c r="E1454" t="inlineStr">
        <is>
          <t>SUNDSVALL</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1313-2023</t>
        </is>
      </c>
      <c r="B1455" s="1" t="n">
        <v>44931</v>
      </c>
      <c r="C1455" s="1" t="n">
        <v>45845</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1157-2023</t>
        </is>
      </c>
      <c r="B1456" s="1" t="n">
        <v>44935</v>
      </c>
      <c r="C1456" s="1" t="n">
        <v>45845</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1371-2023</t>
        </is>
      </c>
      <c r="B1457" s="1" t="n">
        <v>44936</v>
      </c>
      <c r="C1457" s="1" t="n">
        <v>45845</v>
      </c>
      <c r="D1457" t="inlineStr">
        <is>
          <t>VÄSTERNORRLANDS LÄN</t>
        </is>
      </c>
      <c r="E1457" t="inlineStr">
        <is>
          <t>SUNDSVALL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v>
      </c>
      <c r="C1458" s="1" t="n">
        <v>45845</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1417-2023</t>
        </is>
      </c>
      <c r="B1459" s="1" t="n">
        <v>44936</v>
      </c>
      <c r="C1459" s="1" t="n">
        <v>45845</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1473-2023</t>
        </is>
      </c>
      <c r="B1460" s="1" t="n">
        <v>44937</v>
      </c>
      <c r="C1460" s="1" t="n">
        <v>45845</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1483-2023</t>
        </is>
      </c>
      <c r="B1461" s="1" t="n">
        <v>44937</v>
      </c>
      <c r="C1461" s="1" t="n">
        <v>45845</v>
      </c>
      <c r="D1461" t="inlineStr">
        <is>
          <t>VÄSTERNORRLANDS LÄN</t>
        </is>
      </c>
      <c r="E1461" t="inlineStr">
        <is>
          <t>SUNDSVALL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1573-2023</t>
        </is>
      </c>
      <c r="B1462" s="1" t="n">
        <v>44937</v>
      </c>
      <c r="C1462" s="1" t="n">
        <v>45845</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2106-2023</t>
        </is>
      </c>
      <c r="B1463" s="1" t="n">
        <v>44939</v>
      </c>
      <c r="C1463" s="1" t="n">
        <v>45845</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2108-2023</t>
        </is>
      </c>
      <c r="B1464" s="1" t="n">
        <v>44939</v>
      </c>
      <c r="C1464" s="1" t="n">
        <v>45845</v>
      </c>
      <c r="D1464" t="inlineStr">
        <is>
          <t>VÄSTERNORRLANDS LÄN</t>
        </is>
      </c>
      <c r="E1464" t="inlineStr">
        <is>
          <t>SUNDSVALL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1981-2023</t>
        </is>
      </c>
      <c r="B1465" s="1" t="n">
        <v>44939</v>
      </c>
      <c r="C1465" s="1" t="n">
        <v>45845</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2107-2023</t>
        </is>
      </c>
      <c r="B1466" s="1" t="n">
        <v>44939</v>
      </c>
      <c r="C1466" s="1" t="n">
        <v>45845</v>
      </c>
      <c r="D1466" t="inlineStr">
        <is>
          <t>VÄSTERNORRLANDS LÄN</t>
        </is>
      </c>
      <c r="E1466" t="inlineStr">
        <is>
          <t>SUNDSVALL</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2129-2023</t>
        </is>
      </c>
      <c r="B1467" s="1" t="n">
        <v>44939</v>
      </c>
      <c r="C1467" s="1" t="n">
        <v>45845</v>
      </c>
      <c r="D1467" t="inlineStr">
        <is>
          <t>VÄSTERNORRLANDS LÄN</t>
        </is>
      </c>
      <c r="E1467" t="inlineStr">
        <is>
          <t>SUNDSVALL</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2109-2023</t>
        </is>
      </c>
      <c r="B1468" s="1" t="n">
        <v>44939</v>
      </c>
      <c r="C1468" s="1" t="n">
        <v>45845</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2131-2023</t>
        </is>
      </c>
      <c r="B1469" s="1" t="n">
        <v>44939</v>
      </c>
      <c r="C1469" s="1" t="n">
        <v>45845</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2399-2023</t>
        </is>
      </c>
      <c r="B1470" s="1" t="n">
        <v>44942</v>
      </c>
      <c r="C1470" s="1" t="n">
        <v>45845</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2428-2023</t>
        </is>
      </c>
      <c r="B1471" s="1" t="n">
        <v>44942</v>
      </c>
      <c r="C1471" s="1" t="n">
        <v>45845</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3634-2023</t>
        </is>
      </c>
      <c r="B1472" s="1" t="n">
        <v>44950</v>
      </c>
      <c r="C1472" s="1" t="n">
        <v>45845</v>
      </c>
      <c r="D1472" t="inlineStr">
        <is>
          <t>VÄSTERNORRLANDS LÄN</t>
        </is>
      </c>
      <c r="E1472" t="inlineStr">
        <is>
          <t>SUNDSVALL</t>
        </is>
      </c>
      <c r="G1472" t="n">
        <v>49.4</v>
      </c>
      <c r="H1472" t="n">
        <v>0</v>
      </c>
      <c r="I1472" t="n">
        <v>0</v>
      </c>
      <c r="J1472" t="n">
        <v>0</v>
      </c>
      <c r="K1472" t="n">
        <v>0</v>
      </c>
      <c r="L1472" t="n">
        <v>0</v>
      </c>
      <c r="M1472" t="n">
        <v>0</v>
      </c>
      <c r="N1472" t="n">
        <v>0</v>
      </c>
      <c r="O1472" t="n">
        <v>0</v>
      </c>
      <c r="P1472" t="n">
        <v>0</v>
      </c>
      <c r="Q1472" t="n">
        <v>0</v>
      </c>
      <c r="R1472" s="2" t="inlineStr"/>
    </row>
    <row r="1473" ht="15" customHeight="1">
      <c r="A1473" t="inlineStr">
        <is>
          <t>A 3688-2023</t>
        </is>
      </c>
      <c r="B1473" s="1" t="n">
        <v>44950</v>
      </c>
      <c r="C1473" s="1" t="n">
        <v>45845</v>
      </c>
      <c r="D1473" t="inlineStr">
        <is>
          <t>VÄSTERNORRLANDS LÄN</t>
        </is>
      </c>
      <c r="E1473" t="inlineStr">
        <is>
          <t>SUNDSVALL</t>
        </is>
      </c>
      <c r="F1473" t="inlineStr">
        <is>
          <t>Naturvårdsverket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3684-2023</t>
        </is>
      </c>
      <c r="B1474" s="1" t="n">
        <v>44950</v>
      </c>
      <c r="C1474" s="1" t="n">
        <v>45845</v>
      </c>
      <c r="D1474" t="inlineStr">
        <is>
          <t>VÄSTERNORRLANDS LÄN</t>
        </is>
      </c>
      <c r="E1474" t="inlineStr">
        <is>
          <t>SUNDSVALL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3699-2023</t>
        </is>
      </c>
      <c r="B1475" s="1" t="n">
        <v>44950</v>
      </c>
      <c r="C1475" s="1" t="n">
        <v>45845</v>
      </c>
      <c r="D1475" t="inlineStr">
        <is>
          <t>VÄSTERNORRLANDS LÄN</t>
        </is>
      </c>
      <c r="E1475" t="inlineStr">
        <is>
          <t>SUNDSVALL</t>
        </is>
      </c>
      <c r="F1475" t="inlineStr">
        <is>
          <t>Naturvårdsverket</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4800-2023</t>
        </is>
      </c>
      <c r="B1476" s="1" t="n">
        <v>44952</v>
      </c>
      <c r="C1476" s="1" t="n">
        <v>45845</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4367-2023</t>
        </is>
      </c>
      <c r="B1477" s="1" t="n">
        <v>44954</v>
      </c>
      <c r="C1477" s="1" t="n">
        <v>45845</v>
      </c>
      <c r="D1477" t="inlineStr">
        <is>
          <t>VÄSTERNORRLANDS LÄN</t>
        </is>
      </c>
      <c r="E1477" t="inlineStr">
        <is>
          <t>SUNDSVALL</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4912-2023</t>
        </is>
      </c>
      <c r="B1478" s="1" t="n">
        <v>44956</v>
      </c>
      <c r="C1478" s="1" t="n">
        <v>45845</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4619-2023</t>
        </is>
      </c>
      <c r="B1479" s="1" t="n">
        <v>44956</v>
      </c>
      <c r="C1479" s="1" t="n">
        <v>45845</v>
      </c>
      <c r="D1479" t="inlineStr">
        <is>
          <t>VÄSTERNORRLANDS LÄN</t>
        </is>
      </c>
      <c r="E1479" t="inlineStr">
        <is>
          <t>SUNDSVALL</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5178-2023</t>
        </is>
      </c>
      <c r="B1480" s="1" t="n">
        <v>44958</v>
      </c>
      <c r="C1480" s="1" t="n">
        <v>45845</v>
      </c>
      <c r="D1480" t="inlineStr">
        <is>
          <t>VÄSTERNORRLANDS LÄN</t>
        </is>
      </c>
      <c r="E1480" t="inlineStr">
        <is>
          <t>SUNDSVALL</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5948-2023</t>
        </is>
      </c>
      <c r="B1481" s="1" t="n">
        <v>44963</v>
      </c>
      <c r="C1481" s="1" t="n">
        <v>45845</v>
      </c>
      <c r="D1481" t="inlineStr">
        <is>
          <t>VÄSTERNORRLANDS LÄN</t>
        </is>
      </c>
      <c r="E1481" t="inlineStr">
        <is>
          <t>SUNDSVALL</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5949-2023</t>
        </is>
      </c>
      <c r="B1482" s="1" t="n">
        <v>44963</v>
      </c>
      <c r="C1482" s="1" t="n">
        <v>45845</v>
      </c>
      <c r="D1482" t="inlineStr">
        <is>
          <t>VÄSTERNORRLANDS LÄN</t>
        </is>
      </c>
      <c r="E1482" t="inlineStr">
        <is>
          <t>SUNDSVALL</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5921-2023</t>
        </is>
      </c>
      <c r="B1483" s="1" t="n">
        <v>44963</v>
      </c>
      <c r="C1483" s="1" t="n">
        <v>45845</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6237-2023</t>
        </is>
      </c>
      <c r="B1484" s="1" t="n">
        <v>44964</v>
      </c>
      <c r="C1484" s="1" t="n">
        <v>45845</v>
      </c>
      <c r="D1484" t="inlineStr">
        <is>
          <t>VÄSTERNORRLANDS LÄN</t>
        </is>
      </c>
      <c r="E1484" t="inlineStr">
        <is>
          <t>SUNDSVALL</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6228-2023</t>
        </is>
      </c>
      <c r="B1485" s="1" t="n">
        <v>44964</v>
      </c>
      <c r="C1485" s="1" t="n">
        <v>45845</v>
      </c>
      <c r="D1485" t="inlineStr">
        <is>
          <t>VÄSTERNORRLANDS LÄN</t>
        </is>
      </c>
      <c r="E1485" t="inlineStr">
        <is>
          <t>SUNDSVALL</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6453-2023</t>
        </is>
      </c>
      <c r="B1486" s="1" t="n">
        <v>44965</v>
      </c>
      <c r="C1486" s="1" t="n">
        <v>45845</v>
      </c>
      <c r="D1486" t="inlineStr">
        <is>
          <t>VÄSTERNORRLANDS LÄN</t>
        </is>
      </c>
      <c r="E1486" t="inlineStr">
        <is>
          <t>SUNDSVALL</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6460-2023</t>
        </is>
      </c>
      <c r="B1487" s="1" t="n">
        <v>44965</v>
      </c>
      <c r="C1487" s="1" t="n">
        <v>45845</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6471-2023</t>
        </is>
      </c>
      <c r="B1488" s="1" t="n">
        <v>44965</v>
      </c>
      <c r="C1488" s="1" t="n">
        <v>45845</v>
      </c>
      <c r="D1488" t="inlineStr">
        <is>
          <t>VÄSTERNORRLANDS LÄN</t>
        </is>
      </c>
      <c r="E1488" t="inlineStr">
        <is>
          <t>SUNDSVALL</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6477-2023</t>
        </is>
      </c>
      <c r="B1489" s="1" t="n">
        <v>44965</v>
      </c>
      <c r="C1489" s="1" t="n">
        <v>45845</v>
      </c>
      <c r="D1489" t="inlineStr">
        <is>
          <t>VÄSTERNORRLANDS LÄN</t>
        </is>
      </c>
      <c r="E1489" t="inlineStr">
        <is>
          <t>SUNDSVALL</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6457-2023</t>
        </is>
      </c>
      <c r="B1490" s="1" t="n">
        <v>44965</v>
      </c>
      <c r="C1490" s="1" t="n">
        <v>45845</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6461-2023</t>
        </is>
      </c>
      <c r="B1491" s="1" t="n">
        <v>44965</v>
      </c>
      <c r="C1491" s="1" t="n">
        <v>45845</v>
      </c>
      <c r="D1491" t="inlineStr">
        <is>
          <t>VÄSTERNORRLANDS LÄN</t>
        </is>
      </c>
      <c r="E1491" t="inlineStr">
        <is>
          <t>SUNDSVALL</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6466-2023</t>
        </is>
      </c>
      <c r="B1492" s="1" t="n">
        <v>44965</v>
      </c>
      <c r="C1492" s="1" t="n">
        <v>45845</v>
      </c>
      <c r="D1492" t="inlineStr">
        <is>
          <t>VÄSTERNORRLANDS LÄN</t>
        </is>
      </c>
      <c r="E1492" t="inlineStr">
        <is>
          <t>SUNDSVALL</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6454-2023</t>
        </is>
      </c>
      <c r="B1493" s="1" t="n">
        <v>44965</v>
      </c>
      <c r="C1493" s="1" t="n">
        <v>45845</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6468-2023</t>
        </is>
      </c>
      <c r="B1494" s="1" t="n">
        <v>44965</v>
      </c>
      <c r="C1494" s="1" t="n">
        <v>45845</v>
      </c>
      <c r="D1494" t="inlineStr">
        <is>
          <t>VÄSTERNORRLANDS LÄN</t>
        </is>
      </c>
      <c r="E1494" t="inlineStr">
        <is>
          <t>SUNDSVALL</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6472-2023</t>
        </is>
      </c>
      <c r="B1495" s="1" t="n">
        <v>44965</v>
      </c>
      <c r="C1495" s="1" t="n">
        <v>45845</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6478-2023</t>
        </is>
      </c>
      <c r="B1496" s="1" t="n">
        <v>44965</v>
      </c>
      <c r="C1496" s="1" t="n">
        <v>45845</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6475-2023</t>
        </is>
      </c>
      <c r="B1497" s="1" t="n">
        <v>44965</v>
      </c>
      <c r="C1497" s="1" t="n">
        <v>45845</v>
      </c>
      <c r="D1497" t="inlineStr">
        <is>
          <t>VÄSTERNORRLANDS LÄN</t>
        </is>
      </c>
      <c r="E1497" t="inlineStr">
        <is>
          <t>SUNDSVALL</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6794-2023</t>
        </is>
      </c>
      <c r="B1498" s="1" t="n">
        <v>44966</v>
      </c>
      <c r="C1498" s="1" t="n">
        <v>45845</v>
      </c>
      <c r="D1498" t="inlineStr">
        <is>
          <t>VÄSTERNORRLANDS LÄN</t>
        </is>
      </c>
      <c r="E1498" t="inlineStr">
        <is>
          <t>SUNDSVALL</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7005-2023</t>
        </is>
      </c>
      <c r="B1499" s="1" t="n">
        <v>44967</v>
      </c>
      <c r="C1499" s="1" t="n">
        <v>45845</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7003-2023</t>
        </is>
      </c>
      <c r="B1500" s="1" t="n">
        <v>44967</v>
      </c>
      <c r="C1500" s="1" t="n">
        <v>45845</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7566-2023</t>
        </is>
      </c>
      <c r="B1501" s="1" t="n">
        <v>44967</v>
      </c>
      <c r="C1501" s="1" t="n">
        <v>45845</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7070-2023</t>
        </is>
      </c>
      <c r="B1502" s="1" t="n">
        <v>44969</v>
      </c>
      <c r="C1502" s="1" t="n">
        <v>45845</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7362-2023</t>
        </is>
      </c>
      <c r="B1503" s="1" t="n">
        <v>44971</v>
      </c>
      <c r="C1503" s="1" t="n">
        <v>45845</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7513-2023</t>
        </is>
      </c>
      <c r="B1504" s="1" t="n">
        <v>44971</v>
      </c>
      <c r="C1504" s="1" t="n">
        <v>45845</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7523-2023</t>
        </is>
      </c>
      <c r="B1505" s="1" t="n">
        <v>44972</v>
      </c>
      <c r="C1505" s="1" t="n">
        <v>45845</v>
      </c>
      <c r="D1505" t="inlineStr">
        <is>
          <t>VÄSTERNORRLANDS LÄN</t>
        </is>
      </c>
      <c r="E1505" t="inlineStr">
        <is>
          <t>SUNDSVALL</t>
        </is>
      </c>
      <c r="F1505" t="inlineStr">
        <is>
          <t>Naturvårdsverket</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7515-2023</t>
        </is>
      </c>
      <c r="B1506" s="1" t="n">
        <v>44971</v>
      </c>
      <c r="C1506" s="1" t="n">
        <v>45845</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7511-2023</t>
        </is>
      </c>
      <c r="B1507" s="1" t="n">
        <v>44971</v>
      </c>
      <c r="C1507" s="1" t="n">
        <v>45845</v>
      </c>
      <c r="D1507" t="inlineStr">
        <is>
          <t>VÄSTERNORRLANDS LÄN</t>
        </is>
      </c>
      <c r="E1507" t="inlineStr">
        <is>
          <t>SUNDSVALL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10047-2023</t>
        </is>
      </c>
      <c r="B1508" s="1" t="n">
        <v>44977</v>
      </c>
      <c r="C1508" s="1" t="n">
        <v>45845</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8873-2023</t>
        </is>
      </c>
      <c r="B1509" s="1" t="n">
        <v>44978</v>
      </c>
      <c r="C1509" s="1" t="n">
        <v>45845</v>
      </c>
      <c r="D1509" t="inlineStr">
        <is>
          <t>VÄSTERNORRLANDS LÄN</t>
        </is>
      </c>
      <c r="E1509" t="inlineStr">
        <is>
          <t>SUNDSVALL</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9359-2023</t>
        </is>
      </c>
      <c r="B1510" s="1" t="n">
        <v>44980</v>
      </c>
      <c r="C1510" s="1" t="n">
        <v>45845</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9867-2023</t>
        </is>
      </c>
      <c r="B1511" s="1" t="n">
        <v>44984</v>
      </c>
      <c r="C1511" s="1" t="n">
        <v>45845</v>
      </c>
      <c r="D1511" t="inlineStr">
        <is>
          <t>VÄSTERNORRLANDS LÄN</t>
        </is>
      </c>
      <c r="E1511" t="inlineStr">
        <is>
          <t>SUNDSVALL</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9744-2023</t>
        </is>
      </c>
      <c r="B1512" s="1" t="n">
        <v>44984</v>
      </c>
      <c r="C1512" s="1" t="n">
        <v>45845</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9850-2023</t>
        </is>
      </c>
      <c r="B1513" s="1" t="n">
        <v>44984</v>
      </c>
      <c r="C1513" s="1" t="n">
        <v>45845</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9857-2023</t>
        </is>
      </c>
      <c r="B1514" s="1" t="n">
        <v>44984</v>
      </c>
      <c r="C1514" s="1" t="n">
        <v>45845</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10727-2023</t>
        </is>
      </c>
      <c r="B1515" s="1" t="n">
        <v>44984</v>
      </c>
      <c r="C1515" s="1" t="n">
        <v>45845</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10730-2023</t>
        </is>
      </c>
      <c r="B1516" s="1" t="n">
        <v>44984</v>
      </c>
      <c r="C1516" s="1" t="n">
        <v>45845</v>
      </c>
      <c r="D1516" t="inlineStr">
        <is>
          <t>VÄSTERNORRLANDS LÄN</t>
        </is>
      </c>
      <c r="E1516" t="inlineStr">
        <is>
          <t>SUNDSVALL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10076-2023</t>
        </is>
      </c>
      <c r="B1517" s="1" t="n">
        <v>44985</v>
      </c>
      <c r="C1517" s="1" t="n">
        <v>45845</v>
      </c>
      <c r="D1517" t="inlineStr">
        <is>
          <t>VÄSTERNORRLANDS LÄN</t>
        </is>
      </c>
      <c r="E1517" t="inlineStr">
        <is>
          <t>SUNDSVALL</t>
        </is>
      </c>
      <c r="F1517" t="inlineStr">
        <is>
          <t>Naturvårdsverket</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10316-2023</t>
        </is>
      </c>
      <c r="B1518" s="1" t="n">
        <v>44986</v>
      </c>
      <c r="C1518" s="1" t="n">
        <v>45845</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10530-2023</t>
        </is>
      </c>
      <c r="B1519" s="1" t="n">
        <v>44987</v>
      </c>
      <c r="C1519" s="1" t="n">
        <v>45845</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10525-2023</t>
        </is>
      </c>
      <c r="B1520" s="1" t="n">
        <v>44987</v>
      </c>
      <c r="C1520" s="1" t="n">
        <v>45845</v>
      </c>
      <c r="D1520" t="inlineStr">
        <is>
          <t>VÄSTERNORRLANDS LÄN</t>
        </is>
      </c>
      <c r="E1520" t="inlineStr">
        <is>
          <t>SUNDSVALL</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10539-2023</t>
        </is>
      </c>
      <c r="B1521" s="1" t="n">
        <v>44987</v>
      </c>
      <c r="C1521" s="1" t="n">
        <v>45845</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10555-2023</t>
        </is>
      </c>
      <c r="B1522" s="1" t="n">
        <v>44987</v>
      </c>
      <c r="C1522" s="1" t="n">
        <v>45845</v>
      </c>
      <c r="D1522" t="inlineStr">
        <is>
          <t>VÄSTERNORRLANDS LÄN</t>
        </is>
      </c>
      <c r="E1522" t="inlineStr">
        <is>
          <t>SUNDSVALL</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10548-2023</t>
        </is>
      </c>
      <c r="B1523" s="1" t="n">
        <v>44987</v>
      </c>
      <c r="C1523" s="1" t="n">
        <v>45845</v>
      </c>
      <c r="D1523" t="inlineStr">
        <is>
          <t>VÄSTERNORRLANDS LÄN</t>
        </is>
      </c>
      <c r="E1523" t="inlineStr">
        <is>
          <t>SUNDSVALL</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10716-2023</t>
        </is>
      </c>
      <c r="B1524" s="1" t="n">
        <v>44988</v>
      </c>
      <c r="C1524" s="1" t="n">
        <v>45845</v>
      </c>
      <c r="D1524" t="inlineStr">
        <is>
          <t>VÄSTERNORRLANDS LÄN</t>
        </is>
      </c>
      <c r="E1524" t="inlineStr">
        <is>
          <t>SUNDSVALL</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10786-2023</t>
        </is>
      </c>
      <c r="B1525" s="1" t="n">
        <v>44988</v>
      </c>
      <c r="C1525" s="1" t="n">
        <v>45845</v>
      </c>
      <c r="D1525" t="inlineStr">
        <is>
          <t>VÄSTERNORRLANDS LÄN</t>
        </is>
      </c>
      <c r="E1525" t="inlineStr">
        <is>
          <t>SUNDSVALL</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10714-2023</t>
        </is>
      </c>
      <c r="B1526" s="1" t="n">
        <v>44988</v>
      </c>
      <c r="C1526" s="1" t="n">
        <v>45845</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10775-2023</t>
        </is>
      </c>
      <c r="B1527" s="1" t="n">
        <v>44988</v>
      </c>
      <c r="C1527" s="1" t="n">
        <v>45845</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11045-2023</t>
        </is>
      </c>
      <c r="B1528" s="1" t="n">
        <v>44991</v>
      </c>
      <c r="C1528" s="1" t="n">
        <v>45845</v>
      </c>
      <c r="D1528" t="inlineStr">
        <is>
          <t>VÄSTERNORRLANDS LÄN</t>
        </is>
      </c>
      <c r="E1528" t="inlineStr">
        <is>
          <t>SUNDSVALL</t>
        </is>
      </c>
      <c r="F1528" t="inlineStr">
        <is>
          <t>SCA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11295-2023</t>
        </is>
      </c>
      <c r="B1529" s="1" t="n">
        <v>44992</v>
      </c>
      <c r="C1529" s="1" t="n">
        <v>45845</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11296-2023</t>
        </is>
      </c>
      <c r="B1530" s="1" t="n">
        <v>44992</v>
      </c>
      <c r="C1530" s="1" t="n">
        <v>45845</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11294-2023</t>
        </is>
      </c>
      <c r="B1531" s="1" t="n">
        <v>44992</v>
      </c>
      <c r="C1531" s="1" t="n">
        <v>45845</v>
      </c>
      <c r="D1531" t="inlineStr">
        <is>
          <t>VÄSTERNORRLANDS LÄN</t>
        </is>
      </c>
      <c r="E1531" t="inlineStr">
        <is>
          <t>SUNDSVALL</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11772-2023</t>
        </is>
      </c>
      <c r="B1532" s="1" t="n">
        <v>44994</v>
      </c>
      <c r="C1532" s="1" t="n">
        <v>45845</v>
      </c>
      <c r="D1532" t="inlineStr">
        <is>
          <t>VÄSTERNORRLANDS LÄN</t>
        </is>
      </c>
      <c r="E1532" t="inlineStr">
        <is>
          <t>SUNDSVALL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12037-2023</t>
        </is>
      </c>
      <c r="B1533" s="1" t="n">
        <v>44995</v>
      </c>
      <c r="C1533" s="1" t="n">
        <v>45845</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12060-2023</t>
        </is>
      </c>
      <c r="B1534" s="1" t="n">
        <v>44996</v>
      </c>
      <c r="C1534" s="1" t="n">
        <v>45845</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12309-2023</t>
        </is>
      </c>
      <c r="B1535" s="1" t="n">
        <v>44999</v>
      </c>
      <c r="C1535" s="1" t="n">
        <v>45845</v>
      </c>
      <c r="D1535" t="inlineStr">
        <is>
          <t>VÄSTERNORRLANDS LÄN</t>
        </is>
      </c>
      <c r="E1535" t="inlineStr">
        <is>
          <t>SUNDSVALL</t>
        </is>
      </c>
      <c r="F1535" t="inlineStr">
        <is>
          <t>Naturvårdsverket</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12333-2023</t>
        </is>
      </c>
      <c r="B1536" s="1" t="n">
        <v>44999</v>
      </c>
      <c r="C1536" s="1" t="n">
        <v>45845</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12525-2023</t>
        </is>
      </c>
      <c r="B1537" s="1" t="n">
        <v>45000</v>
      </c>
      <c r="C1537" s="1" t="n">
        <v>45845</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12530-2023</t>
        </is>
      </c>
      <c r="B1538" s="1" t="n">
        <v>45000</v>
      </c>
      <c r="C1538" s="1" t="n">
        <v>45845</v>
      </c>
      <c r="D1538" t="inlineStr">
        <is>
          <t>VÄSTERNORRLANDS LÄN</t>
        </is>
      </c>
      <c r="E1538" t="inlineStr">
        <is>
          <t>SUNDSVALL</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12538-2023</t>
        </is>
      </c>
      <c r="B1539" s="1" t="n">
        <v>45000</v>
      </c>
      <c r="C1539" s="1" t="n">
        <v>45845</v>
      </c>
      <c r="D1539" t="inlineStr">
        <is>
          <t>VÄSTERNORRLANDS LÄN</t>
        </is>
      </c>
      <c r="E1539" t="inlineStr">
        <is>
          <t>SUNDSVALL</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12529-2023</t>
        </is>
      </c>
      <c r="B1540" s="1" t="n">
        <v>45000</v>
      </c>
      <c r="C1540" s="1" t="n">
        <v>45845</v>
      </c>
      <c r="D1540" t="inlineStr">
        <is>
          <t>VÄSTERNORRLANDS LÄN</t>
        </is>
      </c>
      <c r="E1540" t="inlineStr">
        <is>
          <t>SUNDSVALL</t>
        </is>
      </c>
      <c r="F1540" t="inlineStr">
        <is>
          <t>SCA</t>
        </is>
      </c>
      <c r="G1540" t="n">
        <v>22.3</v>
      </c>
      <c r="H1540" t="n">
        <v>0</v>
      </c>
      <c r="I1540" t="n">
        <v>0</v>
      </c>
      <c r="J1540" t="n">
        <v>0</v>
      </c>
      <c r="K1540" t="n">
        <v>0</v>
      </c>
      <c r="L1540" t="n">
        <v>0</v>
      </c>
      <c r="M1540" t="n">
        <v>0</v>
      </c>
      <c r="N1540" t="n">
        <v>0</v>
      </c>
      <c r="O1540" t="n">
        <v>0</v>
      </c>
      <c r="P1540" t="n">
        <v>0</v>
      </c>
      <c r="Q1540" t="n">
        <v>0</v>
      </c>
      <c r="R1540" s="2" t="inlineStr"/>
    </row>
    <row r="1541" ht="15" customHeight="1">
      <c r="A1541" t="inlineStr">
        <is>
          <t>A 12537-2023</t>
        </is>
      </c>
      <c r="B1541" s="1" t="n">
        <v>45000</v>
      </c>
      <c r="C1541" s="1" t="n">
        <v>45845</v>
      </c>
      <c r="D1541" t="inlineStr">
        <is>
          <t>VÄSTERNORRLANDS LÄN</t>
        </is>
      </c>
      <c r="E1541" t="inlineStr">
        <is>
          <t>SUNDSVALL</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12532-2023</t>
        </is>
      </c>
      <c r="B1542" s="1" t="n">
        <v>45000</v>
      </c>
      <c r="C1542" s="1" t="n">
        <v>45845</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12531-2023</t>
        </is>
      </c>
      <c r="B1543" s="1" t="n">
        <v>45000</v>
      </c>
      <c r="C1543" s="1" t="n">
        <v>45845</v>
      </c>
      <c r="D1543" t="inlineStr">
        <is>
          <t>VÄSTERNORRLANDS LÄN</t>
        </is>
      </c>
      <c r="E1543" t="inlineStr">
        <is>
          <t>SUNDSVALL</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12743-2023</t>
        </is>
      </c>
      <c r="B1544" s="1" t="n">
        <v>45000</v>
      </c>
      <c r="C1544" s="1" t="n">
        <v>45845</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12988-2023</t>
        </is>
      </c>
      <c r="B1545" s="1" t="n">
        <v>45002</v>
      </c>
      <c r="C1545" s="1" t="n">
        <v>45845</v>
      </c>
      <c r="D1545" t="inlineStr">
        <is>
          <t>VÄSTERNORRLANDS LÄN</t>
        </is>
      </c>
      <c r="E1545" t="inlineStr">
        <is>
          <t>SUNDSVALL</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13080-2023</t>
        </is>
      </c>
      <c r="B1546" s="1" t="n">
        <v>45002</v>
      </c>
      <c r="C1546" s="1" t="n">
        <v>45845</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12989-2023</t>
        </is>
      </c>
      <c r="B1547" s="1" t="n">
        <v>45002</v>
      </c>
      <c r="C1547" s="1" t="n">
        <v>45845</v>
      </c>
      <c r="D1547" t="inlineStr">
        <is>
          <t>VÄSTERNORRLANDS LÄN</t>
        </is>
      </c>
      <c r="E1547" t="inlineStr">
        <is>
          <t>SUNDSVALL</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12991-2023</t>
        </is>
      </c>
      <c r="B1548" s="1" t="n">
        <v>45002</v>
      </c>
      <c r="C1548" s="1" t="n">
        <v>45845</v>
      </c>
      <c r="D1548" t="inlineStr">
        <is>
          <t>VÄSTERNORRLANDS LÄN</t>
        </is>
      </c>
      <c r="E1548" t="inlineStr">
        <is>
          <t>SUNDSVALL</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12990-2023</t>
        </is>
      </c>
      <c r="B1549" s="1" t="n">
        <v>45002</v>
      </c>
      <c r="C1549" s="1" t="n">
        <v>45845</v>
      </c>
      <c r="D1549" t="inlineStr">
        <is>
          <t>VÄSTERNORRLANDS LÄN</t>
        </is>
      </c>
      <c r="E1549" t="inlineStr">
        <is>
          <t>SUNDSVALL</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13083-2023</t>
        </is>
      </c>
      <c r="B1550" s="1" t="n">
        <v>45002</v>
      </c>
      <c r="C1550" s="1" t="n">
        <v>45845</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13261-2023</t>
        </is>
      </c>
      <c r="B1551" s="1" t="n">
        <v>45002</v>
      </c>
      <c r="C1551" s="1" t="n">
        <v>45845</v>
      </c>
      <c r="D1551" t="inlineStr">
        <is>
          <t>VÄSTERNORRLANDS LÄN</t>
        </is>
      </c>
      <c r="E1551" t="inlineStr">
        <is>
          <t>SUNDSVALL</t>
        </is>
      </c>
      <c r="F1551" t="inlineStr">
        <is>
          <t>Naturvårdsverket</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13260-2023</t>
        </is>
      </c>
      <c r="B1552" s="1" t="n">
        <v>45002</v>
      </c>
      <c r="C1552" s="1" t="n">
        <v>45845</v>
      </c>
      <c r="D1552" t="inlineStr">
        <is>
          <t>VÄSTERNORRLANDS LÄN</t>
        </is>
      </c>
      <c r="E1552" t="inlineStr">
        <is>
          <t>SUNDSVALL</t>
        </is>
      </c>
      <c r="F1552" t="inlineStr">
        <is>
          <t>Naturvårdsverket</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13262-2023</t>
        </is>
      </c>
      <c r="B1553" s="1" t="n">
        <v>45002</v>
      </c>
      <c r="C1553" s="1" t="n">
        <v>45845</v>
      </c>
      <c r="D1553" t="inlineStr">
        <is>
          <t>VÄSTERNORRLANDS LÄN</t>
        </is>
      </c>
      <c r="E1553" t="inlineStr">
        <is>
          <t>SUNDSVALL</t>
        </is>
      </c>
      <c r="F1553" t="inlineStr">
        <is>
          <t>Naturvårdsverket</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13314-2023</t>
        </is>
      </c>
      <c r="B1554" s="1" t="n">
        <v>45005</v>
      </c>
      <c r="C1554" s="1" t="n">
        <v>45845</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13335-2023</t>
        </is>
      </c>
      <c r="B1555" s="1" t="n">
        <v>45005</v>
      </c>
      <c r="C1555" s="1" t="n">
        <v>45845</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13680-2023</t>
        </is>
      </c>
      <c r="B1556" s="1" t="n">
        <v>45006</v>
      </c>
      <c r="C1556" s="1" t="n">
        <v>45845</v>
      </c>
      <c r="D1556" t="inlineStr">
        <is>
          <t>VÄSTERNORRLANDS LÄN</t>
        </is>
      </c>
      <c r="E1556" t="inlineStr">
        <is>
          <t>SUNDSVALL</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13694-2023</t>
        </is>
      </c>
      <c r="B1557" s="1" t="n">
        <v>45006</v>
      </c>
      <c r="C1557" s="1" t="n">
        <v>45845</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13506-2023</t>
        </is>
      </c>
      <c r="B1558" s="1" t="n">
        <v>45006</v>
      </c>
      <c r="C1558" s="1" t="n">
        <v>45845</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13691-2023</t>
        </is>
      </c>
      <c r="B1559" s="1" t="n">
        <v>45006</v>
      </c>
      <c r="C1559" s="1" t="n">
        <v>45845</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13690-2023</t>
        </is>
      </c>
      <c r="B1560" s="1" t="n">
        <v>45006</v>
      </c>
      <c r="C1560" s="1" t="n">
        <v>45845</v>
      </c>
      <c r="D1560" t="inlineStr">
        <is>
          <t>VÄSTERNORRLANDS LÄN</t>
        </is>
      </c>
      <c r="E1560" t="inlineStr">
        <is>
          <t>SUNDSVALL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13701-2023</t>
        </is>
      </c>
      <c r="B1561" s="1" t="n">
        <v>45006</v>
      </c>
      <c r="C1561" s="1" t="n">
        <v>45845</v>
      </c>
      <c r="D1561" t="inlineStr">
        <is>
          <t>VÄSTERNORRLANDS LÄN</t>
        </is>
      </c>
      <c r="E1561" t="inlineStr">
        <is>
          <t>SUNDSVALL</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13693-2023</t>
        </is>
      </c>
      <c r="B1562" s="1" t="n">
        <v>45006</v>
      </c>
      <c r="C1562" s="1" t="n">
        <v>45845</v>
      </c>
      <c r="D1562" t="inlineStr">
        <is>
          <t>VÄSTERNORRLANDS LÄN</t>
        </is>
      </c>
      <c r="E1562" t="inlineStr">
        <is>
          <t>SUNDSVALL</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13702-2023</t>
        </is>
      </c>
      <c r="B1563" s="1" t="n">
        <v>45006</v>
      </c>
      <c r="C1563" s="1" t="n">
        <v>45845</v>
      </c>
      <c r="D1563" t="inlineStr">
        <is>
          <t>VÄSTERNORRLANDS LÄN</t>
        </is>
      </c>
      <c r="E1563" t="inlineStr">
        <is>
          <t>SUNDSVALL</t>
        </is>
      </c>
      <c r="F1563" t="inlineStr">
        <is>
          <t>SCA</t>
        </is>
      </c>
      <c r="G1563" t="n">
        <v>30.9</v>
      </c>
      <c r="H1563" t="n">
        <v>0</v>
      </c>
      <c r="I1563" t="n">
        <v>0</v>
      </c>
      <c r="J1563" t="n">
        <v>0</v>
      </c>
      <c r="K1563" t="n">
        <v>0</v>
      </c>
      <c r="L1563" t="n">
        <v>0</v>
      </c>
      <c r="M1563" t="n">
        <v>0</v>
      </c>
      <c r="N1563" t="n">
        <v>0</v>
      </c>
      <c r="O1563" t="n">
        <v>0</v>
      </c>
      <c r="P1563" t="n">
        <v>0</v>
      </c>
      <c r="Q1563" t="n">
        <v>0</v>
      </c>
      <c r="R1563" s="2" t="inlineStr"/>
    </row>
    <row r="1564" ht="15" customHeight="1">
      <c r="A1564" t="inlineStr">
        <is>
          <t>A 14077-2023</t>
        </is>
      </c>
      <c r="B1564" s="1" t="n">
        <v>45009</v>
      </c>
      <c r="C1564" s="1" t="n">
        <v>45845</v>
      </c>
      <c r="D1564" t="inlineStr">
        <is>
          <t>VÄSTERNORRLANDS LÄN</t>
        </is>
      </c>
      <c r="E1564" t="inlineStr">
        <is>
          <t>SUNDSVALL</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14265-2023</t>
        </is>
      </c>
      <c r="B1565" s="1" t="n">
        <v>45009</v>
      </c>
      <c r="C1565" s="1" t="n">
        <v>45845</v>
      </c>
      <c r="D1565" t="inlineStr">
        <is>
          <t>VÄSTERNORRLANDS LÄN</t>
        </is>
      </c>
      <c r="E1565" t="inlineStr">
        <is>
          <t>SUNDSVALL</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14529-2023</t>
        </is>
      </c>
      <c r="B1566" s="1" t="n">
        <v>45012</v>
      </c>
      <c r="C1566" s="1" t="n">
        <v>45845</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14677-2023</t>
        </is>
      </c>
      <c r="B1567" s="1" t="n">
        <v>45013</v>
      </c>
      <c r="C1567" s="1" t="n">
        <v>45845</v>
      </c>
      <c r="D1567" t="inlineStr">
        <is>
          <t>VÄSTERNORRLANDS LÄN</t>
        </is>
      </c>
      <c r="E1567" t="inlineStr">
        <is>
          <t>SUNDSVALL</t>
        </is>
      </c>
      <c r="F1567" t="inlineStr">
        <is>
          <t>SCA</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14887-2023</t>
        </is>
      </c>
      <c r="B1568" s="1" t="n">
        <v>45015</v>
      </c>
      <c r="C1568" s="1" t="n">
        <v>45845</v>
      </c>
      <c r="D1568" t="inlineStr">
        <is>
          <t>VÄSTERNORRLANDS LÄN</t>
        </is>
      </c>
      <c r="E1568" t="inlineStr">
        <is>
          <t>SUNDSVALL</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15620-2023</t>
        </is>
      </c>
      <c r="B1569" s="1" t="n">
        <v>45020</v>
      </c>
      <c r="C1569" s="1" t="n">
        <v>45845</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15981-2023</t>
        </is>
      </c>
      <c r="B1570" s="1" t="n">
        <v>45023</v>
      </c>
      <c r="C1570" s="1" t="n">
        <v>45845</v>
      </c>
      <c r="D1570" t="inlineStr">
        <is>
          <t>VÄSTERNORRLANDS LÄN</t>
        </is>
      </c>
      <c r="E1570" t="inlineStr">
        <is>
          <t>SUNDSVALL</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16375-2023</t>
        </is>
      </c>
      <c r="B1571" s="1" t="n">
        <v>45029</v>
      </c>
      <c r="C1571" s="1" t="n">
        <v>45845</v>
      </c>
      <c r="D1571" t="inlineStr">
        <is>
          <t>VÄSTERNORRLANDS LÄN</t>
        </is>
      </c>
      <c r="E1571" t="inlineStr">
        <is>
          <t>SUNDSVALL</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16558-2023</t>
        </is>
      </c>
      <c r="B1572" s="1" t="n">
        <v>45029</v>
      </c>
      <c r="C1572" s="1" t="n">
        <v>45845</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16563-2023</t>
        </is>
      </c>
      <c r="B1573" s="1" t="n">
        <v>45029</v>
      </c>
      <c r="C1573" s="1" t="n">
        <v>45845</v>
      </c>
      <c r="D1573" t="inlineStr">
        <is>
          <t>VÄSTERNORRLANDS LÄN</t>
        </is>
      </c>
      <c r="E1573" t="inlineStr">
        <is>
          <t>SUNDSVALL</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16568-2023</t>
        </is>
      </c>
      <c r="B1574" s="1" t="n">
        <v>45030</v>
      </c>
      <c r="C1574" s="1" t="n">
        <v>45845</v>
      </c>
      <c r="D1574" t="inlineStr">
        <is>
          <t>VÄSTERNORRLANDS LÄN</t>
        </is>
      </c>
      <c r="E1574" t="inlineStr">
        <is>
          <t>SUNDSVALL</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16577-2023</t>
        </is>
      </c>
      <c r="B1575" s="1" t="n">
        <v>45030</v>
      </c>
      <c r="C1575" s="1" t="n">
        <v>45845</v>
      </c>
      <c r="D1575" t="inlineStr">
        <is>
          <t>VÄSTERNORRLANDS LÄN</t>
        </is>
      </c>
      <c r="E1575" t="inlineStr">
        <is>
          <t>SUNDSVALL</t>
        </is>
      </c>
      <c r="F1575" t="inlineStr">
        <is>
          <t>SCA</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16559-2023</t>
        </is>
      </c>
      <c r="B1576" s="1" t="n">
        <v>45029</v>
      </c>
      <c r="C1576" s="1" t="n">
        <v>45845</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16564-2023</t>
        </is>
      </c>
      <c r="B1577" s="1" t="n">
        <v>45030</v>
      </c>
      <c r="C1577" s="1" t="n">
        <v>45845</v>
      </c>
      <c r="D1577" t="inlineStr">
        <is>
          <t>VÄSTERNORRLANDS LÄN</t>
        </is>
      </c>
      <c r="E1577" t="inlineStr">
        <is>
          <t>SUNDSVALL</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16567-2023</t>
        </is>
      </c>
      <c r="B1578" s="1" t="n">
        <v>45030</v>
      </c>
      <c r="C1578" s="1" t="n">
        <v>45845</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16765-2023</t>
        </is>
      </c>
      <c r="B1579" s="1" t="n">
        <v>45030</v>
      </c>
      <c r="C1579" s="1" t="n">
        <v>45845</v>
      </c>
      <c r="D1579" t="inlineStr">
        <is>
          <t>VÄSTERNORRLANDS LÄN</t>
        </is>
      </c>
      <c r="E1579" t="inlineStr">
        <is>
          <t>SUNDSVALL</t>
        </is>
      </c>
      <c r="F1579" t="inlineStr">
        <is>
          <t>Naturvårdsverket</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16768-2023</t>
        </is>
      </c>
      <c r="B1580" s="1" t="n">
        <v>45030</v>
      </c>
      <c r="C1580" s="1" t="n">
        <v>45845</v>
      </c>
      <c r="D1580" t="inlineStr">
        <is>
          <t>VÄSTERNORRLANDS LÄN</t>
        </is>
      </c>
      <c r="E1580" t="inlineStr">
        <is>
          <t>SUNDSVALL</t>
        </is>
      </c>
      <c r="F1580" t="inlineStr">
        <is>
          <t>SCA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16766-2023</t>
        </is>
      </c>
      <c r="B1581" s="1" t="n">
        <v>45030</v>
      </c>
      <c r="C1581" s="1" t="n">
        <v>45845</v>
      </c>
      <c r="D1581" t="inlineStr">
        <is>
          <t>VÄSTERNORRLANDS LÄN</t>
        </is>
      </c>
      <c r="E1581" t="inlineStr">
        <is>
          <t>SUNDSVALL</t>
        </is>
      </c>
      <c r="F1581" t="inlineStr">
        <is>
          <t>Naturvårdsverket</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16785-2023</t>
        </is>
      </c>
      <c r="B1582" s="1" t="n">
        <v>45033</v>
      </c>
      <c r="C1582" s="1" t="n">
        <v>45845</v>
      </c>
      <c r="D1582" t="inlineStr">
        <is>
          <t>VÄSTERNORRLANDS LÄN</t>
        </is>
      </c>
      <c r="E1582" t="inlineStr">
        <is>
          <t>SUNDSVALL</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16997-2023</t>
        </is>
      </c>
      <c r="B1583" s="1" t="n">
        <v>45034</v>
      </c>
      <c r="C1583" s="1" t="n">
        <v>45845</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16996-2023</t>
        </is>
      </c>
      <c r="B1584" s="1" t="n">
        <v>45034</v>
      </c>
      <c r="C1584" s="1" t="n">
        <v>45845</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17224-2023</t>
        </is>
      </c>
      <c r="B1585" s="1" t="n">
        <v>45035</v>
      </c>
      <c r="C1585" s="1" t="n">
        <v>45845</v>
      </c>
      <c r="D1585" t="inlineStr">
        <is>
          <t>VÄSTERNORRLANDS LÄN</t>
        </is>
      </c>
      <c r="E1585" t="inlineStr">
        <is>
          <t>SUNDSVALL</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17443-2023</t>
        </is>
      </c>
      <c r="B1586" s="1" t="n">
        <v>45036</v>
      </c>
      <c r="C1586" s="1" t="n">
        <v>45845</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17436-2023</t>
        </is>
      </c>
      <c r="B1587" s="1" t="n">
        <v>45036</v>
      </c>
      <c r="C1587" s="1" t="n">
        <v>45845</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17437-2023</t>
        </is>
      </c>
      <c r="B1588" s="1" t="n">
        <v>45036</v>
      </c>
      <c r="C1588" s="1" t="n">
        <v>45845</v>
      </c>
      <c r="D1588" t="inlineStr">
        <is>
          <t>VÄSTERNORRLANDS LÄN</t>
        </is>
      </c>
      <c r="E1588" t="inlineStr">
        <is>
          <t>SUNDSVALL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17671-2023</t>
        </is>
      </c>
      <c r="B1589" s="1" t="n">
        <v>45037</v>
      </c>
      <c r="C1589" s="1" t="n">
        <v>45845</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17777-2023</t>
        </is>
      </c>
      <c r="B1590" s="1" t="n">
        <v>45036</v>
      </c>
      <c r="C1590" s="1" t="n">
        <v>45845</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45845</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18144-2023</t>
        </is>
      </c>
      <c r="B1592" s="1" t="n">
        <v>45040</v>
      </c>
      <c r="C1592" s="1" t="n">
        <v>45845</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18153-2023</t>
        </is>
      </c>
      <c r="B1593" s="1" t="n">
        <v>45040</v>
      </c>
      <c r="C1593" s="1" t="n">
        <v>45845</v>
      </c>
      <c r="D1593" t="inlineStr">
        <is>
          <t>VÄSTERNORRLANDS LÄN</t>
        </is>
      </c>
      <c r="E1593" t="inlineStr">
        <is>
          <t>SUNDSVALL</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18162-2023</t>
        </is>
      </c>
      <c r="B1594" s="1" t="n">
        <v>45040</v>
      </c>
      <c r="C1594" s="1" t="n">
        <v>45845</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18171-2023</t>
        </is>
      </c>
      <c r="B1595" s="1" t="n">
        <v>45041</v>
      </c>
      <c r="C1595" s="1" t="n">
        <v>45845</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18347-2023</t>
        </is>
      </c>
      <c r="B1596" s="1" t="n">
        <v>45040</v>
      </c>
      <c r="C1596" s="1" t="n">
        <v>45845</v>
      </c>
      <c r="D1596" t="inlineStr">
        <is>
          <t>VÄSTERNORRLANDS LÄN</t>
        </is>
      </c>
      <c r="E1596" t="inlineStr">
        <is>
          <t>SUNDSVALL</t>
        </is>
      </c>
      <c r="G1596" t="n">
        <v>16.7</v>
      </c>
      <c r="H1596" t="n">
        <v>0</v>
      </c>
      <c r="I1596" t="n">
        <v>0</v>
      </c>
      <c r="J1596" t="n">
        <v>0</v>
      </c>
      <c r="K1596" t="n">
        <v>0</v>
      </c>
      <c r="L1596" t="n">
        <v>0</v>
      </c>
      <c r="M1596" t="n">
        <v>0</v>
      </c>
      <c r="N1596" t="n">
        <v>0</v>
      </c>
      <c r="O1596" t="n">
        <v>0</v>
      </c>
      <c r="P1596" t="n">
        <v>0</v>
      </c>
      <c r="Q1596" t="n">
        <v>0</v>
      </c>
      <c r="R1596" s="2" t="inlineStr"/>
    </row>
    <row r="1597" ht="15" customHeight="1">
      <c r="A1597" t="inlineStr">
        <is>
          <t>A 18352-2023</t>
        </is>
      </c>
      <c r="B1597" s="1" t="n">
        <v>45040</v>
      </c>
      <c r="C1597" s="1" t="n">
        <v>45845</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18286-2023</t>
        </is>
      </c>
      <c r="B1598" s="1" t="n">
        <v>45040</v>
      </c>
      <c r="C1598" s="1" t="n">
        <v>45845</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18371-2023</t>
        </is>
      </c>
      <c r="B1599" s="1" t="n">
        <v>45041</v>
      </c>
      <c r="C1599" s="1" t="n">
        <v>45845</v>
      </c>
      <c r="D1599" t="inlineStr">
        <is>
          <t>VÄSTERNORRLANDS LÄN</t>
        </is>
      </c>
      <c r="E1599" t="inlineStr">
        <is>
          <t>SUNDSVALL</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18367-2023</t>
        </is>
      </c>
      <c r="B1600" s="1" t="n">
        <v>45041</v>
      </c>
      <c r="C1600" s="1" t="n">
        <v>45845</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18372-2023</t>
        </is>
      </c>
      <c r="B1601" s="1" t="n">
        <v>45041</v>
      </c>
      <c r="C1601" s="1" t="n">
        <v>45845</v>
      </c>
      <c r="D1601" t="inlineStr">
        <is>
          <t>VÄSTERNORRLANDS LÄN</t>
        </is>
      </c>
      <c r="E1601" t="inlineStr">
        <is>
          <t>SUNDSVALL</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18376-2023</t>
        </is>
      </c>
      <c r="B1602" s="1" t="n">
        <v>45042</v>
      </c>
      <c r="C1602" s="1" t="n">
        <v>45845</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18562-2023</t>
        </is>
      </c>
      <c r="B1603" s="1" t="n">
        <v>45042</v>
      </c>
      <c r="C1603" s="1" t="n">
        <v>45845</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18700-2023</t>
        </is>
      </c>
      <c r="B1604" s="1" t="n">
        <v>45042</v>
      </c>
      <c r="C1604" s="1" t="n">
        <v>45845</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18561-2023</t>
        </is>
      </c>
      <c r="B1605" s="1" t="n">
        <v>45042</v>
      </c>
      <c r="C1605" s="1" t="n">
        <v>45845</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18695-2023</t>
        </is>
      </c>
      <c r="B1606" s="1" t="n">
        <v>45042</v>
      </c>
      <c r="C1606" s="1" t="n">
        <v>45845</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18563-2023</t>
        </is>
      </c>
      <c r="B1607" s="1" t="n">
        <v>45042</v>
      </c>
      <c r="C1607" s="1" t="n">
        <v>45845</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18787-2023</t>
        </is>
      </c>
      <c r="B1608" s="1" t="n">
        <v>45043</v>
      </c>
      <c r="C1608" s="1" t="n">
        <v>45845</v>
      </c>
      <c r="D1608" t="inlineStr">
        <is>
          <t>VÄSTERNORRLANDS LÄN</t>
        </is>
      </c>
      <c r="E1608" t="inlineStr">
        <is>
          <t>SUNDSVALL</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18919-2023</t>
        </is>
      </c>
      <c r="B1609" s="1" t="n">
        <v>45043</v>
      </c>
      <c r="C1609" s="1" t="n">
        <v>45845</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19234-2023</t>
        </is>
      </c>
      <c r="B1610" s="1" t="n">
        <v>45048</v>
      </c>
      <c r="C1610" s="1" t="n">
        <v>45845</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19235-2023</t>
        </is>
      </c>
      <c r="B1611" s="1" t="n">
        <v>45049</v>
      </c>
      <c r="C1611" s="1" t="n">
        <v>45845</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19228-2023</t>
        </is>
      </c>
      <c r="B1612" s="1" t="n">
        <v>45048</v>
      </c>
      <c r="C1612" s="1" t="n">
        <v>45845</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19236-2023</t>
        </is>
      </c>
      <c r="B1613" s="1" t="n">
        <v>45048</v>
      </c>
      <c r="C1613" s="1" t="n">
        <v>45845</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19277-2023</t>
        </is>
      </c>
      <c r="B1614" s="1" t="n">
        <v>45049</v>
      </c>
      <c r="C1614" s="1" t="n">
        <v>45845</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19274-2023</t>
        </is>
      </c>
      <c r="B1615" s="1" t="n">
        <v>45049</v>
      </c>
      <c r="C1615" s="1" t="n">
        <v>45845</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19280-2023</t>
        </is>
      </c>
      <c r="B1616" s="1" t="n">
        <v>45049</v>
      </c>
      <c r="C1616" s="1" t="n">
        <v>45845</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19617-2023</t>
        </is>
      </c>
      <c r="B1617" s="1" t="n">
        <v>45051</v>
      </c>
      <c r="C1617" s="1" t="n">
        <v>45845</v>
      </c>
      <c r="D1617" t="inlineStr">
        <is>
          <t>VÄSTERNORRLANDS LÄN</t>
        </is>
      </c>
      <c r="E1617" t="inlineStr">
        <is>
          <t>SUNDSVALL</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19616-2023</t>
        </is>
      </c>
      <c r="B1618" s="1" t="n">
        <v>45051</v>
      </c>
      <c r="C1618" s="1" t="n">
        <v>45845</v>
      </c>
      <c r="D1618" t="inlineStr">
        <is>
          <t>VÄSTERNORRLANDS LÄN</t>
        </is>
      </c>
      <c r="E1618" t="inlineStr">
        <is>
          <t>SUNDSVALL</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19654-2023</t>
        </is>
      </c>
      <c r="B1619" s="1" t="n">
        <v>45050</v>
      </c>
      <c r="C1619" s="1" t="n">
        <v>45845</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19618-2023</t>
        </is>
      </c>
      <c r="B1620" s="1" t="n">
        <v>45051</v>
      </c>
      <c r="C1620" s="1" t="n">
        <v>45845</v>
      </c>
      <c r="D1620" t="inlineStr">
        <is>
          <t>VÄSTERNORRLANDS LÄN</t>
        </is>
      </c>
      <c r="E1620" t="inlineStr">
        <is>
          <t>SUNDSVALL</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19812-2023</t>
        </is>
      </c>
      <c r="B1621" s="1" t="n">
        <v>45052</v>
      </c>
      <c r="C1621" s="1" t="n">
        <v>45845</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20057-2023</t>
        </is>
      </c>
      <c r="B1622" s="1" t="n">
        <v>45051</v>
      </c>
      <c r="C1622" s="1" t="n">
        <v>45845</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19902-2023</t>
        </is>
      </c>
      <c r="B1623" s="1" t="n">
        <v>45054</v>
      </c>
      <c r="C1623" s="1" t="n">
        <v>45845</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19896-2023</t>
        </is>
      </c>
      <c r="B1624" s="1" t="n">
        <v>45054</v>
      </c>
      <c r="C1624" s="1" t="n">
        <v>45845</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19900-2023</t>
        </is>
      </c>
      <c r="B1625" s="1" t="n">
        <v>45054</v>
      </c>
      <c r="C1625" s="1" t="n">
        <v>45845</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20288-2023</t>
        </is>
      </c>
      <c r="B1626" s="1" t="n">
        <v>45054</v>
      </c>
      <c r="C1626" s="1" t="n">
        <v>45845</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20098-2023</t>
        </is>
      </c>
      <c r="B1627" s="1" t="n">
        <v>45054</v>
      </c>
      <c r="C1627" s="1" t="n">
        <v>45845</v>
      </c>
      <c r="D1627" t="inlineStr">
        <is>
          <t>VÄSTERNORRLANDS LÄN</t>
        </is>
      </c>
      <c r="E1627" t="inlineStr">
        <is>
          <t>SUNDSVALL</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19904-2023</t>
        </is>
      </c>
      <c r="B1628" s="1" t="n">
        <v>45054</v>
      </c>
      <c r="C1628" s="1" t="n">
        <v>45845</v>
      </c>
      <c r="D1628" t="inlineStr">
        <is>
          <t>VÄSTERNORRLANDS LÄN</t>
        </is>
      </c>
      <c r="E1628" t="inlineStr">
        <is>
          <t>SUNDSVALL</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20369-2023</t>
        </is>
      </c>
      <c r="B1629" s="1" t="n">
        <v>45054</v>
      </c>
      <c r="C1629" s="1" t="n">
        <v>45845</v>
      </c>
      <c r="D1629" t="inlineStr">
        <is>
          <t>VÄSTERNORRLANDS LÄN</t>
        </is>
      </c>
      <c r="E1629" t="inlineStr">
        <is>
          <t>SUNDSVALL</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20364-2023</t>
        </is>
      </c>
      <c r="B1630" s="1" t="n">
        <v>45054</v>
      </c>
      <c r="C1630" s="1" t="n">
        <v>45845</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20264-2023</t>
        </is>
      </c>
      <c r="B1631" s="1" t="n">
        <v>45055</v>
      </c>
      <c r="C1631" s="1" t="n">
        <v>45845</v>
      </c>
      <c r="D1631" t="inlineStr">
        <is>
          <t>VÄSTERNORRLANDS LÄN</t>
        </is>
      </c>
      <c r="E1631" t="inlineStr">
        <is>
          <t>SUNDSVALL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20274-2023</t>
        </is>
      </c>
      <c r="B1632" s="1" t="n">
        <v>45056</v>
      </c>
      <c r="C1632" s="1" t="n">
        <v>45845</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20275-2023</t>
        </is>
      </c>
      <c r="B1633" s="1" t="n">
        <v>45056</v>
      </c>
      <c r="C1633" s="1" t="n">
        <v>45845</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20452-2023</t>
        </is>
      </c>
      <c r="B1634" s="1" t="n">
        <v>45056</v>
      </c>
      <c r="C1634" s="1" t="n">
        <v>45845</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20611-2023</t>
        </is>
      </c>
      <c r="B1635" s="1" t="n">
        <v>45058</v>
      </c>
      <c r="C1635" s="1" t="n">
        <v>45845</v>
      </c>
      <c r="D1635" t="inlineStr">
        <is>
          <t>VÄSTERNORRLANDS LÄN</t>
        </is>
      </c>
      <c r="E1635" t="inlineStr">
        <is>
          <t>SUNDSVALL</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20610-2023</t>
        </is>
      </c>
      <c r="B1636" s="1" t="n">
        <v>45058</v>
      </c>
      <c r="C1636" s="1" t="n">
        <v>45845</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21144-2023</t>
        </is>
      </c>
      <c r="B1637" s="1" t="n">
        <v>45057</v>
      </c>
      <c r="C1637" s="1" t="n">
        <v>45845</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20876-2023</t>
        </is>
      </c>
      <c r="B1638" s="1" t="n">
        <v>45059</v>
      </c>
      <c r="C1638" s="1" t="n">
        <v>45845</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20889-2023</t>
        </is>
      </c>
      <c r="B1639" s="1" t="n">
        <v>45058</v>
      </c>
      <c r="C1639" s="1" t="n">
        <v>45845</v>
      </c>
      <c r="D1639" t="inlineStr">
        <is>
          <t>VÄSTERNORRLANDS LÄN</t>
        </is>
      </c>
      <c r="E1639" t="inlineStr">
        <is>
          <t>SUNDSVALL</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20875-2023</t>
        </is>
      </c>
      <c r="B1640" s="1" t="n">
        <v>45059</v>
      </c>
      <c r="C1640" s="1" t="n">
        <v>45845</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20959-2023</t>
        </is>
      </c>
      <c r="B1641" s="1" t="n">
        <v>45061</v>
      </c>
      <c r="C1641" s="1" t="n">
        <v>45845</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21022-2023</t>
        </is>
      </c>
      <c r="B1642" s="1" t="n">
        <v>45061</v>
      </c>
      <c r="C1642" s="1" t="n">
        <v>45845</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21111-2023</t>
        </is>
      </c>
      <c r="B1643" s="1" t="n">
        <v>45062</v>
      </c>
      <c r="C1643" s="1" t="n">
        <v>45845</v>
      </c>
      <c r="D1643" t="inlineStr">
        <is>
          <t>VÄSTERNORRLANDS LÄN</t>
        </is>
      </c>
      <c r="E1643" t="inlineStr">
        <is>
          <t>SUNDSVALL</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21010-2023</t>
        </is>
      </c>
      <c r="B1644" s="1" t="n">
        <v>45061</v>
      </c>
      <c r="C1644" s="1" t="n">
        <v>45845</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21181-2023</t>
        </is>
      </c>
      <c r="B1645" s="1" t="n">
        <v>45062</v>
      </c>
      <c r="C1645" s="1" t="n">
        <v>45845</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21196-2023</t>
        </is>
      </c>
      <c r="B1646" s="1" t="n">
        <v>45062</v>
      </c>
      <c r="C1646" s="1" t="n">
        <v>45845</v>
      </c>
      <c r="D1646" t="inlineStr">
        <is>
          <t>VÄSTERNORRLANDS LÄN</t>
        </is>
      </c>
      <c r="E1646" t="inlineStr">
        <is>
          <t>SUNDSVALL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21327-2023</t>
        </is>
      </c>
      <c r="B1647" s="1" t="n">
        <v>45062</v>
      </c>
      <c r="C1647" s="1" t="n">
        <v>45845</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45845</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21582-2023</t>
        </is>
      </c>
      <c r="B1649" s="1" t="n">
        <v>45062</v>
      </c>
      <c r="C1649" s="1" t="n">
        <v>45845</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21377-2023</t>
        </is>
      </c>
      <c r="B1650" s="1" t="n">
        <v>45063</v>
      </c>
      <c r="C1650" s="1" t="n">
        <v>45845</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21382-2023</t>
        </is>
      </c>
      <c r="B1651" s="1" t="n">
        <v>45063</v>
      </c>
      <c r="C1651" s="1" t="n">
        <v>45845</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21637-2023</t>
        </is>
      </c>
      <c r="B1652" s="1" t="n">
        <v>45063</v>
      </c>
      <c r="C1652" s="1" t="n">
        <v>45845</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21641-2023</t>
        </is>
      </c>
      <c r="B1653" s="1" t="n">
        <v>45063</v>
      </c>
      <c r="C1653" s="1" t="n">
        <v>45845</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21630-2023</t>
        </is>
      </c>
      <c r="B1654" s="1" t="n">
        <v>45063</v>
      </c>
      <c r="C1654" s="1" t="n">
        <v>45845</v>
      </c>
      <c r="D1654" t="inlineStr">
        <is>
          <t>VÄSTERNORRLANDS LÄN</t>
        </is>
      </c>
      <c r="E1654" t="inlineStr">
        <is>
          <t>SUNDSVALL</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21663-2023</t>
        </is>
      </c>
      <c r="B1655" s="1" t="n">
        <v>45064</v>
      </c>
      <c r="C1655" s="1" t="n">
        <v>45845</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21639-2023</t>
        </is>
      </c>
      <c r="B1656" s="1" t="n">
        <v>45063</v>
      </c>
      <c r="C1656" s="1" t="n">
        <v>45845</v>
      </c>
      <c r="D1656" t="inlineStr">
        <is>
          <t>VÄSTERNORRLANDS LÄN</t>
        </is>
      </c>
      <c r="E1656" t="inlineStr">
        <is>
          <t>SUNDSVALL</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21689-2023</t>
        </is>
      </c>
      <c r="B1657" s="1" t="n">
        <v>45063</v>
      </c>
      <c r="C1657" s="1" t="n">
        <v>45845</v>
      </c>
      <c r="D1657" t="inlineStr">
        <is>
          <t>VÄSTERNORRLANDS LÄN</t>
        </is>
      </c>
      <c r="E1657" t="inlineStr">
        <is>
          <t>SUNDSVALL</t>
        </is>
      </c>
      <c r="F1657" t="inlineStr">
        <is>
          <t>Naturvårdsverket</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21776-2023</t>
        </is>
      </c>
      <c r="B1658" s="1" t="n">
        <v>45066</v>
      </c>
      <c r="C1658" s="1" t="n">
        <v>45845</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21777-2023</t>
        </is>
      </c>
      <c r="B1659" s="1" t="n">
        <v>45066</v>
      </c>
      <c r="C1659" s="1" t="n">
        <v>45845</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21998-2023</t>
        </is>
      </c>
      <c r="B1660" s="1" t="n">
        <v>45068</v>
      </c>
      <c r="C1660" s="1" t="n">
        <v>45845</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21997-2023</t>
        </is>
      </c>
      <c r="B1661" s="1" t="n">
        <v>45068</v>
      </c>
      <c r="C1661" s="1" t="n">
        <v>45845</v>
      </c>
      <c r="D1661" t="inlineStr">
        <is>
          <t>VÄSTERNORRLANDS LÄN</t>
        </is>
      </c>
      <c r="E1661" t="inlineStr">
        <is>
          <t>SUNDSVALL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22139-2023</t>
        </is>
      </c>
      <c r="B1662" s="1" t="n">
        <v>45068</v>
      </c>
      <c r="C1662" s="1" t="n">
        <v>45845</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22067-2023</t>
        </is>
      </c>
      <c r="B1663" s="1" t="n">
        <v>45069</v>
      </c>
      <c r="C1663" s="1" t="n">
        <v>45845</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22258-2023</t>
        </is>
      </c>
      <c r="B1664" s="1" t="n">
        <v>45070</v>
      </c>
      <c r="C1664" s="1" t="n">
        <v>45845</v>
      </c>
      <c r="D1664" t="inlineStr">
        <is>
          <t>VÄSTERNORRLANDS LÄN</t>
        </is>
      </c>
      <c r="E1664" t="inlineStr">
        <is>
          <t>SUNDSVALL</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22371-2023</t>
        </is>
      </c>
      <c r="B1665" s="1" t="n">
        <v>45070</v>
      </c>
      <c r="C1665" s="1" t="n">
        <v>45845</v>
      </c>
      <c r="D1665" t="inlineStr">
        <is>
          <t>VÄSTERNORRLANDS LÄN</t>
        </is>
      </c>
      <c r="E1665" t="inlineStr">
        <is>
          <t>SUNDSVALL</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22474-2023</t>
        </is>
      </c>
      <c r="B1666" s="1" t="n">
        <v>45070</v>
      </c>
      <c r="C1666" s="1" t="n">
        <v>45845</v>
      </c>
      <c r="D1666" t="inlineStr">
        <is>
          <t>VÄSTERNORRLANDS LÄN</t>
        </is>
      </c>
      <c r="E1666" t="inlineStr">
        <is>
          <t>SUNDSVALL</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22473-2023</t>
        </is>
      </c>
      <c r="B1667" s="1" t="n">
        <v>45070</v>
      </c>
      <c r="C1667" s="1" t="n">
        <v>45845</v>
      </c>
      <c r="D1667" t="inlineStr">
        <is>
          <t>VÄSTERNORRLANDS LÄN</t>
        </is>
      </c>
      <c r="E1667" t="inlineStr">
        <is>
          <t>SUNDSVALL</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22642-2023</t>
        </is>
      </c>
      <c r="B1668" s="1" t="n">
        <v>45071</v>
      </c>
      <c r="C1668" s="1" t="n">
        <v>45845</v>
      </c>
      <c r="D1668" t="inlineStr">
        <is>
          <t>VÄSTERNORRLANDS LÄN</t>
        </is>
      </c>
      <c r="E1668" t="inlineStr">
        <is>
          <t>SUNDSVALL</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22749-2023</t>
        </is>
      </c>
      <c r="B1669" s="1" t="n">
        <v>45071</v>
      </c>
      <c r="C1669" s="1" t="n">
        <v>45845</v>
      </c>
      <c r="D1669" t="inlineStr">
        <is>
          <t>VÄSTERNORRLANDS LÄN</t>
        </is>
      </c>
      <c r="E1669" t="inlineStr">
        <is>
          <t>SUNDSVALL</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22759-2023</t>
        </is>
      </c>
      <c r="B1670" s="1" t="n">
        <v>45072</v>
      </c>
      <c r="C1670" s="1" t="n">
        <v>45845</v>
      </c>
      <c r="D1670" t="inlineStr">
        <is>
          <t>VÄSTERNORRLANDS LÄN</t>
        </is>
      </c>
      <c r="E1670" t="inlineStr">
        <is>
          <t>SUNDSVALL</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23040-2023</t>
        </is>
      </c>
      <c r="B1671" s="1" t="n">
        <v>45074</v>
      </c>
      <c r="C1671" s="1" t="n">
        <v>45845</v>
      </c>
      <c r="D1671" t="inlineStr">
        <is>
          <t>VÄSTERNORRLANDS LÄN</t>
        </is>
      </c>
      <c r="E1671" t="inlineStr">
        <is>
          <t>SUNDSVALL</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23094-2023</t>
        </is>
      </c>
      <c r="B1672" s="1" t="n">
        <v>45075</v>
      </c>
      <c r="C1672" s="1" t="n">
        <v>45845</v>
      </c>
      <c r="D1672" t="inlineStr">
        <is>
          <t>VÄSTERNORRLANDS LÄN</t>
        </is>
      </c>
      <c r="E1672" t="inlineStr">
        <is>
          <t>SUNDSVALL</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23282-2023</t>
        </is>
      </c>
      <c r="B1673" s="1" t="n">
        <v>45076</v>
      </c>
      <c r="C1673" s="1" t="n">
        <v>45845</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23284-2023</t>
        </is>
      </c>
      <c r="B1674" s="1" t="n">
        <v>45075</v>
      </c>
      <c r="C1674" s="1" t="n">
        <v>45845</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23283-2023</t>
        </is>
      </c>
      <c r="B1675" s="1" t="n">
        <v>45075</v>
      </c>
      <c r="C1675" s="1" t="n">
        <v>45845</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23889-2023</t>
        </is>
      </c>
      <c r="B1676" s="1" t="n">
        <v>45075</v>
      </c>
      <c r="C1676" s="1" t="n">
        <v>45845</v>
      </c>
      <c r="D1676" t="inlineStr">
        <is>
          <t>VÄSTERNORRLANDS LÄN</t>
        </is>
      </c>
      <c r="E1676" t="inlineStr">
        <is>
          <t>SUNDSVALL</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23809-2023</t>
        </is>
      </c>
      <c r="B1677" s="1" t="n">
        <v>45075</v>
      </c>
      <c r="C1677" s="1" t="n">
        <v>45845</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23404-2023</t>
        </is>
      </c>
      <c r="B1678" s="1" t="n">
        <v>45076</v>
      </c>
      <c r="C1678" s="1" t="n">
        <v>45845</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23514-2023</t>
        </is>
      </c>
      <c r="B1679" s="1" t="n">
        <v>45076</v>
      </c>
      <c r="C1679" s="1" t="n">
        <v>45845</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23513-2023</t>
        </is>
      </c>
      <c r="B1680" s="1" t="n">
        <v>45076</v>
      </c>
      <c r="C1680" s="1" t="n">
        <v>45845</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24152-2023</t>
        </is>
      </c>
      <c r="B1681" s="1" t="n">
        <v>45076</v>
      </c>
      <c r="C1681" s="1" t="n">
        <v>45845</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24155-2023</t>
        </is>
      </c>
      <c r="B1682" s="1" t="n">
        <v>45076</v>
      </c>
      <c r="C1682" s="1" t="n">
        <v>45845</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23781-2023</t>
        </is>
      </c>
      <c r="B1683" s="1" t="n">
        <v>45077</v>
      </c>
      <c r="C1683" s="1" t="n">
        <v>45845</v>
      </c>
      <c r="D1683" t="inlineStr">
        <is>
          <t>VÄSTERNORRLANDS LÄN</t>
        </is>
      </c>
      <c r="E1683" t="inlineStr">
        <is>
          <t>SUNDSVALL</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23758-2023</t>
        </is>
      </c>
      <c r="B1684" s="1" t="n">
        <v>45078</v>
      </c>
      <c r="C1684" s="1" t="n">
        <v>45845</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24042-2023</t>
        </is>
      </c>
      <c r="B1685" s="1" t="n">
        <v>45078</v>
      </c>
      <c r="C1685" s="1" t="n">
        <v>45845</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24072-2023</t>
        </is>
      </c>
      <c r="B1686" s="1" t="n">
        <v>45078</v>
      </c>
      <c r="C1686" s="1" t="n">
        <v>45845</v>
      </c>
      <c r="D1686" t="inlineStr">
        <is>
          <t>VÄSTERNORRLANDS LÄN</t>
        </is>
      </c>
      <c r="E1686" t="inlineStr">
        <is>
          <t>SUNDSVALL</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24298-2023</t>
        </is>
      </c>
      <c r="B1687" s="1" t="n">
        <v>45079</v>
      </c>
      <c r="C1687" s="1" t="n">
        <v>45845</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24296-2023</t>
        </is>
      </c>
      <c r="B1688" s="1" t="n">
        <v>45079</v>
      </c>
      <c r="C1688" s="1" t="n">
        <v>45845</v>
      </c>
      <c r="D1688" t="inlineStr">
        <is>
          <t>VÄSTERNORRLANDS LÄN</t>
        </is>
      </c>
      <c r="E1688" t="inlineStr">
        <is>
          <t>SUNDSVALL</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24485-2023</t>
        </is>
      </c>
      <c r="B1689" s="1" t="n">
        <v>45082</v>
      </c>
      <c r="C1689" s="1" t="n">
        <v>45845</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24360-2023</t>
        </is>
      </c>
      <c r="B1690" s="1" t="n">
        <v>45082</v>
      </c>
      <c r="C1690" s="1" t="n">
        <v>45845</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24433-2023</t>
        </is>
      </c>
      <c r="B1691" s="1" t="n">
        <v>45082</v>
      </c>
      <c r="C1691" s="1" t="n">
        <v>45845</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24437-2023</t>
        </is>
      </c>
      <c r="B1692" s="1" t="n">
        <v>45082</v>
      </c>
      <c r="C1692" s="1" t="n">
        <v>45845</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25282-2023</t>
        </is>
      </c>
      <c r="B1693" s="1" t="n">
        <v>45082</v>
      </c>
      <c r="C1693" s="1" t="n">
        <v>45845</v>
      </c>
      <c r="D1693" t="inlineStr">
        <is>
          <t>VÄSTERNORRLANDS LÄN</t>
        </is>
      </c>
      <c r="E1693" t="inlineStr">
        <is>
          <t>SUNDSVALL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24546-2023</t>
        </is>
      </c>
      <c r="B1694" s="1" t="n">
        <v>45083</v>
      </c>
      <c r="C1694" s="1" t="n">
        <v>45845</v>
      </c>
      <c r="D1694" t="inlineStr">
        <is>
          <t>VÄSTERNORRLANDS LÄN</t>
        </is>
      </c>
      <c r="E1694" t="inlineStr">
        <is>
          <t>SUNDSVALL</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24632-2023</t>
        </is>
      </c>
      <c r="B1695" s="1" t="n">
        <v>45084</v>
      </c>
      <c r="C1695" s="1" t="n">
        <v>45845</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25037-2023</t>
        </is>
      </c>
      <c r="B1696" s="1" t="n">
        <v>45086</v>
      </c>
      <c r="C1696" s="1" t="n">
        <v>45845</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25045-2023</t>
        </is>
      </c>
      <c r="B1697" s="1" t="n">
        <v>45085</v>
      </c>
      <c r="C1697" s="1" t="n">
        <v>45845</v>
      </c>
      <c r="D1697" t="inlineStr">
        <is>
          <t>VÄSTERNORRLANDS LÄN</t>
        </is>
      </c>
      <c r="E1697" t="inlineStr">
        <is>
          <t>SUNDSVALL</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25048-2023</t>
        </is>
      </c>
      <c r="B1698" s="1" t="n">
        <v>45085</v>
      </c>
      <c r="C1698" s="1" t="n">
        <v>45845</v>
      </c>
      <c r="D1698" t="inlineStr">
        <is>
          <t>VÄSTERNORRLANDS LÄN</t>
        </is>
      </c>
      <c r="E1698" t="inlineStr">
        <is>
          <t>SUNDSVALL</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25065-2023</t>
        </is>
      </c>
      <c r="B1699" s="1" t="n">
        <v>45085</v>
      </c>
      <c r="C1699" s="1" t="n">
        <v>45845</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25046-2023</t>
        </is>
      </c>
      <c r="B1700" s="1" t="n">
        <v>45085</v>
      </c>
      <c r="C1700" s="1" t="n">
        <v>45845</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25064-2023</t>
        </is>
      </c>
      <c r="B1701" s="1" t="n">
        <v>45085</v>
      </c>
      <c r="C1701" s="1" t="n">
        <v>45845</v>
      </c>
      <c r="D1701" t="inlineStr">
        <is>
          <t>VÄSTERNORRLANDS LÄN</t>
        </is>
      </c>
      <c r="E1701" t="inlineStr">
        <is>
          <t>SUNDSVALL</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25316-2023</t>
        </is>
      </c>
      <c r="B1702" s="1" t="n">
        <v>45086</v>
      </c>
      <c r="C1702" s="1" t="n">
        <v>45845</v>
      </c>
      <c r="D1702" t="inlineStr">
        <is>
          <t>VÄSTERNORRLANDS LÄN</t>
        </is>
      </c>
      <c r="E1702" t="inlineStr">
        <is>
          <t>SUNDSVALL</t>
        </is>
      </c>
      <c r="F1702" t="inlineStr">
        <is>
          <t>SCA</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25292-2023</t>
        </is>
      </c>
      <c r="B1703" s="1" t="n">
        <v>45086</v>
      </c>
      <c r="C1703" s="1" t="n">
        <v>45845</v>
      </c>
      <c r="D1703" t="inlineStr">
        <is>
          <t>VÄSTERNORRLANDS LÄN</t>
        </is>
      </c>
      <c r="E1703" t="inlineStr">
        <is>
          <t>SUNDSVALL</t>
        </is>
      </c>
      <c r="F1703" t="inlineStr">
        <is>
          <t>Holmen skog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25331-2023</t>
        </is>
      </c>
      <c r="B1704" s="1" t="n">
        <v>45087</v>
      </c>
      <c r="C1704" s="1" t="n">
        <v>45845</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25371-2023</t>
        </is>
      </c>
      <c r="B1705" s="1" t="n">
        <v>45089</v>
      </c>
      <c r="C1705" s="1" t="n">
        <v>45845</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25370-2023</t>
        </is>
      </c>
      <c r="B1706" s="1" t="n">
        <v>45088</v>
      </c>
      <c r="C1706" s="1" t="n">
        <v>45845</v>
      </c>
      <c r="D1706" t="inlineStr">
        <is>
          <t>VÄSTERNORRLANDS LÄN</t>
        </is>
      </c>
      <c r="E1706" t="inlineStr">
        <is>
          <t>SUNDSVALL</t>
        </is>
      </c>
      <c r="F1706" t="inlineStr">
        <is>
          <t>SCA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25407-2023</t>
        </is>
      </c>
      <c r="B1707" s="1" t="n">
        <v>45089</v>
      </c>
      <c r="C1707" s="1" t="n">
        <v>45845</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25642-2023</t>
        </is>
      </c>
      <c r="B1708" s="1" t="n">
        <v>45089</v>
      </c>
      <c r="C1708" s="1" t="n">
        <v>45845</v>
      </c>
      <c r="D1708" t="inlineStr">
        <is>
          <t>VÄSTERNORRLANDS LÄN</t>
        </is>
      </c>
      <c r="E1708" t="inlineStr">
        <is>
          <t>SUNDSVALL</t>
        </is>
      </c>
      <c r="F1708" t="inlineStr">
        <is>
          <t>Holmen skog AB</t>
        </is>
      </c>
      <c r="G1708" t="n">
        <v>26.7</v>
      </c>
      <c r="H1708" t="n">
        <v>0</v>
      </c>
      <c r="I1708" t="n">
        <v>0</v>
      </c>
      <c r="J1708" t="n">
        <v>0</v>
      </c>
      <c r="K1708" t="n">
        <v>0</v>
      </c>
      <c r="L1708" t="n">
        <v>0</v>
      </c>
      <c r="M1708" t="n">
        <v>0</v>
      </c>
      <c r="N1708" t="n">
        <v>0</v>
      </c>
      <c r="O1708" t="n">
        <v>0</v>
      </c>
      <c r="P1708" t="n">
        <v>0</v>
      </c>
      <c r="Q1708" t="n">
        <v>0</v>
      </c>
      <c r="R1708" s="2" t="inlineStr"/>
    </row>
    <row r="1709" ht="15" customHeight="1">
      <c r="A1709" t="inlineStr">
        <is>
          <t>A 25693-2023</t>
        </is>
      </c>
      <c r="B1709" s="1" t="n">
        <v>45090</v>
      </c>
      <c r="C1709" s="1" t="n">
        <v>45845</v>
      </c>
      <c r="D1709" t="inlineStr">
        <is>
          <t>VÄSTERNORRLANDS LÄN</t>
        </is>
      </c>
      <c r="E1709" t="inlineStr">
        <is>
          <t>SUNDSVALL</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26468-2023</t>
        </is>
      </c>
      <c r="B1710" s="1" t="n">
        <v>45089</v>
      </c>
      <c r="C1710" s="1" t="n">
        <v>45845</v>
      </c>
      <c r="D1710" t="inlineStr">
        <is>
          <t>VÄSTERNORRLANDS LÄN</t>
        </is>
      </c>
      <c r="E1710" t="inlineStr">
        <is>
          <t>SUNDSVALL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26475-2023</t>
        </is>
      </c>
      <c r="B1711" s="1" t="n">
        <v>45089</v>
      </c>
      <c r="C1711" s="1" t="n">
        <v>45845</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25988-2023</t>
        </is>
      </c>
      <c r="B1712" s="1" t="n">
        <v>45091</v>
      </c>
      <c r="C1712" s="1" t="n">
        <v>45845</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25996-2023</t>
        </is>
      </c>
      <c r="B1713" s="1" t="n">
        <v>45091</v>
      </c>
      <c r="C1713" s="1" t="n">
        <v>45845</v>
      </c>
      <c r="D1713" t="inlineStr">
        <is>
          <t>VÄSTERNORRLANDS LÄN</t>
        </is>
      </c>
      <c r="E1713" t="inlineStr">
        <is>
          <t>SUNDSVALL</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26001-2023</t>
        </is>
      </c>
      <c r="B1714" s="1" t="n">
        <v>45090</v>
      </c>
      <c r="C1714" s="1" t="n">
        <v>45845</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26013-2023</t>
        </is>
      </c>
      <c r="B1715" s="1" t="n">
        <v>45091</v>
      </c>
      <c r="C1715" s="1" t="n">
        <v>45845</v>
      </c>
      <c r="D1715" t="inlineStr">
        <is>
          <t>VÄSTERNORRLANDS LÄN</t>
        </is>
      </c>
      <c r="E1715" t="inlineStr">
        <is>
          <t>SUNDSVALL</t>
        </is>
      </c>
      <c r="F1715" t="inlineStr">
        <is>
          <t>SCA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26071-2023</t>
        </is>
      </c>
      <c r="B1716" s="1" t="n">
        <v>45091</v>
      </c>
      <c r="C1716" s="1" t="n">
        <v>45845</v>
      </c>
      <c r="D1716" t="inlineStr">
        <is>
          <t>VÄSTERNORRLANDS LÄN</t>
        </is>
      </c>
      <c r="E1716" t="inlineStr">
        <is>
          <t>SUNDSVALL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26341-2023</t>
        </is>
      </c>
      <c r="B1717" s="1" t="n">
        <v>45092</v>
      </c>
      <c r="C1717" s="1" t="n">
        <v>45845</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45845</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27470-2023</t>
        </is>
      </c>
      <c r="B1719" s="1" t="n">
        <v>45097</v>
      </c>
      <c r="C1719" s="1" t="n">
        <v>45845</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27641-2023</t>
        </is>
      </c>
      <c r="B1720" s="1" t="n">
        <v>45097</v>
      </c>
      <c r="C1720" s="1" t="n">
        <v>45845</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27566-2023</t>
        </is>
      </c>
      <c r="B1721" s="1" t="n">
        <v>45097</v>
      </c>
      <c r="C1721" s="1" t="n">
        <v>45845</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27571-2023</t>
        </is>
      </c>
      <c r="B1722" s="1" t="n">
        <v>45097</v>
      </c>
      <c r="C1722" s="1" t="n">
        <v>45845</v>
      </c>
      <c r="D1722" t="inlineStr">
        <is>
          <t>VÄSTERNORRLANDS LÄN</t>
        </is>
      </c>
      <c r="E1722" t="inlineStr">
        <is>
          <t>SUNDSVALL</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27640-2023</t>
        </is>
      </c>
      <c r="B1723" s="1" t="n">
        <v>45097</v>
      </c>
      <c r="C1723" s="1" t="n">
        <v>45845</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27693-2023</t>
        </is>
      </c>
      <c r="B1724" s="1" t="n">
        <v>45098</v>
      </c>
      <c r="C1724" s="1" t="n">
        <v>45845</v>
      </c>
      <c r="D1724" t="inlineStr">
        <is>
          <t>VÄSTERNORRLANDS LÄN</t>
        </is>
      </c>
      <c r="E1724" t="inlineStr">
        <is>
          <t>SUNDSVALL</t>
        </is>
      </c>
      <c r="F1724" t="inlineStr">
        <is>
          <t>SCA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27692-2023</t>
        </is>
      </c>
      <c r="B1725" s="1" t="n">
        <v>45098</v>
      </c>
      <c r="C1725" s="1" t="n">
        <v>45845</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27684-2023</t>
        </is>
      </c>
      <c r="B1726" s="1" t="n">
        <v>45097</v>
      </c>
      <c r="C1726" s="1" t="n">
        <v>45845</v>
      </c>
      <c r="D1726" t="inlineStr">
        <is>
          <t>VÄSTERNORRLANDS LÄN</t>
        </is>
      </c>
      <c r="E1726" t="inlineStr">
        <is>
          <t>SUNDSVALL</t>
        </is>
      </c>
      <c r="F1726" t="inlineStr">
        <is>
          <t>SCA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27639-2023</t>
        </is>
      </c>
      <c r="B1727" s="1" t="n">
        <v>45097</v>
      </c>
      <c r="C1727" s="1" t="n">
        <v>45845</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27687-2023</t>
        </is>
      </c>
      <c r="B1728" s="1" t="n">
        <v>45097</v>
      </c>
      <c r="C1728" s="1" t="n">
        <v>45845</v>
      </c>
      <c r="D1728" t="inlineStr">
        <is>
          <t>VÄSTERNORRLANDS LÄN</t>
        </is>
      </c>
      <c r="E1728" t="inlineStr">
        <is>
          <t>SUNDSVALL</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27685-2023</t>
        </is>
      </c>
      <c r="B1729" s="1" t="n">
        <v>45097</v>
      </c>
      <c r="C1729" s="1" t="n">
        <v>45845</v>
      </c>
      <c r="D1729" t="inlineStr">
        <is>
          <t>VÄSTERNORRLANDS LÄN</t>
        </is>
      </c>
      <c r="E1729" t="inlineStr">
        <is>
          <t>SUNDSVALL</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27677-2023</t>
        </is>
      </c>
      <c r="B1730" s="1" t="n">
        <v>45097</v>
      </c>
      <c r="C1730" s="1" t="n">
        <v>45845</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27673-2023</t>
        </is>
      </c>
      <c r="B1731" s="1" t="n">
        <v>45097</v>
      </c>
      <c r="C1731" s="1" t="n">
        <v>45845</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27736-2023</t>
        </is>
      </c>
      <c r="B1732" s="1" t="n">
        <v>45098</v>
      </c>
      <c r="C1732" s="1" t="n">
        <v>45845</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27844-2023</t>
        </is>
      </c>
      <c r="B1733" s="1" t="n">
        <v>45098</v>
      </c>
      <c r="C1733" s="1" t="n">
        <v>45845</v>
      </c>
      <c r="D1733" t="inlineStr">
        <is>
          <t>VÄSTERNORRLANDS LÄN</t>
        </is>
      </c>
      <c r="E1733" t="inlineStr">
        <is>
          <t>SUNDSVALL</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27857-2023</t>
        </is>
      </c>
      <c r="B1734" s="1" t="n">
        <v>45098</v>
      </c>
      <c r="C1734" s="1" t="n">
        <v>45845</v>
      </c>
      <c r="D1734" t="inlineStr">
        <is>
          <t>VÄSTERNORRLANDS LÄN</t>
        </is>
      </c>
      <c r="E1734" t="inlineStr">
        <is>
          <t>SUNDSVALL</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27875-2023</t>
        </is>
      </c>
      <c r="B1735" s="1" t="n">
        <v>45098</v>
      </c>
      <c r="C1735" s="1" t="n">
        <v>45845</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27960-2023</t>
        </is>
      </c>
      <c r="B1736" s="1" t="n">
        <v>45098</v>
      </c>
      <c r="C1736" s="1" t="n">
        <v>45845</v>
      </c>
      <c r="D1736" t="inlineStr">
        <is>
          <t>VÄSTERNORRLANDS LÄN</t>
        </is>
      </c>
      <c r="E1736" t="inlineStr">
        <is>
          <t>SUNDSVALL</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27998-2023</t>
        </is>
      </c>
      <c r="B1737" s="1" t="n">
        <v>45099</v>
      </c>
      <c r="C1737" s="1" t="n">
        <v>45845</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28015-2023</t>
        </is>
      </c>
      <c r="B1738" s="1" t="n">
        <v>45099</v>
      </c>
      <c r="C1738" s="1" t="n">
        <v>45845</v>
      </c>
      <c r="D1738" t="inlineStr">
        <is>
          <t>VÄSTERNORRLANDS LÄN</t>
        </is>
      </c>
      <c r="E1738" t="inlineStr">
        <is>
          <t>SUNDSVALL</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28378-2023</t>
        </is>
      </c>
      <c r="B1739" s="1" t="n">
        <v>45100</v>
      </c>
      <c r="C1739" s="1" t="n">
        <v>45845</v>
      </c>
      <c r="D1739" t="inlineStr">
        <is>
          <t>VÄSTERNORRLANDS LÄN</t>
        </is>
      </c>
      <c r="E1739" t="inlineStr">
        <is>
          <t>SUNDSVALL</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28387-2023</t>
        </is>
      </c>
      <c r="B1740" s="1" t="n">
        <v>45100</v>
      </c>
      <c r="C1740" s="1" t="n">
        <v>45845</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28388-2023</t>
        </is>
      </c>
      <c r="B1741" s="1" t="n">
        <v>45100</v>
      </c>
      <c r="C1741" s="1" t="n">
        <v>45845</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30445-2023</t>
        </is>
      </c>
      <c r="B1742" s="1" t="n">
        <v>45099</v>
      </c>
      <c r="C1742" s="1" t="n">
        <v>45845</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28404-2023</t>
        </is>
      </c>
      <c r="B1743" s="1" t="n">
        <v>45100</v>
      </c>
      <c r="C1743" s="1" t="n">
        <v>45845</v>
      </c>
      <c r="D1743" t="inlineStr">
        <is>
          <t>VÄSTERNORRLANDS LÄN</t>
        </is>
      </c>
      <c r="E1743" t="inlineStr">
        <is>
          <t>SUNDSVALL</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28414-2023</t>
        </is>
      </c>
      <c r="B1744" s="1" t="n">
        <v>45101</v>
      </c>
      <c r="C1744" s="1" t="n">
        <v>45845</v>
      </c>
      <c r="D1744" t="inlineStr">
        <is>
          <t>VÄSTERNORRLANDS LÄN</t>
        </is>
      </c>
      <c r="E1744" t="inlineStr">
        <is>
          <t>SUNDSVALL</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28415-2023</t>
        </is>
      </c>
      <c r="B1745" s="1" t="n">
        <v>45101</v>
      </c>
      <c r="C1745" s="1" t="n">
        <v>45845</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28416-2023</t>
        </is>
      </c>
      <c r="B1746" s="1" t="n">
        <v>45101</v>
      </c>
      <c r="C1746" s="1" t="n">
        <v>45845</v>
      </c>
      <c r="D1746" t="inlineStr">
        <is>
          <t>VÄSTERNORRLANDS LÄN</t>
        </is>
      </c>
      <c r="E1746" t="inlineStr">
        <is>
          <t>SUNDSVALL</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31036-2023</t>
        </is>
      </c>
      <c r="B1747" s="1" t="n">
        <v>45103</v>
      </c>
      <c r="C1747" s="1" t="n">
        <v>45845</v>
      </c>
      <c r="D1747" t="inlineStr">
        <is>
          <t>VÄSTERNORRLANDS LÄN</t>
        </is>
      </c>
      <c r="E1747" t="inlineStr">
        <is>
          <t>SUNDSVALL</t>
        </is>
      </c>
      <c r="G1747" t="n">
        <v>10.1</v>
      </c>
      <c r="H1747" t="n">
        <v>0</v>
      </c>
      <c r="I1747" t="n">
        <v>0</v>
      </c>
      <c r="J1747" t="n">
        <v>0</v>
      </c>
      <c r="K1747" t="n">
        <v>0</v>
      </c>
      <c r="L1747" t="n">
        <v>0</v>
      </c>
      <c r="M1747" t="n">
        <v>0</v>
      </c>
      <c r="N1747" t="n">
        <v>0</v>
      </c>
      <c r="O1747" t="n">
        <v>0</v>
      </c>
      <c r="P1747" t="n">
        <v>0</v>
      </c>
      <c r="Q1747" t="n">
        <v>0</v>
      </c>
      <c r="R1747" s="2" t="inlineStr"/>
      <c r="U1747">
        <f>HYPERLINK("https://klasma.github.io/Logging_2281/knärot/A 31036-2023 karta knärot.png", "A 31036-2023")</f>
        <v/>
      </c>
      <c r="V1747">
        <f>HYPERLINK("https://klasma.github.io/Logging_2281/klagomål/A 31036-2023 FSC-klagomål.docx", "A 31036-2023")</f>
        <v/>
      </c>
      <c r="W1747">
        <f>HYPERLINK("https://klasma.github.io/Logging_2281/klagomålsmail/A 31036-2023 FSC-klagomål mail.docx", "A 31036-2023")</f>
        <v/>
      </c>
      <c r="X1747">
        <f>HYPERLINK("https://klasma.github.io/Logging_2281/tillsyn/A 31036-2023 tillsynsbegäran.docx", "A 31036-2023")</f>
        <v/>
      </c>
      <c r="Y1747">
        <f>HYPERLINK("https://klasma.github.io/Logging_2281/tillsynsmail/A 31036-2023 tillsynsbegäran mail.docx", "A 31036-2023")</f>
        <v/>
      </c>
    </row>
    <row r="1748" ht="15" customHeight="1">
      <c r="A1748" t="inlineStr">
        <is>
          <t>A 28669-2023</t>
        </is>
      </c>
      <c r="B1748" s="1" t="n">
        <v>45103</v>
      </c>
      <c r="C1748" s="1" t="n">
        <v>45845</v>
      </c>
      <c r="D1748" t="inlineStr">
        <is>
          <t>VÄSTERNORRLANDS LÄN</t>
        </is>
      </c>
      <c r="E1748" t="inlineStr">
        <is>
          <t>SUNDSVALL</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31414-2023</t>
        </is>
      </c>
      <c r="B1749" s="1" t="n">
        <v>45104</v>
      </c>
      <c r="C1749" s="1" t="n">
        <v>45845</v>
      </c>
      <c r="D1749" t="inlineStr">
        <is>
          <t>VÄSTERNORRLANDS LÄN</t>
        </is>
      </c>
      <c r="E1749" t="inlineStr">
        <is>
          <t>SUNDSVALL</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29035-2023</t>
        </is>
      </c>
      <c r="B1750" s="1" t="n">
        <v>45104</v>
      </c>
      <c r="C1750" s="1" t="n">
        <v>45845</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29340-2023</t>
        </is>
      </c>
      <c r="B1751" s="1" t="n">
        <v>45105</v>
      </c>
      <c r="C1751" s="1" t="n">
        <v>45845</v>
      </c>
      <c r="D1751" t="inlineStr">
        <is>
          <t>VÄSTERNORRLANDS LÄN</t>
        </is>
      </c>
      <c r="E1751" t="inlineStr">
        <is>
          <t>SUNDSVALL</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29432-2023</t>
        </is>
      </c>
      <c r="B1752" s="1" t="n">
        <v>45106</v>
      </c>
      <c r="C1752" s="1" t="n">
        <v>45845</v>
      </c>
      <c r="D1752" t="inlineStr">
        <is>
          <t>VÄSTERNORRLANDS LÄN</t>
        </is>
      </c>
      <c r="E1752" t="inlineStr">
        <is>
          <t>SUNDSVALL</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45845</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29597-2023</t>
        </is>
      </c>
      <c r="B1754" s="1" t="n">
        <v>45106</v>
      </c>
      <c r="C1754" s="1" t="n">
        <v>45845</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29607-2023</t>
        </is>
      </c>
      <c r="B1755" s="1" t="n">
        <v>45107</v>
      </c>
      <c r="C1755" s="1" t="n">
        <v>45845</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29622-2023</t>
        </is>
      </c>
      <c r="B1756" s="1" t="n">
        <v>45107</v>
      </c>
      <c r="C1756" s="1" t="n">
        <v>45845</v>
      </c>
      <c r="D1756" t="inlineStr">
        <is>
          <t>VÄSTERNORRLANDS LÄN</t>
        </is>
      </c>
      <c r="E1756" t="inlineStr">
        <is>
          <t>SUNDSVALL</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29623-2023</t>
        </is>
      </c>
      <c r="B1757" s="1" t="n">
        <v>45107</v>
      </c>
      <c r="C1757" s="1" t="n">
        <v>45845</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29629-2023</t>
        </is>
      </c>
      <c r="B1758" s="1" t="n">
        <v>45107</v>
      </c>
      <c r="C1758" s="1" t="n">
        <v>45845</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29689-2023</t>
        </is>
      </c>
      <c r="B1759" s="1" t="n">
        <v>45107</v>
      </c>
      <c r="C1759" s="1" t="n">
        <v>45845</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29966-2023</t>
        </is>
      </c>
      <c r="B1760" s="1" t="n">
        <v>45108</v>
      </c>
      <c r="C1760" s="1" t="n">
        <v>45845</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29951-2023</t>
        </is>
      </c>
      <c r="B1761" s="1" t="n">
        <v>45108</v>
      </c>
      <c r="C1761" s="1" t="n">
        <v>45845</v>
      </c>
      <c r="D1761" t="inlineStr">
        <is>
          <t>VÄSTERNORRLANDS LÄN</t>
        </is>
      </c>
      <c r="E1761" t="inlineStr">
        <is>
          <t>SUNDSVALL</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29955-2023</t>
        </is>
      </c>
      <c r="B1762" s="1" t="n">
        <v>45108</v>
      </c>
      <c r="C1762" s="1" t="n">
        <v>45845</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29950-2023</t>
        </is>
      </c>
      <c r="B1763" s="1" t="n">
        <v>45108</v>
      </c>
      <c r="C1763" s="1" t="n">
        <v>45845</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32128-2023</t>
        </is>
      </c>
      <c r="B1764" s="1" t="n">
        <v>45107</v>
      </c>
      <c r="C1764" s="1" t="n">
        <v>45845</v>
      </c>
      <c r="D1764" t="inlineStr">
        <is>
          <t>VÄSTERNORRLANDS LÄN</t>
        </is>
      </c>
      <c r="E1764" t="inlineStr">
        <is>
          <t>SUNDSVALL</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32122-2023</t>
        </is>
      </c>
      <c r="B1765" s="1" t="n">
        <v>45107</v>
      </c>
      <c r="C1765" s="1" t="n">
        <v>45845</v>
      </c>
      <c r="D1765" t="inlineStr">
        <is>
          <t>VÄSTERNORRLANDS LÄN</t>
        </is>
      </c>
      <c r="E1765" t="inlineStr">
        <is>
          <t>SUNDSVALL</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30294-2023</t>
        </is>
      </c>
      <c r="B1766" s="1" t="n">
        <v>45111</v>
      </c>
      <c r="C1766" s="1" t="n">
        <v>45845</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30307-2023</t>
        </is>
      </c>
      <c r="B1767" s="1" t="n">
        <v>45111</v>
      </c>
      <c r="C1767" s="1" t="n">
        <v>45845</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30305-2023</t>
        </is>
      </c>
      <c r="B1768" s="1" t="n">
        <v>45111</v>
      </c>
      <c r="C1768" s="1" t="n">
        <v>45845</v>
      </c>
      <c r="D1768" t="inlineStr">
        <is>
          <t>VÄSTERNORRLANDS LÄN</t>
        </is>
      </c>
      <c r="E1768" t="inlineStr">
        <is>
          <t>SUNDSVALL</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30306-2023</t>
        </is>
      </c>
      <c r="B1769" s="1" t="n">
        <v>45111</v>
      </c>
      <c r="C1769" s="1" t="n">
        <v>45845</v>
      </c>
      <c r="D1769" t="inlineStr">
        <is>
          <t>VÄSTERNORRLANDS LÄN</t>
        </is>
      </c>
      <c r="E1769" t="inlineStr">
        <is>
          <t>SUNDSVALL</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30537-2023</t>
        </is>
      </c>
      <c r="B1770" s="1" t="n">
        <v>45111</v>
      </c>
      <c r="C1770" s="1" t="n">
        <v>45845</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30557-2023</t>
        </is>
      </c>
      <c r="B1771" s="1" t="n">
        <v>45111</v>
      </c>
      <c r="C1771" s="1" t="n">
        <v>45845</v>
      </c>
      <c r="D1771" t="inlineStr">
        <is>
          <t>VÄSTERNORRLANDS LÄN</t>
        </is>
      </c>
      <c r="E1771" t="inlineStr">
        <is>
          <t>SUNDSVALL</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30569-2023</t>
        </is>
      </c>
      <c r="B1772" s="1" t="n">
        <v>45111</v>
      </c>
      <c r="C1772" s="1" t="n">
        <v>45845</v>
      </c>
      <c r="D1772" t="inlineStr">
        <is>
          <t>VÄSTERNORRLANDS LÄN</t>
        </is>
      </c>
      <c r="E1772" t="inlineStr">
        <is>
          <t>SUNDSVALL</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32582-2023</t>
        </is>
      </c>
      <c r="B1773" s="1" t="n">
        <v>45111</v>
      </c>
      <c r="C1773" s="1" t="n">
        <v>45845</v>
      </c>
      <c r="D1773" t="inlineStr">
        <is>
          <t>VÄSTERNORRLANDS LÄN</t>
        </is>
      </c>
      <c r="E1773" t="inlineStr">
        <is>
          <t>SUNDSVALL</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30444-2023</t>
        </is>
      </c>
      <c r="B1774" s="1" t="n">
        <v>45111</v>
      </c>
      <c r="C1774" s="1" t="n">
        <v>45845</v>
      </c>
      <c r="D1774" t="inlineStr">
        <is>
          <t>VÄSTERNORRLANDS LÄN</t>
        </is>
      </c>
      <c r="E1774" t="inlineStr">
        <is>
          <t>SUNDSVALL</t>
        </is>
      </c>
      <c r="G1774" t="n">
        <v>17.3</v>
      </c>
      <c r="H1774" t="n">
        <v>0</v>
      </c>
      <c r="I1774" t="n">
        <v>0</v>
      </c>
      <c r="J1774" t="n">
        <v>0</v>
      </c>
      <c r="K1774" t="n">
        <v>0</v>
      </c>
      <c r="L1774" t="n">
        <v>0</v>
      </c>
      <c r="M1774" t="n">
        <v>0</v>
      </c>
      <c r="N1774" t="n">
        <v>0</v>
      </c>
      <c r="O1774" t="n">
        <v>0</v>
      </c>
      <c r="P1774" t="n">
        <v>0</v>
      </c>
      <c r="Q1774" t="n">
        <v>0</v>
      </c>
      <c r="R1774" s="2" t="inlineStr"/>
    </row>
    <row r="1775" ht="15" customHeight="1">
      <c r="A1775" t="inlineStr">
        <is>
          <t>A 30559-2023</t>
        </is>
      </c>
      <c r="B1775" s="1" t="n">
        <v>45111</v>
      </c>
      <c r="C1775" s="1" t="n">
        <v>45845</v>
      </c>
      <c r="D1775" t="inlineStr">
        <is>
          <t>VÄSTERNORRLANDS LÄN</t>
        </is>
      </c>
      <c r="E1775" t="inlineStr">
        <is>
          <t>SUNDSVALL</t>
        </is>
      </c>
      <c r="G1775" t="n">
        <v>25.9</v>
      </c>
      <c r="H1775" t="n">
        <v>0</v>
      </c>
      <c r="I1775" t="n">
        <v>0</v>
      </c>
      <c r="J1775" t="n">
        <v>0</v>
      </c>
      <c r="K1775" t="n">
        <v>0</v>
      </c>
      <c r="L1775" t="n">
        <v>0</v>
      </c>
      <c r="M1775" t="n">
        <v>0</v>
      </c>
      <c r="N1775" t="n">
        <v>0</v>
      </c>
      <c r="O1775" t="n">
        <v>0</v>
      </c>
      <c r="P1775" t="n">
        <v>0</v>
      </c>
      <c r="Q1775" t="n">
        <v>0</v>
      </c>
      <c r="R1775" s="2" t="inlineStr"/>
    </row>
    <row r="1776" ht="15" customHeight="1">
      <c r="A1776" t="inlineStr">
        <is>
          <t>A 30544-2023</t>
        </is>
      </c>
      <c r="B1776" s="1" t="n">
        <v>45111</v>
      </c>
      <c r="C1776" s="1" t="n">
        <v>45845</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30568-2023</t>
        </is>
      </c>
      <c r="B1777" s="1" t="n">
        <v>45112</v>
      </c>
      <c r="C1777" s="1" t="n">
        <v>45845</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32562-2023</t>
        </is>
      </c>
      <c r="B1778" s="1" t="n">
        <v>45111</v>
      </c>
      <c r="C1778" s="1" t="n">
        <v>45845</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32571-2023</t>
        </is>
      </c>
      <c r="B1779" s="1" t="n">
        <v>45111</v>
      </c>
      <c r="C1779" s="1" t="n">
        <v>45845</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31202-2023</t>
        </is>
      </c>
      <c r="B1780" s="1" t="n">
        <v>45113</v>
      </c>
      <c r="C1780" s="1" t="n">
        <v>45845</v>
      </c>
      <c r="D1780" t="inlineStr">
        <is>
          <t>VÄSTERNORRLANDS LÄN</t>
        </is>
      </c>
      <c r="E1780" t="inlineStr">
        <is>
          <t>SUNDSVALL</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31207-2023</t>
        </is>
      </c>
      <c r="B1781" s="1" t="n">
        <v>45114</v>
      </c>
      <c r="C1781" s="1" t="n">
        <v>45845</v>
      </c>
      <c r="D1781" t="inlineStr">
        <is>
          <t>VÄSTERNORRLANDS LÄN</t>
        </is>
      </c>
      <c r="E1781" t="inlineStr">
        <is>
          <t>SUNDSVALL</t>
        </is>
      </c>
      <c r="F1781" t="inlineStr">
        <is>
          <t>SCA</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31211-2023</t>
        </is>
      </c>
      <c r="B1782" s="1" t="n">
        <v>45114</v>
      </c>
      <c r="C1782" s="1" t="n">
        <v>45845</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45114</v>
      </c>
      <c r="C1783" s="1" t="n">
        <v>45845</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32970-2023</t>
        </is>
      </c>
      <c r="B1784" s="1" t="n">
        <v>45113</v>
      </c>
      <c r="C1784" s="1" t="n">
        <v>45845</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32953-2023</t>
        </is>
      </c>
      <c r="B1785" s="1" t="n">
        <v>45113</v>
      </c>
      <c r="C1785" s="1" t="n">
        <v>45845</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31274-2023</t>
        </is>
      </c>
      <c r="B1786" s="1" t="n">
        <v>45114</v>
      </c>
      <c r="C1786" s="1" t="n">
        <v>45845</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31278-2023</t>
        </is>
      </c>
      <c r="B1787" s="1" t="n">
        <v>45114</v>
      </c>
      <c r="C1787" s="1" t="n">
        <v>45845</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31305-2023</t>
        </is>
      </c>
      <c r="B1788" s="1" t="n">
        <v>45114</v>
      </c>
      <c r="C1788" s="1" t="n">
        <v>45845</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31312-2023</t>
        </is>
      </c>
      <c r="B1789" s="1" t="n">
        <v>45114</v>
      </c>
      <c r="C1789" s="1" t="n">
        <v>45845</v>
      </c>
      <c r="D1789" t="inlineStr">
        <is>
          <t>VÄSTERNORRLANDS LÄN</t>
        </is>
      </c>
      <c r="E1789" t="inlineStr">
        <is>
          <t>SUNDSVALL</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31492-2023</t>
        </is>
      </c>
      <c r="B1790" s="1" t="n">
        <v>45115</v>
      </c>
      <c r="C1790" s="1" t="n">
        <v>45845</v>
      </c>
      <c r="D1790" t="inlineStr">
        <is>
          <t>VÄSTERNORRLANDS LÄN</t>
        </is>
      </c>
      <c r="E1790" t="inlineStr">
        <is>
          <t>SUNDSVALL</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31493-2023</t>
        </is>
      </c>
      <c r="B1791" s="1" t="n">
        <v>45114</v>
      </c>
      <c r="C1791" s="1" t="n">
        <v>45845</v>
      </c>
      <c r="D1791" t="inlineStr">
        <is>
          <t>VÄSTERNORRLANDS LÄN</t>
        </is>
      </c>
      <c r="E1791" t="inlineStr">
        <is>
          <t>SUNDSVALL</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31739-2023</t>
        </is>
      </c>
      <c r="B1792" s="1" t="n">
        <v>45117</v>
      </c>
      <c r="C1792" s="1" t="n">
        <v>45845</v>
      </c>
      <c r="D1792" t="inlineStr">
        <is>
          <t>VÄSTERNORRLANDS LÄN</t>
        </is>
      </c>
      <c r="E1792" t="inlineStr">
        <is>
          <t>SUNDSVALL</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31911-2023</t>
        </is>
      </c>
      <c r="B1793" s="1" t="n">
        <v>45118</v>
      </c>
      <c r="C1793" s="1" t="n">
        <v>45845</v>
      </c>
      <c r="D1793" t="inlineStr">
        <is>
          <t>VÄSTERNORRLANDS LÄN</t>
        </is>
      </c>
      <c r="E1793" t="inlineStr">
        <is>
          <t>SUNDSVALL</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31928-2023</t>
        </is>
      </c>
      <c r="B1794" s="1" t="n">
        <v>45118</v>
      </c>
      <c r="C1794" s="1" t="n">
        <v>45845</v>
      </c>
      <c r="D1794" t="inlineStr">
        <is>
          <t>VÄSTERNORRLANDS LÄN</t>
        </is>
      </c>
      <c r="E1794" t="inlineStr">
        <is>
          <t>SUNDSVALL</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32202-2023</t>
        </is>
      </c>
      <c r="B1795" s="1" t="n">
        <v>45120</v>
      </c>
      <c r="C1795" s="1" t="n">
        <v>45845</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32203-2023</t>
        </is>
      </c>
      <c r="B1796" s="1" t="n">
        <v>45120</v>
      </c>
      <c r="C1796" s="1" t="n">
        <v>45845</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32233-2023</t>
        </is>
      </c>
      <c r="B1797" s="1" t="n">
        <v>45120</v>
      </c>
      <c r="C1797" s="1" t="n">
        <v>45845</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32201-2023</t>
        </is>
      </c>
      <c r="B1798" s="1" t="n">
        <v>45119</v>
      </c>
      <c r="C1798" s="1" t="n">
        <v>45845</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32204-2023</t>
        </is>
      </c>
      <c r="B1799" s="1" t="n">
        <v>45120</v>
      </c>
      <c r="C1799" s="1" t="n">
        <v>45845</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32222-2023</t>
        </is>
      </c>
      <c r="B1800" s="1" t="n">
        <v>45120</v>
      </c>
      <c r="C1800" s="1" t="n">
        <v>45845</v>
      </c>
      <c r="D1800" t="inlineStr">
        <is>
          <t>VÄSTERNORRLANDS LÄN</t>
        </is>
      </c>
      <c r="E1800" t="inlineStr">
        <is>
          <t>SUNDSVALL</t>
        </is>
      </c>
      <c r="F1800" t="inlineStr">
        <is>
          <t>SCA</t>
        </is>
      </c>
      <c r="G1800" t="n">
        <v>25.6</v>
      </c>
      <c r="H1800" t="n">
        <v>0</v>
      </c>
      <c r="I1800" t="n">
        <v>0</v>
      </c>
      <c r="J1800" t="n">
        <v>0</v>
      </c>
      <c r="K1800" t="n">
        <v>0</v>
      </c>
      <c r="L1800" t="n">
        <v>0</v>
      </c>
      <c r="M1800" t="n">
        <v>0</v>
      </c>
      <c r="N1800" t="n">
        <v>0</v>
      </c>
      <c r="O1800" t="n">
        <v>0</v>
      </c>
      <c r="P1800" t="n">
        <v>0</v>
      </c>
      <c r="Q1800" t="n">
        <v>0</v>
      </c>
      <c r="R1800" s="2" t="inlineStr"/>
    </row>
    <row r="1801" ht="15" customHeight="1">
      <c r="A1801" t="inlineStr">
        <is>
          <t>A 32380-2023</t>
        </is>
      </c>
      <c r="B1801" s="1" t="n">
        <v>45120</v>
      </c>
      <c r="C1801" s="1" t="n">
        <v>45845</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32469-2023</t>
        </is>
      </c>
      <c r="B1802" s="1" t="n">
        <v>45121</v>
      </c>
      <c r="C1802" s="1" t="n">
        <v>45845</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32468-2023</t>
        </is>
      </c>
      <c r="B1803" s="1" t="n">
        <v>45121</v>
      </c>
      <c r="C1803" s="1" t="n">
        <v>45845</v>
      </c>
      <c r="D1803" t="inlineStr">
        <is>
          <t>VÄSTERNORRLANDS LÄN</t>
        </is>
      </c>
      <c r="E1803" t="inlineStr">
        <is>
          <t>SUNDSVALL</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32903-2023</t>
        </is>
      </c>
      <c r="B1804" s="1" t="n">
        <v>45125</v>
      </c>
      <c r="C1804" s="1" t="n">
        <v>45845</v>
      </c>
      <c r="D1804" t="inlineStr">
        <is>
          <t>VÄSTERNORRLANDS LÄN</t>
        </is>
      </c>
      <c r="E1804" t="inlineStr">
        <is>
          <t>SUNDSVALL</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32790-2023</t>
        </is>
      </c>
      <c r="B1805" s="1" t="n">
        <v>45124</v>
      </c>
      <c r="C1805" s="1" t="n">
        <v>45845</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32904-2023</t>
        </is>
      </c>
      <c r="B1806" s="1" t="n">
        <v>45125</v>
      </c>
      <c r="C1806" s="1" t="n">
        <v>45845</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32905-2023</t>
        </is>
      </c>
      <c r="B1807" s="1" t="n">
        <v>45125</v>
      </c>
      <c r="C1807" s="1" t="n">
        <v>45845</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33040-2023</t>
        </is>
      </c>
      <c r="B1808" s="1" t="n">
        <v>45126</v>
      </c>
      <c r="C1808" s="1" t="n">
        <v>45845</v>
      </c>
      <c r="D1808" t="inlineStr">
        <is>
          <t>VÄSTERNORRLANDS LÄN</t>
        </is>
      </c>
      <c r="E1808" t="inlineStr">
        <is>
          <t>SUNDSVALL</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33044-2023</t>
        </is>
      </c>
      <c r="B1809" s="1" t="n">
        <v>45125</v>
      </c>
      <c r="C1809" s="1" t="n">
        <v>45845</v>
      </c>
      <c r="D1809" t="inlineStr">
        <is>
          <t>VÄSTERNORRLANDS LÄN</t>
        </is>
      </c>
      <c r="E1809" t="inlineStr">
        <is>
          <t>SUNDSVALL</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33041-2023</t>
        </is>
      </c>
      <c r="B1810" s="1" t="n">
        <v>45125</v>
      </c>
      <c r="C1810" s="1" t="n">
        <v>45845</v>
      </c>
      <c r="D1810" t="inlineStr">
        <is>
          <t>VÄSTERNORRLANDS LÄN</t>
        </is>
      </c>
      <c r="E1810" t="inlineStr">
        <is>
          <t>SUNDSVALL</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33327-2023</t>
        </is>
      </c>
      <c r="B1811" s="1" t="n">
        <v>45128</v>
      </c>
      <c r="C1811" s="1" t="n">
        <v>45845</v>
      </c>
      <c r="D1811" t="inlineStr">
        <is>
          <t>VÄSTERNORRLANDS LÄN</t>
        </is>
      </c>
      <c r="E1811" t="inlineStr">
        <is>
          <t>SUNDSVALL</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33430-2023</t>
        </is>
      </c>
      <c r="B1812" s="1" t="n">
        <v>45129</v>
      </c>
      <c r="C1812" s="1" t="n">
        <v>45845</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33431-2023</t>
        </is>
      </c>
      <c r="B1813" s="1" t="n">
        <v>45128</v>
      </c>
      <c r="C1813" s="1" t="n">
        <v>45845</v>
      </c>
      <c r="D1813" t="inlineStr">
        <is>
          <t>VÄSTERNORRLANDS LÄN</t>
        </is>
      </c>
      <c r="E1813" t="inlineStr">
        <is>
          <t>SUNDSVALL</t>
        </is>
      </c>
      <c r="F1813" t="inlineStr">
        <is>
          <t>SCA</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33444-2023</t>
        </is>
      </c>
      <c r="B1814" s="1" t="n">
        <v>45129</v>
      </c>
      <c r="C1814" s="1" t="n">
        <v>45845</v>
      </c>
      <c r="D1814" t="inlineStr">
        <is>
          <t>VÄSTERNORRLANDS LÄN</t>
        </is>
      </c>
      <c r="E1814" t="inlineStr">
        <is>
          <t>SUNDSVALL</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33714-2023</t>
        </is>
      </c>
      <c r="B1815" s="1" t="n">
        <v>45132</v>
      </c>
      <c r="C1815" s="1" t="n">
        <v>45845</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33716-2023</t>
        </is>
      </c>
      <c r="B1816" s="1" t="n">
        <v>45133</v>
      </c>
      <c r="C1816" s="1" t="n">
        <v>45845</v>
      </c>
      <c r="D1816" t="inlineStr">
        <is>
          <t>VÄSTERNORRLANDS LÄN</t>
        </is>
      </c>
      <c r="E1816" t="inlineStr">
        <is>
          <t>SUNDSVALL</t>
        </is>
      </c>
      <c r="F1816" t="inlineStr">
        <is>
          <t>SCA</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33715-2023</t>
        </is>
      </c>
      <c r="B1817" s="1" t="n">
        <v>45133</v>
      </c>
      <c r="C1817" s="1" t="n">
        <v>45845</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33876-2023</t>
        </is>
      </c>
      <c r="B1818" s="1" t="n">
        <v>45133</v>
      </c>
      <c r="C1818" s="1" t="n">
        <v>45845</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34011-2023</t>
        </is>
      </c>
      <c r="B1819" s="1" t="n">
        <v>45135</v>
      </c>
      <c r="C1819" s="1" t="n">
        <v>45845</v>
      </c>
      <c r="D1819" t="inlineStr">
        <is>
          <t>VÄSTERNORRLANDS LÄN</t>
        </is>
      </c>
      <c r="E1819" t="inlineStr">
        <is>
          <t>SUNDSVALL</t>
        </is>
      </c>
      <c r="F1819" t="inlineStr">
        <is>
          <t>SCA</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34135-2023</t>
        </is>
      </c>
      <c r="B1820" s="1" t="n">
        <v>45135</v>
      </c>
      <c r="C1820" s="1" t="n">
        <v>45845</v>
      </c>
      <c r="D1820" t="inlineStr">
        <is>
          <t>VÄSTERNORRLANDS LÄN</t>
        </is>
      </c>
      <c r="E1820" t="inlineStr">
        <is>
          <t>SUNDSVALL</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34192-2023</t>
        </is>
      </c>
      <c r="B1821" s="1" t="n">
        <v>45138</v>
      </c>
      <c r="C1821" s="1" t="n">
        <v>45845</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34326-2023</t>
        </is>
      </c>
      <c r="B1822" s="1" t="n">
        <v>45138</v>
      </c>
      <c r="C1822" s="1" t="n">
        <v>45845</v>
      </c>
      <c r="D1822" t="inlineStr">
        <is>
          <t>VÄSTERNORRLANDS LÄN</t>
        </is>
      </c>
      <c r="E1822" t="inlineStr">
        <is>
          <t>SUNDSVALL</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34423-2023</t>
        </is>
      </c>
      <c r="B1823" s="1" t="n">
        <v>45139</v>
      </c>
      <c r="C1823" s="1" t="n">
        <v>45845</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34428-2023</t>
        </is>
      </c>
      <c r="B1824" s="1" t="n">
        <v>45139</v>
      </c>
      <c r="C1824" s="1" t="n">
        <v>45845</v>
      </c>
      <c r="D1824" t="inlineStr">
        <is>
          <t>VÄSTERNORRLANDS LÄN</t>
        </is>
      </c>
      <c r="E1824" t="inlineStr">
        <is>
          <t>SUNDSVALL</t>
        </is>
      </c>
      <c r="F1824" t="inlineStr">
        <is>
          <t>Holmen skog AB</t>
        </is>
      </c>
      <c r="G1824" t="n">
        <v>18.5</v>
      </c>
      <c r="H1824" t="n">
        <v>0</v>
      </c>
      <c r="I1824" t="n">
        <v>0</v>
      </c>
      <c r="J1824" t="n">
        <v>0</v>
      </c>
      <c r="K1824" t="n">
        <v>0</v>
      </c>
      <c r="L1824" t="n">
        <v>0</v>
      </c>
      <c r="M1824" t="n">
        <v>0</v>
      </c>
      <c r="N1824" t="n">
        <v>0</v>
      </c>
      <c r="O1824" t="n">
        <v>0</v>
      </c>
      <c r="P1824" t="n">
        <v>0</v>
      </c>
      <c r="Q1824" t="n">
        <v>0</v>
      </c>
      <c r="R1824" s="2" t="inlineStr"/>
    </row>
    <row r="1825" ht="15" customHeight="1">
      <c r="A1825" t="inlineStr">
        <is>
          <t>A 34695-2023</t>
        </is>
      </c>
      <c r="B1825" s="1" t="n">
        <v>45141</v>
      </c>
      <c r="C1825" s="1" t="n">
        <v>45845</v>
      </c>
      <c r="D1825" t="inlineStr">
        <is>
          <t>VÄSTERNORRLANDS LÄN</t>
        </is>
      </c>
      <c r="E1825" t="inlineStr">
        <is>
          <t>SUNDSVALL</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34855-2023</t>
        </is>
      </c>
      <c r="B1826" s="1" t="n">
        <v>45141</v>
      </c>
      <c r="C1826" s="1" t="n">
        <v>45845</v>
      </c>
      <c r="D1826" t="inlineStr">
        <is>
          <t>VÄSTERNORRLANDS LÄN</t>
        </is>
      </c>
      <c r="E1826" t="inlineStr">
        <is>
          <t>SUNDSVALL</t>
        </is>
      </c>
      <c r="F1826" t="inlineStr">
        <is>
          <t>SCA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35010-2023</t>
        </is>
      </c>
      <c r="B1827" s="1" t="n">
        <v>45142</v>
      </c>
      <c r="C1827" s="1" t="n">
        <v>45845</v>
      </c>
      <c r="D1827" t="inlineStr">
        <is>
          <t>VÄSTERNORRLANDS LÄN</t>
        </is>
      </c>
      <c r="E1827" t="inlineStr">
        <is>
          <t>SUNDSVALL</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35016-2023</t>
        </is>
      </c>
      <c r="B1828" s="1" t="n">
        <v>45143</v>
      </c>
      <c r="C1828" s="1" t="n">
        <v>45845</v>
      </c>
      <c r="D1828" t="inlineStr">
        <is>
          <t>VÄSTERNORRLANDS LÄN</t>
        </is>
      </c>
      <c r="E1828" t="inlineStr">
        <is>
          <t>SUNDSVALL</t>
        </is>
      </c>
      <c r="F1828" t="inlineStr">
        <is>
          <t>Naturvårdsverket</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35263-2023</t>
        </is>
      </c>
      <c r="B1829" s="1" t="n">
        <v>45146</v>
      </c>
      <c r="C1829" s="1" t="n">
        <v>45845</v>
      </c>
      <c r="D1829" t="inlineStr">
        <is>
          <t>VÄSTERNORRLANDS LÄN</t>
        </is>
      </c>
      <c r="E1829" t="inlineStr">
        <is>
          <t>SUNDSVALL</t>
        </is>
      </c>
      <c r="F1829" t="inlineStr">
        <is>
          <t>SCA</t>
        </is>
      </c>
      <c r="G1829" t="n">
        <v>18.4</v>
      </c>
      <c r="H1829" t="n">
        <v>0</v>
      </c>
      <c r="I1829" t="n">
        <v>0</v>
      </c>
      <c r="J1829" t="n">
        <v>0</v>
      </c>
      <c r="K1829" t="n">
        <v>0</v>
      </c>
      <c r="L1829" t="n">
        <v>0</v>
      </c>
      <c r="M1829" t="n">
        <v>0</v>
      </c>
      <c r="N1829" t="n">
        <v>0</v>
      </c>
      <c r="O1829" t="n">
        <v>0</v>
      </c>
      <c r="P1829" t="n">
        <v>0</v>
      </c>
      <c r="Q1829" t="n">
        <v>0</v>
      </c>
      <c r="R1829" s="2" t="inlineStr"/>
    </row>
    <row r="1830" ht="15" customHeight="1">
      <c r="A1830" t="inlineStr">
        <is>
          <t>A 35254-2023</t>
        </is>
      </c>
      <c r="B1830" s="1" t="n">
        <v>45145</v>
      </c>
      <c r="C1830" s="1" t="n">
        <v>45845</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35262-2023</t>
        </is>
      </c>
      <c r="B1831" s="1" t="n">
        <v>45145</v>
      </c>
      <c r="C1831" s="1" t="n">
        <v>45845</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35499-2023</t>
        </is>
      </c>
      <c r="B1832" s="1" t="n">
        <v>45147</v>
      </c>
      <c r="C1832" s="1" t="n">
        <v>45845</v>
      </c>
      <c r="D1832" t="inlineStr">
        <is>
          <t>VÄSTERNORRLANDS LÄN</t>
        </is>
      </c>
      <c r="E1832" t="inlineStr">
        <is>
          <t>SUNDSVALL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35500-2023</t>
        </is>
      </c>
      <c r="B1833" s="1" t="n">
        <v>45147</v>
      </c>
      <c r="C1833" s="1" t="n">
        <v>45845</v>
      </c>
      <c r="D1833" t="inlineStr">
        <is>
          <t>VÄSTERNORRLANDS LÄN</t>
        </is>
      </c>
      <c r="E1833" t="inlineStr">
        <is>
          <t>SUNDSVALL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35504-2023</t>
        </is>
      </c>
      <c r="B1834" s="1" t="n">
        <v>45147</v>
      </c>
      <c r="C1834" s="1" t="n">
        <v>45845</v>
      </c>
      <c r="D1834" t="inlineStr">
        <is>
          <t>VÄSTERNORRLANDS LÄN</t>
        </is>
      </c>
      <c r="E1834" t="inlineStr">
        <is>
          <t>SUNDSVALL</t>
        </is>
      </c>
      <c r="F1834" t="inlineStr">
        <is>
          <t>Naturvårdsverket</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35530-2023</t>
        </is>
      </c>
      <c r="B1835" s="1" t="n">
        <v>45146</v>
      </c>
      <c r="C1835" s="1" t="n">
        <v>45845</v>
      </c>
      <c r="D1835" t="inlineStr">
        <is>
          <t>VÄSTERNORRLANDS LÄN</t>
        </is>
      </c>
      <c r="E1835" t="inlineStr">
        <is>
          <t>SUNDSVALL</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35535-2023</t>
        </is>
      </c>
      <c r="B1836" s="1" t="n">
        <v>45146</v>
      </c>
      <c r="C1836" s="1" t="n">
        <v>45845</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35682-2023</t>
        </is>
      </c>
      <c r="B1837" s="1" t="n">
        <v>45147</v>
      </c>
      <c r="C1837" s="1" t="n">
        <v>45845</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35743-2023</t>
        </is>
      </c>
      <c r="B1838" s="1" t="n">
        <v>45147</v>
      </c>
      <c r="C1838" s="1" t="n">
        <v>45845</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35818-2023</t>
        </is>
      </c>
      <c r="B1839" s="1" t="n">
        <v>45147</v>
      </c>
      <c r="C1839" s="1" t="n">
        <v>45845</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35815-2023</t>
        </is>
      </c>
      <c r="B1840" s="1" t="n">
        <v>45147</v>
      </c>
      <c r="C1840" s="1" t="n">
        <v>45845</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35976-2023</t>
        </is>
      </c>
      <c r="B1841" s="1" t="n">
        <v>45149</v>
      </c>
      <c r="C1841" s="1" t="n">
        <v>45845</v>
      </c>
      <c r="D1841" t="inlineStr">
        <is>
          <t>VÄSTERNORRLANDS LÄN</t>
        </is>
      </c>
      <c r="E1841" t="inlineStr">
        <is>
          <t>SUNDSVALL</t>
        </is>
      </c>
      <c r="F1841" t="inlineStr">
        <is>
          <t>SCA</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35991-2023</t>
        </is>
      </c>
      <c r="B1842" s="1" t="n">
        <v>45149</v>
      </c>
      <c r="C1842" s="1" t="n">
        <v>45845</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36202-2023</t>
        </is>
      </c>
      <c r="B1843" s="1" t="n">
        <v>45149</v>
      </c>
      <c r="C1843" s="1" t="n">
        <v>45845</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36203-2023</t>
        </is>
      </c>
      <c r="B1844" s="1" t="n">
        <v>45149</v>
      </c>
      <c r="C1844" s="1" t="n">
        <v>45845</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36200-2023</t>
        </is>
      </c>
      <c r="B1845" s="1" t="n">
        <v>45150</v>
      </c>
      <c r="C1845" s="1" t="n">
        <v>45845</v>
      </c>
      <c r="D1845" t="inlineStr">
        <is>
          <t>VÄSTERNORRLANDS LÄN</t>
        </is>
      </c>
      <c r="E1845" t="inlineStr">
        <is>
          <t>SUNDSVALL</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36229-2023</t>
        </is>
      </c>
      <c r="B1846" s="1" t="n">
        <v>45149</v>
      </c>
      <c r="C1846" s="1" t="n">
        <v>45845</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36413-2023</t>
        </is>
      </c>
      <c r="B1847" s="1" t="n">
        <v>45152</v>
      </c>
      <c r="C1847" s="1" t="n">
        <v>45845</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36505-2023</t>
        </is>
      </c>
      <c r="B1848" s="1" t="n">
        <v>45153</v>
      </c>
      <c r="C1848" s="1" t="n">
        <v>45845</v>
      </c>
      <c r="D1848" t="inlineStr">
        <is>
          <t>VÄSTERNORRLANDS LÄN</t>
        </is>
      </c>
      <c r="E1848" t="inlineStr">
        <is>
          <t>SUNDSVALL</t>
        </is>
      </c>
      <c r="F1848" t="inlineStr">
        <is>
          <t>SCA</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36768-2023</t>
        </is>
      </c>
      <c r="B1849" s="1" t="n">
        <v>45153</v>
      </c>
      <c r="C1849" s="1" t="n">
        <v>45845</v>
      </c>
      <c r="D1849" t="inlineStr">
        <is>
          <t>VÄSTERNORRLANDS LÄN</t>
        </is>
      </c>
      <c r="E1849" t="inlineStr">
        <is>
          <t>SUNDSVALL</t>
        </is>
      </c>
      <c r="F1849" t="inlineStr">
        <is>
          <t>SCA</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36761-2023</t>
        </is>
      </c>
      <c r="B1850" s="1" t="n">
        <v>45153</v>
      </c>
      <c r="C1850" s="1" t="n">
        <v>45845</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36769-2023</t>
        </is>
      </c>
      <c r="B1851" s="1" t="n">
        <v>45154</v>
      </c>
      <c r="C1851" s="1" t="n">
        <v>45845</v>
      </c>
      <c r="D1851" t="inlineStr">
        <is>
          <t>VÄSTERNORRLANDS LÄN</t>
        </is>
      </c>
      <c r="E1851" t="inlineStr">
        <is>
          <t>SUNDSVALL</t>
        </is>
      </c>
      <c r="F1851" t="inlineStr">
        <is>
          <t>SCA</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36767-2023</t>
        </is>
      </c>
      <c r="B1852" s="1" t="n">
        <v>45153</v>
      </c>
      <c r="C1852" s="1" t="n">
        <v>45845</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36845-2023</t>
        </is>
      </c>
      <c r="B1853" s="1" t="n">
        <v>45154</v>
      </c>
      <c r="C1853" s="1" t="n">
        <v>45845</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36885-2023</t>
        </is>
      </c>
      <c r="B1854" s="1" t="n">
        <v>45154</v>
      </c>
      <c r="C1854" s="1" t="n">
        <v>45845</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36882-2023</t>
        </is>
      </c>
      <c r="B1855" s="1" t="n">
        <v>45154</v>
      </c>
      <c r="C1855" s="1" t="n">
        <v>45845</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36989-2023</t>
        </is>
      </c>
      <c r="B1856" s="1" t="n">
        <v>45155</v>
      </c>
      <c r="C1856" s="1" t="n">
        <v>45845</v>
      </c>
      <c r="D1856" t="inlineStr">
        <is>
          <t>VÄSTERNORRLANDS LÄN</t>
        </is>
      </c>
      <c r="E1856" t="inlineStr">
        <is>
          <t>SUNDSVALL</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36970-2023</t>
        </is>
      </c>
      <c r="B1857" s="1" t="n">
        <v>45155</v>
      </c>
      <c r="C1857" s="1" t="n">
        <v>45845</v>
      </c>
      <c r="D1857" t="inlineStr">
        <is>
          <t>VÄSTERNORRLANDS LÄN</t>
        </is>
      </c>
      <c r="E1857" t="inlineStr">
        <is>
          <t>SUNDSVALL</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36974-2023</t>
        </is>
      </c>
      <c r="B1858" s="1" t="n">
        <v>45154</v>
      </c>
      <c r="C1858" s="1" t="n">
        <v>45845</v>
      </c>
      <c r="D1858" t="inlineStr">
        <is>
          <t>VÄSTERNORRLANDS LÄN</t>
        </is>
      </c>
      <c r="E1858" t="inlineStr">
        <is>
          <t>SUNDSVALL</t>
        </is>
      </c>
      <c r="F1858" t="inlineStr">
        <is>
          <t>SCA</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36844-2023</t>
        </is>
      </c>
      <c r="B1859" s="1" t="n">
        <v>45154</v>
      </c>
      <c r="C1859" s="1" t="n">
        <v>45845</v>
      </c>
      <c r="D1859" t="inlineStr">
        <is>
          <t>VÄSTERNORRLANDS LÄN</t>
        </is>
      </c>
      <c r="E1859" t="inlineStr">
        <is>
          <t>SUNDSVALL</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36874-2023</t>
        </is>
      </c>
      <c r="B1860" s="1" t="n">
        <v>45154</v>
      </c>
      <c r="C1860" s="1" t="n">
        <v>45845</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36971-2023</t>
        </is>
      </c>
      <c r="B1861" s="1" t="n">
        <v>45154</v>
      </c>
      <c r="C1861" s="1" t="n">
        <v>45845</v>
      </c>
      <c r="D1861" t="inlineStr">
        <is>
          <t>VÄSTERNORRLANDS LÄN</t>
        </is>
      </c>
      <c r="E1861" t="inlineStr">
        <is>
          <t>SUNDSVALL</t>
        </is>
      </c>
      <c r="F1861" t="inlineStr">
        <is>
          <t>SCA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37241-2023</t>
        </is>
      </c>
      <c r="B1862" s="1" t="n">
        <v>45155</v>
      </c>
      <c r="C1862" s="1" t="n">
        <v>45845</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37249-2023</t>
        </is>
      </c>
      <c r="B1863" s="1" t="n">
        <v>45156</v>
      </c>
      <c r="C1863" s="1" t="n">
        <v>45845</v>
      </c>
      <c r="D1863" t="inlineStr">
        <is>
          <t>VÄSTERNORRLANDS LÄN</t>
        </is>
      </c>
      <c r="E1863" t="inlineStr">
        <is>
          <t>SUNDSVALL</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37240-2023</t>
        </is>
      </c>
      <c r="B1864" s="1" t="n">
        <v>45155</v>
      </c>
      <c r="C1864" s="1" t="n">
        <v>45845</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37242-2023</t>
        </is>
      </c>
      <c r="B1865" s="1" t="n">
        <v>45155</v>
      </c>
      <c r="C1865" s="1" t="n">
        <v>45845</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37243-2023</t>
        </is>
      </c>
      <c r="B1866" s="1" t="n">
        <v>45155</v>
      </c>
      <c r="C1866" s="1" t="n">
        <v>45845</v>
      </c>
      <c r="D1866" t="inlineStr">
        <is>
          <t>VÄSTERNORRLANDS LÄN</t>
        </is>
      </c>
      <c r="E1866" t="inlineStr">
        <is>
          <t>SUNDSVALL</t>
        </is>
      </c>
      <c r="F1866" t="inlineStr">
        <is>
          <t>SCA</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37757-2023</t>
        </is>
      </c>
      <c r="B1867" s="1" t="n">
        <v>45156</v>
      </c>
      <c r="C1867" s="1" t="n">
        <v>45845</v>
      </c>
      <c r="D1867" t="inlineStr">
        <is>
          <t>VÄSTERNORRLANDS LÄN</t>
        </is>
      </c>
      <c r="E1867" t="inlineStr">
        <is>
          <t>SUNDSVALL</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37408-2023</t>
        </is>
      </c>
      <c r="B1868" s="1" t="n">
        <v>45156</v>
      </c>
      <c r="C1868" s="1" t="n">
        <v>45845</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37802-2023</t>
        </is>
      </c>
      <c r="B1869" s="1" t="n">
        <v>45160</v>
      </c>
      <c r="C1869" s="1" t="n">
        <v>45845</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38095-2023</t>
        </is>
      </c>
      <c r="B1870" s="1" t="n">
        <v>45160</v>
      </c>
      <c r="C1870" s="1" t="n">
        <v>45845</v>
      </c>
      <c r="D1870" t="inlineStr">
        <is>
          <t>VÄSTERNORRLANDS LÄN</t>
        </is>
      </c>
      <c r="E1870" t="inlineStr">
        <is>
          <t>SUNDSVALL</t>
        </is>
      </c>
      <c r="F1870" t="inlineStr">
        <is>
          <t>SCA</t>
        </is>
      </c>
      <c r="G1870" t="n">
        <v>32.1</v>
      </c>
      <c r="H1870" t="n">
        <v>0</v>
      </c>
      <c r="I1870" t="n">
        <v>0</v>
      </c>
      <c r="J1870" t="n">
        <v>0</v>
      </c>
      <c r="K1870" t="n">
        <v>0</v>
      </c>
      <c r="L1870" t="n">
        <v>0</v>
      </c>
      <c r="M1870" t="n">
        <v>0</v>
      </c>
      <c r="N1870" t="n">
        <v>0</v>
      </c>
      <c r="O1870" t="n">
        <v>0</v>
      </c>
      <c r="P1870" t="n">
        <v>0</v>
      </c>
      <c r="Q1870" t="n">
        <v>0</v>
      </c>
      <c r="R1870" s="2" t="inlineStr"/>
    </row>
    <row r="1871" ht="15" customHeight="1">
      <c r="A1871" t="inlineStr">
        <is>
          <t>A 37927-2023</t>
        </is>
      </c>
      <c r="B1871" s="1" t="n">
        <v>45160</v>
      </c>
      <c r="C1871" s="1" t="n">
        <v>45845</v>
      </c>
      <c r="D1871" t="inlineStr">
        <is>
          <t>VÄSTERNORRLANDS LÄN</t>
        </is>
      </c>
      <c r="E1871" t="inlineStr">
        <is>
          <t>SUNDSVALL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38131-2023</t>
        </is>
      </c>
      <c r="B1872" s="1" t="n">
        <v>45160</v>
      </c>
      <c r="C1872" s="1" t="n">
        <v>45845</v>
      </c>
      <c r="D1872" t="inlineStr">
        <is>
          <t>VÄSTERNORRLANDS LÄN</t>
        </is>
      </c>
      <c r="E1872" t="inlineStr">
        <is>
          <t>SUNDSVALL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38094-2023</t>
        </is>
      </c>
      <c r="B1873" s="1" t="n">
        <v>45161</v>
      </c>
      <c r="C1873" s="1" t="n">
        <v>45845</v>
      </c>
      <c r="D1873" t="inlineStr">
        <is>
          <t>VÄSTERNORRLANDS LÄN</t>
        </is>
      </c>
      <c r="E1873" t="inlineStr">
        <is>
          <t>SUNDSVALL</t>
        </is>
      </c>
      <c r="F1873" t="inlineStr">
        <is>
          <t>SCA</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38350-2023</t>
        </is>
      </c>
      <c r="B1874" s="1" t="n">
        <v>45162</v>
      </c>
      <c r="C1874" s="1" t="n">
        <v>45845</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38256-2023</t>
        </is>
      </c>
      <c r="B1875" s="1" t="n">
        <v>45161</v>
      </c>
      <c r="C1875" s="1" t="n">
        <v>45845</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38353-2023</t>
        </is>
      </c>
      <c r="B1876" s="1" t="n">
        <v>45161</v>
      </c>
      <c r="C1876" s="1" t="n">
        <v>45845</v>
      </c>
      <c r="D1876" t="inlineStr">
        <is>
          <t>VÄSTERNORRLANDS LÄN</t>
        </is>
      </c>
      <c r="E1876" t="inlineStr">
        <is>
          <t>SUNDSVALL</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38357-2023</t>
        </is>
      </c>
      <c r="B1877" s="1" t="n">
        <v>45161</v>
      </c>
      <c r="C1877" s="1" t="n">
        <v>45845</v>
      </c>
      <c r="D1877" t="inlineStr">
        <is>
          <t>VÄSTERNORRLANDS LÄN</t>
        </is>
      </c>
      <c r="E1877" t="inlineStr">
        <is>
          <t>SUNDSVALL</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38366-2023</t>
        </is>
      </c>
      <c r="B1878" s="1" t="n">
        <v>45162</v>
      </c>
      <c r="C1878" s="1" t="n">
        <v>45845</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38365-2023</t>
        </is>
      </c>
      <c r="B1879" s="1" t="n">
        <v>45162</v>
      </c>
      <c r="C1879" s="1" t="n">
        <v>45845</v>
      </c>
      <c r="D1879" t="inlineStr">
        <is>
          <t>VÄSTERNORRLANDS LÄN</t>
        </is>
      </c>
      <c r="E1879" t="inlineStr">
        <is>
          <t>SUNDSVALL</t>
        </is>
      </c>
      <c r="F1879" t="inlineStr">
        <is>
          <t>SCA</t>
        </is>
      </c>
      <c r="G1879" t="n">
        <v>21.8</v>
      </c>
      <c r="H1879" t="n">
        <v>0</v>
      </c>
      <c r="I1879" t="n">
        <v>0</v>
      </c>
      <c r="J1879" t="n">
        <v>0</v>
      </c>
      <c r="K1879" t="n">
        <v>0</v>
      </c>
      <c r="L1879" t="n">
        <v>0</v>
      </c>
      <c r="M1879" t="n">
        <v>0</v>
      </c>
      <c r="N1879" t="n">
        <v>0</v>
      </c>
      <c r="O1879" t="n">
        <v>0</v>
      </c>
      <c r="P1879" t="n">
        <v>0</v>
      </c>
      <c r="Q1879" t="n">
        <v>0</v>
      </c>
      <c r="R1879" s="2" t="inlineStr"/>
    </row>
    <row r="1880" ht="15" customHeight="1">
      <c r="A1880" t="inlineStr">
        <is>
          <t>A 38367-2023</t>
        </is>
      </c>
      <c r="B1880" s="1" t="n">
        <v>45162</v>
      </c>
      <c r="C1880" s="1" t="n">
        <v>45845</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39074-2023</t>
        </is>
      </c>
      <c r="B1881" s="1" t="n">
        <v>45163</v>
      </c>
      <c r="C1881" s="1" t="n">
        <v>45845</v>
      </c>
      <c r="D1881" t="inlineStr">
        <is>
          <t>VÄSTERNORRLANDS LÄN</t>
        </is>
      </c>
      <c r="E1881" t="inlineStr">
        <is>
          <t>SUNDSVALL</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39276-2023</t>
        </is>
      </c>
      <c r="B1882" s="1" t="n">
        <v>45166</v>
      </c>
      <c r="C1882" s="1" t="n">
        <v>45845</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39508-2023</t>
        </is>
      </c>
      <c r="B1883" s="1" t="n">
        <v>45167</v>
      </c>
      <c r="C1883" s="1" t="n">
        <v>45845</v>
      </c>
      <c r="D1883" t="inlineStr">
        <is>
          <t>VÄSTERNORRLANDS LÄN</t>
        </is>
      </c>
      <c r="E1883" t="inlineStr">
        <is>
          <t>SUNDSVALL</t>
        </is>
      </c>
      <c r="F1883" t="inlineStr">
        <is>
          <t>Naturvårdsverket</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39506-2023</t>
        </is>
      </c>
      <c r="B1884" s="1" t="n">
        <v>45167</v>
      </c>
      <c r="C1884" s="1" t="n">
        <v>45845</v>
      </c>
      <c r="D1884" t="inlineStr">
        <is>
          <t>VÄSTERNORRLANDS LÄN</t>
        </is>
      </c>
      <c r="E1884" t="inlineStr">
        <is>
          <t>SUNDSVALL</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39795-2023</t>
        </is>
      </c>
      <c r="B1885" s="1" t="n">
        <v>45167</v>
      </c>
      <c r="C1885" s="1" t="n">
        <v>45845</v>
      </c>
      <c r="D1885" t="inlineStr">
        <is>
          <t>VÄSTERNORRLANDS LÄN</t>
        </is>
      </c>
      <c r="E1885" t="inlineStr">
        <is>
          <t>SUNDSVALL</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39797-2023</t>
        </is>
      </c>
      <c r="B1886" s="1" t="n">
        <v>45168</v>
      </c>
      <c r="C1886" s="1" t="n">
        <v>45845</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39821-2023</t>
        </is>
      </c>
      <c r="B1887" s="1" t="n">
        <v>45168</v>
      </c>
      <c r="C1887" s="1" t="n">
        <v>45845</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39796-2023</t>
        </is>
      </c>
      <c r="B1888" s="1" t="n">
        <v>45167</v>
      </c>
      <c r="C1888" s="1" t="n">
        <v>45845</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39798-2023</t>
        </is>
      </c>
      <c r="B1889" s="1" t="n">
        <v>45168</v>
      </c>
      <c r="C1889" s="1" t="n">
        <v>45845</v>
      </c>
      <c r="D1889" t="inlineStr">
        <is>
          <t>VÄSTERNORRLANDS LÄN</t>
        </is>
      </c>
      <c r="E1889" t="inlineStr">
        <is>
          <t>SUNDSVALL</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40011-2023</t>
        </is>
      </c>
      <c r="B1890" s="1" t="n">
        <v>45168</v>
      </c>
      <c r="C1890" s="1" t="n">
        <v>45845</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39981-2023</t>
        </is>
      </c>
      <c r="B1891" s="1" t="n">
        <v>45168</v>
      </c>
      <c r="C1891" s="1" t="n">
        <v>45845</v>
      </c>
      <c r="D1891" t="inlineStr">
        <is>
          <t>VÄSTERNORRLANDS LÄN</t>
        </is>
      </c>
      <c r="E1891" t="inlineStr">
        <is>
          <t>SUNDSVALL</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40907-2023</t>
        </is>
      </c>
      <c r="B1892" s="1" t="n">
        <v>45169</v>
      </c>
      <c r="C1892" s="1" t="n">
        <v>45845</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45845</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41028-2023</t>
        </is>
      </c>
      <c r="B1894" s="1" t="n">
        <v>45169</v>
      </c>
      <c r="C1894" s="1" t="n">
        <v>45845</v>
      </c>
      <c r="D1894" t="inlineStr">
        <is>
          <t>VÄSTERNORRLANDS LÄN</t>
        </is>
      </c>
      <c r="E1894" t="inlineStr">
        <is>
          <t>SUNDSVALL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40425-2023</t>
        </is>
      </c>
      <c r="B1895" s="1" t="n">
        <v>45170</v>
      </c>
      <c r="C1895" s="1" t="n">
        <v>45845</v>
      </c>
      <c r="D1895" t="inlineStr">
        <is>
          <t>VÄSTERNORRLANDS LÄN</t>
        </is>
      </c>
      <c r="E1895" t="inlineStr">
        <is>
          <t>SUNDSVALL</t>
        </is>
      </c>
      <c r="F1895" t="inlineStr">
        <is>
          <t>SCA</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40749-2023</t>
        </is>
      </c>
      <c r="B1896" s="1" t="n">
        <v>45170</v>
      </c>
      <c r="C1896" s="1" t="n">
        <v>45845</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40793-2023</t>
        </is>
      </c>
      <c r="B1897" s="1" t="n">
        <v>45171</v>
      </c>
      <c r="C1897" s="1" t="n">
        <v>45845</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40762-2023</t>
        </is>
      </c>
      <c r="B1898" s="1" t="n">
        <v>45170</v>
      </c>
      <c r="C1898" s="1" t="n">
        <v>45845</v>
      </c>
      <c r="D1898" t="inlineStr">
        <is>
          <t>VÄSTERNORRLANDS LÄN</t>
        </is>
      </c>
      <c r="E1898" t="inlineStr">
        <is>
          <t>SUNDSVALL</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40786-2023</t>
        </is>
      </c>
      <c r="B1899" s="1" t="n">
        <v>45171</v>
      </c>
      <c r="C1899" s="1" t="n">
        <v>45845</v>
      </c>
      <c r="D1899" t="inlineStr">
        <is>
          <t>VÄSTERNORRLANDS LÄN</t>
        </is>
      </c>
      <c r="E1899" t="inlineStr">
        <is>
          <t>SUNDSVALL</t>
        </is>
      </c>
      <c r="F1899" t="inlineStr">
        <is>
          <t>SCA</t>
        </is>
      </c>
      <c r="G1899" t="n">
        <v>18.1</v>
      </c>
      <c r="H1899" t="n">
        <v>0</v>
      </c>
      <c r="I1899" t="n">
        <v>0</v>
      </c>
      <c r="J1899" t="n">
        <v>0</v>
      </c>
      <c r="K1899" t="n">
        <v>0</v>
      </c>
      <c r="L1899" t="n">
        <v>0</v>
      </c>
      <c r="M1899" t="n">
        <v>0</v>
      </c>
      <c r="N1899" t="n">
        <v>0</v>
      </c>
      <c r="O1899" t="n">
        <v>0</v>
      </c>
      <c r="P1899" t="n">
        <v>0</v>
      </c>
      <c r="Q1899" t="n">
        <v>0</v>
      </c>
      <c r="R1899" s="2" t="inlineStr"/>
    </row>
    <row r="1900" ht="15" customHeight="1">
      <c r="A1900" t="inlineStr">
        <is>
          <t>A 40798-2023</t>
        </is>
      </c>
      <c r="B1900" s="1" t="n">
        <v>45170</v>
      </c>
      <c r="C1900" s="1" t="n">
        <v>45845</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40778-2023</t>
        </is>
      </c>
      <c r="B1901" s="1" t="n">
        <v>45170</v>
      </c>
      <c r="C1901" s="1" t="n">
        <v>45845</v>
      </c>
      <c r="D1901" t="inlineStr">
        <is>
          <t>VÄSTERNORRLANDS LÄN</t>
        </is>
      </c>
      <c r="E1901" t="inlineStr">
        <is>
          <t>SUNDSVALL</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40763-2023</t>
        </is>
      </c>
      <c r="B1902" s="1" t="n">
        <v>45170</v>
      </c>
      <c r="C1902" s="1" t="n">
        <v>45845</v>
      </c>
      <c r="D1902" t="inlineStr">
        <is>
          <t>VÄSTERNORRLANDS LÄN</t>
        </is>
      </c>
      <c r="E1902" t="inlineStr">
        <is>
          <t>SUNDSVALL</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40779-2023</t>
        </is>
      </c>
      <c r="B1903" s="1" t="n">
        <v>45171</v>
      </c>
      <c r="C1903" s="1" t="n">
        <v>45845</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40760-2023</t>
        </is>
      </c>
      <c r="B1904" s="1" t="n">
        <v>45171</v>
      </c>
      <c r="C1904" s="1" t="n">
        <v>45845</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40862-2023</t>
        </is>
      </c>
      <c r="B1905" s="1" t="n">
        <v>45173</v>
      </c>
      <c r="C1905" s="1" t="n">
        <v>45845</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41414-2023</t>
        </is>
      </c>
      <c r="B1906" s="1" t="n">
        <v>45174</v>
      </c>
      <c r="C1906" s="1" t="n">
        <v>45845</v>
      </c>
      <c r="D1906" t="inlineStr">
        <is>
          <t>VÄSTERNORRLANDS LÄN</t>
        </is>
      </c>
      <c r="E1906" t="inlineStr">
        <is>
          <t>SUNDSVALL</t>
        </is>
      </c>
      <c r="F1906" t="inlineStr">
        <is>
          <t>Naturvårdsverket</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41403-2023</t>
        </is>
      </c>
      <c r="B1907" s="1" t="n">
        <v>45175</v>
      </c>
      <c r="C1907" s="1" t="n">
        <v>45845</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41586-2023</t>
        </is>
      </c>
      <c r="B1908" s="1" t="n">
        <v>45175</v>
      </c>
      <c r="C1908" s="1" t="n">
        <v>45845</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41600-2023</t>
        </is>
      </c>
      <c r="B1909" s="1" t="n">
        <v>45175</v>
      </c>
      <c r="C1909" s="1" t="n">
        <v>45845</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41935-2023</t>
        </is>
      </c>
      <c r="B1910" s="1" t="n">
        <v>45176</v>
      </c>
      <c r="C1910" s="1" t="n">
        <v>45845</v>
      </c>
      <c r="D1910" t="inlineStr">
        <is>
          <t>VÄSTERNORRLANDS LÄN</t>
        </is>
      </c>
      <c r="E1910" t="inlineStr">
        <is>
          <t>SUNDSVALL</t>
        </is>
      </c>
      <c r="F1910" t="inlineStr">
        <is>
          <t>SCA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41934-2023</t>
        </is>
      </c>
      <c r="B1911" s="1" t="n">
        <v>45176</v>
      </c>
      <c r="C1911" s="1" t="n">
        <v>45845</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42923-2023</t>
        </is>
      </c>
      <c r="B1912" s="1" t="n">
        <v>45177</v>
      </c>
      <c r="C1912" s="1" t="n">
        <v>45845</v>
      </c>
      <c r="D1912" t="inlineStr">
        <is>
          <t>VÄSTERNORRLANDS LÄN</t>
        </is>
      </c>
      <c r="E1912" t="inlineStr">
        <is>
          <t>SUNDSVALL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42507-2023</t>
        </is>
      </c>
      <c r="B1913" s="1" t="n">
        <v>45181</v>
      </c>
      <c r="C1913" s="1" t="n">
        <v>45845</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42517-2023</t>
        </is>
      </c>
      <c r="B1914" s="1" t="n">
        <v>45180</v>
      </c>
      <c r="C1914" s="1" t="n">
        <v>45845</v>
      </c>
      <c r="D1914" t="inlineStr">
        <is>
          <t>VÄSTERNORRLANDS LÄN</t>
        </is>
      </c>
      <c r="E1914" t="inlineStr">
        <is>
          <t>SUNDSVALL</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43138-2023</t>
        </is>
      </c>
      <c r="B1915" s="1" t="n">
        <v>45180</v>
      </c>
      <c r="C1915" s="1" t="n">
        <v>45845</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43190-2023</t>
        </is>
      </c>
      <c r="B1916" s="1" t="n">
        <v>45180</v>
      </c>
      <c r="C1916" s="1" t="n">
        <v>45845</v>
      </c>
      <c r="D1916" t="inlineStr">
        <is>
          <t>VÄSTERNORRLANDS LÄN</t>
        </is>
      </c>
      <c r="E1916" t="inlineStr">
        <is>
          <t>SUNDSVALL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43104-2023</t>
        </is>
      </c>
      <c r="B1917" s="1" t="n">
        <v>45182</v>
      </c>
      <c r="C1917" s="1" t="n">
        <v>45845</v>
      </c>
      <c r="D1917" t="inlineStr">
        <is>
          <t>VÄSTERNORRLANDS LÄN</t>
        </is>
      </c>
      <c r="E1917" t="inlineStr">
        <is>
          <t>SUNDSVALL</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44062-2023</t>
        </is>
      </c>
      <c r="B1918" s="1" t="n">
        <v>45182</v>
      </c>
      <c r="C1918" s="1" t="n">
        <v>45845</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43164-2023</t>
        </is>
      </c>
      <c r="B1919" s="1" t="n">
        <v>45183</v>
      </c>
      <c r="C1919" s="1" t="n">
        <v>45845</v>
      </c>
      <c r="D1919" t="inlineStr">
        <is>
          <t>VÄSTERNORRLANDS LÄN</t>
        </is>
      </c>
      <c r="E1919" t="inlineStr">
        <is>
          <t>SUNDSVALL</t>
        </is>
      </c>
      <c r="F1919" t="inlineStr">
        <is>
          <t>Holmen skog AB</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43419-2023</t>
        </is>
      </c>
      <c r="B1920" s="1" t="n">
        <v>45184</v>
      </c>
      <c r="C1920" s="1" t="n">
        <v>45845</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43425-2023</t>
        </is>
      </c>
      <c r="B1921" s="1" t="n">
        <v>45184</v>
      </c>
      <c r="C1921" s="1" t="n">
        <v>45845</v>
      </c>
      <c r="D1921" t="inlineStr">
        <is>
          <t>VÄSTERNORRLANDS LÄN</t>
        </is>
      </c>
      <c r="E1921" t="inlineStr">
        <is>
          <t>SUNDSVALL</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44157-2023</t>
        </is>
      </c>
      <c r="B1922" s="1" t="n">
        <v>45183</v>
      </c>
      <c r="C1922" s="1" t="n">
        <v>45845</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44306-2023</t>
        </is>
      </c>
      <c r="B1923" s="1" t="n">
        <v>45183</v>
      </c>
      <c r="C1923" s="1" t="n">
        <v>45845</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43423-2023</t>
        </is>
      </c>
      <c r="B1924" s="1" t="n">
        <v>45183</v>
      </c>
      <c r="C1924" s="1" t="n">
        <v>45845</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43420-2023</t>
        </is>
      </c>
      <c r="B1925" s="1" t="n">
        <v>45183</v>
      </c>
      <c r="C1925" s="1" t="n">
        <v>45845</v>
      </c>
      <c r="D1925" t="inlineStr">
        <is>
          <t>VÄSTERNORRLANDS LÄN</t>
        </is>
      </c>
      <c r="E1925" t="inlineStr">
        <is>
          <t>SUNDSVALL</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43275-2023</t>
        </is>
      </c>
      <c r="B1926" s="1" t="n">
        <v>45183</v>
      </c>
      <c r="C1926" s="1" t="n">
        <v>45845</v>
      </c>
      <c r="D1926" t="inlineStr">
        <is>
          <t>VÄSTERNORRLANDS LÄN</t>
        </is>
      </c>
      <c r="E1926" t="inlineStr">
        <is>
          <t>SUNDSVALL</t>
        </is>
      </c>
      <c r="F1926" t="inlineStr">
        <is>
          <t>Holmen skog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43422-2023</t>
        </is>
      </c>
      <c r="B1927" s="1" t="n">
        <v>45183</v>
      </c>
      <c r="C1927" s="1" t="n">
        <v>45845</v>
      </c>
      <c r="D1927" t="inlineStr">
        <is>
          <t>VÄSTERNORRLANDS LÄN</t>
        </is>
      </c>
      <c r="E1927" t="inlineStr">
        <is>
          <t>SUNDSVALL</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44551-2023</t>
        </is>
      </c>
      <c r="B1928" s="1" t="n">
        <v>45183</v>
      </c>
      <c r="C1928" s="1" t="n">
        <v>45845</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43951-2023</t>
        </is>
      </c>
      <c r="B1929" s="1" t="n">
        <v>45188</v>
      </c>
      <c r="C1929" s="1" t="n">
        <v>45845</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43946-2023</t>
        </is>
      </c>
      <c r="B1930" s="1" t="n">
        <v>45187</v>
      </c>
      <c r="C1930" s="1" t="n">
        <v>45845</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43950-2023</t>
        </is>
      </c>
      <c r="B1931" s="1" t="n">
        <v>45188</v>
      </c>
      <c r="C1931" s="1" t="n">
        <v>45845</v>
      </c>
      <c r="D1931" t="inlineStr">
        <is>
          <t>VÄSTERNORRLANDS LÄN</t>
        </is>
      </c>
      <c r="E1931" t="inlineStr">
        <is>
          <t>SUNDSVALL</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43917-2023</t>
        </is>
      </c>
      <c r="B1932" s="1" t="n">
        <v>45187</v>
      </c>
      <c r="C1932" s="1" t="n">
        <v>45845</v>
      </c>
      <c r="D1932" t="inlineStr">
        <is>
          <t>VÄSTERNORRLANDS LÄN</t>
        </is>
      </c>
      <c r="E1932" t="inlineStr">
        <is>
          <t>SUNDSVALL</t>
        </is>
      </c>
      <c r="F1932" t="inlineStr">
        <is>
          <t>Holmen skog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43972-2023</t>
        </is>
      </c>
      <c r="B1933" s="1" t="n">
        <v>45188</v>
      </c>
      <c r="C1933" s="1" t="n">
        <v>45845</v>
      </c>
      <c r="D1933" t="inlineStr">
        <is>
          <t>VÄSTERNORRLANDS LÄN</t>
        </is>
      </c>
      <c r="E1933" t="inlineStr">
        <is>
          <t>SUNDSVALL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43993-2023</t>
        </is>
      </c>
      <c r="B1934" s="1" t="n">
        <v>45187</v>
      </c>
      <c r="C1934" s="1" t="n">
        <v>45845</v>
      </c>
      <c r="D1934" t="inlineStr">
        <is>
          <t>VÄSTERNORRLANDS LÄN</t>
        </is>
      </c>
      <c r="E1934" t="inlineStr">
        <is>
          <t>SUNDSVALL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43965-2023</t>
        </is>
      </c>
      <c r="B1935" s="1" t="n">
        <v>45187</v>
      </c>
      <c r="C1935" s="1" t="n">
        <v>45845</v>
      </c>
      <c r="D1935" t="inlineStr">
        <is>
          <t>VÄSTERNORRLANDS LÄN</t>
        </is>
      </c>
      <c r="E1935" t="inlineStr">
        <is>
          <t>SUNDSVALL</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45048-2023</t>
        </is>
      </c>
      <c r="B1936" s="1" t="n">
        <v>45187</v>
      </c>
      <c r="C1936" s="1" t="n">
        <v>45845</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45057-2023</t>
        </is>
      </c>
      <c r="B1937" s="1" t="n">
        <v>45187</v>
      </c>
      <c r="C1937" s="1" t="n">
        <v>45845</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43987-2023</t>
        </is>
      </c>
      <c r="B1938" s="1" t="n">
        <v>45188</v>
      </c>
      <c r="C1938" s="1" t="n">
        <v>45845</v>
      </c>
      <c r="D1938" t="inlineStr">
        <is>
          <t>VÄSTERNORRLANDS LÄN</t>
        </is>
      </c>
      <c r="E1938" t="inlineStr">
        <is>
          <t>SUNDSVALL</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43978-2023</t>
        </is>
      </c>
      <c r="B1939" s="1" t="n">
        <v>45187</v>
      </c>
      <c r="C1939" s="1" t="n">
        <v>45845</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44022-2023</t>
        </is>
      </c>
      <c r="B1940" s="1" t="n">
        <v>45188</v>
      </c>
      <c r="C1940" s="1" t="n">
        <v>45845</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44072-2023</t>
        </is>
      </c>
      <c r="B1941" s="1" t="n">
        <v>45188</v>
      </c>
      <c r="C1941" s="1" t="n">
        <v>45845</v>
      </c>
      <c r="D1941" t="inlineStr">
        <is>
          <t>VÄSTERNORRLANDS LÄN</t>
        </is>
      </c>
      <c r="E1941" t="inlineStr">
        <is>
          <t>SUNDSVALL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44272-2023</t>
        </is>
      </c>
      <c r="B1942" s="1" t="n">
        <v>45188</v>
      </c>
      <c r="C1942" s="1" t="n">
        <v>45845</v>
      </c>
      <c r="D1942" t="inlineStr">
        <is>
          <t>VÄSTERNORRLANDS LÄN</t>
        </is>
      </c>
      <c r="E1942" t="inlineStr">
        <is>
          <t>SUNDSVALL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44383-2023</t>
        </is>
      </c>
      <c r="B1943" s="1" t="n">
        <v>45189</v>
      </c>
      <c r="C1943" s="1" t="n">
        <v>45845</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44395-2023</t>
        </is>
      </c>
      <c r="B1944" s="1" t="n">
        <v>45188</v>
      </c>
      <c r="C1944" s="1" t="n">
        <v>45845</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44394-2023</t>
        </is>
      </c>
      <c r="B1945" s="1" t="n">
        <v>45188</v>
      </c>
      <c r="C1945" s="1" t="n">
        <v>45845</v>
      </c>
      <c r="D1945" t="inlineStr">
        <is>
          <t>VÄSTERNORRLANDS LÄN</t>
        </is>
      </c>
      <c r="E1945" t="inlineStr">
        <is>
          <t>SUNDSVALL</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44688-2023</t>
        </is>
      </c>
      <c r="B1946" s="1" t="n">
        <v>45190</v>
      </c>
      <c r="C1946" s="1" t="n">
        <v>45845</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44772-2023</t>
        </is>
      </c>
      <c r="B1947" s="1" t="n">
        <v>45190</v>
      </c>
      <c r="C1947" s="1" t="n">
        <v>45845</v>
      </c>
      <c r="D1947" t="inlineStr">
        <is>
          <t>VÄSTERNORRLANDS LÄN</t>
        </is>
      </c>
      <c r="E1947" t="inlineStr">
        <is>
          <t>SUNDSVALL</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44966-2023</t>
        </is>
      </c>
      <c r="B1948" s="1" t="n">
        <v>45191</v>
      </c>
      <c r="C1948" s="1" t="n">
        <v>45845</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44975-2023</t>
        </is>
      </c>
      <c r="B1949" s="1" t="n">
        <v>45191</v>
      </c>
      <c r="C1949" s="1" t="n">
        <v>45845</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45000-2023</t>
        </is>
      </c>
      <c r="B1950" s="1" t="n">
        <v>45191</v>
      </c>
      <c r="C1950" s="1" t="n">
        <v>45845</v>
      </c>
      <c r="D1950" t="inlineStr">
        <is>
          <t>VÄSTERNORRLANDS LÄN</t>
        </is>
      </c>
      <c r="E1950" t="inlineStr">
        <is>
          <t>SUNDSVALL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44965-2023</t>
        </is>
      </c>
      <c r="B1951" s="1" t="n">
        <v>45190</v>
      </c>
      <c r="C1951" s="1" t="n">
        <v>45845</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45001-2023</t>
        </is>
      </c>
      <c r="B1952" s="1" t="n">
        <v>45191</v>
      </c>
      <c r="C1952" s="1" t="n">
        <v>45845</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45024-2023</t>
        </is>
      </c>
      <c r="B1953" s="1" t="n">
        <v>45191</v>
      </c>
      <c r="C1953" s="1" t="n">
        <v>45845</v>
      </c>
      <c r="D1953" t="inlineStr">
        <is>
          <t>VÄSTERNORRLANDS LÄN</t>
        </is>
      </c>
      <c r="E1953" t="inlineStr">
        <is>
          <t>SUNDSVALL</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45025-2023</t>
        </is>
      </c>
      <c r="B1954" s="1" t="n">
        <v>45191</v>
      </c>
      <c r="C1954" s="1" t="n">
        <v>45845</v>
      </c>
      <c r="D1954" t="inlineStr">
        <is>
          <t>VÄSTERNORRLANDS LÄN</t>
        </is>
      </c>
      <c r="E1954" t="inlineStr">
        <is>
          <t>SUNDSVALL</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45062-2023</t>
        </is>
      </c>
      <c r="B1955" s="1" t="n">
        <v>45191</v>
      </c>
      <c r="C1955" s="1" t="n">
        <v>45845</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45150-2023</t>
        </is>
      </c>
      <c r="B1956" s="1" t="n">
        <v>45191</v>
      </c>
      <c r="C1956" s="1" t="n">
        <v>45845</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45144-2023</t>
        </is>
      </c>
      <c r="B1957" s="1" t="n">
        <v>45191</v>
      </c>
      <c r="C1957" s="1" t="n">
        <v>45845</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45333-2023</t>
        </is>
      </c>
      <c r="B1958" s="1" t="n">
        <v>45191</v>
      </c>
      <c r="C1958" s="1" t="n">
        <v>45845</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45320-2023</t>
        </is>
      </c>
      <c r="B1959" s="1" t="n">
        <v>45192</v>
      </c>
      <c r="C1959" s="1" t="n">
        <v>45845</v>
      </c>
      <c r="D1959" t="inlineStr">
        <is>
          <t>VÄSTERNORRLANDS LÄN</t>
        </is>
      </c>
      <c r="E1959" t="inlineStr">
        <is>
          <t>SUNDSVALL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45331-2023</t>
        </is>
      </c>
      <c r="B1960" s="1" t="n">
        <v>45191</v>
      </c>
      <c r="C1960" s="1" t="n">
        <v>45845</v>
      </c>
      <c r="D1960" t="inlineStr">
        <is>
          <t>VÄSTERNORRLANDS LÄN</t>
        </is>
      </c>
      <c r="E1960" t="inlineStr">
        <is>
          <t>SUNDSVALL</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45330-2023</t>
        </is>
      </c>
      <c r="B1961" s="1" t="n">
        <v>45192</v>
      </c>
      <c r="C1961" s="1" t="n">
        <v>45845</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45674-2023</t>
        </is>
      </c>
      <c r="B1962" s="1" t="n">
        <v>45194</v>
      </c>
      <c r="C1962" s="1" t="n">
        <v>45845</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45627-2023</t>
        </is>
      </c>
      <c r="B1963" s="1" t="n">
        <v>45194</v>
      </c>
      <c r="C1963" s="1" t="n">
        <v>45845</v>
      </c>
      <c r="D1963" t="inlineStr">
        <is>
          <t>VÄSTERNORRLANDS LÄN</t>
        </is>
      </c>
      <c r="E1963" t="inlineStr">
        <is>
          <t>SUNDSVALL</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46634-2023</t>
        </is>
      </c>
      <c r="B1964" s="1" t="n">
        <v>45194</v>
      </c>
      <c r="C1964" s="1" t="n">
        <v>45845</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45967-2023</t>
        </is>
      </c>
      <c r="B1965" s="1" t="n">
        <v>45195</v>
      </c>
      <c r="C1965" s="1" t="n">
        <v>45845</v>
      </c>
      <c r="D1965" t="inlineStr">
        <is>
          <t>VÄSTERNORRLANDS LÄN</t>
        </is>
      </c>
      <c r="E1965" t="inlineStr">
        <is>
          <t>SUNDSVALL</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45978-2023</t>
        </is>
      </c>
      <c r="B1966" s="1" t="n">
        <v>45196</v>
      </c>
      <c r="C1966" s="1" t="n">
        <v>45845</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46998-2023</t>
        </is>
      </c>
      <c r="B1967" s="1" t="n">
        <v>45195</v>
      </c>
      <c r="C1967" s="1" t="n">
        <v>45845</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47023-2023</t>
        </is>
      </c>
      <c r="B1968" s="1" t="n">
        <v>45195</v>
      </c>
      <c r="C1968" s="1" t="n">
        <v>45845</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46994-2023</t>
        </is>
      </c>
      <c r="B1969" s="1" t="n">
        <v>45195</v>
      </c>
      <c r="C1969" s="1" t="n">
        <v>45845</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47016-2023</t>
        </is>
      </c>
      <c r="B1970" s="1" t="n">
        <v>45195</v>
      </c>
      <c r="C1970" s="1" t="n">
        <v>45845</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46992-2023</t>
        </is>
      </c>
      <c r="B1971" s="1" t="n">
        <v>45195</v>
      </c>
      <c r="C1971" s="1" t="n">
        <v>45845</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47012-2023</t>
        </is>
      </c>
      <c r="B1972" s="1" t="n">
        <v>45195</v>
      </c>
      <c r="C1972" s="1" t="n">
        <v>45845</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47025-2023</t>
        </is>
      </c>
      <c r="B1973" s="1" t="n">
        <v>45195</v>
      </c>
      <c r="C1973" s="1" t="n">
        <v>45845</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45968-2023</t>
        </is>
      </c>
      <c r="B1974" s="1" t="n">
        <v>45195</v>
      </c>
      <c r="C1974" s="1" t="n">
        <v>45845</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45977-2023</t>
        </is>
      </c>
      <c r="B1975" s="1" t="n">
        <v>45196</v>
      </c>
      <c r="C1975" s="1" t="n">
        <v>45845</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47024-2023</t>
        </is>
      </c>
      <c r="B1976" s="1" t="n">
        <v>45195</v>
      </c>
      <c r="C1976" s="1" t="n">
        <v>45845</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45991-2023</t>
        </is>
      </c>
      <c r="B1977" s="1" t="n">
        <v>45196</v>
      </c>
      <c r="C1977" s="1" t="n">
        <v>45845</v>
      </c>
      <c r="D1977" t="inlineStr">
        <is>
          <t>VÄSTERNORRLANDS LÄN</t>
        </is>
      </c>
      <c r="E1977" t="inlineStr">
        <is>
          <t>SUNDSVALL</t>
        </is>
      </c>
      <c r="F1977" t="inlineStr">
        <is>
          <t>Holmen skog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47030-2023</t>
        </is>
      </c>
      <c r="B1978" s="1" t="n">
        <v>45196</v>
      </c>
      <c r="C1978" s="1" t="n">
        <v>45845</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47032-2023</t>
        </is>
      </c>
      <c r="B1979" s="1" t="n">
        <v>45196</v>
      </c>
      <c r="C1979" s="1" t="n">
        <v>45845</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47283-2023</t>
        </is>
      </c>
      <c r="B1980" s="1" t="n">
        <v>45196</v>
      </c>
      <c r="C1980" s="1" t="n">
        <v>45845</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46272-2023</t>
        </is>
      </c>
      <c r="B1981" s="1" t="n">
        <v>45197</v>
      </c>
      <c r="C1981" s="1" t="n">
        <v>45845</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47280-2023</t>
        </is>
      </c>
      <c r="B1982" s="1" t="n">
        <v>45196</v>
      </c>
      <c r="C1982" s="1" t="n">
        <v>45845</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46497-2023</t>
        </is>
      </c>
      <c r="B1983" s="1" t="n">
        <v>45197</v>
      </c>
      <c r="C1983" s="1" t="n">
        <v>45845</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46552-2023</t>
        </is>
      </c>
      <c r="B1984" s="1" t="n">
        <v>45197</v>
      </c>
      <c r="C1984" s="1" t="n">
        <v>45845</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46339-2023</t>
        </is>
      </c>
      <c r="B1985" s="1" t="n">
        <v>45197</v>
      </c>
      <c r="C1985" s="1" t="n">
        <v>45845</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46542-2023</t>
        </is>
      </c>
      <c r="B1986" s="1" t="n">
        <v>45198</v>
      </c>
      <c r="C1986" s="1" t="n">
        <v>45845</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46808-2023</t>
        </is>
      </c>
      <c r="B1987" s="1" t="n">
        <v>45199</v>
      </c>
      <c r="C1987" s="1" t="n">
        <v>45845</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48011-2023</t>
        </is>
      </c>
      <c r="B1988" s="1" t="n">
        <v>45198</v>
      </c>
      <c r="C1988" s="1" t="n">
        <v>45845</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48019-2023</t>
        </is>
      </c>
      <c r="B1989" s="1" t="n">
        <v>45198</v>
      </c>
      <c r="C1989" s="1" t="n">
        <v>45845</v>
      </c>
      <c r="D1989" t="inlineStr">
        <is>
          <t>VÄSTERNORRLANDS LÄN</t>
        </is>
      </c>
      <c r="E1989" t="inlineStr">
        <is>
          <t>SUNDSVALL</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47158-2023</t>
        </is>
      </c>
      <c r="B1990" s="1" t="n">
        <v>45201</v>
      </c>
      <c r="C1990" s="1" t="n">
        <v>45845</v>
      </c>
      <c r="D1990" t="inlineStr">
        <is>
          <t>VÄSTERNORRLANDS LÄN</t>
        </is>
      </c>
      <c r="E1990" t="inlineStr">
        <is>
          <t>SUNDSVALL</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46902-2023</t>
        </is>
      </c>
      <c r="B1991" s="1" t="n">
        <v>45201</v>
      </c>
      <c r="C1991" s="1" t="n">
        <v>45845</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47156-2023</t>
        </is>
      </c>
      <c r="B1992" s="1" t="n">
        <v>45201</v>
      </c>
      <c r="C1992" s="1" t="n">
        <v>45845</v>
      </c>
      <c r="D1992" t="inlineStr">
        <is>
          <t>VÄSTERNORRLANDS LÄN</t>
        </is>
      </c>
      <c r="E1992" t="inlineStr">
        <is>
          <t>SUNDSVALL</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47180-2023</t>
        </is>
      </c>
      <c r="B1993" s="1" t="n">
        <v>45201</v>
      </c>
      <c r="C1993" s="1" t="n">
        <v>45845</v>
      </c>
      <c r="D1993" t="inlineStr">
        <is>
          <t>VÄSTERNORRLANDS LÄN</t>
        </is>
      </c>
      <c r="E1993" t="inlineStr">
        <is>
          <t>SUNDSVALL</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47184-2023</t>
        </is>
      </c>
      <c r="B1994" s="1" t="n">
        <v>45201</v>
      </c>
      <c r="C1994" s="1" t="n">
        <v>45845</v>
      </c>
      <c r="D1994" t="inlineStr">
        <is>
          <t>VÄSTERNORRLANDS LÄN</t>
        </is>
      </c>
      <c r="E1994" t="inlineStr">
        <is>
          <t>SUNDSVALL</t>
        </is>
      </c>
      <c r="F1994" t="inlineStr">
        <is>
          <t>SCA</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46972-2023</t>
        </is>
      </c>
      <c r="B1995" s="1" t="n">
        <v>45201</v>
      </c>
      <c r="C1995" s="1" t="n">
        <v>45845</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47157-2023</t>
        </is>
      </c>
      <c r="B1996" s="1" t="n">
        <v>45201</v>
      </c>
      <c r="C1996" s="1" t="n">
        <v>45845</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46904-2023</t>
        </is>
      </c>
      <c r="B1997" s="1" t="n">
        <v>45201</v>
      </c>
      <c r="C1997" s="1" t="n">
        <v>45845</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46973-2023</t>
        </is>
      </c>
      <c r="B1998" s="1" t="n">
        <v>45201</v>
      </c>
      <c r="C1998" s="1" t="n">
        <v>45845</v>
      </c>
      <c r="D1998" t="inlineStr">
        <is>
          <t>VÄSTERNORRLANDS LÄN</t>
        </is>
      </c>
      <c r="E1998" t="inlineStr">
        <is>
          <t>SUNDSVALL</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47018-2023</t>
        </is>
      </c>
      <c r="B1999" s="1" t="n">
        <v>45201</v>
      </c>
      <c r="C1999" s="1" t="n">
        <v>45845</v>
      </c>
      <c r="D1999" t="inlineStr">
        <is>
          <t>VÄSTERNORRLANDS LÄN</t>
        </is>
      </c>
      <c r="E1999" t="inlineStr">
        <is>
          <t>SUNDSVALL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47237-2023</t>
        </is>
      </c>
      <c r="B2000" s="1" t="n">
        <v>45202</v>
      </c>
      <c r="C2000" s="1" t="n">
        <v>45845</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48565-2023</t>
        </is>
      </c>
      <c r="B2001" s="1" t="n">
        <v>45202</v>
      </c>
      <c r="C2001" s="1" t="n">
        <v>45845</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47518-2023</t>
        </is>
      </c>
      <c r="B2002" s="1" t="n">
        <v>45203</v>
      </c>
      <c r="C2002" s="1" t="n">
        <v>45845</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47784-2023</t>
        </is>
      </c>
      <c r="B2003" s="1" t="n">
        <v>45204</v>
      </c>
      <c r="C2003" s="1" t="n">
        <v>45845</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48411-2023</t>
        </is>
      </c>
      <c r="B2004" s="1" t="n">
        <v>45206</v>
      </c>
      <c r="C2004" s="1" t="n">
        <v>45845</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48568-2023</t>
        </is>
      </c>
      <c r="B2005" s="1" t="n">
        <v>45208</v>
      </c>
      <c r="C2005" s="1" t="n">
        <v>45845</v>
      </c>
      <c r="D2005" t="inlineStr">
        <is>
          <t>VÄSTERNORRLANDS LÄN</t>
        </is>
      </c>
      <c r="E2005" t="inlineStr">
        <is>
          <t>SUNDSVALL</t>
        </is>
      </c>
      <c r="G2005" t="n">
        <v>29.2</v>
      </c>
      <c r="H2005" t="n">
        <v>0</v>
      </c>
      <c r="I2005" t="n">
        <v>0</v>
      </c>
      <c r="J2005" t="n">
        <v>0</v>
      </c>
      <c r="K2005" t="n">
        <v>0</v>
      </c>
      <c r="L2005" t="n">
        <v>0</v>
      </c>
      <c r="M2005" t="n">
        <v>0</v>
      </c>
      <c r="N2005" t="n">
        <v>0</v>
      </c>
      <c r="O2005" t="n">
        <v>0</v>
      </c>
      <c r="P2005" t="n">
        <v>0</v>
      </c>
      <c r="Q2005" t="n">
        <v>0</v>
      </c>
      <c r="R2005" s="2" t="inlineStr"/>
    </row>
    <row r="2006" ht="15" customHeight="1">
      <c r="A2006" t="inlineStr">
        <is>
          <t>A 48771-2023</t>
        </is>
      </c>
      <c r="B2006" s="1" t="n">
        <v>45208</v>
      </c>
      <c r="C2006" s="1" t="n">
        <v>45845</v>
      </c>
      <c r="D2006" t="inlineStr">
        <is>
          <t>VÄSTERNORRLANDS LÄN</t>
        </is>
      </c>
      <c r="E2006" t="inlineStr">
        <is>
          <t>SUNDSVALL</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48778-2023</t>
        </is>
      </c>
      <c r="B2007" s="1" t="n">
        <v>45208</v>
      </c>
      <c r="C2007" s="1" t="n">
        <v>45845</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48752-2023</t>
        </is>
      </c>
      <c r="B2008" s="1" t="n">
        <v>45208</v>
      </c>
      <c r="C2008" s="1" t="n">
        <v>45845</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48772-2023</t>
        </is>
      </c>
      <c r="B2009" s="1" t="n">
        <v>45208</v>
      </c>
      <c r="C2009" s="1" t="n">
        <v>45845</v>
      </c>
      <c r="D2009" t="inlineStr">
        <is>
          <t>VÄSTERNORRLANDS LÄN</t>
        </is>
      </c>
      <c r="E2009" t="inlineStr">
        <is>
          <t>SUNDSVALL</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48776-2023</t>
        </is>
      </c>
      <c r="B2010" s="1" t="n">
        <v>45208</v>
      </c>
      <c r="C2010" s="1" t="n">
        <v>45845</v>
      </c>
      <c r="D2010" t="inlineStr">
        <is>
          <t>VÄSTERNORRLANDS LÄN</t>
        </is>
      </c>
      <c r="E2010" t="inlineStr">
        <is>
          <t>SUNDSVALL</t>
        </is>
      </c>
      <c r="F2010" t="inlineStr">
        <is>
          <t>SCA</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50178-2023</t>
        </is>
      </c>
      <c r="B2011" s="1" t="n">
        <v>45208</v>
      </c>
      <c r="C2011" s="1" t="n">
        <v>45845</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50627-2023</t>
        </is>
      </c>
      <c r="B2012" s="1" t="n">
        <v>45210</v>
      </c>
      <c r="C2012" s="1" t="n">
        <v>45845</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49319-2023</t>
        </is>
      </c>
      <c r="B2013" s="1" t="n">
        <v>45211</v>
      </c>
      <c r="C2013" s="1" t="n">
        <v>45845</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49321-2023</t>
        </is>
      </c>
      <c r="B2014" s="1" t="n">
        <v>45211</v>
      </c>
      <c r="C2014" s="1" t="n">
        <v>45845</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50763-2023</t>
        </is>
      </c>
      <c r="B2015" s="1" t="n">
        <v>45210</v>
      </c>
      <c r="C2015" s="1" t="n">
        <v>45845</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49581-2023</t>
        </is>
      </c>
      <c r="B2016" s="1" t="n">
        <v>45211</v>
      </c>
      <c r="C2016" s="1" t="n">
        <v>45845</v>
      </c>
      <c r="D2016" t="inlineStr">
        <is>
          <t>VÄSTERNORRLANDS LÄN</t>
        </is>
      </c>
      <c r="E2016" t="inlineStr">
        <is>
          <t>SUNDSVALL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49654-2023</t>
        </is>
      </c>
      <c r="B2017" s="1" t="n">
        <v>45211</v>
      </c>
      <c r="C2017" s="1" t="n">
        <v>45845</v>
      </c>
      <c r="D2017" t="inlineStr">
        <is>
          <t>VÄSTERNORRLANDS LÄN</t>
        </is>
      </c>
      <c r="E2017" t="inlineStr">
        <is>
          <t>SUNDSVALL</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49647-2023</t>
        </is>
      </c>
      <c r="B2018" s="1" t="n">
        <v>45211</v>
      </c>
      <c r="C2018" s="1" t="n">
        <v>45845</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49655-2023</t>
        </is>
      </c>
      <c r="B2019" s="1" t="n">
        <v>45212</v>
      </c>
      <c r="C2019" s="1" t="n">
        <v>45845</v>
      </c>
      <c r="D2019" t="inlineStr">
        <is>
          <t>VÄSTERNORRLANDS LÄN</t>
        </is>
      </c>
      <c r="E2019" t="inlineStr">
        <is>
          <t>SUNDSVALL</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50959-2023</t>
        </is>
      </c>
      <c r="B2020" s="1" t="n">
        <v>45211</v>
      </c>
      <c r="C2020" s="1" t="n">
        <v>45845</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49868-2023</t>
        </is>
      </c>
      <c r="B2021" s="1" t="n">
        <v>45213</v>
      </c>
      <c r="C2021" s="1" t="n">
        <v>45845</v>
      </c>
      <c r="D2021" t="inlineStr">
        <is>
          <t>VÄSTERNORRLANDS LÄN</t>
        </is>
      </c>
      <c r="E2021" t="inlineStr">
        <is>
          <t>SUNDSVALL</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49867-2023</t>
        </is>
      </c>
      <c r="B2022" s="1" t="n">
        <v>45212</v>
      </c>
      <c r="C2022" s="1" t="n">
        <v>45845</v>
      </c>
      <c r="D2022" t="inlineStr">
        <is>
          <t>VÄSTERNORRLANDS LÄN</t>
        </is>
      </c>
      <c r="E2022" t="inlineStr">
        <is>
          <t>SUNDSVALL</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49871-2023</t>
        </is>
      </c>
      <c r="B2023" s="1" t="n">
        <v>45213</v>
      </c>
      <c r="C2023" s="1" t="n">
        <v>45845</v>
      </c>
      <c r="D2023" t="inlineStr">
        <is>
          <t>VÄSTERNORRLANDS LÄN</t>
        </is>
      </c>
      <c r="E2023" t="inlineStr">
        <is>
          <t>SUNDSVALL</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49854-2023</t>
        </is>
      </c>
      <c r="B2024" s="1" t="n">
        <v>45213</v>
      </c>
      <c r="C2024" s="1" t="n">
        <v>45845</v>
      </c>
      <c r="D2024" t="inlineStr">
        <is>
          <t>VÄSTERNORRLANDS LÄN</t>
        </is>
      </c>
      <c r="E2024" t="inlineStr">
        <is>
          <t>SUNDSVALL</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49862-2023</t>
        </is>
      </c>
      <c r="B2025" s="1" t="n">
        <v>45212</v>
      </c>
      <c r="C2025" s="1" t="n">
        <v>45845</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49866-2023</t>
        </is>
      </c>
      <c r="B2026" s="1" t="n">
        <v>45213</v>
      </c>
      <c r="C2026" s="1" t="n">
        <v>45845</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49870-2023</t>
        </is>
      </c>
      <c r="B2027" s="1" t="n">
        <v>45213</v>
      </c>
      <c r="C2027" s="1" t="n">
        <v>45845</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49869-2023</t>
        </is>
      </c>
      <c r="B2028" s="1" t="n">
        <v>45213</v>
      </c>
      <c r="C2028" s="1" t="n">
        <v>45845</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49994-2023</t>
        </is>
      </c>
      <c r="B2029" s="1" t="n">
        <v>45215</v>
      </c>
      <c r="C2029" s="1" t="n">
        <v>45845</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50210-2023</t>
        </is>
      </c>
      <c r="B2030" s="1" t="n">
        <v>45216</v>
      </c>
      <c r="C2030" s="1" t="n">
        <v>45845</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50205-2023</t>
        </is>
      </c>
      <c r="B2031" s="1" t="n">
        <v>45216</v>
      </c>
      <c r="C2031" s="1" t="n">
        <v>45845</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51639-2023</t>
        </is>
      </c>
      <c r="B2032" s="1" t="n">
        <v>45215</v>
      </c>
      <c r="C2032" s="1" t="n">
        <v>45845</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50272-2023</t>
        </is>
      </c>
      <c r="B2033" s="1" t="n">
        <v>45216</v>
      </c>
      <c r="C2033" s="1" t="n">
        <v>45845</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50274-2023</t>
        </is>
      </c>
      <c r="B2034" s="1" t="n">
        <v>45216</v>
      </c>
      <c r="C2034" s="1" t="n">
        <v>45845</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50829-2023</t>
        </is>
      </c>
      <c r="B2035" s="1" t="n">
        <v>45217</v>
      </c>
      <c r="C2035" s="1" t="n">
        <v>45845</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50677-2023</t>
        </is>
      </c>
      <c r="B2036" s="1" t="n">
        <v>45217</v>
      </c>
      <c r="C2036" s="1" t="n">
        <v>45845</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50835-2023</t>
        </is>
      </c>
      <c r="B2037" s="1" t="n">
        <v>45217</v>
      </c>
      <c r="C2037" s="1" t="n">
        <v>45845</v>
      </c>
      <c r="D2037" t="inlineStr">
        <is>
          <t>VÄSTERNORRLANDS LÄN</t>
        </is>
      </c>
      <c r="E2037" t="inlineStr">
        <is>
          <t>SUNDSVALL</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50834-2023</t>
        </is>
      </c>
      <c r="B2038" s="1" t="n">
        <v>45218</v>
      </c>
      <c r="C2038" s="1" t="n">
        <v>45845</v>
      </c>
      <c r="D2038" t="inlineStr">
        <is>
          <t>VÄSTERNORRLANDS LÄN</t>
        </is>
      </c>
      <c r="E2038" t="inlineStr">
        <is>
          <t>SUNDSVALL</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50842-2023</t>
        </is>
      </c>
      <c r="B2039" s="1" t="n">
        <v>45217</v>
      </c>
      <c r="C2039" s="1" t="n">
        <v>45845</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52237-2023</t>
        </is>
      </c>
      <c r="B2040" s="1" t="n">
        <v>45217</v>
      </c>
      <c r="C2040" s="1" t="n">
        <v>45845</v>
      </c>
      <c r="D2040" t="inlineStr">
        <is>
          <t>VÄSTERNORRLANDS LÄN</t>
        </is>
      </c>
      <c r="E2040" t="inlineStr">
        <is>
          <t>SUNDSVALL</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52231-2023</t>
        </is>
      </c>
      <c r="B2041" s="1" t="n">
        <v>45217</v>
      </c>
      <c r="C2041" s="1" t="n">
        <v>45845</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50928-2023</t>
        </is>
      </c>
      <c r="B2042" s="1" t="n">
        <v>45218</v>
      </c>
      <c r="C2042" s="1" t="n">
        <v>45845</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51103-2023</t>
        </is>
      </c>
      <c r="B2043" s="1" t="n">
        <v>45219</v>
      </c>
      <c r="C2043" s="1" t="n">
        <v>45845</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51111-2023</t>
        </is>
      </c>
      <c r="B2044" s="1" t="n">
        <v>45219</v>
      </c>
      <c r="C2044" s="1" t="n">
        <v>45845</v>
      </c>
      <c r="D2044" t="inlineStr">
        <is>
          <t>VÄSTERNORRLANDS LÄN</t>
        </is>
      </c>
      <c r="E2044" t="inlineStr">
        <is>
          <t>SUNDSVALL</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51104-2023</t>
        </is>
      </c>
      <c r="B2045" s="1" t="n">
        <v>45218</v>
      </c>
      <c r="C2045" s="1" t="n">
        <v>45845</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51108-2023</t>
        </is>
      </c>
      <c r="B2046" s="1" t="n">
        <v>45219</v>
      </c>
      <c r="C2046" s="1" t="n">
        <v>45845</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51110-2023</t>
        </is>
      </c>
      <c r="B2047" s="1" t="n">
        <v>45219</v>
      </c>
      <c r="C2047" s="1" t="n">
        <v>45845</v>
      </c>
      <c r="D2047" t="inlineStr">
        <is>
          <t>VÄSTERNORRLANDS LÄN</t>
        </is>
      </c>
      <c r="E2047" t="inlineStr">
        <is>
          <t>SUNDSVALL</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51112-2023</t>
        </is>
      </c>
      <c r="B2048" s="1" t="n">
        <v>45218</v>
      </c>
      <c r="C2048" s="1" t="n">
        <v>45845</v>
      </c>
      <c r="D2048" t="inlineStr">
        <is>
          <t>VÄSTERNORRLANDS LÄN</t>
        </is>
      </c>
      <c r="E2048" t="inlineStr">
        <is>
          <t>SUNDSVALL</t>
        </is>
      </c>
      <c r="F2048" t="inlineStr">
        <is>
          <t>SCA</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51109-2023</t>
        </is>
      </c>
      <c r="B2049" s="1" t="n">
        <v>45219</v>
      </c>
      <c r="C2049" s="1" t="n">
        <v>45845</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51791-2023</t>
        </is>
      </c>
      <c r="B2050" s="1" t="n">
        <v>45222</v>
      </c>
      <c r="C2050" s="1" t="n">
        <v>45845</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51792-2023</t>
        </is>
      </c>
      <c r="B2051" s="1" t="n">
        <v>45222</v>
      </c>
      <c r="C2051" s="1" t="n">
        <v>45845</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51789-2023</t>
        </is>
      </c>
      <c r="B2052" s="1" t="n">
        <v>45222</v>
      </c>
      <c r="C2052" s="1" t="n">
        <v>45845</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51829-2023</t>
        </is>
      </c>
      <c r="B2053" s="1" t="n">
        <v>45222</v>
      </c>
      <c r="C2053" s="1" t="n">
        <v>45845</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51824-2023</t>
        </is>
      </c>
      <c r="B2054" s="1" t="n">
        <v>45222</v>
      </c>
      <c r="C2054" s="1" t="n">
        <v>45845</v>
      </c>
      <c r="D2054" t="inlineStr">
        <is>
          <t>VÄSTERNORRLANDS LÄN</t>
        </is>
      </c>
      <c r="E2054" t="inlineStr">
        <is>
          <t>SUNDSVALL</t>
        </is>
      </c>
      <c r="F2054" t="inlineStr">
        <is>
          <t>SCA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52873-2023</t>
        </is>
      </c>
      <c r="B2055" s="1" t="n">
        <v>45222</v>
      </c>
      <c r="C2055" s="1" t="n">
        <v>45845</v>
      </c>
      <c r="D2055" t="inlineStr">
        <is>
          <t>VÄSTERNORRLANDS LÄN</t>
        </is>
      </c>
      <c r="E2055" t="inlineStr">
        <is>
          <t>SUNDSVALL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51823-2023</t>
        </is>
      </c>
      <c r="B2056" s="1" t="n">
        <v>45223</v>
      </c>
      <c r="C2056" s="1" t="n">
        <v>45845</v>
      </c>
      <c r="D2056" t="inlineStr">
        <is>
          <t>VÄSTERNORRLANDS LÄN</t>
        </is>
      </c>
      <c r="E2056" t="inlineStr">
        <is>
          <t>SUNDSVALL</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52939-2023</t>
        </is>
      </c>
      <c r="B2057" s="1" t="n">
        <v>45222</v>
      </c>
      <c r="C2057" s="1" t="n">
        <v>45845</v>
      </c>
      <c r="D2057" t="inlineStr">
        <is>
          <t>VÄSTERNORRLANDS LÄN</t>
        </is>
      </c>
      <c r="E2057" t="inlineStr">
        <is>
          <t>SUNDSVALL</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51754-2023</t>
        </is>
      </c>
      <c r="B2058" s="1" t="n">
        <v>45222</v>
      </c>
      <c r="C2058" s="1" t="n">
        <v>45845</v>
      </c>
      <c r="D2058" t="inlineStr">
        <is>
          <t>VÄSTERNORRLANDS LÄN</t>
        </is>
      </c>
      <c r="E2058" t="inlineStr">
        <is>
          <t>SUNDSVALL</t>
        </is>
      </c>
      <c r="F2058" t="inlineStr">
        <is>
          <t>Kommuner</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51790-2023</t>
        </is>
      </c>
      <c r="B2059" s="1" t="n">
        <v>45222</v>
      </c>
      <c r="C2059" s="1" t="n">
        <v>45845</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51830-2023</t>
        </is>
      </c>
      <c r="B2060" s="1" t="n">
        <v>45222</v>
      </c>
      <c r="C2060" s="1" t="n">
        <v>45845</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51834-2023</t>
        </is>
      </c>
      <c r="B2061" s="1" t="n">
        <v>45223</v>
      </c>
      <c r="C2061" s="1" t="n">
        <v>45845</v>
      </c>
      <c r="D2061" t="inlineStr">
        <is>
          <t>VÄSTERNORRLANDS LÄN</t>
        </is>
      </c>
      <c r="E2061" t="inlineStr">
        <is>
          <t>SUNDSVALL</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52933-2023</t>
        </is>
      </c>
      <c r="B2062" s="1" t="n">
        <v>45222</v>
      </c>
      <c r="C2062" s="1" t="n">
        <v>45845</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52119-2023</t>
        </is>
      </c>
      <c r="B2063" s="1" t="n">
        <v>45223</v>
      </c>
      <c r="C2063" s="1" t="n">
        <v>45845</v>
      </c>
      <c r="D2063" t="inlineStr">
        <is>
          <t>VÄSTERNORRLANDS LÄN</t>
        </is>
      </c>
      <c r="E2063" t="inlineStr">
        <is>
          <t>SUNDSVALL</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52110-2023</t>
        </is>
      </c>
      <c r="B2064" s="1" t="n">
        <v>45223</v>
      </c>
      <c r="C2064" s="1" t="n">
        <v>45845</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52118-2023</t>
        </is>
      </c>
      <c r="B2065" s="1" t="n">
        <v>45224</v>
      </c>
      <c r="C2065" s="1" t="n">
        <v>45845</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52140-2023</t>
        </is>
      </c>
      <c r="B2066" s="1" t="n">
        <v>45224</v>
      </c>
      <c r="C2066" s="1" t="n">
        <v>45845</v>
      </c>
      <c r="D2066" t="inlineStr">
        <is>
          <t>VÄSTERNORRLANDS LÄN</t>
        </is>
      </c>
      <c r="E2066" t="inlineStr">
        <is>
          <t>SUNDSVALL</t>
        </is>
      </c>
      <c r="F2066" t="inlineStr">
        <is>
          <t>Naturvårdsverket</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52120-2023</t>
        </is>
      </c>
      <c r="B2067" s="1" t="n">
        <v>45223</v>
      </c>
      <c r="C2067" s="1" t="n">
        <v>45845</v>
      </c>
      <c r="D2067" t="inlineStr">
        <is>
          <t>VÄSTERNORRLANDS LÄN</t>
        </is>
      </c>
      <c r="E2067" t="inlineStr">
        <is>
          <t>SUNDSVALL</t>
        </is>
      </c>
      <c r="F2067" t="inlineStr">
        <is>
          <t>SCA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52109-2023</t>
        </is>
      </c>
      <c r="B2068" s="1" t="n">
        <v>45223</v>
      </c>
      <c r="C2068" s="1" t="n">
        <v>45845</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52117-2023</t>
        </is>
      </c>
      <c r="B2069" s="1" t="n">
        <v>45223</v>
      </c>
      <c r="C2069" s="1" t="n">
        <v>45845</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52146-2023</t>
        </is>
      </c>
      <c r="B2070" s="1" t="n">
        <v>45223</v>
      </c>
      <c r="C2070" s="1" t="n">
        <v>45845</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52147-2023</t>
        </is>
      </c>
      <c r="B2071" s="1" t="n">
        <v>45223</v>
      </c>
      <c r="C2071" s="1" t="n">
        <v>45845</v>
      </c>
      <c r="D2071" t="inlineStr">
        <is>
          <t>VÄSTERNORRLANDS LÄN</t>
        </is>
      </c>
      <c r="E2071" t="inlineStr">
        <is>
          <t>SUNDSVALL</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52405-2023</t>
        </is>
      </c>
      <c r="B2072" s="1" t="n">
        <v>45224</v>
      </c>
      <c r="C2072" s="1" t="n">
        <v>45845</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52404-2023</t>
        </is>
      </c>
      <c r="B2073" s="1" t="n">
        <v>45225</v>
      </c>
      <c r="C2073" s="1" t="n">
        <v>45845</v>
      </c>
      <c r="D2073" t="inlineStr">
        <is>
          <t>VÄSTERNORRLANDS LÄN</t>
        </is>
      </c>
      <c r="E2073" t="inlineStr">
        <is>
          <t>SUNDSVALL</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52403-2023</t>
        </is>
      </c>
      <c r="B2074" s="1" t="n">
        <v>45224</v>
      </c>
      <c r="C2074" s="1" t="n">
        <v>45845</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53674-2023</t>
        </is>
      </c>
      <c r="B2075" s="1" t="n">
        <v>45224</v>
      </c>
      <c r="C2075" s="1" t="n">
        <v>45845</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52398-2023</t>
        </is>
      </c>
      <c r="B2076" s="1" t="n">
        <v>45225</v>
      </c>
      <c r="C2076" s="1" t="n">
        <v>45845</v>
      </c>
      <c r="D2076" t="inlineStr">
        <is>
          <t>VÄSTERNORRLANDS LÄN</t>
        </is>
      </c>
      <c r="E2076" t="inlineStr">
        <is>
          <t>SUNDSVALL</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52406-2023</t>
        </is>
      </c>
      <c r="B2077" s="1" t="n">
        <v>45224</v>
      </c>
      <c r="C2077" s="1" t="n">
        <v>45845</v>
      </c>
      <c r="D2077" t="inlineStr">
        <is>
          <t>VÄSTERNORRLANDS LÄN</t>
        </is>
      </c>
      <c r="E2077" t="inlineStr">
        <is>
          <t>SUNDSVALL</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52502-2023</t>
        </is>
      </c>
      <c r="B2078" s="1" t="n">
        <v>45225</v>
      </c>
      <c r="C2078" s="1" t="n">
        <v>45845</v>
      </c>
      <c r="D2078" t="inlineStr">
        <is>
          <t>VÄSTERNORRLANDS LÄN</t>
        </is>
      </c>
      <c r="E2078" t="inlineStr">
        <is>
          <t>SUNDSVALL</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52517-2023</t>
        </is>
      </c>
      <c r="B2079" s="1" t="n">
        <v>45225</v>
      </c>
      <c r="C2079" s="1" t="n">
        <v>45845</v>
      </c>
      <c r="D2079" t="inlineStr">
        <is>
          <t>VÄSTERNORRLANDS LÄN</t>
        </is>
      </c>
      <c r="E2079" t="inlineStr">
        <is>
          <t>SUNDSVALL</t>
        </is>
      </c>
      <c r="F2079" t="inlineStr">
        <is>
          <t>Kommuner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53943-2023</t>
        </is>
      </c>
      <c r="B2080" s="1" t="n">
        <v>45225</v>
      </c>
      <c r="C2080" s="1" t="n">
        <v>45845</v>
      </c>
      <c r="D2080" t="inlineStr">
        <is>
          <t>VÄSTERNORRLANDS LÄN</t>
        </is>
      </c>
      <c r="E2080" t="inlineStr">
        <is>
          <t>SUNDSVALL</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52758-2023</t>
        </is>
      </c>
      <c r="B2081" s="1" t="n">
        <v>45225</v>
      </c>
      <c r="C2081" s="1" t="n">
        <v>45845</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52759-2023</t>
        </is>
      </c>
      <c r="B2082" s="1" t="n">
        <v>45225</v>
      </c>
      <c r="C2082" s="1" t="n">
        <v>45845</v>
      </c>
      <c r="D2082" t="inlineStr">
        <is>
          <t>VÄSTERNORRLANDS LÄN</t>
        </is>
      </c>
      <c r="E2082" t="inlineStr">
        <is>
          <t>SUNDSVALL</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53042-2023</t>
        </is>
      </c>
      <c r="B2083" s="1" t="n">
        <v>45226</v>
      </c>
      <c r="C2083" s="1" t="n">
        <v>45845</v>
      </c>
      <c r="D2083" t="inlineStr">
        <is>
          <t>VÄSTERNORRLANDS LÄN</t>
        </is>
      </c>
      <c r="E2083" t="inlineStr">
        <is>
          <t>SUNDSVALL</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53038-2023</t>
        </is>
      </c>
      <c r="B2084" s="1" t="n">
        <v>45227</v>
      </c>
      <c r="C2084" s="1" t="n">
        <v>45845</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53060-2023</t>
        </is>
      </c>
      <c r="B2085" s="1" t="n">
        <v>45227</v>
      </c>
      <c r="C2085" s="1" t="n">
        <v>45845</v>
      </c>
      <c r="D2085" t="inlineStr">
        <is>
          <t>VÄSTERNORRLANDS LÄN</t>
        </is>
      </c>
      <c r="E2085" t="inlineStr">
        <is>
          <t>SUNDSVALL</t>
        </is>
      </c>
      <c r="F2085" t="inlineStr">
        <is>
          <t>SCA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53045-2023</t>
        </is>
      </c>
      <c r="B2086" s="1" t="n">
        <v>45226</v>
      </c>
      <c r="C2086" s="1" t="n">
        <v>45845</v>
      </c>
      <c r="D2086" t="inlineStr">
        <is>
          <t>VÄSTERNORRLANDS LÄN</t>
        </is>
      </c>
      <c r="E2086" t="inlineStr">
        <is>
          <t>SUNDSVALL</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52777-2023</t>
        </is>
      </c>
      <c r="B2087" s="1" t="n">
        <v>45226</v>
      </c>
      <c r="C2087" s="1" t="n">
        <v>45845</v>
      </c>
      <c r="D2087" t="inlineStr">
        <is>
          <t>VÄSTERNORRLANDS LÄN</t>
        </is>
      </c>
      <c r="E2087" t="inlineStr">
        <is>
          <t>SUNDSVALL</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53450-2023</t>
        </is>
      </c>
      <c r="B2088" s="1" t="n">
        <v>45230</v>
      </c>
      <c r="C2088" s="1" t="n">
        <v>45845</v>
      </c>
      <c r="D2088" t="inlineStr">
        <is>
          <t>VÄSTERNORRLANDS LÄN</t>
        </is>
      </c>
      <c r="E2088" t="inlineStr">
        <is>
          <t>SUNDSVALL</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53451-2023</t>
        </is>
      </c>
      <c r="B2089" s="1" t="n">
        <v>45230</v>
      </c>
      <c r="C2089" s="1" t="n">
        <v>45845</v>
      </c>
      <c r="D2089" t="inlineStr">
        <is>
          <t>VÄSTERNORRLANDS LÄN</t>
        </is>
      </c>
      <c r="E2089" t="inlineStr">
        <is>
          <t>SUNDSVALL</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53736-2023</t>
        </is>
      </c>
      <c r="B2090" s="1" t="n">
        <v>45230</v>
      </c>
      <c r="C2090" s="1" t="n">
        <v>45845</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53511-2023</t>
        </is>
      </c>
      <c r="B2091" s="1" t="n">
        <v>45230</v>
      </c>
      <c r="C2091" s="1" t="n">
        <v>45845</v>
      </c>
      <c r="D2091" t="inlineStr">
        <is>
          <t>VÄSTERNORRLANDS LÄN</t>
        </is>
      </c>
      <c r="E2091" t="inlineStr">
        <is>
          <t>SUNDSVALL</t>
        </is>
      </c>
      <c r="F2091" t="inlineStr">
        <is>
          <t>Kyrkan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53767-2023</t>
        </is>
      </c>
      <c r="B2092" s="1" t="n">
        <v>45231</v>
      </c>
      <c r="C2092" s="1" t="n">
        <v>45845</v>
      </c>
      <c r="D2092" t="inlineStr">
        <is>
          <t>VÄSTERNORRLANDS LÄN</t>
        </is>
      </c>
      <c r="E2092" t="inlineStr">
        <is>
          <t>SUNDSVALL</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53716-2023</t>
        </is>
      </c>
      <c r="B2093" s="1" t="n">
        <v>45230</v>
      </c>
      <c r="C2093" s="1" t="n">
        <v>45845</v>
      </c>
      <c r="D2093" t="inlineStr">
        <is>
          <t>VÄSTERNORRLANDS LÄN</t>
        </is>
      </c>
      <c r="E2093" t="inlineStr">
        <is>
          <t>SUNDSVALL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53764-2023</t>
        </is>
      </c>
      <c r="B2094" s="1" t="n">
        <v>45231</v>
      </c>
      <c r="C2094" s="1" t="n">
        <v>45845</v>
      </c>
      <c r="D2094" t="inlineStr">
        <is>
          <t>VÄSTERNORRLANDS LÄN</t>
        </is>
      </c>
      <c r="E2094" t="inlineStr">
        <is>
          <t>SUNDSVALL</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54059-2023</t>
        </is>
      </c>
      <c r="B2095" s="1" t="n">
        <v>45232</v>
      </c>
      <c r="C2095" s="1" t="n">
        <v>45845</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54075-2023</t>
        </is>
      </c>
      <c r="B2096" s="1" t="n">
        <v>45232</v>
      </c>
      <c r="C2096" s="1" t="n">
        <v>45845</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55212-2023</t>
        </is>
      </c>
      <c r="B2097" s="1" t="n">
        <v>45231</v>
      </c>
      <c r="C2097" s="1" t="n">
        <v>45845</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54044-2023</t>
        </is>
      </c>
      <c r="B2098" s="1" t="n">
        <v>45231</v>
      </c>
      <c r="C2098" s="1" t="n">
        <v>45845</v>
      </c>
      <c r="D2098" t="inlineStr">
        <is>
          <t>VÄSTERNORRLANDS LÄN</t>
        </is>
      </c>
      <c r="E2098" t="inlineStr">
        <is>
          <t>SUNDSVALL</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54052-2023</t>
        </is>
      </c>
      <c r="B2099" s="1" t="n">
        <v>45232</v>
      </c>
      <c r="C2099" s="1" t="n">
        <v>45845</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54076-2023</t>
        </is>
      </c>
      <c r="B2100" s="1" t="n">
        <v>45232</v>
      </c>
      <c r="C2100" s="1" t="n">
        <v>45845</v>
      </c>
      <c r="D2100" t="inlineStr">
        <is>
          <t>VÄSTERNORRLANDS LÄN</t>
        </is>
      </c>
      <c r="E2100" t="inlineStr">
        <is>
          <t>SUNDSVALL</t>
        </is>
      </c>
      <c r="F2100" t="inlineStr">
        <is>
          <t>Naturvårdsverket</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54053-2023</t>
        </is>
      </c>
      <c r="B2101" s="1" t="n">
        <v>45232</v>
      </c>
      <c r="C2101" s="1" t="n">
        <v>45845</v>
      </c>
      <c r="D2101" t="inlineStr">
        <is>
          <t>VÄSTERNORRLANDS LÄN</t>
        </is>
      </c>
      <c r="E2101" t="inlineStr">
        <is>
          <t>SUNDSVALL</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54120-2023</t>
        </is>
      </c>
      <c r="B2102" s="1" t="n">
        <v>45232</v>
      </c>
      <c r="C2102" s="1" t="n">
        <v>45845</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54326-2023</t>
        </is>
      </c>
      <c r="B2103" s="1" t="n">
        <v>45232</v>
      </c>
      <c r="C2103" s="1" t="n">
        <v>45845</v>
      </c>
      <c r="D2103" t="inlineStr">
        <is>
          <t>VÄSTERNORRLANDS LÄN</t>
        </is>
      </c>
      <c r="E2103" t="inlineStr">
        <is>
          <t>SUNDSVALL</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54329-2023</t>
        </is>
      </c>
      <c r="B2104" s="1" t="n">
        <v>45232</v>
      </c>
      <c r="C2104" s="1" t="n">
        <v>45845</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54348-2023</t>
        </is>
      </c>
      <c r="B2105" s="1" t="n">
        <v>45233</v>
      </c>
      <c r="C2105" s="1" t="n">
        <v>45845</v>
      </c>
      <c r="D2105" t="inlineStr">
        <is>
          <t>VÄSTERNORRLANDS LÄN</t>
        </is>
      </c>
      <c r="E2105" t="inlineStr">
        <is>
          <t>SUNDSVALL</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54605-2023</t>
        </is>
      </c>
      <c r="B2106" s="1" t="n">
        <v>45233</v>
      </c>
      <c r="C2106" s="1" t="n">
        <v>45845</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54615-2023</t>
        </is>
      </c>
      <c r="B2107" s="1" t="n">
        <v>45233</v>
      </c>
      <c r="C2107" s="1" t="n">
        <v>45845</v>
      </c>
      <c r="D2107" t="inlineStr">
        <is>
          <t>VÄSTERNORRLANDS LÄN</t>
        </is>
      </c>
      <c r="E2107" t="inlineStr">
        <is>
          <t>SUNDSVALL</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54606-2023</t>
        </is>
      </c>
      <c r="B2108" s="1" t="n">
        <v>45233</v>
      </c>
      <c r="C2108" s="1" t="n">
        <v>45845</v>
      </c>
      <c r="D2108" t="inlineStr">
        <is>
          <t>VÄSTERNORRLANDS LÄN</t>
        </is>
      </c>
      <c r="E2108" t="inlineStr">
        <is>
          <t>SUNDSVALL</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54639-2023</t>
        </is>
      </c>
      <c r="B2109" s="1" t="n">
        <v>45234</v>
      </c>
      <c r="C2109" s="1" t="n">
        <v>45845</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54675-2023</t>
        </is>
      </c>
      <c r="B2110" s="1" t="n">
        <v>45235</v>
      </c>
      <c r="C2110" s="1" t="n">
        <v>45845</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54739-2023</t>
        </is>
      </c>
      <c r="B2111" s="1" t="n">
        <v>45236</v>
      </c>
      <c r="C2111" s="1" t="n">
        <v>45845</v>
      </c>
      <c r="D2111" t="inlineStr">
        <is>
          <t>VÄSTERNORRLANDS LÄN</t>
        </is>
      </c>
      <c r="E2111" t="inlineStr">
        <is>
          <t>SUNDSVALL</t>
        </is>
      </c>
      <c r="F2111" t="inlineStr">
        <is>
          <t>Holmen skog AB</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54987-2023</t>
        </is>
      </c>
      <c r="B2112" s="1" t="n">
        <v>45236</v>
      </c>
      <c r="C2112" s="1" t="n">
        <v>45845</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55003-2023</t>
        </is>
      </c>
      <c r="B2113" s="1" t="n">
        <v>45236</v>
      </c>
      <c r="C2113" s="1" t="n">
        <v>45845</v>
      </c>
      <c r="D2113" t="inlineStr">
        <is>
          <t>VÄSTERNORRLANDS LÄN</t>
        </is>
      </c>
      <c r="E2113" t="inlineStr">
        <is>
          <t>SUNDSVALL</t>
        </is>
      </c>
      <c r="F2113" t="inlineStr">
        <is>
          <t>SCA</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54976-2023</t>
        </is>
      </c>
      <c r="B2114" s="1" t="n">
        <v>45236</v>
      </c>
      <c r="C2114" s="1" t="n">
        <v>45845</v>
      </c>
      <c r="D2114" t="inlineStr">
        <is>
          <t>VÄSTERNORRLANDS LÄN</t>
        </is>
      </c>
      <c r="E2114" t="inlineStr">
        <is>
          <t>SUNDSVALL</t>
        </is>
      </c>
      <c r="F2114" t="inlineStr">
        <is>
          <t>Kyrkan</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54988-2023</t>
        </is>
      </c>
      <c r="B2115" s="1" t="n">
        <v>45236</v>
      </c>
      <c r="C2115" s="1" t="n">
        <v>45845</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54977-2023</t>
        </is>
      </c>
      <c r="B2116" s="1" t="n">
        <v>45236</v>
      </c>
      <c r="C2116" s="1" t="n">
        <v>45845</v>
      </c>
      <c r="D2116" t="inlineStr">
        <is>
          <t>VÄSTERNORRLANDS LÄN</t>
        </is>
      </c>
      <c r="E2116" t="inlineStr">
        <is>
          <t>SUNDSVALL</t>
        </is>
      </c>
      <c r="F2116" t="inlineStr">
        <is>
          <t>Kyrkan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54989-2023</t>
        </is>
      </c>
      <c r="B2117" s="1" t="n">
        <v>45236</v>
      </c>
      <c r="C2117" s="1" t="n">
        <v>45845</v>
      </c>
      <c r="D2117" t="inlineStr">
        <is>
          <t>VÄSTERNORRLANDS LÄN</t>
        </is>
      </c>
      <c r="E2117" t="inlineStr">
        <is>
          <t>SUNDSVALL</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55320-2023</t>
        </is>
      </c>
      <c r="B2118" s="1" t="n">
        <v>45237</v>
      </c>
      <c r="C2118" s="1" t="n">
        <v>45845</v>
      </c>
      <c r="D2118" t="inlineStr">
        <is>
          <t>VÄSTERNORRLANDS LÄN</t>
        </is>
      </c>
      <c r="E2118" t="inlineStr">
        <is>
          <t>SUNDSVALL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55337-2023</t>
        </is>
      </c>
      <c r="B2119" s="1" t="n">
        <v>45237</v>
      </c>
      <c r="C2119" s="1" t="n">
        <v>45845</v>
      </c>
      <c r="D2119" t="inlineStr">
        <is>
          <t>VÄSTERNORRLANDS LÄN</t>
        </is>
      </c>
      <c r="E2119" t="inlineStr">
        <is>
          <t>SUNDSVALL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55341-2023</t>
        </is>
      </c>
      <c r="B2120" s="1" t="n">
        <v>45237</v>
      </c>
      <c r="C2120" s="1" t="n">
        <v>45845</v>
      </c>
      <c r="D2120" t="inlineStr">
        <is>
          <t>VÄSTERNORRLANDS LÄN</t>
        </is>
      </c>
      <c r="E2120" t="inlineStr">
        <is>
          <t>SUNDSVALL</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55342-2023</t>
        </is>
      </c>
      <c r="B2121" s="1" t="n">
        <v>45237</v>
      </c>
      <c r="C2121" s="1" t="n">
        <v>45845</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55339-2023</t>
        </is>
      </c>
      <c r="B2122" s="1" t="n">
        <v>45238</v>
      </c>
      <c r="C2122" s="1" t="n">
        <v>45845</v>
      </c>
      <c r="D2122" t="inlineStr">
        <is>
          <t>VÄSTERNORRLANDS LÄN</t>
        </is>
      </c>
      <c r="E2122" t="inlineStr">
        <is>
          <t>SUNDSVALL</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55349-2023</t>
        </is>
      </c>
      <c r="B2123" s="1" t="n">
        <v>45238</v>
      </c>
      <c r="C2123" s="1" t="n">
        <v>45845</v>
      </c>
      <c r="D2123" t="inlineStr">
        <is>
          <t>VÄSTERNORRLANDS LÄN</t>
        </is>
      </c>
      <c r="E2123" t="inlineStr">
        <is>
          <t>SUNDSVALL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55768-2023</t>
        </is>
      </c>
      <c r="B2124" s="1" t="n">
        <v>45239</v>
      </c>
      <c r="C2124" s="1" t="n">
        <v>45845</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55916-2023</t>
        </is>
      </c>
      <c r="B2125" s="1" t="n">
        <v>45240</v>
      </c>
      <c r="C2125" s="1" t="n">
        <v>45845</v>
      </c>
      <c r="D2125" t="inlineStr">
        <is>
          <t>VÄSTERNORRLANDS LÄN</t>
        </is>
      </c>
      <c r="E2125" t="inlineStr">
        <is>
          <t>SUNDSVALL</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56883-2023</t>
        </is>
      </c>
      <c r="B2126" s="1" t="n">
        <v>45239</v>
      </c>
      <c r="C2126" s="1" t="n">
        <v>45845</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55721-2023</t>
        </is>
      </c>
      <c r="B2127" s="1" t="n">
        <v>45239</v>
      </c>
      <c r="C2127" s="1" t="n">
        <v>45845</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56836-2023</t>
        </is>
      </c>
      <c r="B2128" s="1" t="n">
        <v>45239</v>
      </c>
      <c r="C2128" s="1" t="n">
        <v>45845</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57102-2023</t>
        </is>
      </c>
      <c r="B2129" s="1" t="n">
        <v>45239</v>
      </c>
      <c r="C2129" s="1" t="n">
        <v>45845</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56233-2023</t>
        </is>
      </c>
      <c r="B2130" s="1" t="n">
        <v>45240</v>
      </c>
      <c r="C2130" s="1" t="n">
        <v>45845</v>
      </c>
      <c r="D2130" t="inlineStr">
        <is>
          <t>VÄSTERNORRLANDS LÄN</t>
        </is>
      </c>
      <c r="E2130" t="inlineStr">
        <is>
          <t>SUNDSVALL</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56254-2023</t>
        </is>
      </c>
      <c r="B2131" s="1" t="n">
        <v>45240</v>
      </c>
      <c r="C2131" s="1" t="n">
        <v>45845</v>
      </c>
      <c r="D2131" t="inlineStr">
        <is>
          <t>VÄSTERNORRLANDS LÄN</t>
        </is>
      </c>
      <c r="E2131" t="inlineStr">
        <is>
          <t>SUNDSVALL</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56250-2023</t>
        </is>
      </c>
      <c r="B2132" s="1" t="n">
        <v>45240</v>
      </c>
      <c r="C2132" s="1" t="n">
        <v>45845</v>
      </c>
      <c r="D2132" t="inlineStr">
        <is>
          <t>VÄSTERNORRLANDS LÄN</t>
        </is>
      </c>
      <c r="E2132" t="inlineStr">
        <is>
          <t>SUNDSVALL</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56252-2023</t>
        </is>
      </c>
      <c r="B2133" s="1" t="n">
        <v>45240</v>
      </c>
      <c r="C2133" s="1" t="n">
        <v>45845</v>
      </c>
      <c r="D2133" t="inlineStr">
        <is>
          <t>VÄSTERNORRLANDS LÄN</t>
        </is>
      </c>
      <c r="E2133" t="inlineStr">
        <is>
          <t>SUNDSVALL</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56232-2023</t>
        </is>
      </c>
      <c r="B2134" s="1" t="n">
        <v>45240</v>
      </c>
      <c r="C2134" s="1" t="n">
        <v>45845</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56192-2023</t>
        </is>
      </c>
      <c r="B2135" s="1" t="n">
        <v>45240</v>
      </c>
      <c r="C2135" s="1" t="n">
        <v>45845</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56251-2023</t>
        </is>
      </c>
      <c r="B2136" s="1" t="n">
        <v>45240</v>
      </c>
      <c r="C2136" s="1" t="n">
        <v>45845</v>
      </c>
      <c r="D2136" t="inlineStr">
        <is>
          <t>VÄSTERNORRLANDS LÄN</t>
        </is>
      </c>
      <c r="E2136" t="inlineStr">
        <is>
          <t>SUNDSVALL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56243-2023</t>
        </is>
      </c>
      <c r="B2137" s="1" t="n">
        <v>45240</v>
      </c>
      <c r="C2137" s="1" t="n">
        <v>45845</v>
      </c>
      <c r="D2137" t="inlineStr">
        <is>
          <t>VÄSTERNORRLANDS LÄN</t>
        </is>
      </c>
      <c r="E2137" t="inlineStr">
        <is>
          <t>SUNDSVALL</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56231-2023</t>
        </is>
      </c>
      <c r="B2138" s="1" t="n">
        <v>45240</v>
      </c>
      <c r="C2138" s="1" t="n">
        <v>45845</v>
      </c>
      <c r="D2138" t="inlineStr">
        <is>
          <t>VÄSTERNORRLANDS LÄN</t>
        </is>
      </c>
      <c r="E2138" t="inlineStr">
        <is>
          <t>SUNDSVALL</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56195-2023</t>
        </is>
      </c>
      <c r="B2139" s="1" t="n">
        <v>45240</v>
      </c>
      <c r="C2139" s="1" t="n">
        <v>45845</v>
      </c>
      <c r="D2139" t="inlineStr">
        <is>
          <t>VÄSTERNORRLANDS LÄN</t>
        </is>
      </c>
      <c r="E2139" t="inlineStr">
        <is>
          <t>SUNDSVALL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56158-2023</t>
        </is>
      </c>
      <c r="B2140" s="1" t="n">
        <v>45240</v>
      </c>
      <c r="C2140" s="1" t="n">
        <v>45845</v>
      </c>
      <c r="D2140" t="inlineStr">
        <is>
          <t>VÄSTERNORRLANDS LÄN</t>
        </is>
      </c>
      <c r="E2140" t="inlineStr">
        <is>
          <t>SUNDSVALL</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56308-2023</t>
        </is>
      </c>
      <c r="B2141" s="1" t="n">
        <v>45242</v>
      </c>
      <c r="C2141" s="1" t="n">
        <v>45845</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56682-2023</t>
        </is>
      </c>
      <c r="B2142" s="1" t="n">
        <v>45243</v>
      </c>
      <c r="C2142" s="1" t="n">
        <v>45845</v>
      </c>
      <c r="D2142" t="inlineStr">
        <is>
          <t>VÄSTERNORRLANDS LÄN</t>
        </is>
      </c>
      <c r="E2142" t="inlineStr">
        <is>
          <t>SUNDSVALL</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56681-2023</t>
        </is>
      </c>
      <c r="B2143" s="1" t="n">
        <v>45243</v>
      </c>
      <c r="C2143" s="1" t="n">
        <v>45845</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56693-2023</t>
        </is>
      </c>
      <c r="B2144" s="1" t="n">
        <v>45244</v>
      </c>
      <c r="C2144" s="1" t="n">
        <v>45845</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56454-2023</t>
        </is>
      </c>
      <c r="B2145" s="1" t="n">
        <v>45243</v>
      </c>
      <c r="C2145" s="1" t="n">
        <v>45845</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56695-2023</t>
        </is>
      </c>
      <c r="B2146" s="1" t="n">
        <v>45244</v>
      </c>
      <c r="C2146" s="1" t="n">
        <v>45845</v>
      </c>
      <c r="D2146" t="inlineStr">
        <is>
          <t>VÄSTERNORRLANDS LÄN</t>
        </is>
      </c>
      <c r="E2146" t="inlineStr">
        <is>
          <t>SUNDSVALL</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57694-2023</t>
        </is>
      </c>
      <c r="B2147" s="1" t="n">
        <v>45243</v>
      </c>
      <c r="C2147" s="1" t="n">
        <v>45845</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56729-2023</t>
        </is>
      </c>
      <c r="B2148" s="1" t="n">
        <v>45244</v>
      </c>
      <c r="C2148" s="1" t="n">
        <v>45845</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57067-2023</t>
        </is>
      </c>
      <c r="B2149" s="1" t="n">
        <v>45244</v>
      </c>
      <c r="C2149" s="1" t="n">
        <v>45845</v>
      </c>
      <c r="D2149" t="inlineStr">
        <is>
          <t>VÄSTERNORRLANDS LÄN</t>
        </is>
      </c>
      <c r="E2149" t="inlineStr">
        <is>
          <t>SUNDSVALL</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57400-2023</t>
        </is>
      </c>
      <c r="B2150" s="1" t="n">
        <v>45246</v>
      </c>
      <c r="C2150" s="1" t="n">
        <v>45845</v>
      </c>
      <c r="D2150" t="inlineStr">
        <is>
          <t>VÄSTERNORRLANDS LÄN</t>
        </is>
      </c>
      <c r="E2150" t="inlineStr">
        <is>
          <t>SUNDSVALL</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57404-2023</t>
        </is>
      </c>
      <c r="B2151" s="1" t="n">
        <v>45246</v>
      </c>
      <c r="C2151" s="1" t="n">
        <v>45845</v>
      </c>
      <c r="D2151" t="inlineStr">
        <is>
          <t>VÄSTERNORRLANDS LÄN</t>
        </is>
      </c>
      <c r="E2151" t="inlineStr">
        <is>
          <t>SUNDSVALL</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58036-2023</t>
        </is>
      </c>
      <c r="B2152" s="1" t="n">
        <v>45245</v>
      </c>
      <c r="C2152" s="1" t="n">
        <v>45845</v>
      </c>
      <c r="D2152" t="inlineStr">
        <is>
          <t>VÄSTERNORRLANDS LÄN</t>
        </is>
      </c>
      <c r="E2152" t="inlineStr">
        <is>
          <t>SUNDSVALL</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57399-2023</t>
        </is>
      </c>
      <c r="B2153" s="1" t="n">
        <v>45245</v>
      </c>
      <c r="C2153" s="1" t="n">
        <v>45845</v>
      </c>
      <c r="D2153" t="inlineStr">
        <is>
          <t>VÄSTERNORRLANDS LÄN</t>
        </is>
      </c>
      <c r="E2153" t="inlineStr">
        <is>
          <t>SUNDSVALL</t>
        </is>
      </c>
      <c r="F2153" t="inlineStr">
        <is>
          <t>SCA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57403-2023</t>
        </is>
      </c>
      <c r="B2154" s="1" t="n">
        <v>45245</v>
      </c>
      <c r="C2154" s="1" t="n">
        <v>45845</v>
      </c>
      <c r="D2154" t="inlineStr">
        <is>
          <t>VÄSTERNORRLANDS LÄN</t>
        </is>
      </c>
      <c r="E2154" t="inlineStr">
        <is>
          <t>SUNDSVALL</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58048-2023</t>
        </is>
      </c>
      <c r="B2155" s="1" t="n">
        <v>45245</v>
      </c>
      <c r="C2155" s="1" t="n">
        <v>45845</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57455-2023</t>
        </is>
      </c>
      <c r="B2156" s="1" t="n">
        <v>45246</v>
      </c>
      <c r="C2156" s="1" t="n">
        <v>45845</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57775-2023</t>
        </is>
      </c>
      <c r="B2157" s="1" t="n">
        <v>45246</v>
      </c>
      <c r="C2157" s="1" t="n">
        <v>45845</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57787-2023</t>
        </is>
      </c>
      <c r="B2158" s="1" t="n">
        <v>45246</v>
      </c>
      <c r="C2158" s="1" t="n">
        <v>45845</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57785-2023</t>
        </is>
      </c>
      <c r="B2159" s="1" t="n">
        <v>45246</v>
      </c>
      <c r="C2159" s="1" t="n">
        <v>45845</v>
      </c>
      <c r="D2159" t="inlineStr">
        <is>
          <t>VÄSTERNORRLANDS LÄN</t>
        </is>
      </c>
      <c r="E2159" t="inlineStr">
        <is>
          <t>SUNDSVALL</t>
        </is>
      </c>
      <c r="F2159" t="inlineStr">
        <is>
          <t>SCA</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58535-2023</t>
        </is>
      </c>
      <c r="B2160" s="1" t="n">
        <v>45246</v>
      </c>
      <c r="C2160" s="1" t="n">
        <v>45845</v>
      </c>
      <c r="D2160" t="inlineStr">
        <is>
          <t>VÄSTERNORRLANDS LÄN</t>
        </is>
      </c>
      <c r="E2160" t="inlineStr">
        <is>
          <t>SUNDSVALL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58595-2023</t>
        </is>
      </c>
      <c r="B2161" s="1" t="n">
        <v>45246</v>
      </c>
      <c r="C2161" s="1" t="n">
        <v>45845</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58571-2023</t>
        </is>
      </c>
      <c r="B2162" s="1" t="n">
        <v>45246</v>
      </c>
      <c r="C2162" s="1" t="n">
        <v>45845</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57773-2023</t>
        </is>
      </c>
      <c r="B2163" s="1" t="n">
        <v>45246</v>
      </c>
      <c r="C2163" s="1" t="n">
        <v>45845</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57776-2023</t>
        </is>
      </c>
      <c r="B2164" s="1" t="n">
        <v>45246</v>
      </c>
      <c r="C2164" s="1" t="n">
        <v>45845</v>
      </c>
      <c r="D2164" t="inlineStr">
        <is>
          <t>VÄSTERNORRLANDS LÄN</t>
        </is>
      </c>
      <c r="E2164" t="inlineStr">
        <is>
          <t>SUNDSVALL</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57784-2023</t>
        </is>
      </c>
      <c r="B2165" s="1" t="n">
        <v>45246</v>
      </c>
      <c r="C2165" s="1" t="n">
        <v>45845</v>
      </c>
      <c r="D2165" t="inlineStr">
        <is>
          <t>VÄSTERNORRLANDS LÄN</t>
        </is>
      </c>
      <c r="E2165" t="inlineStr">
        <is>
          <t>SUNDSVALL</t>
        </is>
      </c>
      <c r="F2165" t="inlineStr">
        <is>
          <t>SCA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58061-2023</t>
        </is>
      </c>
      <c r="B2166" s="1" t="n">
        <v>45247</v>
      </c>
      <c r="C2166" s="1" t="n">
        <v>45845</v>
      </c>
      <c r="D2166" t="inlineStr">
        <is>
          <t>VÄSTERNORRLANDS LÄN</t>
        </is>
      </c>
      <c r="E2166" t="inlineStr">
        <is>
          <t>SUNDSVALL</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58123-2023</t>
        </is>
      </c>
      <c r="B2167" s="1" t="n">
        <v>45249</v>
      </c>
      <c r="C2167" s="1" t="n">
        <v>45845</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58127-2023</t>
        </is>
      </c>
      <c r="B2168" s="1" t="n">
        <v>45249</v>
      </c>
      <c r="C2168" s="1" t="n">
        <v>45845</v>
      </c>
      <c r="D2168" t="inlineStr">
        <is>
          <t>VÄSTERNORRLANDS LÄN</t>
        </is>
      </c>
      <c r="E2168" t="inlineStr">
        <is>
          <t>SUNDSVALL</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58124-2023</t>
        </is>
      </c>
      <c r="B2169" s="1" t="n">
        <v>45249</v>
      </c>
      <c r="C2169" s="1" t="n">
        <v>45845</v>
      </c>
      <c r="D2169" t="inlineStr">
        <is>
          <t>VÄSTERNORRLANDS LÄN</t>
        </is>
      </c>
      <c r="E2169" t="inlineStr">
        <is>
          <t>SUNDSVALL</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58128-2023</t>
        </is>
      </c>
      <c r="B2170" s="1" t="n">
        <v>45249</v>
      </c>
      <c r="C2170" s="1" t="n">
        <v>45845</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58122-2023</t>
        </is>
      </c>
      <c r="B2171" s="1" t="n">
        <v>45249</v>
      </c>
      <c r="C2171" s="1" t="n">
        <v>45845</v>
      </c>
      <c r="D2171" t="inlineStr">
        <is>
          <t>VÄSTERNORRLANDS LÄN</t>
        </is>
      </c>
      <c r="E2171" t="inlineStr">
        <is>
          <t>SUNDSVALL</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58126-2023</t>
        </is>
      </c>
      <c r="B2172" s="1" t="n">
        <v>45249</v>
      </c>
      <c r="C2172" s="1" t="n">
        <v>45845</v>
      </c>
      <c r="D2172" t="inlineStr">
        <is>
          <t>VÄSTERNORRLANDS LÄN</t>
        </is>
      </c>
      <c r="E2172" t="inlineStr">
        <is>
          <t>SUNDSVALL</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58121-2023</t>
        </is>
      </c>
      <c r="B2173" s="1" t="n">
        <v>45249</v>
      </c>
      <c r="C2173" s="1" t="n">
        <v>45845</v>
      </c>
      <c r="D2173" t="inlineStr">
        <is>
          <t>VÄSTERNORRLANDS LÄN</t>
        </is>
      </c>
      <c r="E2173" t="inlineStr">
        <is>
          <t>SUNDSVALL</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58125-2023</t>
        </is>
      </c>
      <c r="B2174" s="1" t="n">
        <v>45249</v>
      </c>
      <c r="C2174" s="1" t="n">
        <v>45845</v>
      </c>
      <c r="D2174" t="inlineStr">
        <is>
          <t>VÄSTERNORRLANDS LÄN</t>
        </is>
      </c>
      <c r="E2174" t="inlineStr">
        <is>
          <t>SUNDSVALL</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58129-2023</t>
        </is>
      </c>
      <c r="B2175" s="1" t="n">
        <v>45249</v>
      </c>
      <c r="C2175" s="1" t="n">
        <v>45845</v>
      </c>
      <c r="D2175" t="inlineStr">
        <is>
          <t>VÄSTERNORRLANDS LÄN</t>
        </is>
      </c>
      <c r="E2175" t="inlineStr">
        <is>
          <t>SUNDSVALL</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58243-2023</t>
        </is>
      </c>
      <c r="B2176" s="1" t="n">
        <v>45250</v>
      </c>
      <c r="C2176" s="1" t="n">
        <v>45845</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58421-2023</t>
        </is>
      </c>
      <c r="B2177" s="1" t="n">
        <v>45250</v>
      </c>
      <c r="C2177" s="1" t="n">
        <v>45845</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58967-2023</t>
        </is>
      </c>
      <c r="B2178" s="1" t="n">
        <v>45250</v>
      </c>
      <c r="C2178" s="1" t="n">
        <v>45845</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58466-2023</t>
        </is>
      </c>
      <c r="B2179" s="1" t="n">
        <v>45250</v>
      </c>
      <c r="C2179" s="1" t="n">
        <v>45845</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58408-2023</t>
        </is>
      </c>
      <c r="B2180" s="1" t="n">
        <v>45250</v>
      </c>
      <c r="C2180" s="1" t="n">
        <v>45845</v>
      </c>
      <c r="D2180" t="inlineStr">
        <is>
          <t>VÄSTERNORRLANDS LÄN</t>
        </is>
      </c>
      <c r="E2180" t="inlineStr">
        <is>
          <t>SUNDSVALL</t>
        </is>
      </c>
      <c r="F2180" t="inlineStr">
        <is>
          <t>Holmen skog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58453-2023</t>
        </is>
      </c>
      <c r="B2181" s="1" t="n">
        <v>45250</v>
      </c>
      <c r="C2181" s="1" t="n">
        <v>45845</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58606-2023</t>
        </is>
      </c>
      <c r="B2182" s="1" t="n">
        <v>45251</v>
      </c>
      <c r="C2182" s="1" t="n">
        <v>45845</v>
      </c>
      <c r="D2182" t="inlineStr">
        <is>
          <t>VÄSTERNORRLANDS LÄN</t>
        </is>
      </c>
      <c r="E2182" t="inlineStr">
        <is>
          <t>SUNDSVALL</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58746-2023</t>
        </is>
      </c>
      <c r="B2183" s="1" t="n">
        <v>45251</v>
      </c>
      <c r="C2183" s="1" t="n">
        <v>45845</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58745-2023</t>
        </is>
      </c>
      <c r="B2184" s="1" t="n">
        <v>45251</v>
      </c>
      <c r="C2184" s="1" t="n">
        <v>45845</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58769-2023</t>
        </is>
      </c>
      <c r="B2185" s="1" t="n">
        <v>45251</v>
      </c>
      <c r="C2185" s="1" t="n">
        <v>45845</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58773-2023</t>
        </is>
      </c>
      <c r="B2186" s="1" t="n">
        <v>45252</v>
      </c>
      <c r="C2186" s="1" t="n">
        <v>45845</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58652-2023</t>
        </is>
      </c>
      <c r="B2187" s="1" t="n">
        <v>45251</v>
      </c>
      <c r="C2187" s="1" t="n">
        <v>45845</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59084-2023</t>
        </is>
      </c>
      <c r="B2188" s="1" t="n">
        <v>45252</v>
      </c>
      <c r="C2188" s="1" t="n">
        <v>45845</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59090-2023</t>
        </is>
      </c>
      <c r="B2189" s="1" t="n">
        <v>45252</v>
      </c>
      <c r="C2189" s="1" t="n">
        <v>45845</v>
      </c>
      <c r="D2189" t="inlineStr">
        <is>
          <t>VÄSTERNORRLANDS LÄN</t>
        </is>
      </c>
      <c r="E2189" t="inlineStr">
        <is>
          <t>SUNDSVALL</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59096-2023</t>
        </is>
      </c>
      <c r="B2190" s="1" t="n">
        <v>45252</v>
      </c>
      <c r="C2190" s="1" t="n">
        <v>45845</v>
      </c>
      <c r="D2190" t="inlineStr">
        <is>
          <t>VÄSTERNORRLANDS LÄN</t>
        </is>
      </c>
      <c r="E2190" t="inlineStr">
        <is>
          <t>SUNDSVALL</t>
        </is>
      </c>
      <c r="F2190" t="inlineStr">
        <is>
          <t>Naturvårdsverket</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59213-2023</t>
        </is>
      </c>
      <c r="B2191" s="1" t="n">
        <v>45253</v>
      </c>
      <c r="C2191" s="1" t="n">
        <v>45845</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59341-2023</t>
        </is>
      </c>
      <c r="B2192" s="1" t="n">
        <v>45253</v>
      </c>
      <c r="C2192" s="1" t="n">
        <v>45845</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59412-2023</t>
        </is>
      </c>
      <c r="B2193" s="1" t="n">
        <v>45253</v>
      </c>
      <c r="C2193" s="1" t="n">
        <v>45845</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59411-2023</t>
        </is>
      </c>
      <c r="B2194" s="1" t="n">
        <v>45253</v>
      </c>
      <c r="C2194" s="1" t="n">
        <v>45845</v>
      </c>
      <c r="D2194" t="inlineStr">
        <is>
          <t>VÄSTERNORRLANDS LÄN</t>
        </is>
      </c>
      <c r="E2194" t="inlineStr">
        <is>
          <t>SUNDSVALL</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59576-2023</t>
        </is>
      </c>
      <c r="B2195" s="1" t="n">
        <v>45253</v>
      </c>
      <c r="C2195" s="1" t="n">
        <v>45845</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59660-2023</t>
        </is>
      </c>
      <c r="B2196" s="1" t="n">
        <v>45254</v>
      </c>
      <c r="C2196" s="1" t="n">
        <v>45845</v>
      </c>
      <c r="D2196" t="inlineStr">
        <is>
          <t>VÄSTERNORRLANDS LÄN</t>
        </is>
      </c>
      <c r="E2196" t="inlineStr">
        <is>
          <t>SUNDSVALL</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59661-2023</t>
        </is>
      </c>
      <c r="B2197" s="1" t="n">
        <v>45254</v>
      </c>
      <c r="C2197" s="1" t="n">
        <v>45845</v>
      </c>
      <c r="D2197" t="inlineStr">
        <is>
          <t>VÄSTERNORRLANDS LÄN</t>
        </is>
      </c>
      <c r="E2197" t="inlineStr">
        <is>
          <t>SUNDSVALL</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59928-2023</t>
        </is>
      </c>
      <c r="B2198" s="1" t="n">
        <v>45254</v>
      </c>
      <c r="C2198" s="1" t="n">
        <v>45845</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59716-2023</t>
        </is>
      </c>
      <c r="B2199" s="1" t="n">
        <v>45257</v>
      </c>
      <c r="C2199" s="1" t="n">
        <v>45845</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59910-2023</t>
        </is>
      </c>
      <c r="B2200" s="1" t="n">
        <v>45257</v>
      </c>
      <c r="C2200" s="1" t="n">
        <v>45845</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59840-2023</t>
        </is>
      </c>
      <c r="B2201" s="1" t="n">
        <v>45257</v>
      </c>
      <c r="C2201" s="1" t="n">
        <v>45845</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60013-2023</t>
        </is>
      </c>
      <c r="B2202" s="1" t="n">
        <v>45258</v>
      </c>
      <c r="C2202" s="1" t="n">
        <v>45845</v>
      </c>
      <c r="D2202" t="inlineStr">
        <is>
          <t>VÄSTERNORRLANDS LÄN</t>
        </is>
      </c>
      <c r="E2202" t="inlineStr">
        <is>
          <t>SUNDSVALL</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59997-2023</t>
        </is>
      </c>
      <c r="B2203" s="1" t="n">
        <v>45258</v>
      </c>
      <c r="C2203" s="1" t="n">
        <v>45845</v>
      </c>
      <c r="D2203" t="inlineStr">
        <is>
          <t>VÄSTERNORRLANDS LÄN</t>
        </is>
      </c>
      <c r="E2203" t="inlineStr">
        <is>
          <t>SUNDSVALL</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60239-2023</t>
        </is>
      </c>
      <c r="B2204" s="1" t="n">
        <v>45257</v>
      </c>
      <c r="C2204" s="1" t="n">
        <v>45845</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60119-2023</t>
        </is>
      </c>
      <c r="B2205" s="1" t="n">
        <v>45258</v>
      </c>
      <c r="C2205" s="1" t="n">
        <v>45845</v>
      </c>
      <c r="D2205" t="inlineStr">
        <is>
          <t>VÄSTERNORRLANDS LÄN</t>
        </is>
      </c>
      <c r="E2205" t="inlineStr">
        <is>
          <t>SUNDSVALL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60149-2023</t>
        </is>
      </c>
      <c r="B2206" s="1" t="n">
        <v>45258</v>
      </c>
      <c r="C2206" s="1" t="n">
        <v>45845</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60174-2023</t>
        </is>
      </c>
      <c r="B2207" s="1" t="n">
        <v>45258</v>
      </c>
      <c r="C2207" s="1" t="n">
        <v>45845</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60576-2023</t>
        </is>
      </c>
      <c r="B2208" s="1" t="n">
        <v>45259</v>
      </c>
      <c r="C2208" s="1" t="n">
        <v>45845</v>
      </c>
      <c r="D2208" t="inlineStr">
        <is>
          <t>VÄSTERNORRLANDS LÄN</t>
        </is>
      </c>
      <c r="E2208" t="inlineStr">
        <is>
          <t>SUNDSVALL</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60583-2023</t>
        </is>
      </c>
      <c r="B2209" s="1" t="n">
        <v>45259</v>
      </c>
      <c r="C2209" s="1" t="n">
        <v>45845</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60575-2023</t>
        </is>
      </c>
      <c r="B2210" s="1" t="n">
        <v>45259</v>
      </c>
      <c r="C2210" s="1" t="n">
        <v>45845</v>
      </c>
      <c r="D2210" t="inlineStr">
        <is>
          <t>VÄSTERNORRLANDS LÄN</t>
        </is>
      </c>
      <c r="E2210" t="inlineStr">
        <is>
          <t>SUNDSVALL</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60942-2023</t>
        </is>
      </c>
      <c r="B2211" s="1" t="n">
        <v>45259</v>
      </c>
      <c r="C2211" s="1" t="n">
        <v>45845</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60869-2023</t>
        </is>
      </c>
      <c r="B2212" s="1" t="n">
        <v>45260</v>
      </c>
      <c r="C2212" s="1" t="n">
        <v>45845</v>
      </c>
      <c r="D2212" t="inlineStr">
        <is>
          <t>VÄSTERNORRLANDS LÄN</t>
        </is>
      </c>
      <c r="E2212" t="inlineStr">
        <is>
          <t>SUNDSVALL</t>
        </is>
      </c>
      <c r="F2212" t="inlineStr">
        <is>
          <t>Naturvårdsverket</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61021-2023</t>
        </is>
      </c>
      <c r="B2213" s="1" t="n">
        <v>45261</v>
      </c>
      <c r="C2213" s="1" t="n">
        <v>45845</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61433-2023</t>
        </is>
      </c>
      <c r="B2214" s="1" t="n">
        <v>45261</v>
      </c>
      <c r="C2214" s="1" t="n">
        <v>45845</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61163-2023</t>
        </is>
      </c>
      <c r="B2215" s="1" t="n">
        <v>45262</v>
      </c>
      <c r="C2215" s="1" t="n">
        <v>45845</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61268-2023</t>
        </is>
      </c>
      <c r="B2216" s="1" t="n">
        <v>45264</v>
      </c>
      <c r="C2216" s="1" t="n">
        <v>45845</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61267-2023</t>
        </is>
      </c>
      <c r="B2217" s="1" t="n">
        <v>45264</v>
      </c>
      <c r="C2217" s="1" t="n">
        <v>45845</v>
      </c>
      <c r="D2217" t="inlineStr">
        <is>
          <t>VÄSTERNORRLANDS LÄN</t>
        </is>
      </c>
      <c r="E2217" t="inlineStr">
        <is>
          <t>SUNDSVALL</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61475-2023</t>
        </is>
      </c>
      <c r="B2218" s="1" t="n">
        <v>45264</v>
      </c>
      <c r="C2218" s="1" t="n">
        <v>45845</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61474-2023</t>
        </is>
      </c>
      <c r="B2219" s="1" t="n">
        <v>45264</v>
      </c>
      <c r="C2219" s="1" t="n">
        <v>45845</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61490-2023</t>
        </is>
      </c>
      <c r="B2220" s="1" t="n">
        <v>45264</v>
      </c>
      <c r="C2220" s="1" t="n">
        <v>45845</v>
      </c>
      <c r="D2220" t="inlineStr">
        <is>
          <t>VÄSTERNORRLANDS LÄN</t>
        </is>
      </c>
      <c r="E2220" t="inlineStr">
        <is>
          <t>SUNDSVALL</t>
        </is>
      </c>
      <c r="F2220" t="inlineStr">
        <is>
          <t>SCA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61498-2023</t>
        </is>
      </c>
      <c r="B2221" s="1" t="n">
        <v>45264</v>
      </c>
      <c r="C2221" s="1" t="n">
        <v>45845</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61492-2023</t>
        </is>
      </c>
      <c r="B2222" s="1" t="n">
        <v>45264</v>
      </c>
      <c r="C2222" s="1" t="n">
        <v>45845</v>
      </c>
      <c r="D2222" t="inlineStr">
        <is>
          <t>VÄSTERNORRLANDS LÄN</t>
        </is>
      </c>
      <c r="E2222" t="inlineStr">
        <is>
          <t>SUNDSVALL</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61491-2023</t>
        </is>
      </c>
      <c r="B2223" s="1" t="n">
        <v>45264</v>
      </c>
      <c r="C2223" s="1" t="n">
        <v>45845</v>
      </c>
      <c r="D2223" t="inlineStr">
        <is>
          <t>VÄSTERNORRLANDS LÄN</t>
        </is>
      </c>
      <c r="E2223" t="inlineStr">
        <is>
          <t>SUNDSVALL</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61464-2023</t>
        </is>
      </c>
      <c r="B2224" s="1" t="n">
        <v>45264</v>
      </c>
      <c r="C2224" s="1" t="n">
        <v>45845</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61476-2023</t>
        </is>
      </c>
      <c r="B2225" s="1" t="n">
        <v>45264</v>
      </c>
      <c r="C2225" s="1" t="n">
        <v>45845</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61497-2023</t>
        </is>
      </c>
      <c r="B2226" s="1" t="n">
        <v>45264</v>
      </c>
      <c r="C2226" s="1" t="n">
        <v>45845</v>
      </c>
      <c r="D2226" t="inlineStr">
        <is>
          <t>VÄSTERNORRLANDS LÄN</t>
        </is>
      </c>
      <c r="E2226" t="inlineStr">
        <is>
          <t>SUNDSVALL</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61472-2023</t>
        </is>
      </c>
      <c r="B2227" s="1" t="n">
        <v>45264</v>
      </c>
      <c r="C2227" s="1" t="n">
        <v>45845</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61860-2023</t>
        </is>
      </c>
      <c r="B2228" s="1" t="n">
        <v>45264</v>
      </c>
      <c r="C2228" s="1" t="n">
        <v>45845</v>
      </c>
      <c r="D2228" t="inlineStr">
        <is>
          <t>VÄSTERNORRLANDS LÄN</t>
        </is>
      </c>
      <c r="E2228" t="inlineStr">
        <is>
          <t>SUNDSVALL</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61849-2023</t>
        </is>
      </c>
      <c r="B2229" s="1" t="n">
        <v>45264</v>
      </c>
      <c r="C2229" s="1" t="n">
        <v>45845</v>
      </c>
      <c r="D2229" t="inlineStr">
        <is>
          <t>VÄSTERNORRLANDS LÄN</t>
        </is>
      </c>
      <c r="E2229" t="inlineStr">
        <is>
          <t>SUNDSVALL</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61815-2023</t>
        </is>
      </c>
      <c r="B2230" s="1" t="n">
        <v>45264</v>
      </c>
      <c r="C2230" s="1" t="n">
        <v>45845</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61967-2023</t>
        </is>
      </c>
      <c r="B2231" s="1" t="n">
        <v>45265</v>
      </c>
      <c r="C2231" s="1" t="n">
        <v>45845</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62116-2023</t>
        </is>
      </c>
      <c r="B2232" s="1" t="n">
        <v>45266</v>
      </c>
      <c r="C2232" s="1" t="n">
        <v>45845</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62283-2023</t>
        </is>
      </c>
      <c r="B2233" s="1" t="n">
        <v>45266</v>
      </c>
      <c r="C2233" s="1" t="n">
        <v>45845</v>
      </c>
      <c r="D2233" t="inlineStr">
        <is>
          <t>VÄSTERNORRLANDS LÄN</t>
        </is>
      </c>
      <c r="E2233" t="inlineStr">
        <is>
          <t>SUNDSVALL</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62302-2023</t>
        </is>
      </c>
      <c r="B2234" s="1" t="n">
        <v>45266</v>
      </c>
      <c r="C2234" s="1" t="n">
        <v>45845</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62219-2023</t>
        </is>
      </c>
      <c r="B2235" s="1" t="n">
        <v>45267</v>
      </c>
      <c r="C2235" s="1" t="n">
        <v>45845</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62301-2023</t>
        </is>
      </c>
      <c r="B2236" s="1" t="n">
        <v>45267</v>
      </c>
      <c r="C2236" s="1" t="n">
        <v>45845</v>
      </c>
      <c r="D2236" t="inlineStr">
        <is>
          <t>VÄSTERNORRLANDS LÄN</t>
        </is>
      </c>
      <c r="E2236" t="inlineStr">
        <is>
          <t>SUNDSVALL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62361-2023</t>
        </is>
      </c>
      <c r="B2237" s="1" t="n">
        <v>45267</v>
      </c>
      <c r="C2237" s="1" t="n">
        <v>45845</v>
      </c>
      <c r="D2237" t="inlineStr">
        <is>
          <t>VÄSTERNORRLANDS LÄN</t>
        </is>
      </c>
      <c r="E2237" t="inlineStr">
        <is>
          <t>SUNDSVALL</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62434-2023</t>
        </is>
      </c>
      <c r="B2238" s="1" t="n">
        <v>45268</v>
      </c>
      <c r="C2238" s="1" t="n">
        <v>45845</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62530-2023</t>
        </is>
      </c>
      <c r="B2239" s="1" t="n">
        <v>45268</v>
      </c>
      <c r="C2239" s="1" t="n">
        <v>45845</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63070-2023</t>
        </is>
      </c>
      <c r="B2240" s="1" t="n">
        <v>45272</v>
      </c>
      <c r="C2240" s="1" t="n">
        <v>45845</v>
      </c>
      <c r="D2240" t="inlineStr">
        <is>
          <t>VÄSTERNORRLANDS LÄN</t>
        </is>
      </c>
      <c r="E2240" t="inlineStr">
        <is>
          <t>SUNDSVALL</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63055-2023</t>
        </is>
      </c>
      <c r="B2241" s="1" t="n">
        <v>45272</v>
      </c>
      <c r="C2241" s="1" t="n">
        <v>45845</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63048-2023</t>
        </is>
      </c>
      <c r="B2242" s="1" t="n">
        <v>45272</v>
      </c>
      <c r="C2242" s="1" t="n">
        <v>45845</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63068-2023</t>
        </is>
      </c>
      <c r="B2243" s="1" t="n">
        <v>45272</v>
      </c>
      <c r="C2243" s="1" t="n">
        <v>45845</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63330-2023</t>
        </is>
      </c>
      <c r="B2244" s="1" t="n">
        <v>45273</v>
      </c>
      <c r="C2244" s="1" t="n">
        <v>45845</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63506-2023</t>
        </is>
      </c>
      <c r="B2245" s="1" t="n">
        <v>45274</v>
      </c>
      <c r="C2245" s="1" t="n">
        <v>45845</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63814-2023</t>
        </is>
      </c>
      <c r="B2246" s="1" t="n">
        <v>45278</v>
      </c>
      <c r="C2246" s="1" t="n">
        <v>45845</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63989-2023</t>
        </is>
      </c>
      <c r="B2247" s="1" t="n">
        <v>45278</v>
      </c>
      <c r="C2247" s="1" t="n">
        <v>45845</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63993-2023</t>
        </is>
      </c>
      <c r="B2248" s="1" t="n">
        <v>45278</v>
      </c>
      <c r="C2248" s="1" t="n">
        <v>45845</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63990-2023</t>
        </is>
      </c>
      <c r="B2249" s="1" t="n">
        <v>45278</v>
      </c>
      <c r="C2249" s="1" t="n">
        <v>45845</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63978-2023</t>
        </is>
      </c>
      <c r="B2250" s="1" t="n">
        <v>45278</v>
      </c>
      <c r="C2250" s="1" t="n">
        <v>45845</v>
      </c>
      <c r="D2250" t="inlineStr">
        <is>
          <t>VÄSTERNORRLANDS LÄN</t>
        </is>
      </c>
      <c r="E2250" t="inlineStr">
        <is>
          <t>SUNDSVALL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64036-2023</t>
        </is>
      </c>
      <c r="B2251" s="1" t="n">
        <v>45278</v>
      </c>
      <c r="C2251" s="1" t="n">
        <v>45845</v>
      </c>
      <c r="D2251" t="inlineStr">
        <is>
          <t>VÄSTERNORRLANDS LÄN</t>
        </is>
      </c>
      <c r="E2251" t="inlineStr">
        <is>
          <t>SUNDSVALL</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63987-2023</t>
        </is>
      </c>
      <c r="B2252" s="1" t="n">
        <v>45278</v>
      </c>
      <c r="C2252" s="1" t="n">
        <v>45845</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64035-2023</t>
        </is>
      </c>
      <c r="B2253" s="1" t="n">
        <v>45278</v>
      </c>
      <c r="C2253" s="1" t="n">
        <v>45845</v>
      </c>
      <c r="D2253" t="inlineStr">
        <is>
          <t>VÄSTERNORRLANDS LÄN</t>
        </is>
      </c>
      <c r="E2253" t="inlineStr">
        <is>
          <t>SUNDSVALL</t>
        </is>
      </c>
      <c r="F2253" t="inlineStr">
        <is>
          <t>SCA</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64254-2023</t>
        </is>
      </c>
      <c r="B2254" s="1" t="n">
        <v>45279</v>
      </c>
      <c r="C2254" s="1" t="n">
        <v>45845</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64318-2023</t>
        </is>
      </c>
      <c r="B2255" s="1" t="n">
        <v>45279</v>
      </c>
      <c r="C2255" s="1" t="n">
        <v>45845</v>
      </c>
      <c r="D2255" t="inlineStr">
        <is>
          <t>VÄSTERNORRLANDS LÄN</t>
        </is>
      </c>
      <c r="E2255" t="inlineStr">
        <is>
          <t>SUNDSVALL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64313-2023</t>
        </is>
      </c>
      <c r="B2256" s="1" t="n">
        <v>45279</v>
      </c>
      <c r="C2256" s="1" t="n">
        <v>45845</v>
      </c>
      <c r="D2256" t="inlineStr">
        <is>
          <t>VÄSTERNORRLANDS LÄN</t>
        </is>
      </c>
      <c r="E2256" t="inlineStr">
        <is>
          <t>SUNDSVALL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64274-2023</t>
        </is>
      </c>
      <c r="B2257" s="1" t="n">
        <v>45279</v>
      </c>
      <c r="C2257" s="1" t="n">
        <v>45845</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64255-2023</t>
        </is>
      </c>
      <c r="B2258" s="1" t="n">
        <v>45279</v>
      </c>
      <c r="C2258" s="1" t="n">
        <v>45845</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64271-2023</t>
        </is>
      </c>
      <c r="B2259" s="1" t="n">
        <v>45279</v>
      </c>
      <c r="C2259" s="1" t="n">
        <v>45845</v>
      </c>
      <c r="D2259" t="inlineStr">
        <is>
          <t>VÄSTERNORRLANDS LÄN</t>
        </is>
      </c>
      <c r="E2259" t="inlineStr">
        <is>
          <t>SUNDSVALL</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64416-2023</t>
        </is>
      </c>
      <c r="B2260" s="1" t="n">
        <v>45280</v>
      </c>
      <c r="C2260" s="1" t="n">
        <v>45845</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64410-2023</t>
        </is>
      </c>
      <c r="B2261" s="1" t="n">
        <v>45280</v>
      </c>
      <c r="C2261" s="1" t="n">
        <v>45845</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64491-2023</t>
        </is>
      </c>
      <c r="B2262" s="1" t="n">
        <v>45280</v>
      </c>
      <c r="C2262" s="1" t="n">
        <v>45845</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64619-2023</t>
        </is>
      </c>
      <c r="B2263" s="1" t="n">
        <v>45281</v>
      </c>
      <c r="C2263" s="1" t="n">
        <v>45845</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64952-2023</t>
        </is>
      </c>
      <c r="B2264" s="1" t="n">
        <v>45282</v>
      </c>
      <c r="C2264" s="1" t="n">
        <v>45845</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65019-2023</t>
        </is>
      </c>
      <c r="B2265" s="1" t="n">
        <v>45282</v>
      </c>
      <c r="C2265" s="1" t="n">
        <v>45845</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65169-2023</t>
        </is>
      </c>
      <c r="B2266" s="1" t="n">
        <v>45288</v>
      </c>
      <c r="C2266" s="1" t="n">
        <v>45845</v>
      </c>
      <c r="D2266" t="inlineStr">
        <is>
          <t>VÄSTERNORRLANDS LÄN</t>
        </is>
      </c>
      <c r="E2266" t="inlineStr">
        <is>
          <t>SUNDSVALL</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65190-2023</t>
        </is>
      </c>
      <c r="B2267" s="1" t="n">
        <v>45288</v>
      </c>
      <c r="C2267" s="1" t="n">
        <v>45845</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65188-2023</t>
        </is>
      </c>
      <c r="B2268" s="1" t="n">
        <v>45288</v>
      </c>
      <c r="C2268" s="1" t="n">
        <v>45845</v>
      </c>
      <c r="D2268" t="inlineStr">
        <is>
          <t>VÄSTERNORRLANDS LÄN</t>
        </is>
      </c>
      <c r="E2268" t="inlineStr">
        <is>
          <t>SUNDSVALL</t>
        </is>
      </c>
      <c r="F2268" t="inlineStr">
        <is>
          <t>SCA</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65193-2023</t>
        </is>
      </c>
      <c r="B2269" s="1" t="n">
        <v>45288</v>
      </c>
      <c r="C2269" s="1" t="n">
        <v>45845</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65192-2023</t>
        </is>
      </c>
      <c r="B2270" s="1" t="n">
        <v>45288</v>
      </c>
      <c r="C2270" s="1" t="n">
        <v>45845</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65245-2023</t>
        </is>
      </c>
      <c r="B2271" s="1" t="n">
        <v>45289</v>
      </c>
      <c r="C2271" s="1" t="n">
        <v>45845</v>
      </c>
      <c r="D2271" t="inlineStr">
        <is>
          <t>VÄSTERNORRLANDS LÄN</t>
        </is>
      </c>
      <c r="E2271" t="inlineStr">
        <is>
          <t>SUNDSVALL</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102-2024</t>
        </is>
      </c>
      <c r="B2272" s="1" t="n">
        <v>45293</v>
      </c>
      <c r="C2272" s="1" t="n">
        <v>45845</v>
      </c>
      <c r="D2272" t="inlineStr">
        <is>
          <t>VÄSTERNORRLANDS LÄN</t>
        </is>
      </c>
      <c r="E2272" t="inlineStr">
        <is>
          <t>SUNDSVALL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106-2024</t>
        </is>
      </c>
      <c r="B2273" s="1" t="n">
        <v>45293</v>
      </c>
      <c r="C2273" s="1" t="n">
        <v>45845</v>
      </c>
      <c r="D2273" t="inlineStr">
        <is>
          <t>VÄSTERNORRLANDS LÄN</t>
        </is>
      </c>
      <c r="E2273" t="inlineStr">
        <is>
          <t>SUNDSVALL</t>
        </is>
      </c>
      <c r="F2273" t="inlineStr">
        <is>
          <t>SCA</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103-2024</t>
        </is>
      </c>
      <c r="B2274" s="1" t="n">
        <v>45293</v>
      </c>
      <c r="C2274" s="1" t="n">
        <v>45845</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100-2024</t>
        </is>
      </c>
      <c r="B2275" s="1" t="n">
        <v>45293</v>
      </c>
      <c r="C2275" s="1" t="n">
        <v>45845</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194-2024</t>
        </is>
      </c>
      <c r="B2276" s="1" t="n">
        <v>45294</v>
      </c>
      <c r="C2276" s="1" t="n">
        <v>45845</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123-2024</t>
        </is>
      </c>
      <c r="B2277" s="1" t="n">
        <v>45294</v>
      </c>
      <c r="C2277" s="1" t="n">
        <v>45845</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258-2024</t>
        </is>
      </c>
      <c r="B2278" s="1" t="n">
        <v>45294</v>
      </c>
      <c r="C2278" s="1" t="n">
        <v>45845</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199-2024</t>
        </is>
      </c>
      <c r="B2279" s="1" t="n">
        <v>45294</v>
      </c>
      <c r="C2279" s="1" t="n">
        <v>45845</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249-2024</t>
        </is>
      </c>
      <c r="B2280" s="1" t="n">
        <v>45294</v>
      </c>
      <c r="C2280" s="1" t="n">
        <v>45845</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255-2024</t>
        </is>
      </c>
      <c r="B2281" s="1" t="n">
        <v>45295</v>
      </c>
      <c r="C2281" s="1" t="n">
        <v>45845</v>
      </c>
      <c r="D2281" t="inlineStr">
        <is>
          <t>VÄSTERNORRLANDS LÄN</t>
        </is>
      </c>
      <c r="E2281" t="inlineStr">
        <is>
          <t>SUNDSVALL</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231-2024</t>
        </is>
      </c>
      <c r="B2282" s="1" t="n">
        <v>45294</v>
      </c>
      <c r="C2282" s="1" t="n">
        <v>45845</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368-2024</t>
        </is>
      </c>
      <c r="B2283" s="1" t="n">
        <v>45295</v>
      </c>
      <c r="C2283" s="1" t="n">
        <v>45845</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1048-2024</t>
        </is>
      </c>
      <c r="B2284" s="1" t="n">
        <v>45301</v>
      </c>
      <c r="C2284" s="1" t="n">
        <v>45845</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1377-2024</t>
        </is>
      </c>
      <c r="B2285" s="1" t="n">
        <v>45303</v>
      </c>
      <c r="C2285" s="1" t="n">
        <v>45845</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1350-2024</t>
        </is>
      </c>
      <c r="B2286" s="1" t="n">
        <v>45303</v>
      </c>
      <c r="C2286" s="1" t="n">
        <v>45845</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1380-2024</t>
        </is>
      </c>
      <c r="B2287" s="1" t="n">
        <v>45303</v>
      </c>
      <c r="C2287" s="1" t="n">
        <v>45845</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1428-2024</t>
        </is>
      </c>
      <c r="B2288" s="1" t="n">
        <v>45303</v>
      </c>
      <c r="C2288" s="1" t="n">
        <v>45845</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1674-2024</t>
        </is>
      </c>
      <c r="B2289" s="1" t="n">
        <v>45306</v>
      </c>
      <c r="C2289" s="1" t="n">
        <v>45845</v>
      </c>
      <c r="D2289" t="inlineStr">
        <is>
          <t>VÄSTERNORRLANDS LÄN</t>
        </is>
      </c>
      <c r="E2289" t="inlineStr">
        <is>
          <t>SUNDSVALL</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1673-2024</t>
        </is>
      </c>
      <c r="B2290" s="1" t="n">
        <v>45307</v>
      </c>
      <c r="C2290" s="1" t="n">
        <v>45845</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1885-2024</t>
        </is>
      </c>
      <c r="B2291" s="1" t="n">
        <v>45308</v>
      </c>
      <c r="C2291" s="1" t="n">
        <v>45845</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1930-2024</t>
        </is>
      </c>
      <c r="B2292" s="1" t="n">
        <v>45308</v>
      </c>
      <c r="C2292" s="1" t="n">
        <v>45845</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1959-2024</t>
        </is>
      </c>
      <c r="B2293" s="1" t="n">
        <v>45308</v>
      </c>
      <c r="C2293" s="1" t="n">
        <v>45845</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1989-2024</t>
        </is>
      </c>
      <c r="B2294" s="1" t="n">
        <v>45308</v>
      </c>
      <c r="C2294" s="1" t="n">
        <v>45845</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2230-2024</t>
        </is>
      </c>
      <c r="B2295" s="1" t="n">
        <v>45309</v>
      </c>
      <c r="C2295" s="1" t="n">
        <v>45845</v>
      </c>
      <c r="D2295" t="inlineStr">
        <is>
          <t>VÄSTERNORRLANDS LÄN</t>
        </is>
      </c>
      <c r="E2295" t="inlineStr">
        <is>
          <t>SUNDSVALL</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2239-2024</t>
        </is>
      </c>
      <c r="B2296" s="1" t="n">
        <v>45309</v>
      </c>
      <c r="C2296" s="1" t="n">
        <v>45845</v>
      </c>
      <c r="D2296" t="inlineStr">
        <is>
          <t>VÄSTERNORRLANDS LÄN</t>
        </is>
      </c>
      <c r="E2296" t="inlineStr">
        <is>
          <t>SUNDSVALL</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2373-2024</t>
        </is>
      </c>
      <c r="B2297" s="1" t="n">
        <v>45310</v>
      </c>
      <c r="C2297" s="1" t="n">
        <v>45845</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2581-2024</t>
        </is>
      </c>
      <c r="B2298" s="1" t="n">
        <v>45313</v>
      </c>
      <c r="C2298" s="1" t="n">
        <v>45845</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2587-2024</t>
        </is>
      </c>
      <c r="B2299" s="1" t="n">
        <v>45313</v>
      </c>
      <c r="C2299" s="1" t="n">
        <v>45845</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2622-2024</t>
        </is>
      </c>
      <c r="B2300" s="1" t="n">
        <v>45313</v>
      </c>
      <c r="C2300" s="1" t="n">
        <v>45845</v>
      </c>
      <c r="D2300" t="inlineStr">
        <is>
          <t>VÄSTERNORRLANDS LÄN</t>
        </is>
      </c>
      <c r="E2300" t="inlineStr">
        <is>
          <t>SUNDSVALL</t>
        </is>
      </c>
      <c r="G2300" t="n">
        <v>32.7</v>
      </c>
      <c r="H2300" t="n">
        <v>0</v>
      </c>
      <c r="I2300" t="n">
        <v>0</v>
      </c>
      <c r="J2300" t="n">
        <v>0</v>
      </c>
      <c r="K2300" t="n">
        <v>0</v>
      </c>
      <c r="L2300" t="n">
        <v>0</v>
      </c>
      <c r="M2300" t="n">
        <v>0</v>
      </c>
      <c r="N2300" t="n">
        <v>0</v>
      </c>
      <c r="O2300" t="n">
        <v>0</v>
      </c>
      <c r="P2300" t="n">
        <v>0</v>
      </c>
      <c r="Q2300" t="n">
        <v>0</v>
      </c>
      <c r="R2300" s="2" t="inlineStr"/>
    </row>
    <row r="2301" ht="15" customHeight="1">
      <c r="A2301" t="inlineStr">
        <is>
          <t>A 2620-2024</t>
        </is>
      </c>
      <c r="B2301" s="1" t="n">
        <v>45313</v>
      </c>
      <c r="C2301" s="1" t="n">
        <v>45845</v>
      </c>
      <c r="D2301" t="inlineStr">
        <is>
          <t>VÄSTERNORRLANDS LÄN</t>
        </is>
      </c>
      <c r="E2301" t="inlineStr">
        <is>
          <t>SUNDSVALL</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2832-2024</t>
        </is>
      </c>
      <c r="B2302" s="1" t="n">
        <v>45314</v>
      </c>
      <c r="C2302" s="1" t="n">
        <v>45845</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2903-2024</t>
        </is>
      </c>
      <c r="B2303" s="1" t="n">
        <v>45315</v>
      </c>
      <c r="C2303" s="1" t="n">
        <v>45845</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2869-2024</t>
        </is>
      </c>
      <c r="B2304" s="1" t="n">
        <v>45315</v>
      </c>
      <c r="C2304" s="1" t="n">
        <v>45845</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3102-2024</t>
        </is>
      </c>
      <c r="B2305" s="1" t="n">
        <v>45316</v>
      </c>
      <c r="C2305" s="1" t="n">
        <v>45845</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3235-2024</t>
        </is>
      </c>
      <c r="B2306" s="1" t="n">
        <v>45316</v>
      </c>
      <c r="C2306" s="1" t="n">
        <v>45845</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3197-2024</t>
        </is>
      </c>
      <c r="B2307" s="1" t="n">
        <v>45316</v>
      </c>
      <c r="C2307" s="1" t="n">
        <v>45845</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3228-2024</t>
        </is>
      </c>
      <c r="B2308" s="1" t="n">
        <v>45316</v>
      </c>
      <c r="C2308" s="1" t="n">
        <v>45845</v>
      </c>
      <c r="D2308" t="inlineStr">
        <is>
          <t>VÄSTERNORRLANDS LÄN</t>
        </is>
      </c>
      <c r="E2308" t="inlineStr">
        <is>
          <t>SUNDSVALL</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3232-2024</t>
        </is>
      </c>
      <c r="B2309" s="1" t="n">
        <v>45316</v>
      </c>
      <c r="C2309" s="1" t="n">
        <v>45845</v>
      </c>
      <c r="D2309" t="inlineStr">
        <is>
          <t>VÄSTERNORRLANDS LÄN</t>
        </is>
      </c>
      <c r="E2309" t="inlineStr">
        <is>
          <t>SUNDSVALL</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3236-2024</t>
        </is>
      </c>
      <c r="B2310" s="1" t="n">
        <v>45316</v>
      </c>
      <c r="C2310" s="1" t="n">
        <v>45845</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3250-2024</t>
        </is>
      </c>
      <c r="B2311" s="1" t="n">
        <v>45317</v>
      </c>
      <c r="C2311" s="1" t="n">
        <v>45845</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3348-2024</t>
        </is>
      </c>
      <c r="B2312" s="1" t="n">
        <v>45317</v>
      </c>
      <c r="C2312" s="1" t="n">
        <v>45845</v>
      </c>
      <c r="D2312" t="inlineStr">
        <is>
          <t>VÄSTERNORRLANDS LÄN</t>
        </is>
      </c>
      <c r="E2312" t="inlineStr">
        <is>
          <t>SUNDSVALL</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3466-2024</t>
        </is>
      </c>
      <c r="B2313" s="1" t="n">
        <v>45317</v>
      </c>
      <c r="C2313" s="1" t="n">
        <v>45845</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3467-2024</t>
        </is>
      </c>
      <c r="B2314" s="1" t="n">
        <v>45317</v>
      </c>
      <c r="C2314" s="1" t="n">
        <v>45845</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3461-2024</t>
        </is>
      </c>
      <c r="B2315" s="1" t="n">
        <v>45317</v>
      </c>
      <c r="C2315" s="1" t="n">
        <v>45845</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3617-2024</t>
        </is>
      </c>
      <c r="B2316" s="1" t="n">
        <v>45320</v>
      </c>
      <c r="C2316" s="1" t="n">
        <v>45845</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3619-2024</t>
        </is>
      </c>
      <c r="B2317" s="1" t="n">
        <v>45320</v>
      </c>
      <c r="C2317" s="1" t="n">
        <v>45845</v>
      </c>
      <c r="D2317" t="inlineStr">
        <is>
          <t>VÄSTERNORRLANDS LÄN</t>
        </is>
      </c>
      <c r="E2317" t="inlineStr">
        <is>
          <t>SUNDSVALL</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3627-2024</t>
        </is>
      </c>
      <c r="B2318" s="1" t="n">
        <v>45320</v>
      </c>
      <c r="C2318" s="1" t="n">
        <v>45845</v>
      </c>
      <c r="D2318" t="inlineStr">
        <is>
          <t>VÄSTERNORRLANDS LÄN</t>
        </is>
      </c>
      <c r="E2318" t="inlineStr">
        <is>
          <t>SUNDSVALL</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3618-2024</t>
        </is>
      </c>
      <c r="B2319" s="1" t="n">
        <v>45320</v>
      </c>
      <c r="C2319" s="1" t="n">
        <v>45845</v>
      </c>
      <c r="D2319" t="inlineStr">
        <is>
          <t>VÄSTERNORRLANDS LÄN</t>
        </is>
      </c>
      <c r="E2319" t="inlineStr">
        <is>
          <t>SUNDSVALL</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3837-2024</t>
        </is>
      </c>
      <c r="B2320" s="1" t="n">
        <v>45321</v>
      </c>
      <c r="C2320" s="1" t="n">
        <v>45845</v>
      </c>
      <c r="D2320" t="inlineStr">
        <is>
          <t>VÄSTERNORRLANDS LÄN</t>
        </is>
      </c>
      <c r="E2320" t="inlineStr">
        <is>
          <t>SUNDSVALL</t>
        </is>
      </c>
      <c r="F2320" t="inlineStr">
        <is>
          <t>SCA</t>
        </is>
      </c>
      <c r="G2320" t="n">
        <v>24.3</v>
      </c>
      <c r="H2320" t="n">
        <v>0</v>
      </c>
      <c r="I2320" t="n">
        <v>0</v>
      </c>
      <c r="J2320" t="n">
        <v>0</v>
      </c>
      <c r="K2320" t="n">
        <v>0</v>
      </c>
      <c r="L2320" t="n">
        <v>0</v>
      </c>
      <c r="M2320" t="n">
        <v>0</v>
      </c>
      <c r="N2320" t="n">
        <v>0</v>
      </c>
      <c r="O2320" t="n">
        <v>0</v>
      </c>
      <c r="P2320" t="n">
        <v>0</v>
      </c>
      <c r="Q2320" t="n">
        <v>0</v>
      </c>
      <c r="R2320" s="2" t="inlineStr"/>
    </row>
    <row r="2321" ht="15" customHeight="1">
      <c r="A2321" t="inlineStr">
        <is>
          <t>A 3836-2024</t>
        </is>
      </c>
      <c r="B2321" s="1" t="n">
        <v>45321</v>
      </c>
      <c r="C2321" s="1" t="n">
        <v>45845</v>
      </c>
      <c r="D2321" t="inlineStr">
        <is>
          <t>VÄSTERNORRLANDS LÄN</t>
        </is>
      </c>
      <c r="E2321" t="inlineStr">
        <is>
          <t>SUNDSVALL</t>
        </is>
      </c>
      <c r="F2321" t="inlineStr">
        <is>
          <t>SCA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3950-2024</t>
        </is>
      </c>
      <c r="B2322" s="1" t="n">
        <v>45322</v>
      </c>
      <c r="C2322" s="1" t="n">
        <v>45845</v>
      </c>
      <c r="D2322" t="inlineStr">
        <is>
          <t>VÄSTERNORRLANDS LÄN</t>
        </is>
      </c>
      <c r="E2322" t="inlineStr">
        <is>
          <t>SUNDSVALL</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3958-2024</t>
        </is>
      </c>
      <c r="B2323" s="1" t="n">
        <v>45322</v>
      </c>
      <c r="C2323" s="1" t="n">
        <v>45845</v>
      </c>
      <c r="D2323" t="inlineStr">
        <is>
          <t>VÄSTERNORRLANDS LÄN</t>
        </is>
      </c>
      <c r="E2323" t="inlineStr">
        <is>
          <t>SUNDSVALL</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3928-2024</t>
        </is>
      </c>
      <c r="B2324" s="1" t="n">
        <v>45322</v>
      </c>
      <c r="C2324" s="1" t="n">
        <v>45845</v>
      </c>
      <c r="D2324" t="inlineStr">
        <is>
          <t>VÄSTERNORRLANDS LÄN</t>
        </is>
      </c>
      <c r="E2324" t="inlineStr">
        <is>
          <t>SUNDSVALL</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3936-2024</t>
        </is>
      </c>
      <c r="B2325" s="1" t="n">
        <v>45322</v>
      </c>
      <c r="C2325" s="1" t="n">
        <v>45845</v>
      </c>
      <c r="D2325" t="inlineStr">
        <is>
          <t>VÄSTERNORRLANDS LÄN</t>
        </is>
      </c>
      <c r="E2325" t="inlineStr">
        <is>
          <t>SUNDSVALL</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3944-2024</t>
        </is>
      </c>
      <c r="B2326" s="1" t="n">
        <v>45322</v>
      </c>
      <c r="C2326" s="1" t="n">
        <v>45845</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3956-2024</t>
        </is>
      </c>
      <c r="B2327" s="1" t="n">
        <v>45322</v>
      </c>
      <c r="C2327" s="1" t="n">
        <v>45845</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3960-2024</t>
        </is>
      </c>
      <c r="B2328" s="1" t="n">
        <v>45322</v>
      </c>
      <c r="C2328" s="1" t="n">
        <v>45845</v>
      </c>
      <c r="D2328" t="inlineStr">
        <is>
          <t>VÄSTERNORRLANDS LÄN</t>
        </is>
      </c>
      <c r="E2328" t="inlineStr">
        <is>
          <t>SUNDSVALL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3941-2024</t>
        </is>
      </c>
      <c r="B2329" s="1" t="n">
        <v>45322</v>
      </c>
      <c r="C2329" s="1" t="n">
        <v>45845</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3993-2024</t>
        </is>
      </c>
      <c r="B2330" s="1" t="n">
        <v>45322</v>
      </c>
      <c r="C2330" s="1" t="n">
        <v>45845</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3999-2024</t>
        </is>
      </c>
      <c r="B2331" s="1" t="n">
        <v>45322</v>
      </c>
      <c r="C2331" s="1" t="n">
        <v>45845</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4054-2024</t>
        </is>
      </c>
      <c r="B2332" s="1" t="n">
        <v>45323</v>
      </c>
      <c r="C2332" s="1" t="n">
        <v>45845</v>
      </c>
      <c r="D2332" t="inlineStr">
        <is>
          <t>VÄSTERNORRLANDS LÄN</t>
        </is>
      </c>
      <c r="E2332" t="inlineStr">
        <is>
          <t>SUNDSVALL</t>
        </is>
      </c>
      <c r="F2332" t="inlineStr">
        <is>
          <t>Kommuner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4045-2024</t>
        </is>
      </c>
      <c r="B2333" s="1" t="n">
        <v>45323</v>
      </c>
      <c r="C2333" s="1" t="n">
        <v>45845</v>
      </c>
      <c r="D2333" t="inlineStr">
        <is>
          <t>VÄSTERNORRLANDS LÄN</t>
        </is>
      </c>
      <c r="E2333" t="inlineStr">
        <is>
          <t>SUNDSVALL</t>
        </is>
      </c>
      <c r="F2333" t="inlineStr">
        <is>
          <t>Kommuner</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4098-2024</t>
        </is>
      </c>
      <c r="B2334" s="1" t="n">
        <v>45323</v>
      </c>
      <c r="C2334" s="1" t="n">
        <v>45845</v>
      </c>
      <c r="D2334" t="inlineStr">
        <is>
          <t>VÄSTERNORRLANDS LÄN</t>
        </is>
      </c>
      <c r="E2334" t="inlineStr">
        <is>
          <t>SUNDSVALL</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4052-2024</t>
        </is>
      </c>
      <c r="B2335" s="1" t="n">
        <v>45323</v>
      </c>
      <c r="C2335" s="1" t="n">
        <v>45845</v>
      </c>
      <c r="D2335" t="inlineStr">
        <is>
          <t>VÄSTERNORRLANDS LÄN</t>
        </is>
      </c>
      <c r="E2335" t="inlineStr">
        <is>
          <t>SUNDSVALL</t>
        </is>
      </c>
      <c r="F2335" t="inlineStr">
        <is>
          <t>Kommuner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4116-2024</t>
        </is>
      </c>
      <c r="B2336" s="1" t="n">
        <v>45323</v>
      </c>
      <c r="C2336" s="1" t="n">
        <v>45845</v>
      </c>
      <c r="D2336" t="inlineStr">
        <is>
          <t>VÄSTERNORRLANDS LÄN</t>
        </is>
      </c>
      <c r="E2336" t="inlineStr">
        <is>
          <t>SUNDSVALL</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4056-2024</t>
        </is>
      </c>
      <c r="B2337" s="1" t="n">
        <v>45323</v>
      </c>
      <c r="C2337" s="1" t="n">
        <v>45845</v>
      </c>
      <c r="D2337" t="inlineStr">
        <is>
          <t>VÄSTERNORRLANDS LÄN</t>
        </is>
      </c>
      <c r="E2337" t="inlineStr">
        <is>
          <t>SUNDSVALL</t>
        </is>
      </c>
      <c r="F2337" t="inlineStr">
        <is>
          <t>Kommuner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4174-2024</t>
        </is>
      </c>
      <c r="B2338" s="1" t="n">
        <v>45323</v>
      </c>
      <c r="C2338" s="1" t="n">
        <v>45845</v>
      </c>
      <c r="D2338" t="inlineStr">
        <is>
          <t>VÄSTERNORRLANDS LÄN</t>
        </is>
      </c>
      <c r="E2338" t="inlineStr">
        <is>
          <t>SUNDSVALL</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4175-2024</t>
        </is>
      </c>
      <c r="B2339" s="1" t="n">
        <v>45323</v>
      </c>
      <c r="C2339" s="1" t="n">
        <v>45845</v>
      </c>
      <c r="D2339" t="inlineStr">
        <is>
          <t>VÄSTERNORRLANDS LÄN</t>
        </is>
      </c>
      <c r="E2339" t="inlineStr">
        <is>
          <t>SUNDSVALL</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4192-2024</t>
        </is>
      </c>
      <c r="B2340" s="1" t="n">
        <v>45324</v>
      </c>
      <c r="C2340" s="1" t="n">
        <v>45845</v>
      </c>
      <c r="D2340" t="inlineStr">
        <is>
          <t>VÄSTERNORRLANDS LÄN</t>
        </is>
      </c>
      <c r="E2340" t="inlineStr">
        <is>
          <t>SUNDSVALL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4346-2024</t>
        </is>
      </c>
      <c r="B2341" s="1" t="n">
        <v>45324</v>
      </c>
      <c r="C2341" s="1" t="n">
        <v>45845</v>
      </c>
      <c r="D2341" t="inlineStr">
        <is>
          <t>VÄSTERNORRLANDS LÄN</t>
        </is>
      </c>
      <c r="E2341" t="inlineStr">
        <is>
          <t>SUNDSVALL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4593-2024</t>
        </is>
      </c>
      <c r="B2342" s="1" t="n">
        <v>45327</v>
      </c>
      <c r="C2342" s="1" t="n">
        <v>45845</v>
      </c>
      <c r="D2342" t="inlineStr">
        <is>
          <t>VÄSTERNORRLANDS LÄN</t>
        </is>
      </c>
      <c r="E2342" t="inlineStr">
        <is>
          <t>SUNDSVALL</t>
        </is>
      </c>
      <c r="F2342" t="inlineStr">
        <is>
          <t>Naturvårdsverket</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4584-2024</t>
        </is>
      </c>
      <c r="B2343" s="1" t="n">
        <v>45327</v>
      </c>
      <c r="C2343" s="1" t="n">
        <v>45845</v>
      </c>
      <c r="D2343" t="inlineStr">
        <is>
          <t>VÄSTERNORRLANDS LÄN</t>
        </is>
      </c>
      <c r="E2343" t="inlineStr">
        <is>
          <t>SUNDSVALL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4583-2024</t>
        </is>
      </c>
      <c r="B2344" s="1" t="n">
        <v>45327</v>
      </c>
      <c r="C2344" s="1" t="n">
        <v>45845</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4635-2024</t>
        </is>
      </c>
      <c r="B2345" s="1" t="n">
        <v>45328</v>
      </c>
      <c r="C2345" s="1" t="n">
        <v>45845</v>
      </c>
      <c r="D2345" t="inlineStr">
        <is>
          <t>VÄSTERNORRLANDS LÄN</t>
        </is>
      </c>
      <c r="E2345" t="inlineStr">
        <is>
          <t>SUNDSVALL</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4891-2024</t>
        </is>
      </c>
      <c r="B2346" s="1" t="n">
        <v>45329</v>
      </c>
      <c r="C2346" s="1" t="n">
        <v>45845</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4942-2024</t>
        </is>
      </c>
      <c r="B2347" s="1" t="n">
        <v>45329</v>
      </c>
      <c r="C2347" s="1" t="n">
        <v>45845</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4979-2024</t>
        </is>
      </c>
      <c r="B2348" s="1" t="n">
        <v>45329</v>
      </c>
      <c r="C2348" s="1" t="n">
        <v>45845</v>
      </c>
      <c r="D2348" t="inlineStr">
        <is>
          <t>VÄSTERNORRLANDS LÄN</t>
        </is>
      </c>
      <c r="E2348" t="inlineStr">
        <is>
          <t>SUNDSVALL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5065-2024</t>
        </is>
      </c>
      <c r="B2349" s="1" t="n">
        <v>45329</v>
      </c>
      <c r="C2349" s="1" t="n">
        <v>45845</v>
      </c>
      <c r="D2349" t="inlineStr">
        <is>
          <t>VÄSTERNORRLANDS LÄN</t>
        </is>
      </c>
      <c r="E2349" t="inlineStr">
        <is>
          <t>SUNDSVALL</t>
        </is>
      </c>
      <c r="F2349" t="inlineStr">
        <is>
          <t>SCA</t>
        </is>
      </c>
      <c r="G2349" t="n">
        <v>31.2</v>
      </c>
      <c r="H2349" t="n">
        <v>0</v>
      </c>
      <c r="I2349" t="n">
        <v>0</v>
      </c>
      <c r="J2349" t="n">
        <v>0</v>
      </c>
      <c r="K2349" t="n">
        <v>0</v>
      </c>
      <c r="L2349" t="n">
        <v>0</v>
      </c>
      <c r="M2349" t="n">
        <v>0</v>
      </c>
      <c r="N2349" t="n">
        <v>0</v>
      </c>
      <c r="O2349" t="n">
        <v>0</v>
      </c>
      <c r="P2349" t="n">
        <v>0</v>
      </c>
      <c r="Q2349" t="n">
        <v>0</v>
      </c>
      <c r="R2349" s="2" t="inlineStr"/>
    </row>
    <row r="2350" ht="15" customHeight="1">
      <c r="A2350" t="inlineStr">
        <is>
          <t>A 5066-2024</t>
        </is>
      </c>
      <c r="B2350" s="1" t="n">
        <v>45329</v>
      </c>
      <c r="C2350" s="1" t="n">
        <v>45845</v>
      </c>
      <c r="D2350" t="inlineStr">
        <is>
          <t>VÄSTERNORRLANDS LÄN</t>
        </is>
      </c>
      <c r="E2350" t="inlineStr">
        <is>
          <t>SUNDSVALL</t>
        </is>
      </c>
      <c r="F2350" t="inlineStr">
        <is>
          <t>SCA</t>
        </is>
      </c>
      <c r="G2350" t="n">
        <v>42.3</v>
      </c>
      <c r="H2350" t="n">
        <v>0</v>
      </c>
      <c r="I2350" t="n">
        <v>0</v>
      </c>
      <c r="J2350" t="n">
        <v>0</v>
      </c>
      <c r="K2350" t="n">
        <v>0</v>
      </c>
      <c r="L2350" t="n">
        <v>0</v>
      </c>
      <c r="M2350" t="n">
        <v>0</v>
      </c>
      <c r="N2350" t="n">
        <v>0</v>
      </c>
      <c r="O2350" t="n">
        <v>0</v>
      </c>
      <c r="P2350" t="n">
        <v>0</v>
      </c>
      <c r="Q2350" t="n">
        <v>0</v>
      </c>
      <c r="R2350" s="2" t="inlineStr"/>
    </row>
    <row r="2351" ht="15" customHeight="1">
      <c r="A2351" t="inlineStr">
        <is>
          <t>A 5421-2024</t>
        </is>
      </c>
      <c r="B2351" s="1" t="n">
        <v>45331</v>
      </c>
      <c r="C2351" s="1" t="n">
        <v>45845</v>
      </c>
      <c r="D2351" t="inlineStr">
        <is>
          <t>VÄSTERNORRLANDS LÄN</t>
        </is>
      </c>
      <c r="E2351" t="inlineStr">
        <is>
          <t>SUNDSVALL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5381-2024</t>
        </is>
      </c>
      <c r="B2352" s="1" t="n">
        <v>45331</v>
      </c>
      <c r="C2352" s="1" t="n">
        <v>45845</v>
      </c>
      <c r="D2352" t="inlineStr">
        <is>
          <t>VÄSTERNORRLANDS LÄN</t>
        </is>
      </c>
      <c r="E2352" t="inlineStr">
        <is>
          <t>SUNDSVALL</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5418-2024</t>
        </is>
      </c>
      <c r="B2353" s="1" t="n">
        <v>45331</v>
      </c>
      <c r="C2353" s="1" t="n">
        <v>45845</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5316-2024</t>
        </is>
      </c>
      <c r="B2354" s="1" t="n">
        <v>45331</v>
      </c>
      <c r="C2354" s="1" t="n">
        <v>45845</v>
      </c>
      <c r="D2354" t="inlineStr">
        <is>
          <t>VÄSTERNORRLANDS LÄN</t>
        </is>
      </c>
      <c r="E2354" t="inlineStr">
        <is>
          <t>SUNDSVALL</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5422-2024</t>
        </is>
      </c>
      <c r="B2355" s="1" t="n">
        <v>45331</v>
      </c>
      <c r="C2355" s="1" t="n">
        <v>45845</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5728-2024</t>
        </is>
      </c>
      <c r="B2356" s="1" t="n">
        <v>45334</v>
      </c>
      <c r="C2356" s="1" t="n">
        <v>45845</v>
      </c>
      <c r="D2356" t="inlineStr">
        <is>
          <t>VÄSTERNORRLANDS LÄN</t>
        </is>
      </c>
      <c r="E2356" t="inlineStr">
        <is>
          <t>SUNDSVALL</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5721-2024</t>
        </is>
      </c>
      <c r="B2357" s="1" t="n">
        <v>45334</v>
      </c>
      <c r="C2357" s="1" t="n">
        <v>45845</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5738-2024</t>
        </is>
      </c>
      <c r="B2358" s="1" t="n">
        <v>45334</v>
      </c>
      <c r="C2358" s="1" t="n">
        <v>45845</v>
      </c>
      <c r="D2358" t="inlineStr">
        <is>
          <t>VÄSTERNORRLANDS LÄN</t>
        </is>
      </c>
      <c r="E2358" t="inlineStr">
        <is>
          <t>SUNDSVALL</t>
        </is>
      </c>
      <c r="F2358" t="inlineStr">
        <is>
          <t>Naturvårdsverket</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5765-2024</t>
        </is>
      </c>
      <c r="B2359" s="1" t="n">
        <v>45335</v>
      </c>
      <c r="C2359" s="1" t="n">
        <v>45845</v>
      </c>
      <c r="D2359" t="inlineStr">
        <is>
          <t>VÄSTERNORRLANDS LÄN</t>
        </is>
      </c>
      <c r="E2359" t="inlineStr">
        <is>
          <t>SUNDSVALL</t>
        </is>
      </c>
      <c r="G2359" t="n">
        <v>20.9</v>
      </c>
      <c r="H2359" t="n">
        <v>0</v>
      </c>
      <c r="I2359" t="n">
        <v>0</v>
      </c>
      <c r="J2359" t="n">
        <v>0</v>
      </c>
      <c r="K2359" t="n">
        <v>0</v>
      </c>
      <c r="L2359" t="n">
        <v>0</v>
      </c>
      <c r="M2359" t="n">
        <v>0</v>
      </c>
      <c r="N2359" t="n">
        <v>0</v>
      </c>
      <c r="O2359" t="n">
        <v>0</v>
      </c>
      <c r="P2359" t="n">
        <v>0</v>
      </c>
      <c r="Q2359" t="n">
        <v>0</v>
      </c>
      <c r="R2359" s="2" t="inlineStr"/>
    </row>
    <row r="2360" ht="15" customHeight="1">
      <c r="A2360" t="inlineStr">
        <is>
          <t>A 5754-2024</t>
        </is>
      </c>
      <c r="B2360" s="1" t="n">
        <v>45335</v>
      </c>
      <c r="C2360" s="1" t="n">
        <v>45845</v>
      </c>
      <c r="D2360" t="inlineStr">
        <is>
          <t>VÄSTERNORRLANDS LÄN</t>
        </is>
      </c>
      <c r="E2360" t="inlineStr">
        <is>
          <t>SUNDSVALL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5918-2024</t>
        </is>
      </c>
      <c r="B2361" s="1" t="n">
        <v>45335</v>
      </c>
      <c r="C2361" s="1" t="n">
        <v>45845</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6082-2024</t>
        </is>
      </c>
      <c r="B2362" s="1" t="n">
        <v>45336</v>
      </c>
      <c r="C2362" s="1" t="n">
        <v>45845</v>
      </c>
      <c r="D2362" t="inlineStr">
        <is>
          <t>VÄSTERNORRLANDS LÄN</t>
        </is>
      </c>
      <c r="E2362" t="inlineStr">
        <is>
          <t>SUNDSVALL</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6270-2024</t>
        </is>
      </c>
      <c r="B2363" s="1" t="n">
        <v>45337</v>
      </c>
      <c r="C2363" s="1" t="n">
        <v>45845</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6269-2024</t>
        </is>
      </c>
      <c r="B2364" s="1" t="n">
        <v>45337</v>
      </c>
      <c r="C2364" s="1" t="n">
        <v>45845</v>
      </c>
      <c r="D2364" t="inlineStr">
        <is>
          <t>VÄSTERNORRLANDS LÄN</t>
        </is>
      </c>
      <c r="E2364" t="inlineStr">
        <is>
          <t>SUNDSVALL</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6468-2024</t>
        </is>
      </c>
      <c r="B2365" s="1" t="n">
        <v>45338</v>
      </c>
      <c r="C2365" s="1" t="n">
        <v>45845</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6699-2024</t>
        </is>
      </c>
      <c r="B2366" s="1" t="n">
        <v>45341</v>
      </c>
      <c r="C2366" s="1" t="n">
        <v>45845</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6908-2024</t>
        </is>
      </c>
      <c r="B2367" s="1" t="n">
        <v>45342</v>
      </c>
      <c r="C2367" s="1" t="n">
        <v>45845</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6922-2024</t>
        </is>
      </c>
      <c r="B2368" s="1" t="n">
        <v>45343</v>
      </c>
      <c r="C2368" s="1" t="n">
        <v>45845</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6933-2024</t>
        </is>
      </c>
      <c r="B2369" s="1" t="n">
        <v>45343</v>
      </c>
      <c r="C2369" s="1" t="n">
        <v>45845</v>
      </c>
      <c r="D2369" t="inlineStr">
        <is>
          <t>VÄSTERNORRLANDS LÄN</t>
        </is>
      </c>
      <c r="E2369" t="inlineStr">
        <is>
          <t>SUNDSVALL</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6996-2024</t>
        </is>
      </c>
      <c r="B2370" s="1" t="n">
        <v>45343</v>
      </c>
      <c r="C2370" s="1" t="n">
        <v>45845</v>
      </c>
      <c r="D2370" t="inlineStr">
        <is>
          <t>VÄSTERNORRLANDS LÄN</t>
        </is>
      </c>
      <c r="E2370" t="inlineStr">
        <is>
          <t>SUNDSVALL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7005-2024</t>
        </is>
      </c>
      <c r="B2371" s="1" t="n">
        <v>45343</v>
      </c>
      <c r="C2371" s="1" t="n">
        <v>45845</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7149-2024</t>
        </is>
      </c>
      <c r="B2372" s="1" t="n">
        <v>45344</v>
      </c>
      <c r="C2372" s="1" t="n">
        <v>45845</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45845</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7245-2024</t>
        </is>
      </c>
      <c r="B2374" s="1" t="n">
        <v>45344</v>
      </c>
      <c r="C2374" s="1" t="n">
        <v>45845</v>
      </c>
      <c r="D2374" t="inlineStr">
        <is>
          <t>VÄSTERNORRLANDS LÄN</t>
        </is>
      </c>
      <c r="E2374" t="inlineStr">
        <is>
          <t>SUNDSVALL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7290-2024</t>
        </is>
      </c>
      <c r="B2375" s="1" t="n">
        <v>45344</v>
      </c>
      <c r="C2375" s="1" t="n">
        <v>45845</v>
      </c>
      <c r="D2375" t="inlineStr">
        <is>
          <t>VÄSTERNORRLANDS LÄN</t>
        </is>
      </c>
      <c r="E2375" t="inlineStr">
        <is>
          <t>SUNDSVALL</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7220-2024</t>
        </is>
      </c>
      <c r="B2376" s="1" t="n">
        <v>45344</v>
      </c>
      <c r="C2376" s="1" t="n">
        <v>45845</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7240-2024</t>
        </is>
      </c>
      <c r="B2377" s="1" t="n">
        <v>45344</v>
      </c>
      <c r="C2377" s="1" t="n">
        <v>45845</v>
      </c>
      <c r="D2377" t="inlineStr">
        <is>
          <t>VÄSTERNORRLANDS LÄN</t>
        </is>
      </c>
      <c r="E2377" t="inlineStr">
        <is>
          <t>SUNDSVALL</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7469-2024</t>
        </is>
      </c>
      <c r="B2378" s="1" t="n">
        <v>45345</v>
      </c>
      <c r="C2378" s="1" t="n">
        <v>45845</v>
      </c>
      <c r="D2378" t="inlineStr">
        <is>
          <t>VÄSTERNORRLANDS LÄN</t>
        </is>
      </c>
      <c r="E2378" t="inlineStr">
        <is>
          <t>SUNDSVALL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7412-2024</t>
        </is>
      </c>
      <c r="B2379" s="1" t="n">
        <v>45345</v>
      </c>
      <c r="C2379" s="1" t="n">
        <v>45845</v>
      </c>
      <c r="D2379" t="inlineStr">
        <is>
          <t>VÄSTERNORRLANDS LÄN</t>
        </is>
      </c>
      <c r="E2379" t="inlineStr">
        <is>
          <t>SUNDSVALL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7404-2024</t>
        </is>
      </c>
      <c r="B2380" s="1" t="n">
        <v>45345</v>
      </c>
      <c r="C2380" s="1" t="n">
        <v>45845</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7384-2024</t>
        </is>
      </c>
      <c r="B2381" s="1" t="n">
        <v>45345</v>
      </c>
      <c r="C2381" s="1" t="n">
        <v>45845</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7471-2024</t>
        </is>
      </c>
      <c r="B2382" s="1" t="n">
        <v>45345</v>
      </c>
      <c r="C2382" s="1" t="n">
        <v>45845</v>
      </c>
      <c r="D2382" t="inlineStr">
        <is>
          <t>VÄSTERNORRLANDS LÄN</t>
        </is>
      </c>
      <c r="E2382" t="inlineStr">
        <is>
          <t>SUNDSVALL</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7472-2024</t>
        </is>
      </c>
      <c r="B2383" s="1" t="n">
        <v>45345</v>
      </c>
      <c r="C2383" s="1" t="n">
        <v>45845</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7470-2024</t>
        </is>
      </c>
      <c r="B2384" s="1" t="n">
        <v>45345</v>
      </c>
      <c r="C2384" s="1" t="n">
        <v>45845</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7365-2024</t>
        </is>
      </c>
      <c r="B2385" s="1" t="n">
        <v>45345</v>
      </c>
      <c r="C2385" s="1" t="n">
        <v>45845</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7760-2024</t>
        </is>
      </c>
      <c r="B2386" s="1" t="n">
        <v>45348</v>
      </c>
      <c r="C2386" s="1" t="n">
        <v>45845</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7689-2024</t>
        </is>
      </c>
      <c r="B2387" s="1" t="n">
        <v>45349</v>
      </c>
      <c r="C2387" s="1" t="n">
        <v>45845</v>
      </c>
      <c r="D2387" t="inlineStr">
        <is>
          <t>VÄSTERNORRLANDS LÄN</t>
        </is>
      </c>
      <c r="E2387" t="inlineStr">
        <is>
          <t>SUNDSVALL</t>
        </is>
      </c>
      <c r="F2387" t="inlineStr">
        <is>
          <t>SCA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7849-2024</t>
        </is>
      </c>
      <c r="B2388" s="1" t="n">
        <v>45350</v>
      </c>
      <c r="C2388" s="1" t="n">
        <v>45845</v>
      </c>
      <c r="D2388" t="inlineStr">
        <is>
          <t>VÄSTERNORRLANDS LÄN</t>
        </is>
      </c>
      <c r="E2388" t="inlineStr">
        <is>
          <t>SUNDSVALL</t>
        </is>
      </c>
      <c r="F2388" t="inlineStr">
        <is>
          <t>SCA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8230-2024</t>
        </is>
      </c>
      <c r="B2389" s="1" t="n">
        <v>45351</v>
      </c>
      <c r="C2389" s="1" t="n">
        <v>45845</v>
      </c>
      <c r="D2389" t="inlineStr">
        <is>
          <t>VÄSTERNORRLANDS LÄN</t>
        </is>
      </c>
      <c r="E2389" t="inlineStr">
        <is>
          <t>SUNDSVALL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8518-2024</t>
        </is>
      </c>
      <c r="B2390" s="1" t="n">
        <v>45351</v>
      </c>
      <c r="C2390" s="1" t="n">
        <v>45845</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8231-2024</t>
        </is>
      </c>
      <c r="B2391" s="1" t="n">
        <v>45351</v>
      </c>
      <c r="C2391" s="1" t="n">
        <v>45845</v>
      </c>
      <c r="D2391" t="inlineStr">
        <is>
          <t>VÄSTERNORRLANDS LÄN</t>
        </is>
      </c>
      <c r="E2391" t="inlineStr">
        <is>
          <t>SUNDSVALL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8520-2024</t>
        </is>
      </c>
      <c r="B2392" s="1" t="n">
        <v>45351</v>
      </c>
      <c r="C2392" s="1" t="n">
        <v>45845</v>
      </c>
      <c r="D2392" t="inlineStr">
        <is>
          <t>VÄSTERNORRLANDS LÄN</t>
        </is>
      </c>
      <c r="E2392" t="inlineStr">
        <is>
          <t>SUNDSVALL</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8418-2024</t>
        </is>
      </c>
      <c r="B2393" s="1" t="n">
        <v>45353</v>
      </c>
      <c r="C2393" s="1" t="n">
        <v>45845</v>
      </c>
      <c r="D2393" t="inlineStr">
        <is>
          <t>VÄSTERNORRLANDS LÄN</t>
        </is>
      </c>
      <c r="E2393" t="inlineStr">
        <is>
          <t>SUNDSVALL</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8422-2024</t>
        </is>
      </c>
      <c r="B2394" s="1" t="n">
        <v>45353</v>
      </c>
      <c r="C2394" s="1" t="n">
        <v>45845</v>
      </c>
      <c r="D2394" t="inlineStr">
        <is>
          <t>VÄSTERNORRLANDS LÄN</t>
        </is>
      </c>
      <c r="E2394" t="inlineStr">
        <is>
          <t>SUNDSVALL</t>
        </is>
      </c>
      <c r="F2394" t="inlineStr">
        <is>
          <t>SCA</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8423-2024</t>
        </is>
      </c>
      <c r="B2395" s="1" t="n">
        <v>45353</v>
      </c>
      <c r="C2395" s="1" t="n">
        <v>45845</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8417-2024</t>
        </is>
      </c>
      <c r="B2396" s="1" t="n">
        <v>45352</v>
      </c>
      <c r="C2396" s="1" t="n">
        <v>45845</v>
      </c>
      <c r="D2396" t="inlineStr">
        <is>
          <t>VÄSTERNORRLANDS LÄN</t>
        </is>
      </c>
      <c r="E2396" t="inlineStr">
        <is>
          <t>SUNDSVALL</t>
        </is>
      </c>
      <c r="F2396" t="inlineStr">
        <is>
          <t>SCA</t>
        </is>
      </c>
      <c r="G2396" t="n">
        <v>49.5</v>
      </c>
      <c r="H2396" t="n">
        <v>0</v>
      </c>
      <c r="I2396" t="n">
        <v>0</v>
      </c>
      <c r="J2396" t="n">
        <v>0</v>
      </c>
      <c r="K2396" t="n">
        <v>0</v>
      </c>
      <c r="L2396" t="n">
        <v>0</v>
      </c>
      <c r="M2396" t="n">
        <v>0</v>
      </c>
      <c r="N2396" t="n">
        <v>0</v>
      </c>
      <c r="O2396" t="n">
        <v>0</v>
      </c>
      <c r="P2396" t="n">
        <v>0</v>
      </c>
      <c r="Q2396" t="n">
        <v>0</v>
      </c>
      <c r="R2396" s="2" t="inlineStr"/>
    </row>
    <row r="2397" ht="15" customHeight="1">
      <c r="A2397" t="inlineStr">
        <is>
          <t>A 8491-2024</t>
        </is>
      </c>
      <c r="B2397" s="1" t="n">
        <v>45355</v>
      </c>
      <c r="C2397" s="1" t="n">
        <v>45845</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8645-2024</t>
        </is>
      </c>
      <c r="B2398" s="1" t="n">
        <v>45356</v>
      </c>
      <c r="C2398" s="1" t="n">
        <v>45845</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8649-2024</t>
        </is>
      </c>
      <c r="B2399" s="1" t="n">
        <v>45356</v>
      </c>
      <c r="C2399" s="1" t="n">
        <v>45845</v>
      </c>
      <c r="D2399" t="inlineStr">
        <is>
          <t>VÄSTERNORRLANDS LÄN</t>
        </is>
      </c>
      <c r="E2399" t="inlineStr">
        <is>
          <t>SUNDSVALL</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8888-2024</t>
        </is>
      </c>
      <c r="B2400" s="1" t="n">
        <v>45357</v>
      </c>
      <c r="C2400" s="1" t="n">
        <v>45845</v>
      </c>
      <c r="D2400" t="inlineStr">
        <is>
          <t>VÄSTERNORRLANDS LÄN</t>
        </is>
      </c>
      <c r="E2400" t="inlineStr">
        <is>
          <t>SUNDSVALL</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8945-2024</t>
        </is>
      </c>
      <c r="B2401" s="1" t="n">
        <v>45357</v>
      </c>
      <c r="C2401" s="1" t="n">
        <v>45845</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8962-2024</t>
        </is>
      </c>
      <c r="B2402" s="1" t="n">
        <v>45357</v>
      </c>
      <c r="C2402" s="1" t="n">
        <v>45845</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9113-2024</t>
        </is>
      </c>
      <c r="B2403" s="1" t="n">
        <v>45357</v>
      </c>
      <c r="C2403" s="1" t="n">
        <v>45845</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9310-2024</t>
        </is>
      </c>
      <c r="B2404" s="1" t="n">
        <v>45358</v>
      </c>
      <c r="C2404" s="1" t="n">
        <v>45845</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9335-2024</t>
        </is>
      </c>
      <c r="B2405" s="1" t="n">
        <v>45359</v>
      </c>
      <c r="C2405" s="1" t="n">
        <v>45845</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9334-2024</t>
        </is>
      </c>
      <c r="B2406" s="1" t="n">
        <v>45358</v>
      </c>
      <c r="C2406" s="1" t="n">
        <v>45845</v>
      </c>
      <c r="D2406" t="inlineStr">
        <is>
          <t>VÄSTERNORRLANDS LÄN</t>
        </is>
      </c>
      <c r="E2406" t="inlineStr">
        <is>
          <t>SUNDSVALL</t>
        </is>
      </c>
      <c r="F2406" t="inlineStr">
        <is>
          <t>SCA</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9333-2024</t>
        </is>
      </c>
      <c r="B2407" s="1" t="n">
        <v>45359</v>
      </c>
      <c r="C2407" s="1" t="n">
        <v>45845</v>
      </c>
      <c r="D2407" t="inlineStr">
        <is>
          <t>VÄSTERNORRLANDS LÄN</t>
        </is>
      </c>
      <c r="E2407" t="inlineStr">
        <is>
          <t>SUNDSVALL</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9337-2024</t>
        </is>
      </c>
      <c r="B2408" s="1" t="n">
        <v>45358</v>
      </c>
      <c r="C2408" s="1" t="n">
        <v>45845</v>
      </c>
      <c r="D2408" t="inlineStr">
        <is>
          <t>VÄSTERNORRLANDS LÄN</t>
        </is>
      </c>
      <c r="E2408" t="inlineStr">
        <is>
          <t>SUNDSVALL</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9336-2024</t>
        </is>
      </c>
      <c r="B2409" s="1" t="n">
        <v>45358</v>
      </c>
      <c r="C2409" s="1" t="n">
        <v>45845</v>
      </c>
      <c r="D2409" t="inlineStr">
        <is>
          <t>VÄSTERNORRLANDS LÄN</t>
        </is>
      </c>
      <c r="E2409" t="inlineStr">
        <is>
          <t>SUNDSVALL</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9435-2024</t>
        </is>
      </c>
      <c r="B2410" s="1" t="n">
        <v>45359</v>
      </c>
      <c r="C2410" s="1" t="n">
        <v>45845</v>
      </c>
      <c r="D2410" t="inlineStr">
        <is>
          <t>VÄSTERNORRLANDS LÄN</t>
        </is>
      </c>
      <c r="E2410" t="inlineStr">
        <is>
          <t>SUNDSVALL</t>
        </is>
      </c>
      <c r="F2410" t="inlineStr">
        <is>
          <t>Holmen skog AB</t>
        </is>
      </c>
      <c r="G2410" t="n">
        <v>24.7</v>
      </c>
      <c r="H2410" t="n">
        <v>0</v>
      </c>
      <c r="I2410" t="n">
        <v>0</v>
      </c>
      <c r="J2410" t="n">
        <v>0</v>
      </c>
      <c r="K2410" t="n">
        <v>0</v>
      </c>
      <c r="L2410" t="n">
        <v>0</v>
      </c>
      <c r="M2410" t="n">
        <v>0</v>
      </c>
      <c r="N2410" t="n">
        <v>0</v>
      </c>
      <c r="O2410" t="n">
        <v>0</v>
      </c>
      <c r="P2410" t="n">
        <v>0</v>
      </c>
      <c r="Q2410" t="n">
        <v>0</v>
      </c>
      <c r="R2410" s="2" t="inlineStr"/>
    </row>
    <row r="2411" ht="15" customHeight="1">
      <c r="A2411" t="inlineStr">
        <is>
          <t>A 9564-2024</t>
        </is>
      </c>
      <c r="B2411" s="1" t="n">
        <v>45360</v>
      </c>
      <c r="C2411" s="1" t="n">
        <v>45845</v>
      </c>
      <c r="D2411" t="inlineStr">
        <is>
          <t>VÄSTERNORRLANDS LÄN</t>
        </is>
      </c>
      <c r="E2411" t="inlineStr">
        <is>
          <t>SUNDSVALL</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9561-2024</t>
        </is>
      </c>
      <c r="B2412" s="1" t="n">
        <v>45360</v>
      </c>
      <c r="C2412" s="1" t="n">
        <v>45845</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9562-2024</t>
        </is>
      </c>
      <c r="B2413" s="1" t="n">
        <v>45360</v>
      </c>
      <c r="C2413" s="1" t="n">
        <v>45845</v>
      </c>
      <c r="D2413" t="inlineStr">
        <is>
          <t>VÄSTERNORRLANDS LÄN</t>
        </is>
      </c>
      <c r="E2413" t="inlineStr">
        <is>
          <t>SUNDSVALL</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9795-2024</t>
        </is>
      </c>
      <c r="B2414" s="1" t="n">
        <v>45362</v>
      </c>
      <c r="C2414" s="1" t="n">
        <v>45845</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10200-2024</t>
        </is>
      </c>
      <c r="B2415" s="1" t="n">
        <v>45364</v>
      </c>
      <c r="C2415" s="1" t="n">
        <v>45845</v>
      </c>
      <c r="D2415" t="inlineStr">
        <is>
          <t>VÄSTERNORRLANDS LÄN</t>
        </is>
      </c>
      <c r="E2415" t="inlineStr">
        <is>
          <t>SUNDSVALL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10201-2024</t>
        </is>
      </c>
      <c r="B2416" s="1" t="n">
        <v>45364</v>
      </c>
      <c r="C2416" s="1" t="n">
        <v>45845</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10492-2024</t>
        </is>
      </c>
      <c r="B2417" s="1" t="n">
        <v>45366</v>
      </c>
      <c r="C2417" s="1" t="n">
        <v>45845</v>
      </c>
      <c r="D2417" t="inlineStr">
        <is>
          <t>VÄSTERNORRLANDS LÄN</t>
        </is>
      </c>
      <c r="E2417" t="inlineStr">
        <is>
          <t>SUNDSVALL</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10557-2024</t>
        </is>
      </c>
      <c r="B2418" s="1" t="n">
        <v>45366</v>
      </c>
      <c r="C2418" s="1" t="n">
        <v>45845</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10620-2024</t>
        </is>
      </c>
      <c r="B2419" s="1" t="n">
        <v>45367</v>
      </c>
      <c r="C2419" s="1" t="n">
        <v>45845</v>
      </c>
      <c r="D2419" t="inlineStr">
        <is>
          <t>VÄSTERNORRLANDS LÄN</t>
        </is>
      </c>
      <c r="E2419" t="inlineStr">
        <is>
          <t>SUNDSVALL</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10629-2024</t>
        </is>
      </c>
      <c r="B2420" s="1" t="n">
        <v>45367</v>
      </c>
      <c r="C2420" s="1" t="n">
        <v>45845</v>
      </c>
      <c r="D2420" t="inlineStr">
        <is>
          <t>VÄSTERNORRLANDS LÄN</t>
        </is>
      </c>
      <c r="E2420" t="inlineStr">
        <is>
          <t>SUNDSVALL</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10851-2024</t>
        </is>
      </c>
      <c r="B2421" s="1" t="n">
        <v>45370</v>
      </c>
      <c r="C2421" s="1" t="n">
        <v>45845</v>
      </c>
      <c r="D2421" t="inlineStr">
        <is>
          <t>VÄSTERNORRLANDS LÄN</t>
        </is>
      </c>
      <c r="E2421" t="inlineStr">
        <is>
          <t>SUNDSVALL</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10866-2024</t>
        </is>
      </c>
      <c r="B2422" s="1" t="n">
        <v>45370</v>
      </c>
      <c r="C2422" s="1" t="n">
        <v>45845</v>
      </c>
      <c r="D2422" t="inlineStr">
        <is>
          <t>VÄSTERNORRLANDS LÄN</t>
        </is>
      </c>
      <c r="E2422" t="inlineStr">
        <is>
          <t>SUNDSVALL</t>
        </is>
      </c>
      <c r="F2422" t="inlineStr">
        <is>
          <t>Naturvårdsverket</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10874-2024</t>
        </is>
      </c>
      <c r="B2423" s="1" t="n">
        <v>45370</v>
      </c>
      <c r="C2423" s="1" t="n">
        <v>45845</v>
      </c>
      <c r="D2423" t="inlineStr">
        <is>
          <t>VÄSTERNORRLANDS LÄN</t>
        </is>
      </c>
      <c r="E2423" t="inlineStr">
        <is>
          <t>SUNDSVALL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10868-2024</t>
        </is>
      </c>
      <c r="B2424" s="1" t="n">
        <v>45370</v>
      </c>
      <c r="C2424" s="1" t="n">
        <v>45845</v>
      </c>
      <c r="D2424" t="inlineStr">
        <is>
          <t>VÄSTERNORRLANDS LÄN</t>
        </is>
      </c>
      <c r="E2424" t="inlineStr">
        <is>
          <t>SUNDSVALL</t>
        </is>
      </c>
      <c r="F2424" t="inlineStr">
        <is>
          <t>Naturvårdsverket</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10945-2024</t>
        </is>
      </c>
      <c r="B2425" s="1" t="n">
        <v>45370</v>
      </c>
      <c r="C2425" s="1" t="n">
        <v>45845</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11390-2024</t>
        </is>
      </c>
      <c r="B2426" s="1" t="n">
        <v>45372</v>
      </c>
      <c r="C2426" s="1" t="n">
        <v>45845</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11414-2024</t>
        </is>
      </c>
      <c r="B2427" s="1" t="n">
        <v>45372</v>
      </c>
      <c r="C2427" s="1" t="n">
        <v>45845</v>
      </c>
      <c r="D2427" t="inlineStr">
        <is>
          <t>VÄSTERNORRLANDS LÄN</t>
        </is>
      </c>
      <c r="E2427" t="inlineStr">
        <is>
          <t>SUNDSVALL</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11549-2024</t>
        </is>
      </c>
      <c r="B2428" s="1" t="n">
        <v>45372</v>
      </c>
      <c r="C2428" s="1" t="n">
        <v>45845</v>
      </c>
      <c r="D2428" t="inlineStr">
        <is>
          <t>VÄSTERNORRLANDS LÄN</t>
        </is>
      </c>
      <c r="E2428" t="inlineStr">
        <is>
          <t>SUNDSVALL</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11761-2024</t>
        </is>
      </c>
      <c r="B2429" s="1" t="n">
        <v>45373</v>
      </c>
      <c r="C2429" s="1" t="n">
        <v>45845</v>
      </c>
      <c r="D2429" t="inlineStr">
        <is>
          <t>VÄSTERNORRLANDS LÄN</t>
        </is>
      </c>
      <c r="E2429" t="inlineStr">
        <is>
          <t>SUNDSVALL</t>
        </is>
      </c>
      <c r="F2429" t="inlineStr">
        <is>
          <t>Naturvårdsverket</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11701-2024</t>
        </is>
      </c>
      <c r="B2430" s="1" t="n">
        <v>45373</v>
      </c>
      <c r="C2430" s="1" t="n">
        <v>45845</v>
      </c>
      <c r="D2430" t="inlineStr">
        <is>
          <t>VÄSTERNORRLANDS LÄN</t>
        </is>
      </c>
      <c r="E2430" t="inlineStr">
        <is>
          <t>SUNDSVALL</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11760-2024</t>
        </is>
      </c>
      <c r="B2431" s="1" t="n">
        <v>45373</v>
      </c>
      <c r="C2431" s="1" t="n">
        <v>45845</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11756-2024</t>
        </is>
      </c>
      <c r="B2432" s="1" t="n">
        <v>45373</v>
      </c>
      <c r="C2432" s="1" t="n">
        <v>45845</v>
      </c>
      <c r="D2432" t="inlineStr">
        <is>
          <t>VÄSTERNORRLANDS LÄN</t>
        </is>
      </c>
      <c r="E2432" t="inlineStr">
        <is>
          <t>SUNDSVALL</t>
        </is>
      </c>
      <c r="F2432" t="inlineStr">
        <is>
          <t>Naturvårdsverket</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11685-2024</t>
        </is>
      </c>
      <c r="B2433" s="1" t="n">
        <v>45373</v>
      </c>
      <c r="C2433" s="1" t="n">
        <v>45845</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11682-2024</t>
        </is>
      </c>
      <c r="B2434" s="1" t="n">
        <v>45373</v>
      </c>
      <c r="C2434" s="1" t="n">
        <v>45845</v>
      </c>
      <c r="D2434" t="inlineStr">
        <is>
          <t>VÄSTERNORRLANDS LÄN</t>
        </is>
      </c>
      <c r="E2434" t="inlineStr">
        <is>
          <t>SUNDSVALL</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11879-2024</t>
        </is>
      </c>
      <c r="B2435" s="1" t="n">
        <v>45376</v>
      </c>
      <c r="C2435" s="1" t="n">
        <v>45845</v>
      </c>
      <c r="D2435" t="inlineStr">
        <is>
          <t>VÄSTERNORRLANDS LÄN</t>
        </is>
      </c>
      <c r="E2435" t="inlineStr">
        <is>
          <t>SUNDSVALL</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11977-2024</t>
        </is>
      </c>
      <c r="B2436" s="1" t="n">
        <v>45376</v>
      </c>
      <c r="C2436" s="1" t="n">
        <v>45845</v>
      </c>
      <c r="D2436" t="inlineStr">
        <is>
          <t>VÄSTERNORRLANDS LÄN</t>
        </is>
      </c>
      <c r="E2436" t="inlineStr">
        <is>
          <t>SUNDSVALL</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11981-2024</t>
        </is>
      </c>
      <c r="B2437" s="1" t="n">
        <v>45376</v>
      </c>
      <c r="C2437" s="1" t="n">
        <v>45845</v>
      </c>
      <c r="D2437" t="inlineStr">
        <is>
          <t>VÄSTERNORRLANDS LÄN</t>
        </is>
      </c>
      <c r="E2437" t="inlineStr">
        <is>
          <t>SUNDSVALL</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11989-2024</t>
        </is>
      </c>
      <c r="B2438" s="1" t="n">
        <v>45376</v>
      </c>
      <c r="C2438" s="1" t="n">
        <v>45845</v>
      </c>
      <c r="D2438" t="inlineStr">
        <is>
          <t>VÄSTERNORRLANDS LÄN</t>
        </is>
      </c>
      <c r="E2438" t="inlineStr">
        <is>
          <t>SUNDSVALL</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11983-2024</t>
        </is>
      </c>
      <c r="B2439" s="1" t="n">
        <v>45376</v>
      </c>
      <c r="C2439" s="1" t="n">
        <v>45845</v>
      </c>
      <c r="D2439" t="inlineStr">
        <is>
          <t>VÄSTERNORRLANDS LÄN</t>
        </is>
      </c>
      <c r="E2439" t="inlineStr">
        <is>
          <t>SUNDSVALL</t>
        </is>
      </c>
      <c r="F2439" t="inlineStr">
        <is>
          <t>SCA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11980-2024</t>
        </is>
      </c>
      <c r="B2440" s="1" t="n">
        <v>45376</v>
      </c>
      <c r="C2440" s="1" t="n">
        <v>45845</v>
      </c>
      <c r="D2440" t="inlineStr">
        <is>
          <t>VÄSTERNORRLANDS LÄN</t>
        </is>
      </c>
      <c r="E2440" t="inlineStr">
        <is>
          <t>SUNDSVALL</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11994-2024</t>
        </is>
      </c>
      <c r="B2441" s="1" t="n">
        <v>45376</v>
      </c>
      <c r="C2441" s="1" t="n">
        <v>45845</v>
      </c>
      <c r="D2441" t="inlineStr">
        <is>
          <t>VÄSTERNORRLANDS LÄN</t>
        </is>
      </c>
      <c r="E2441" t="inlineStr">
        <is>
          <t>SUNDSVALL</t>
        </is>
      </c>
      <c r="F2441" t="inlineStr">
        <is>
          <t>SCA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12101-2024</t>
        </is>
      </c>
      <c r="B2442" s="1" t="n">
        <v>45376</v>
      </c>
      <c r="C2442" s="1" t="n">
        <v>45845</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12310-2024</t>
        </is>
      </c>
      <c r="B2443" s="1" t="n">
        <v>45377</v>
      </c>
      <c r="C2443" s="1" t="n">
        <v>45845</v>
      </c>
      <c r="D2443" t="inlineStr">
        <is>
          <t>VÄSTERNORRLANDS LÄN</t>
        </is>
      </c>
      <c r="E2443" t="inlineStr">
        <is>
          <t>SUNDSVALL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12194-2024</t>
        </is>
      </c>
      <c r="B2444" s="1" t="n">
        <v>45377</v>
      </c>
      <c r="C2444" s="1" t="n">
        <v>45845</v>
      </c>
      <c r="D2444" t="inlineStr">
        <is>
          <t>VÄSTERNORRLANDS LÄN</t>
        </is>
      </c>
      <c r="E2444" t="inlineStr">
        <is>
          <t>SUNDSVALL</t>
        </is>
      </c>
      <c r="F2444" t="inlineStr">
        <is>
          <t>SCA</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12200-2024</t>
        </is>
      </c>
      <c r="B2445" s="1" t="n">
        <v>45377</v>
      </c>
      <c r="C2445" s="1" t="n">
        <v>45845</v>
      </c>
      <c r="D2445" t="inlineStr">
        <is>
          <t>VÄSTERNORRLANDS LÄN</t>
        </is>
      </c>
      <c r="E2445" t="inlineStr">
        <is>
          <t>SUNDSVALL</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12365-2024</t>
        </is>
      </c>
      <c r="B2446" s="1" t="n">
        <v>45378</v>
      </c>
      <c r="C2446" s="1" t="n">
        <v>45845</v>
      </c>
      <c r="D2446" t="inlineStr">
        <is>
          <t>VÄSTERNORRLANDS LÄN</t>
        </is>
      </c>
      <c r="E2446" t="inlineStr">
        <is>
          <t>SUNDSVALL</t>
        </is>
      </c>
      <c r="F2446" t="inlineStr">
        <is>
          <t>SCA</t>
        </is>
      </c>
      <c r="G2446" t="n">
        <v>18.3</v>
      </c>
      <c r="H2446" t="n">
        <v>0</v>
      </c>
      <c r="I2446" t="n">
        <v>0</v>
      </c>
      <c r="J2446" t="n">
        <v>0</v>
      </c>
      <c r="K2446" t="n">
        <v>0</v>
      </c>
      <c r="L2446" t="n">
        <v>0</v>
      </c>
      <c r="M2446" t="n">
        <v>0</v>
      </c>
      <c r="N2446" t="n">
        <v>0</v>
      </c>
      <c r="O2446" t="n">
        <v>0</v>
      </c>
      <c r="P2446" t="n">
        <v>0</v>
      </c>
      <c r="Q2446" t="n">
        <v>0</v>
      </c>
      <c r="R2446" s="2" t="inlineStr"/>
    </row>
    <row r="2447" ht="15" customHeight="1">
      <c r="A2447" t="inlineStr">
        <is>
          <t>A 12438-2024</t>
        </is>
      </c>
      <c r="B2447" s="1" t="n">
        <v>45378</v>
      </c>
      <c r="C2447" s="1" t="n">
        <v>45845</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12367-2024</t>
        </is>
      </c>
      <c r="B2448" s="1" t="n">
        <v>45378</v>
      </c>
      <c r="C2448" s="1" t="n">
        <v>45845</v>
      </c>
      <c r="D2448" t="inlineStr">
        <is>
          <t>VÄSTERNORRLANDS LÄN</t>
        </is>
      </c>
      <c r="E2448" t="inlineStr">
        <is>
          <t>SUNDSVALL</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12366-2024</t>
        </is>
      </c>
      <c r="B2449" s="1" t="n">
        <v>45378</v>
      </c>
      <c r="C2449" s="1" t="n">
        <v>45845</v>
      </c>
      <c r="D2449" t="inlineStr">
        <is>
          <t>VÄSTERNORRLANDS LÄN</t>
        </is>
      </c>
      <c r="E2449" t="inlineStr">
        <is>
          <t>SUNDSVALL</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12742-2024</t>
        </is>
      </c>
      <c r="B2450" s="1" t="n">
        <v>45384</v>
      </c>
      <c r="C2450" s="1" t="n">
        <v>45845</v>
      </c>
      <c r="D2450" t="inlineStr">
        <is>
          <t>VÄSTERNORRLANDS LÄN</t>
        </is>
      </c>
      <c r="E2450" t="inlineStr">
        <is>
          <t>SUNDSVALL</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12803-2024</t>
        </is>
      </c>
      <c r="B2451" s="1" t="n">
        <v>45384</v>
      </c>
      <c r="C2451" s="1" t="n">
        <v>45845</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12871-2024</t>
        </is>
      </c>
      <c r="B2452" s="1" t="n">
        <v>45385</v>
      </c>
      <c r="C2452" s="1" t="n">
        <v>45845</v>
      </c>
      <c r="D2452" t="inlineStr">
        <is>
          <t>VÄSTERNORRLANDS LÄN</t>
        </is>
      </c>
      <c r="E2452" t="inlineStr">
        <is>
          <t>SUNDSVALL</t>
        </is>
      </c>
      <c r="F2452" t="inlineStr">
        <is>
          <t>Naturvårdsverket</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12872-2024</t>
        </is>
      </c>
      <c r="B2453" s="1" t="n">
        <v>45385</v>
      </c>
      <c r="C2453" s="1" t="n">
        <v>45845</v>
      </c>
      <c r="D2453" t="inlineStr">
        <is>
          <t>VÄSTERNORRLANDS LÄN</t>
        </is>
      </c>
      <c r="E2453" t="inlineStr">
        <is>
          <t>SUNDSVALL</t>
        </is>
      </c>
      <c r="F2453" t="inlineStr">
        <is>
          <t>Naturvårdsverket</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13127-2024</t>
        </is>
      </c>
      <c r="B2454" s="1" t="n">
        <v>45385</v>
      </c>
      <c r="C2454" s="1" t="n">
        <v>45845</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13234-2024</t>
        </is>
      </c>
      <c r="B2455" s="1" t="n">
        <v>45386</v>
      </c>
      <c r="C2455" s="1" t="n">
        <v>45845</v>
      </c>
      <c r="D2455" t="inlineStr">
        <is>
          <t>VÄSTERNORRLANDS LÄN</t>
        </is>
      </c>
      <c r="E2455" t="inlineStr">
        <is>
          <t>SUNDSVALL</t>
        </is>
      </c>
      <c r="F2455" t="inlineStr">
        <is>
          <t>Kommuner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13347-2024</t>
        </is>
      </c>
      <c r="B2456" s="1" t="n">
        <v>45386</v>
      </c>
      <c r="C2456" s="1" t="n">
        <v>45845</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13550-2024</t>
        </is>
      </c>
      <c r="B2457" s="1" t="n">
        <v>45388</v>
      </c>
      <c r="C2457" s="1" t="n">
        <v>45845</v>
      </c>
      <c r="D2457" t="inlineStr">
        <is>
          <t>VÄSTERNORRLANDS LÄN</t>
        </is>
      </c>
      <c r="E2457" t="inlineStr">
        <is>
          <t>SUNDSVALL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13360-2024</t>
        </is>
      </c>
      <c r="B2458" s="1" t="n">
        <v>45387</v>
      </c>
      <c r="C2458" s="1" t="n">
        <v>45845</v>
      </c>
      <c r="D2458" t="inlineStr">
        <is>
          <t>VÄSTERNORRLANDS LÄN</t>
        </is>
      </c>
      <c r="E2458" t="inlineStr">
        <is>
          <t>SUNDSVALL</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13722-2024</t>
        </is>
      </c>
      <c r="B2459" s="1" t="n">
        <v>45387</v>
      </c>
      <c r="C2459" s="1" t="n">
        <v>45845</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13555-2024</t>
        </is>
      </c>
      <c r="B2460" s="1" t="n">
        <v>45388</v>
      </c>
      <c r="C2460" s="1" t="n">
        <v>45845</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13551-2024</t>
        </is>
      </c>
      <c r="B2461" s="1" t="n">
        <v>45388</v>
      </c>
      <c r="C2461" s="1" t="n">
        <v>45845</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13421-2024</t>
        </is>
      </c>
      <c r="B2462" s="1" t="n">
        <v>45387</v>
      </c>
      <c r="C2462" s="1" t="n">
        <v>45845</v>
      </c>
      <c r="D2462" t="inlineStr">
        <is>
          <t>VÄSTERNORRLANDS LÄN</t>
        </is>
      </c>
      <c r="E2462" t="inlineStr">
        <is>
          <t>SUNDSVALL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13353-2024</t>
        </is>
      </c>
      <c r="B2463" s="1" t="n">
        <v>45387</v>
      </c>
      <c r="C2463" s="1" t="n">
        <v>45845</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13674-2024</t>
        </is>
      </c>
      <c r="B2464" s="1" t="n">
        <v>45390</v>
      </c>
      <c r="C2464" s="1" t="n">
        <v>45845</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13834-2024</t>
        </is>
      </c>
      <c r="B2465" s="1" t="n">
        <v>45390</v>
      </c>
      <c r="C2465" s="1" t="n">
        <v>45845</v>
      </c>
      <c r="D2465" t="inlineStr">
        <is>
          <t>VÄSTERNORRLANDS LÄN</t>
        </is>
      </c>
      <c r="E2465" t="inlineStr">
        <is>
          <t>SUNDSVALL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13818-2024</t>
        </is>
      </c>
      <c r="B2466" s="1" t="n">
        <v>45391</v>
      </c>
      <c r="C2466" s="1" t="n">
        <v>45845</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13915-2024</t>
        </is>
      </c>
      <c r="B2467" s="1" t="n">
        <v>45391</v>
      </c>
      <c r="C2467" s="1" t="n">
        <v>45845</v>
      </c>
      <c r="D2467" t="inlineStr">
        <is>
          <t>VÄSTERNORRLANDS LÄN</t>
        </is>
      </c>
      <c r="E2467" t="inlineStr">
        <is>
          <t>SUNDSVALL</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13855-2024</t>
        </is>
      </c>
      <c r="B2468" s="1" t="n">
        <v>45391</v>
      </c>
      <c r="C2468" s="1" t="n">
        <v>45845</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13937-2024</t>
        </is>
      </c>
      <c r="B2469" s="1" t="n">
        <v>45391</v>
      </c>
      <c r="C2469" s="1" t="n">
        <v>45845</v>
      </c>
      <c r="D2469" t="inlineStr">
        <is>
          <t>VÄSTERNORRLANDS LÄN</t>
        </is>
      </c>
      <c r="E2469" t="inlineStr">
        <is>
          <t>SUNDSVALL</t>
        </is>
      </c>
      <c r="F2469" t="inlineStr">
        <is>
          <t>SCA</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13930-2024</t>
        </is>
      </c>
      <c r="B2470" s="1" t="n">
        <v>45392</v>
      </c>
      <c r="C2470" s="1" t="n">
        <v>45845</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13940-2024</t>
        </is>
      </c>
      <c r="B2471" s="1" t="n">
        <v>45392</v>
      </c>
      <c r="C2471" s="1" t="n">
        <v>45845</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14152-2024</t>
        </is>
      </c>
      <c r="B2472" s="1" t="n">
        <v>45392</v>
      </c>
      <c r="C2472" s="1" t="n">
        <v>45845</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14040-2024</t>
        </is>
      </c>
      <c r="B2473" s="1" t="n">
        <v>45392</v>
      </c>
      <c r="C2473" s="1" t="n">
        <v>45845</v>
      </c>
      <c r="D2473" t="inlineStr">
        <is>
          <t>VÄSTERNORRLANDS LÄN</t>
        </is>
      </c>
      <c r="E2473" t="inlineStr">
        <is>
          <t>SUNDSVALL</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14154-2024</t>
        </is>
      </c>
      <c r="B2474" s="1" t="n">
        <v>45393</v>
      </c>
      <c r="C2474" s="1" t="n">
        <v>45845</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14038-2024</t>
        </is>
      </c>
      <c r="B2475" s="1" t="n">
        <v>45392</v>
      </c>
      <c r="C2475" s="1" t="n">
        <v>45845</v>
      </c>
      <c r="D2475" t="inlineStr">
        <is>
          <t>VÄSTERNORRLANDS LÄN</t>
        </is>
      </c>
      <c r="E2475" t="inlineStr">
        <is>
          <t>SUNDSVALL</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14153-2024</t>
        </is>
      </c>
      <c r="B2476" s="1" t="n">
        <v>45392</v>
      </c>
      <c r="C2476" s="1" t="n">
        <v>45845</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14564-2024</t>
        </is>
      </c>
      <c r="B2477" s="1" t="n">
        <v>45394</v>
      </c>
      <c r="C2477" s="1" t="n">
        <v>45845</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14432-2024</t>
        </is>
      </c>
      <c r="B2478" s="1" t="n">
        <v>45394</v>
      </c>
      <c r="C2478" s="1" t="n">
        <v>45845</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14537-2024</t>
        </is>
      </c>
      <c r="B2479" s="1" t="n">
        <v>45394</v>
      </c>
      <c r="C2479" s="1" t="n">
        <v>45845</v>
      </c>
      <c r="D2479" t="inlineStr">
        <is>
          <t>VÄSTERNORRLANDS LÄN</t>
        </is>
      </c>
      <c r="E2479" t="inlineStr">
        <is>
          <t>SUNDSVALL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14804-2024</t>
        </is>
      </c>
      <c r="B2480" s="1" t="n">
        <v>45397</v>
      </c>
      <c r="C2480" s="1" t="n">
        <v>45845</v>
      </c>
      <c r="D2480" t="inlineStr">
        <is>
          <t>VÄSTERNORRLANDS LÄN</t>
        </is>
      </c>
      <c r="E2480" t="inlineStr">
        <is>
          <t>SUNDSVALL</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14711-2024</t>
        </is>
      </c>
      <c r="B2481" s="1" t="n">
        <v>45397</v>
      </c>
      <c r="C2481" s="1" t="n">
        <v>45845</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14905-2024</t>
        </is>
      </c>
      <c r="B2482" s="1" t="n">
        <v>45398</v>
      </c>
      <c r="C2482" s="1" t="n">
        <v>45845</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14914-2024</t>
        </is>
      </c>
      <c r="B2483" s="1" t="n">
        <v>45398</v>
      </c>
      <c r="C2483" s="1" t="n">
        <v>45845</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14922-2024</t>
        </is>
      </c>
      <c r="B2484" s="1" t="n">
        <v>45398</v>
      </c>
      <c r="C2484" s="1" t="n">
        <v>45845</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14976-2024</t>
        </is>
      </c>
      <c r="B2485" s="1" t="n">
        <v>45399</v>
      </c>
      <c r="C2485" s="1" t="n">
        <v>45845</v>
      </c>
      <c r="D2485" t="inlineStr">
        <is>
          <t>VÄSTERNORRLANDS LÄN</t>
        </is>
      </c>
      <c r="E2485" t="inlineStr">
        <is>
          <t>SUNDSVALL</t>
        </is>
      </c>
      <c r="F2485" t="inlineStr">
        <is>
          <t>SCA</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15143-2024</t>
        </is>
      </c>
      <c r="B2486" s="1" t="n">
        <v>45400</v>
      </c>
      <c r="C2486" s="1" t="n">
        <v>45845</v>
      </c>
      <c r="D2486" t="inlineStr">
        <is>
          <t>VÄSTERNORRLANDS LÄN</t>
        </is>
      </c>
      <c r="E2486" t="inlineStr">
        <is>
          <t>SUNDSVALL</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15520-2024</t>
        </is>
      </c>
      <c r="B2487" s="1" t="n">
        <v>45400</v>
      </c>
      <c r="C2487" s="1" t="n">
        <v>45845</v>
      </c>
      <c r="D2487" t="inlineStr">
        <is>
          <t>VÄSTERNORRLANDS LÄN</t>
        </is>
      </c>
      <c r="E2487" t="inlineStr">
        <is>
          <t>SUNDSVALL</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15780-2024</t>
        </is>
      </c>
      <c r="B2488" s="1" t="n">
        <v>45404</v>
      </c>
      <c r="C2488" s="1" t="n">
        <v>45845</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15673-2024</t>
        </is>
      </c>
      <c r="B2489" s="1" t="n">
        <v>45404</v>
      </c>
      <c r="C2489" s="1" t="n">
        <v>45845</v>
      </c>
      <c r="D2489" t="inlineStr">
        <is>
          <t>VÄSTERNORRLANDS LÄN</t>
        </is>
      </c>
      <c r="E2489" t="inlineStr">
        <is>
          <t>SUNDSVALL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15677-2024</t>
        </is>
      </c>
      <c r="B2490" s="1" t="n">
        <v>45404</v>
      </c>
      <c r="C2490" s="1" t="n">
        <v>45845</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15881-2024</t>
        </is>
      </c>
      <c r="B2491" s="1" t="n">
        <v>45405</v>
      </c>
      <c r="C2491" s="1" t="n">
        <v>45845</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16056-2024</t>
        </is>
      </c>
      <c r="B2492" s="1" t="n">
        <v>45406</v>
      </c>
      <c r="C2492" s="1" t="n">
        <v>45845</v>
      </c>
      <c r="D2492" t="inlineStr">
        <is>
          <t>VÄSTERNORRLANDS LÄN</t>
        </is>
      </c>
      <c r="E2492" t="inlineStr">
        <is>
          <t>SUNDSVALL</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16063-2024</t>
        </is>
      </c>
      <c r="B2493" s="1" t="n">
        <v>45406</v>
      </c>
      <c r="C2493" s="1" t="n">
        <v>45845</v>
      </c>
      <c r="D2493" t="inlineStr">
        <is>
          <t>VÄSTERNORRLANDS LÄN</t>
        </is>
      </c>
      <c r="E2493" t="inlineStr">
        <is>
          <t>SUNDSVALL</t>
        </is>
      </c>
      <c r="F2493" t="inlineStr">
        <is>
          <t>Naturvårdsverket</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16062-2024</t>
        </is>
      </c>
      <c r="B2494" s="1" t="n">
        <v>45406</v>
      </c>
      <c r="C2494" s="1" t="n">
        <v>45845</v>
      </c>
      <c r="D2494" t="inlineStr">
        <is>
          <t>VÄSTERNORRLANDS LÄN</t>
        </is>
      </c>
      <c r="E2494" t="inlineStr">
        <is>
          <t>SUNDSVALL</t>
        </is>
      </c>
      <c r="F2494" t="inlineStr">
        <is>
          <t>Naturvårdsverket</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16223-2024</t>
        </is>
      </c>
      <c r="B2495" s="1" t="n">
        <v>45407</v>
      </c>
      <c r="C2495" s="1" t="n">
        <v>45845</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16251-2024</t>
        </is>
      </c>
      <c r="B2496" s="1" t="n">
        <v>45407</v>
      </c>
      <c r="C2496" s="1" t="n">
        <v>45845</v>
      </c>
      <c r="D2496" t="inlineStr">
        <is>
          <t>VÄSTERNORRLANDS LÄN</t>
        </is>
      </c>
      <c r="E2496" t="inlineStr">
        <is>
          <t>SUNDSVALL</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16250-2024</t>
        </is>
      </c>
      <c r="B2497" s="1" t="n">
        <v>45407</v>
      </c>
      <c r="C2497" s="1" t="n">
        <v>45845</v>
      </c>
      <c r="D2497" t="inlineStr">
        <is>
          <t>VÄSTERNORRLANDS LÄN</t>
        </is>
      </c>
      <c r="E2497" t="inlineStr">
        <is>
          <t>SUNDSVALL</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16249-2024</t>
        </is>
      </c>
      <c r="B2498" s="1" t="n">
        <v>45407</v>
      </c>
      <c r="C2498" s="1" t="n">
        <v>45845</v>
      </c>
      <c r="D2498" t="inlineStr">
        <is>
          <t>VÄSTERNORRLANDS LÄN</t>
        </is>
      </c>
      <c r="E2498" t="inlineStr">
        <is>
          <t>SUNDSVALL</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16975-2024</t>
        </is>
      </c>
      <c r="B2499" s="1" t="n">
        <v>45411</v>
      </c>
      <c r="C2499" s="1" t="n">
        <v>45845</v>
      </c>
      <c r="D2499" t="inlineStr">
        <is>
          <t>VÄSTERNORRLANDS LÄN</t>
        </is>
      </c>
      <c r="E2499" t="inlineStr">
        <is>
          <t>SUNDSVALL</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16976-2024</t>
        </is>
      </c>
      <c r="B2500" s="1" t="n">
        <v>45411</v>
      </c>
      <c r="C2500" s="1" t="n">
        <v>45845</v>
      </c>
      <c r="D2500" t="inlineStr">
        <is>
          <t>VÄSTERNORRLANDS LÄN</t>
        </is>
      </c>
      <c r="E2500" t="inlineStr">
        <is>
          <t>SUNDSVALL</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16981-2024</t>
        </is>
      </c>
      <c r="B2501" s="1" t="n">
        <v>45412</v>
      </c>
      <c r="C2501" s="1" t="n">
        <v>45845</v>
      </c>
      <c r="D2501" t="inlineStr">
        <is>
          <t>VÄSTERNORRLANDS LÄN</t>
        </is>
      </c>
      <c r="E2501" t="inlineStr">
        <is>
          <t>SUNDSVALL</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17185-2024</t>
        </is>
      </c>
      <c r="B2502" s="1" t="n">
        <v>45413</v>
      </c>
      <c r="C2502" s="1" t="n">
        <v>45845</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17189-2024</t>
        </is>
      </c>
      <c r="B2503" s="1" t="n">
        <v>45412</v>
      </c>
      <c r="C2503" s="1" t="n">
        <v>45845</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17187-2024</t>
        </is>
      </c>
      <c r="B2504" s="1" t="n">
        <v>45413</v>
      </c>
      <c r="C2504" s="1" t="n">
        <v>45845</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17190-2024</t>
        </is>
      </c>
      <c r="B2505" s="1" t="n">
        <v>45412</v>
      </c>
      <c r="C2505" s="1" t="n">
        <v>45845</v>
      </c>
      <c r="D2505" t="inlineStr">
        <is>
          <t>VÄSTERNORRLANDS LÄN</t>
        </is>
      </c>
      <c r="E2505" t="inlineStr">
        <is>
          <t>SUNDSVALL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17186-2024</t>
        </is>
      </c>
      <c r="B2506" s="1" t="n">
        <v>45413</v>
      </c>
      <c r="C2506" s="1" t="n">
        <v>45845</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17377-2024</t>
        </is>
      </c>
      <c r="B2507" s="1" t="n">
        <v>45414</v>
      </c>
      <c r="C2507" s="1" t="n">
        <v>45845</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17414-2024</t>
        </is>
      </c>
      <c r="B2508" s="1" t="n">
        <v>45415</v>
      </c>
      <c r="C2508" s="1" t="n">
        <v>45845</v>
      </c>
      <c r="D2508" t="inlineStr">
        <is>
          <t>VÄSTERNORRLANDS LÄN</t>
        </is>
      </c>
      <c r="E2508" t="inlineStr">
        <is>
          <t>SUNDSVALL</t>
        </is>
      </c>
      <c r="F2508" t="inlineStr">
        <is>
          <t>SCA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17811-2024</t>
        </is>
      </c>
      <c r="B2509" s="1" t="n">
        <v>45418</v>
      </c>
      <c r="C2509" s="1" t="n">
        <v>45845</v>
      </c>
      <c r="D2509" t="inlineStr">
        <is>
          <t>VÄSTERNORRLANDS LÄN</t>
        </is>
      </c>
      <c r="E2509" t="inlineStr">
        <is>
          <t>SUNDSVALL</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17902-2024</t>
        </is>
      </c>
      <c r="B2510" s="1" t="n">
        <v>45419</v>
      </c>
      <c r="C2510" s="1" t="n">
        <v>45845</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18005-2024</t>
        </is>
      </c>
      <c r="B2511" s="1" t="n">
        <v>45419</v>
      </c>
      <c r="C2511" s="1" t="n">
        <v>45845</v>
      </c>
      <c r="D2511" t="inlineStr">
        <is>
          <t>VÄSTERNORRLANDS LÄN</t>
        </is>
      </c>
      <c r="E2511" t="inlineStr">
        <is>
          <t>SUNDSVALL</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18196-2024</t>
        </is>
      </c>
      <c r="B2512" s="1" t="n">
        <v>45420</v>
      </c>
      <c r="C2512" s="1" t="n">
        <v>45845</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18087-2024</t>
        </is>
      </c>
      <c r="B2513" s="1" t="n">
        <v>45420</v>
      </c>
      <c r="C2513" s="1" t="n">
        <v>45845</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18195-2024</t>
        </is>
      </c>
      <c r="B2514" s="1" t="n">
        <v>45420</v>
      </c>
      <c r="C2514" s="1" t="n">
        <v>45845</v>
      </c>
      <c r="D2514" t="inlineStr">
        <is>
          <t>VÄSTERNORRLANDS LÄN</t>
        </is>
      </c>
      <c r="E2514" t="inlineStr">
        <is>
          <t>SUNDSVALL</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18245-2024</t>
        </is>
      </c>
      <c r="B2515" s="1" t="n">
        <v>45421</v>
      </c>
      <c r="C2515" s="1" t="n">
        <v>45845</v>
      </c>
      <c r="D2515" t="inlineStr">
        <is>
          <t>VÄSTERNORRLANDS LÄN</t>
        </is>
      </c>
      <c r="E2515" t="inlineStr">
        <is>
          <t>SUNDSVALL</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18246-2024</t>
        </is>
      </c>
      <c r="B2516" s="1" t="n">
        <v>45421</v>
      </c>
      <c r="C2516" s="1" t="n">
        <v>45845</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18279-2024</t>
        </is>
      </c>
      <c r="B2517" s="1" t="n">
        <v>45422</v>
      </c>
      <c r="C2517" s="1" t="n">
        <v>45845</v>
      </c>
      <c r="D2517" t="inlineStr">
        <is>
          <t>VÄSTERNORRLANDS LÄN</t>
        </is>
      </c>
      <c r="E2517" t="inlineStr">
        <is>
          <t>SUNDSVALL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18582-2024</t>
        </is>
      </c>
      <c r="B2518" s="1" t="n">
        <v>45425</v>
      </c>
      <c r="C2518" s="1" t="n">
        <v>45845</v>
      </c>
      <c r="D2518" t="inlineStr">
        <is>
          <t>VÄSTERNORRLANDS LÄN</t>
        </is>
      </c>
      <c r="E2518" t="inlineStr">
        <is>
          <t>SUNDSVALL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18579-2024</t>
        </is>
      </c>
      <c r="B2519" s="1" t="n">
        <v>45425</v>
      </c>
      <c r="C2519" s="1" t="n">
        <v>45845</v>
      </c>
      <c r="D2519" t="inlineStr">
        <is>
          <t>VÄSTERNORRLANDS LÄN</t>
        </is>
      </c>
      <c r="E2519" t="inlineStr">
        <is>
          <t>SUNDSVALL</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18873-2024</t>
        </is>
      </c>
      <c r="B2520" s="1" t="n">
        <v>45427</v>
      </c>
      <c r="C2520" s="1" t="n">
        <v>45845</v>
      </c>
      <c r="D2520" t="inlineStr">
        <is>
          <t>VÄSTERNORRLANDS LÄN</t>
        </is>
      </c>
      <c r="E2520" t="inlineStr">
        <is>
          <t>SUNDSVALL</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18874-2024</t>
        </is>
      </c>
      <c r="B2521" s="1" t="n">
        <v>45427</v>
      </c>
      <c r="C2521" s="1" t="n">
        <v>45845</v>
      </c>
      <c r="D2521" t="inlineStr">
        <is>
          <t>VÄSTERNORRLANDS LÄN</t>
        </is>
      </c>
      <c r="E2521" t="inlineStr">
        <is>
          <t>SUNDSVALL</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18876-2024</t>
        </is>
      </c>
      <c r="B2522" s="1" t="n">
        <v>45427</v>
      </c>
      <c r="C2522" s="1" t="n">
        <v>45845</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18859-2024</t>
        </is>
      </c>
      <c r="B2523" s="1" t="n">
        <v>45426</v>
      </c>
      <c r="C2523" s="1" t="n">
        <v>45845</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18875-2024</t>
        </is>
      </c>
      <c r="B2524" s="1" t="n">
        <v>45427</v>
      </c>
      <c r="C2524" s="1" t="n">
        <v>45845</v>
      </c>
      <c r="D2524" t="inlineStr">
        <is>
          <t>VÄSTERNORRLANDS LÄN</t>
        </is>
      </c>
      <c r="E2524" t="inlineStr">
        <is>
          <t>SUNDSVALL</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18933-2024</t>
        </is>
      </c>
      <c r="B2525" s="1" t="n">
        <v>45427</v>
      </c>
      <c r="C2525" s="1" t="n">
        <v>45845</v>
      </c>
      <c r="D2525" t="inlineStr">
        <is>
          <t>VÄSTERNORRLANDS LÄN</t>
        </is>
      </c>
      <c r="E2525" t="inlineStr">
        <is>
          <t>SUNDSVALL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19085-2024</t>
        </is>
      </c>
      <c r="B2526" s="1" t="n">
        <v>45428</v>
      </c>
      <c r="C2526" s="1" t="n">
        <v>45845</v>
      </c>
      <c r="D2526" t="inlineStr">
        <is>
          <t>VÄSTERNORRLANDS LÄN</t>
        </is>
      </c>
      <c r="E2526" t="inlineStr">
        <is>
          <t>SUNDSVALL</t>
        </is>
      </c>
      <c r="F2526" t="inlineStr">
        <is>
          <t>SCA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19084-2024</t>
        </is>
      </c>
      <c r="B2527" s="1" t="n">
        <v>45428</v>
      </c>
      <c r="C2527" s="1" t="n">
        <v>45845</v>
      </c>
      <c r="D2527" t="inlineStr">
        <is>
          <t>VÄSTERNORRLANDS LÄN</t>
        </is>
      </c>
      <c r="E2527" t="inlineStr">
        <is>
          <t>SUNDSVALL</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19079-2024</t>
        </is>
      </c>
      <c r="B2528" s="1" t="n">
        <v>45428</v>
      </c>
      <c r="C2528" s="1" t="n">
        <v>45845</v>
      </c>
      <c r="D2528" t="inlineStr">
        <is>
          <t>VÄSTERNORRLANDS LÄN</t>
        </is>
      </c>
      <c r="E2528" t="inlineStr">
        <is>
          <t>SUNDSVALL</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19265-2024</t>
        </is>
      </c>
      <c r="B2529" s="1" t="n">
        <v>45428</v>
      </c>
      <c r="C2529" s="1" t="n">
        <v>45845</v>
      </c>
      <c r="D2529" t="inlineStr">
        <is>
          <t>VÄSTERNORRLANDS LÄN</t>
        </is>
      </c>
      <c r="E2529" t="inlineStr">
        <is>
          <t>SUNDSVALL</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19086-2024</t>
        </is>
      </c>
      <c r="B2530" s="1" t="n">
        <v>45428</v>
      </c>
      <c r="C2530" s="1" t="n">
        <v>45845</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19348-2024</t>
        </is>
      </c>
      <c r="B2531" s="1" t="n">
        <v>45428</v>
      </c>
      <c r="C2531" s="1" t="n">
        <v>45845</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19334-2024</t>
        </is>
      </c>
      <c r="B2532" s="1" t="n">
        <v>45429</v>
      </c>
      <c r="C2532" s="1" t="n">
        <v>45845</v>
      </c>
      <c r="D2532" t="inlineStr">
        <is>
          <t>VÄSTERNORRLANDS LÄN</t>
        </is>
      </c>
      <c r="E2532" t="inlineStr">
        <is>
          <t>SUNDSVALL</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19338-2024</t>
        </is>
      </c>
      <c r="B2533" s="1" t="n">
        <v>45428</v>
      </c>
      <c r="C2533" s="1" t="n">
        <v>45845</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19586-2024</t>
        </is>
      </c>
      <c r="B2534" s="1" t="n">
        <v>45429</v>
      </c>
      <c r="C2534" s="1" t="n">
        <v>45845</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19723-2024</t>
        </is>
      </c>
      <c r="B2535" s="1" t="n">
        <v>45432</v>
      </c>
      <c r="C2535" s="1" t="n">
        <v>45845</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19810-2024</t>
        </is>
      </c>
      <c r="B2536" s="1" t="n">
        <v>45433</v>
      </c>
      <c r="C2536" s="1" t="n">
        <v>45845</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19866-2024</t>
        </is>
      </c>
      <c r="B2537" s="1" t="n">
        <v>45433</v>
      </c>
      <c r="C2537" s="1" t="n">
        <v>45845</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20007-2024</t>
        </is>
      </c>
      <c r="B2538" s="1" t="n">
        <v>45433</v>
      </c>
      <c r="C2538" s="1" t="n">
        <v>45845</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20008-2024</t>
        </is>
      </c>
      <c r="B2539" s="1" t="n">
        <v>45433</v>
      </c>
      <c r="C2539" s="1" t="n">
        <v>45845</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20010-2024</t>
        </is>
      </c>
      <c r="B2540" s="1" t="n">
        <v>45433</v>
      </c>
      <c r="C2540" s="1" t="n">
        <v>45845</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20006-2024</t>
        </is>
      </c>
      <c r="B2541" s="1" t="n">
        <v>45433</v>
      </c>
      <c r="C2541" s="1" t="n">
        <v>45845</v>
      </c>
      <c r="D2541" t="inlineStr">
        <is>
          <t>VÄSTERNORRLANDS LÄN</t>
        </is>
      </c>
      <c r="E2541" t="inlineStr">
        <is>
          <t>SUNDSVALL</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20183-2024</t>
        </is>
      </c>
      <c r="B2542" s="1" t="n">
        <v>45434</v>
      </c>
      <c r="C2542" s="1" t="n">
        <v>45845</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20282-2024</t>
        </is>
      </c>
      <c r="B2543" s="1" t="n">
        <v>45434</v>
      </c>
      <c r="C2543" s="1" t="n">
        <v>45845</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20252-2024</t>
        </is>
      </c>
      <c r="B2544" s="1" t="n">
        <v>45435</v>
      </c>
      <c r="C2544" s="1" t="n">
        <v>45845</v>
      </c>
      <c r="D2544" t="inlineStr">
        <is>
          <t>VÄSTERNORRLANDS LÄN</t>
        </is>
      </c>
      <c r="E2544" t="inlineStr">
        <is>
          <t>SUNDSVALL</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20333-2024</t>
        </is>
      </c>
      <c r="B2545" s="1" t="n">
        <v>45435</v>
      </c>
      <c r="C2545" s="1" t="n">
        <v>45845</v>
      </c>
      <c r="D2545" t="inlineStr">
        <is>
          <t>VÄSTERNORRLANDS LÄN</t>
        </is>
      </c>
      <c r="E2545" t="inlineStr">
        <is>
          <t>SUNDSVALL</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20418-2024</t>
        </is>
      </c>
      <c r="B2546" s="1" t="n">
        <v>45435</v>
      </c>
      <c r="C2546" s="1" t="n">
        <v>45845</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20754-2024</t>
        </is>
      </c>
      <c r="B2547" s="1" t="n">
        <v>45436</v>
      </c>
      <c r="C2547" s="1" t="n">
        <v>45845</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20766-2024</t>
        </is>
      </c>
      <c r="B2548" s="1" t="n">
        <v>45436</v>
      </c>
      <c r="C2548" s="1" t="n">
        <v>45845</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20782-2024</t>
        </is>
      </c>
      <c r="B2549" s="1" t="n">
        <v>45436</v>
      </c>
      <c r="C2549" s="1" t="n">
        <v>45845</v>
      </c>
      <c r="D2549" t="inlineStr">
        <is>
          <t>VÄSTERNORRLANDS LÄN</t>
        </is>
      </c>
      <c r="E2549" t="inlineStr">
        <is>
          <t>SUNDSVALL</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20755-2024</t>
        </is>
      </c>
      <c r="B2550" s="1" t="n">
        <v>45436</v>
      </c>
      <c r="C2550" s="1" t="n">
        <v>45845</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20771-2024</t>
        </is>
      </c>
      <c r="B2551" s="1" t="n">
        <v>45437</v>
      </c>
      <c r="C2551" s="1" t="n">
        <v>45845</v>
      </c>
      <c r="D2551" t="inlineStr">
        <is>
          <t>VÄSTERNORRLANDS LÄN</t>
        </is>
      </c>
      <c r="E2551" t="inlineStr">
        <is>
          <t>SUNDSVALL</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21088-2024</t>
        </is>
      </c>
      <c r="B2552" s="1" t="n">
        <v>45439</v>
      </c>
      <c r="C2552" s="1" t="n">
        <v>45845</v>
      </c>
      <c r="D2552" t="inlineStr">
        <is>
          <t>VÄSTERNORRLANDS LÄN</t>
        </is>
      </c>
      <c r="E2552" t="inlineStr">
        <is>
          <t>SUNDSVALL</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21247-2024</t>
        </is>
      </c>
      <c r="B2553" s="1" t="n">
        <v>45440</v>
      </c>
      <c r="C2553" s="1" t="n">
        <v>45845</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21338-2024</t>
        </is>
      </c>
      <c r="B2554" s="1" t="n">
        <v>45441</v>
      </c>
      <c r="C2554" s="1" t="n">
        <v>45845</v>
      </c>
      <c r="D2554" t="inlineStr">
        <is>
          <t>VÄSTERNORRLANDS LÄN</t>
        </is>
      </c>
      <c r="E2554" t="inlineStr">
        <is>
          <t>SUNDSVALL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21372-2024</t>
        </is>
      </c>
      <c r="B2555" s="1" t="n">
        <v>45441</v>
      </c>
      <c r="C2555" s="1" t="n">
        <v>45845</v>
      </c>
      <c r="D2555" t="inlineStr">
        <is>
          <t>VÄSTERNORRLANDS LÄN</t>
        </is>
      </c>
      <c r="E2555" t="inlineStr">
        <is>
          <t>SUNDSVALL</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21339-2024</t>
        </is>
      </c>
      <c r="B2556" s="1" t="n">
        <v>45440</v>
      </c>
      <c r="C2556" s="1" t="n">
        <v>45845</v>
      </c>
      <c r="D2556" t="inlineStr">
        <is>
          <t>VÄSTERNORRLANDS LÄN</t>
        </is>
      </c>
      <c r="E2556" t="inlineStr">
        <is>
          <t>SUNDSVALL</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21601-2024</t>
        </is>
      </c>
      <c r="B2557" s="1" t="n">
        <v>45441</v>
      </c>
      <c r="C2557" s="1" t="n">
        <v>45845</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21602-2024</t>
        </is>
      </c>
      <c r="B2558" s="1" t="n">
        <v>45441</v>
      </c>
      <c r="C2558" s="1" t="n">
        <v>45845</v>
      </c>
      <c r="D2558" t="inlineStr">
        <is>
          <t>VÄSTERNORRLANDS LÄN</t>
        </is>
      </c>
      <c r="E2558" t="inlineStr">
        <is>
          <t>SUNDSVALL</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21606-2024</t>
        </is>
      </c>
      <c r="B2559" s="1" t="n">
        <v>45442</v>
      </c>
      <c r="C2559" s="1" t="n">
        <v>45845</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21889-2024</t>
        </is>
      </c>
      <c r="B2560" s="1" t="n">
        <v>45443</v>
      </c>
      <c r="C2560" s="1" t="n">
        <v>45845</v>
      </c>
      <c r="D2560" t="inlineStr">
        <is>
          <t>VÄSTERNORRLANDS LÄN</t>
        </is>
      </c>
      <c r="E2560" t="inlineStr">
        <is>
          <t>SUNDSVALL</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22099-2024</t>
        </is>
      </c>
      <c r="B2561" s="1" t="n">
        <v>45444</v>
      </c>
      <c r="C2561" s="1" t="n">
        <v>45845</v>
      </c>
      <c r="D2561" t="inlineStr">
        <is>
          <t>VÄSTERNORRLANDS LÄN</t>
        </is>
      </c>
      <c r="E2561" t="inlineStr">
        <is>
          <t>SUNDSVALL</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22117-2024</t>
        </is>
      </c>
      <c r="B2562" s="1" t="n">
        <v>45444</v>
      </c>
      <c r="C2562" s="1" t="n">
        <v>45845</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45444</v>
      </c>
      <c r="C2563" s="1" t="n">
        <v>45845</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21899-2024</t>
        </is>
      </c>
      <c r="B2564" s="1" t="n">
        <v>45443</v>
      </c>
      <c r="C2564" s="1" t="n">
        <v>45845</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22126-2024</t>
        </is>
      </c>
      <c r="B2565" s="1" t="n">
        <v>45444</v>
      </c>
      <c r="C2565" s="1" t="n">
        <v>45845</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22628-2024</t>
        </is>
      </c>
      <c r="B2566" s="1" t="n">
        <v>45447</v>
      </c>
      <c r="C2566" s="1" t="n">
        <v>45845</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22624-2024</t>
        </is>
      </c>
      <c r="B2567" s="1" t="n">
        <v>45447</v>
      </c>
      <c r="C2567" s="1" t="n">
        <v>45845</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22670-2024</t>
        </is>
      </c>
      <c r="B2568" s="1" t="n">
        <v>45448</v>
      </c>
      <c r="C2568" s="1" t="n">
        <v>45845</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22627-2024</t>
        </is>
      </c>
      <c r="B2569" s="1" t="n">
        <v>45447</v>
      </c>
      <c r="C2569" s="1" t="n">
        <v>45845</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22932-2024</t>
        </is>
      </c>
      <c r="B2570" s="1" t="n">
        <v>45449</v>
      </c>
      <c r="C2570" s="1" t="n">
        <v>45845</v>
      </c>
      <c r="D2570" t="inlineStr">
        <is>
          <t>VÄSTERNORRLANDS LÄN</t>
        </is>
      </c>
      <c r="E2570" t="inlineStr">
        <is>
          <t>SUNDSVALL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23109-2024</t>
        </is>
      </c>
      <c r="B2571" s="1" t="n">
        <v>45450</v>
      </c>
      <c r="C2571" s="1" t="n">
        <v>45845</v>
      </c>
      <c r="D2571" t="inlineStr">
        <is>
          <t>VÄSTERNORRLANDS LÄN</t>
        </is>
      </c>
      <c r="E2571" t="inlineStr">
        <is>
          <t>SUNDSVALL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23558-2024</t>
        </is>
      </c>
      <c r="B2572" s="1" t="n">
        <v>45454</v>
      </c>
      <c r="C2572" s="1" t="n">
        <v>45845</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23546-2024</t>
        </is>
      </c>
      <c r="B2573" s="1" t="n">
        <v>45454</v>
      </c>
      <c r="C2573" s="1" t="n">
        <v>45845</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23537-2024</t>
        </is>
      </c>
      <c r="B2574" s="1" t="n">
        <v>45454</v>
      </c>
      <c r="C2574" s="1" t="n">
        <v>45845</v>
      </c>
      <c r="D2574" t="inlineStr">
        <is>
          <t>VÄSTERNORRLANDS LÄN</t>
        </is>
      </c>
      <c r="E2574" t="inlineStr">
        <is>
          <t>SUNDSVALL</t>
        </is>
      </c>
      <c r="F2574" t="inlineStr">
        <is>
          <t>Naturvårdsverket</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23557-2024</t>
        </is>
      </c>
      <c r="B2575" s="1" t="n">
        <v>45454</v>
      </c>
      <c r="C2575" s="1" t="n">
        <v>45845</v>
      </c>
      <c r="D2575" t="inlineStr">
        <is>
          <t>VÄSTERNORRLANDS LÄN</t>
        </is>
      </c>
      <c r="E2575" t="inlineStr">
        <is>
          <t>SUNDSVALL</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23618-2024</t>
        </is>
      </c>
      <c r="B2576" s="1" t="n">
        <v>45454</v>
      </c>
      <c r="C2576" s="1" t="n">
        <v>45845</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23802-2024</t>
        </is>
      </c>
      <c r="B2577" s="1" t="n">
        <v>45455</v>
      </c>
      <c r="C2577" s="1" t="n">
        <v>45845</v>
      </c>
      <c r="D2577" t="inlineStr">
        <is>
          <t>VÄSTERNORRLANDS LÄN</t>
        </is>
      </c>
      <c r="E2577" t="inlineStr">
        <is>
          <t>SUNDSVALL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23953-2024</t>
        </is>
      </c>
      <c r="B2578" s="1" t="n">
        <v>45456</v>
      </c>
      <c r="C2578" s="1" t="n">
        <v>45845</v>
      </c>
      <c r="D2578" t="inlineStr">
        <is>
          <t>VÄSTERNORRLANDS LÄN</t>
        </is>
      </c>
      <c r="E2578" t="inlineStr">
        <is>
          <t>SUNDSVALL</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23945-2024</t>
        </is>
      </c>
      <c r="B2579" s="1" t="n">
        <v>45456</v>
      </c>
      <c r="C2579" s="1" t="n">
        <v>45845</v>
      </c>
      <c r="D2579" t="inlineStr">
        <is>
          <t>VÄSTERNORRLANDS LÄN</t>
        </is>
      </c>
      <c r="E2579" t="inlineStr">
        <is>
          <t>SUNDSVALL</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23832-2024</t>
        </is>
      </c>
      <c r="B2580" s="1" t="n">
        <v>45455</v>
      </c>
      <c r="C2580" s="1" t="n">
        <v>45845</v>
      </c>
      <c r="D2580" t="inlineStr">
        <is>
          <t>VÄSTERNORRLANDS LÄN</t>
        </is>
      </c>
      <c r="E2580" t="inlineStr">
        <is>
          <t>SUNDSVALL</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24028-2024</t>
        </is>
      </c>
      <c r="B2581" s="1" t="n">
        <v>45456</v>
      </c>
      <c r="C2581" s="1" t="n">
        <v>45845</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24191-2024</t>
        </is>
      </c>
      <c r="B2582" s="1" t="n">
        <v>45457</v>
      </c>
      <c r="C2582" s="1" t="n">
        <v>45845</v>
      </c>
      <c r="D2582" t="inlineStr">
        <is>
          <t>VÄSTERNORRLANDS LÄN</t>
        </is>
      </c>
      <c r="E2582" t="inlineStr">
        <is>
          <t>SUNDSVALL</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24189-2024</t>
        </is>
      </c>
      <c r="B2583" s="1" t="n">
        <v>45456</v>
      </c>
      <c r="C2583" s="1" t="n">
        <v>45845</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24194-2024</t>
        </is>
      </c>
      <c r="B2584" s="1" t="n">
        <v>45457</v>
      </c>
      <c r="C2584" s="1" t="n">
        <v>45845</v>
      </c>
      <c r="D2584" t="inlineStr">
        <is>
          <t>VÄSTERNORRLANDS LÄN</t>
        </is>
      </c>
      <c r="E2584" t="inlineStr">
        <is>
          <t>SUNDSVALL</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24446-2024</t>
        </is>
      </c>
      <c r="B2585" s="1" t="n">
        <v>45458</v>
      </c>
      <c r="C2585" s="1" t="n">
        <v>45845</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24462-2024</t>
        </is>
      </c>
      <c r="B2586" s="1" t="n">
        <v>45458</v>
      </c>
      <c r="C2586" s="1" t="n">
        <v>45845</v>
      </c>
      <c r="D2586" t="inlineStr">
        <is>
          <t>VÄSTERNORRLANDS LÄN</t>
        </is>
      </c>
      <c r="E2586" t="inlineStr">
        <is>
          <t>SUNDSVALL</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24460-2024</t>
        </is>
      </c>
      <c r="B2587" s="1" t="n">
        <v>45458</v>
      </c>
      <c r="C2587" s="1" t="n">
        <v>45845</v>
      </c>
      <c r="D2587" t="inlineStr">
        <is>
          <t>VÄSTERNORRLANDS LÄN</t>
        </is>
      </c>
      <c r="E2587" t="inlineStr">
        <is>
          <t>SUNDSVALL</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24447-2024</t>
        </is>
      </c>
      <c r="B2588" s="1" t="n">
        <v>45458</v>
      </c>
      <c r="C2588" s="1" t="n">
        <v>45845</v>
      </c>
      <c r="D2588" t="inlineStr">
        <is>
          <t>VÄSTERNORRLANDS LÄN</t>
        </is>
      </c>
      <c r="E2588" t="inlineStr">
        <is>
          <t>SUNDSVALL</t>
        </is>
      </c>
      <c r="F2588" t="inlineStr">
        <is>
          <t>SCA</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24987-2024</t>
        </is>
      </c>
      <c r="B2589" s="1" t="n">
        <v>45461</v>
      </c>
      <c r="C2589" s="1" t="n">
        <v>45845</v>
      </c>
      <c r="D2589" t="inlineStr">
        <is>
          <t>VÄSTERNORRLANDS LÄN</t>
        </is>
      </c>
      <c r="E2589" t="inlineStr">
        <is>
          <t>SUNDSVALL</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25024-2024</t>
        </is>
      </c>
      <c r="B2590" s="1" t="n">
        <v>45461</v>
      </c>
      <c r="C2590" s="1" t="n">
        <v>45845</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45462</v>
      </c>
      <c r="C2591" s="1" t="n">
        <v>45845</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25351-2024</t>
        </is>
      </c>
      <c r="B2592" s="1" t="n">
        <v>45463</v>
      </c>
      <c r="C2592" s="1" t="n">
        <v>45845</v>
      </c>
      <c r="D2592" t="inlineStr">
        <is>
          <t>VÄSTERNORRLANDS LÄN</t>
        </is>
      </c>
      <c r="E2592" t="inlineStr">
        <is>
          <t>SUNDSVALL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25383-2024</t>
        </is>
      </c>
      <c r="B2593" s="1" t="n">
        <v>45463</v>
      </c>
      <c r="C2593" s="1" t="n">
        <v>45845</v>
      </c>
      <c r="D2593" t="inlineStr">
        <is>
          <t>VÄSTERNORRLANDS LÄN</t>
        </is>
      </c>
      <c r="E2593" t="inlineStr">
        <is>
          <t>SUNDSVALL</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25392-2024</t>
        </is>
      </c>
      <c r="B2594" s="1" t="n">
        <v>45462</v>
      </c>
      <c r="C2594" s="1" t="n">
        <v>45845</v>
      </c>
      <c r="D2594" t="inlineStr">
        <is>
          <t>VÄSTERNORRLANDS LÄN</t>
        </is>
      </c>
      <c r="E2594" t="inlineStr">
        <is>
          <t>SUNDSVALL</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25362-2024</t>
        </is>
      </c>
      <c r="B2595" s="1" t="n">
        <v>45463</v>
      </c>
      <c r="C2595" s="1" t="n">
        <v>45845</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25382-2024</t>
        </is>
      </c>
      <c r="B2596" s="1" t="n">
        <v>45463</v>
      </c>
      <c r="C2596" s="1" t="n">
        <v>45845</v>
      </c>
      <c r="D2596" t="inlineStr">
        <is>
          <t>VÄSTERNORRLANDS LÄN</t>
        </is>
      </c>
      <c r="E2596" t="inlineStr">
        <is>
          <t>SUNDSVALL</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25386-2024</t>
        </is>
      </c>
      <c r="B2597" s="1" t="n">
        <v>45462</v>
      </c>
      <c r="C2597" s="1" t="n">
        <v>45845</v>
      </c>
      <c r="D2597" t="inlineStr">
        <is>
          <t>VÄSTERNORRLANDS LÄN</t>
        </is>
      </c>
      <c r="E2597" t="inlineStr">
        <is>
          <t>SUNDSVALL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25430-2024</t>
        </is>
      </c>
      <c r="B2598" s="1" t="n">
        <v>45462</v>
      </c>
      <c r="C2598" s="1" t="n">
        <v>45845</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25348-2024</t>
        </is>
      </c>
      <c r="B2599" s="1" t="n">
        <v>45463</v>
      </c>
      <c r="C2599" s="1" t="n">
        <v>45845</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25350-2024</t>
        </is>
      </c>
      <c r="B2600" s="1" t="n">
        <v>45462</v>
      </c>
      <c r="C2600" s="1" t="n">
        <v>45845</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25381-2024</t>
        </is>
      </c>
      <c r="B2601" s="1" t="n">
        <v>45463</v>
      </c>
      <c r="C2601" s="1" t="n">
        <v>45845</v>
      </c>
      <c r="D2601" t="inlineStr">
        <is>
          <t>VÄSTERNORRLANDS LÄN</t>
        </is>
      </c>
      <c r="E2601" t="inlineStr">
        <is>
          <t>SUNDSVALL</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25695-2024</t>
        </is>
      </c>
      <c r="B2602" s="1" t="n">
        <v>45463</v>
      </c>
      <c r="C2602" s="1" t="n">
        <v>45845</v>
      </c>
      <c r="D2602" t="inlineStr">
        <is>
          <t>VÄSTERNORRLANDS LÄN</t>
        </is>
      </c>
      <c r="E2602" t="inlineStr">
        <is>
          <t>SUNDSVALL</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25699-2024</t>
        </is>
      </c>
      <c r="B2603" s="1" t="n">
        <v>45464</v>
      </c>
      <c r="C2603" s="1" t="n">
        <v>45845</v>
      </c>
      <c r="D2603" t="inlineStr">
        <is>
          <t>VÄSTERNORRLANDS LÄN</t>
        </is>
      </c>
      <c r="E2603" t="inlineStr">
        <is>
          <t>SUNDSVALL</t>
        </is>
      </c>
      <c r="F2603" t="inlineStr">
        <is>
          <t>SCA</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25696-2024</t>
        </is>
      </c>
      <c r="B2604" s="1" t="n">
        <v>45463</v>
      </c>
      <c r="C2604" s="1" t="n">
        <v>45845</v>
      </c>
      <c r="D2604" t="inlineStr">
        <is>
          <t>VÄSTERNORRLANDS LÄN</t>
        </is>
      </c>
      <c r="E2604" t="inlineStr">
        <is>
          <t>SUNDSVALL</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25470-2024</t>
        </is>
      </c>
      <c r="B2605" s="1" t="n">
        <v>45463</v>
      </c>
      <c r="C2605" s="1" t="n">
        <v>45845</v>
      </c>
      <c r="D2605" t="inlineStr">
        <is>
          <t>VÄSTERNORRLANDS LÄN</t>
        </is>
      </c>
      <c r="E2605" t="inlineStr">
        <is>
          <t>SUNDSVALL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25982-2024</t>
        </is>
      </c>
      <c r="B2606" s="1" t="n">
        <v>45467</v>
      </c>
      <c r="C2606" s="1" t="n">
        <v>45845</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26030-2024</t>
        </is>
      </c>
      <c r="B2607" s="1" t="n">
        <v>45468</v>
      </c>
      <c r="C2607" s="1" t="n">
        <v>45845</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26031-2024</t>
        </is>
      </c>
      <c r="B2608" s="1" t="n">
        <v>45467</v>
      </c>
      <c r="C2608" s="1" t="n">
        <v>45845</v>
      </c>
      <c r="D2608" t="inlineStr">
        <is>
          <t>VÄSTERNORRLANDS LÄN</t>
        </is>
      </c>
      <c r="E2608" t="inlineStr">
        <is>
          <t>SUNDSVALL</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26250-2024</t>
        </is>
      </c>
      <c r="B2609" s="1" t="n">
        <v>45468</v>
      </c>
      <c r="C2609" s="1" t="n">
        <v>45845</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45845</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26229-2024</t>
        </is>
      </c>
      <c r="B2611" s="1" t="n">
        <v>45468</v>
      </c>
      <c r="C2611" s="1" t="n">
        <v>45845</v>
      </c>
      <c r="D2611" t="inlineStr">
        <is>
          <t>VÄSTERNORRLANDS LÄN</t>
        </is>
      </c>
      <c r="E2611" t="inlineStr">
        <is>
          <t>SUNDSVALL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26087-2024</t>
        </is>
      </c>
      <c r="B2612" s="1" t="n">
        <v>45468</v>
      </c>
      <c r="C2612" s="1" t="n">
        <v>45845</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26084-2024</t>
        </is>
      </c>
      <c r="B2613" s="1" t="n">
        <v>45468</v>
      </c>
      <c r="C2613" s="1" t="n">
        <v>45845</v>
      </c>
      <c r="D2613" t="inlineStr">
        <is>
          <t>VÄSTERNORRLANDS LÄN</t>
        </is>
      </c>
      <c r="E2613" t="inlineStr">
        <is>
          <t>SUNDSVALL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45845</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26353-2024</t>
        </is>
      </c>
      <c r="B2615" s="1" t="n">
        <v>45469</v>
      </c>
      <c r="C2615" s="1" t="n">
        <v>45845</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26401-2024</t>
        </is>
      </c>
      <c r="B2616" s="1" t="n">
        <v>45469</v>
      </c>
      <c r="C2616" s="1" t="n">
        <v>45845</v>
      </c>
      <c r="D2616" t="inlineStr">
        <is>
          <t>VÄSTERNORRLANDS LÄN</t>
        </is>
      </c>
      <c r="E2616" t="inlineStr">
        <is>
          <t>SUNDSVALL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26429-2024</t>
        </is>
      </c>
      <c r="B2617" s="1" t="n">
        <v>45469</v>
      </c>
      <c r="C2617" s="1" t="n">
        <v>45845</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26661-2024</t>
        </is>
      </c>
      <c r="B2618" s="1" t="n">
        <v>45469</v>
      </c>
      <c r="C2618" s="1" t="n">
        <v>45845</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26939-2024</t>
        </is>
      </c>
      <c r="B2619" s="1" t="n">
        <v>45470</v>
      </c>
      <c r="C2619" s="1" t="n">
        <v>45845</v>
      </c>
      <c r="D2619" t="inlineStr">
        <is>
          <t>VÄSTERNORRLANDS LÄN</t>
        </is>
      </c>
      <c r="E2619" t="inlineStr">
        <is>
          <t>SUNDSVALL</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26938-2024</t>
        </is>
      </c>
      <c r="B2620" s="1" t="n">
        <v>45471</v>
      </c>
      <c r="C2620" s="1" t="n">
        <v>45845</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26940-2024</t>
        </is>
      </c>
      <c r="B2621" s="1" t="n">
        <v>45470</v>
      </c>
      <c r="C2621" s="1" t="n">
        <v>45845</v>
      </c>
      <c r="D2621" t="inlineStr">
        <is>
          <t>VÄSTERNORRLANDS LÄN</t>
        </is>
      </c>
      <c r="E2621" t="inlineStr">
        <is>
          <t>SUNDSVALL</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26725-2024</t>
        </is>
      </c>
      <c r="B2622" s="1" t="n">
        <v>45470</v>
      </c>
      <c r="C2622" s="1" t="n">
        <v>45845</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26949-2024</t>
        </is>
      </c>
      <c r="B2623" s="1" t="n">
        <v>45470</v>
      </c>
      <c r="C2623" s="1" t="n">
        <v>45845</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27299-2024</t>
        </is>
      </c>
      <c r="B2624" s="1" t="n">
        <v>45472</v>
      </c>
      <c r="C2624" s="1" t="n">
        <v>45845</v>
      </c>
      <c r="D2624" t="inlineStr">
        <is>
          <t>VÄSTERNORRLANDS LÄN</t>
        </is>
      </c>
      <c r="E2624" t="inlineStr">
        <is>
          <t>SUNDSVALL</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27303-2024</t>
        </is>
      </c>
      <c r="B2625" s="1" t="n">
        <v>45471</v>
      </c>
      <c r="C2625" s="1" t="n">
        <v>45845</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27302-2024</t>
        </is>
      </c>
      <c r="B2626" s="1" t="n">
        <v>45472</v>
      </c>
      <c r="C2626" s="1" t="n">
        <v>45845</v>
      </c>
      <c r="D2626" t="inlineStr">
        <is>
          <t>VÄSTERNORRLANDS LÄN</t>
        </is>
      </c>
      <c r="E2626" t="inlineStr">
        <is>
          <t>SUNDSVALL</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27310-2024</t>
        </is>
      </c>
      <c r="B2627" s="1" t="n">
        <v>45471</v>
      </c>
      <c r="C2627" s="1" t="n">
        <v>45845</v>
      </c>
      <c r="D2627" t="inlineStr">
        <is>
          <t>VÄSTERNORRLANDS LÄN</t>
        </is>
      </c>
      <c r="E2627" t="inlineStr">
        <is>
          <t>SUNDSVALL</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27318-2024</t>
        </is>
      </c>
      <c r="B2628" s="1" t="n">
        <v>45471</v>
      </c>
      <c r="C2628" s="1" t="n">
        <v>45845</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27304-2024</t>
        </is>
      </c>
      <c r="B2629" s="1" t="n">
        <v>45472</v>
      </c>
      <c r="C2629" s="1" t="n">
        <v>45845</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27316-2024</t>
        </is>
      </c>
      <c r="B2630" s="1" t="n">
        <v>45471</v>
      </c>
      <c r="C2630" s="1" t="n">
        <v>45845</v>
      </c>
      <c r="D2630" t="inlineStr">
        <is>
          <t>VÄSTERNORRLANDS LÄN</t>
        </is>
      </c>
      <c r="E2630" t="inlineStr">
        <is>
          <t>SUNDSVALL</t>
        </is>
      </c>
      <c r="F2630" t="inlineStr">
        <is>
          <t>Naturvårdsverket</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27301-2024</t>
        </is>
      </c>
      <c r="B2631" s="1" t="n">
        <v>45472</v>
      </c>
      <c r="C2631" s="1" t="n">
        <v>45845</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27319-2024</t>
        </is>
      </c>
      <c r="B2632" s="1" t="n">
        <v>45471</v>
      </c>
      <c r="C2632" s="1" t="n">
        <v>45845</v>
      </c>
      <c r="D2632" t="inlineStr">
        <is>
          <t>VÄSTERNORRLANDS LÄN</t>
        </is>
      </c>
      <c r="E2632" t="inlineStr">
        <is>
          <t>SUNDSVALL</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27324-2024</t>
        </is>
      </c>
      <c r="B2633" s="1" t="n">
        <v>45471</v>
      </c>
      <c r="C2633" s="1" t="n">
        <v>45845</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27575-2024</t>
        </is>
      </c>
      <c r="B2634" s="1" t="n">
        <v>45474</v>
      </c>
      <c r="C2634" s="1" t="n">
        <v>45845</v>
      </c>
      <c r="D2634" t="inlineStr">
        <is>
          <t>VÄSTERNORRLANDS LÄN</t>
        </is>
      </c>
      <c r="E2634" t="inlineStr">
        <is>
          <t>SUNDSVALL</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27673-2024</t>
        </is>
      </c>
      <c r="B2635" s="1" t="n">
        <v>45475</v>
      </c>
      <c r="C2635" s="1" t="n">
        <v>45845</v>
      </c>
      <c r="D2635" t="inlineStr">
        <is>
          <t>VÄSTERNORRLANDS LÄN</t>
        </is>
      </c>
      <c r="E2635" t="inlineStr">
        <is>
          <t>SUNDSVALL</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27895-2024</t>
        </is>
      </c>
      <c r="B2636" s="1" t="n">
        <v>45476</v>
      </c>
      <c r="C2636" s="1" t="n">
        <v>45845</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27740-2024</t>
        </is>
      </c>
      <c r="B2637" s="1" t="n">
        <v>45475</v>
      </c>
      <c r="C2637" s="1" t="n">
        <v>45845</v>
      </c>
      <c r="D2637" t="inlineStr">
        <is>
          <t>VÄSTERNORRLANDS LÄN</t>
        </is>
      </c>
      <c r="E2637" t="inlineStr">
        <is>
          <t>SUNDSVALL</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27784-2024</t>
        </is>
      </c>
      <c r="B2638" s="1" t="n">
        <v>45475</v>
      </c>
      <c r="C2638" s="1" t="n">
        <v>45845</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27897-2024</t>
        </is>
      </c>
      <c r="B2639" s="1" t="n">
        <v>45475</v>
      </c>
      <c r="C2639" s="1" t="n">
        <v>45845</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27928-2024</t>
        </is>
      </c>
      <c r="B2640" s="1" t="n">
        <v>45475</v>
      </c>
      <c r="C2640" s="1" t="n">
        <v>45845</v>
      </c>
      <c r="D2640" t="inlineStr">
        <is>
          <t>VÄSTERNORRLANDS LÄN</t>
        </is>
      </c>
      <c r="E2640" t="inlineStr">
        <is>
          <t>SUNDSVALL</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27735-2024</t>
        </is>
      </c>
      <c r="B2641" s="1" t="n">
        <v>45475</v>
      </c>
      <c r="C2641" s="1" t="n">
        <v>45845</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28155-2024</t>
        </is>
      </c>
      <c r="B2642" s="1" t="n">
        <v>45476</v>
      </c>
      <c r="C2642" s="1" t="n">
        <v>45845</v>
      </c>
      <c r="D2642" t="inlineStr">
        <is>
          <t>VÄSTERNORRLANDS LÄN</t>
        </is>
      </c>
      <c r="E2642" t="inlineStr">
        <is>
          <t>SUNDSVALL</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28172-2024</t>
        </is>
      </c>
      <c r="B2643" s="1" t="n">
        <v>45476</v>
      </c>
      <c r="C2643" s="1" t="n">
        <v>45845</v>
      </c>
      <c r="D2643" t="inlineStr">
        <is>
          <t>VÄSTERNORRLANDS LÄN</t>
        </is>
      </c>
      <c r="E2643" t="inlineStr">
        <is>
          <t>SUNDSVALL</t>
        </is>
      </c>
      <c r="F2643" t="inlineStr">
        <is>
          <t>Kyrkan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27997-2024</t>
        </is>
      </c>
      <c r="B2644" s="1" t="n">
        <v>45476</v>
      </c>
      <c r="C2644" s="1" t="n">
        <v>45845</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28497-2024</t>
        </is>
      </c>
      <c r="B2645" s="1" t="n">
        <v>45478</v>
      </c>
      <c r="C2645" s="1" t="n">
        <v>45845</v>
      </c>
      <c r="D2645" t="inlineStr">
        <is>
          <t>VÄSTERNORRLANDS LÄN</t>
        </is>
      </c>
      <c r="E2645" t="inlineStr">
        <is>
          <t>SUNDSVALL</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28508-2024</t>
        </is>
      </c>
      <c r="B2646" s="1" t="n">
        <v>45477</v>
      </c>
      <c r="C2646" s="1" t="n">
        <v>45845</v>
      </c>
      <c r="D2646" t="inlineStr">
        <is>
          <t>VÄSTERNORRLANDS LÄN</t>
        </is>
      </c>
      <c r="E2646" t="inlineStr">
        <is>
          <t>SUNDSVALL</t>
        </is>
      </c>
      <c r="F2646" t="inlineStr">
        <is>
          <t>SCA</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28302-2024</t>
        </is>
      </c>
      <c r="B2647" s="1" t="n">
        <v>45477</v>
      </c>
      <c r="C2647" s="1" t="n">
        <v>45845</v>
      </c>
      <c r="D2647" t="inlineStr">
        <is>
          <t>VÄSTERNORRLANDS LÄN</t>
        </is>
      </c>
      <c r="E2647" t="inlineStr">
        <is>
          <t>SUNDSVALL</t>
        </is>
      </c>
      <c r="F2647" t="inlineStr">
        <is>
          <t>Holmen skog AB</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28507-2024</t>
        </is>
      </c>
      <c r="B2648" s="1" t="n">
        <v>45477</v>
      </c>
      <c r="C2648" s="1" t="n">
        <v>45845</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28186-2024</t>
        </is>
      </c>
      <c r="B2649" s="1" t="n">
        <v>45477</v>
      </c>
      <c r="C2649" s="1" t="n">
        <v>45845</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28229-2024</t>
        </is>
      </c>
      <c r="B2650" s="1" t="n">
        <v>45477</v>
      </c>
      <c r="C2650" s="1" t="n">
        <v>45845</v>
      </c>
      <c r="D2650" t="inlineStr">
        <is>
          <t>VÄSTERNORRLANDS LÄN</t>
        </is>
      </c>
      <c r="E2650" t="inlineStr">
        <is>
          <t>SUNDSVALL</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28244-2024</t>
        </is>
      </c>
      <c r="B2651" s="1" t="n">
        <v>45477</v>
      </c>
      <c r="C2651" s="1" t="n">
        <v>45845</v>
      </c>
      <c r="D2651" t="inlineStr">
        <is>
          <t>VÄSTERNORRLANDS LÄN</t>
        </is>
      </c>
      <c r="E2651" t="inlineStr">
        <is>
          <t>SUNDSVALL</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28611-2024</t>
        </is>
      </c>
      <c r="B2652" s="1" t="n">
        <v>45478</v>
      </c>
      <c r="C2652" s="1" t="n">
        <v>45845</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28776-2024</t>
        </is>
      </c>
      <c r="B2653" s="1" t="n">
        <v>45478</v>
      </c>
      <c r="C2653" s="1" t="n">
        <v>45845</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28784-2024</t>
        </is>
      </c>
      <c r="B2654" s="1" t="n">
        <v>45478</v>
      </c>
      <c r="C2654" s="1" t="n">
        <v>45845</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28788-2024</t>
        </is>
      </c>
      <c r="B2655" s="1" t="n">
        <v>45478</v>
      </c>
      <c r="C2655" s="1" t="n">
        <v>45845</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28857-2024</t>
        </is>
      </c>
      <c r="B2656" s="1" t="n">
        <v>45479</v>
      </c>
      <c r="C2656" s="1" t="n">
        <v>45845</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28773-2024</t>
        </is>
      </c>
      <c r="B2657" s="1" t="n">
        <v>45478</v>
      </c>
      <c r="C2657" s="1" t="n">
        <v>45845</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28785-2024</t>
        </is>
      </c>
      <c r="B2658" s="1" t="n">
        <v>45478</v>
      </c>
      <c r="C2658" s="1" t="n">
        <v>45845</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28794-2024</t>
        </is>
      </c>
      <c r="B2659" s="1" t="n">
        <v>45478</v>
      </c>
      <c r="C2659" s="1" t="n">
        <v>45845</v>
      </c>
      <c r="D2659" t="inlineStr">
        <is>
          <t>VÄSTERNORRLANDS LÄN</t>
        </is>
      </c>
      <c r="E2659" t="inlineStr">
        <is>
          <t>SUNDSVALL</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28798-2024</t>
        </is>
      </c>
      <c r="B2660" s="1" t="n">
        <v>45478</v>
      </c>
      <c r="C2660" s="1" t="n">
        <v>45845</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28771-2024</t>
        </is>
      </c>
      <c r="B2661" s="1" t="n">
        <v>45478</v>
      </c>
      <c r="C2661" s="1" t="n">
        <v>45845</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28876-2024</t>
        </is>
      </c>
      <c r="B2662" s="1" t="n">
        <v>45478</v>
      </c>
      <c r="C2662" s="1" t="n">
        <v>45845</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28917-2024</t>
        </is>
      </c>
      <c r="B2663" s="1" t="n">
        <v>45480</v>
      </c>
      <c r="C2663" s="1" t="n">
        <v>45845</v>
      </c>
      <c r="D2663" t="inlineStr">
        <is>
          <t>VÄSTERNORRLANDS LÄN</t>
        </is>
      </c>
      <c r="E2663" t="inlineStr">
        <is>
          <t>SUNDSVALL</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29062-2024</t>
        </is>
      </c>
      <c r="B2664" s="1" t="n">
        <v>45481</v>
      </c>
      <c r="C2664" s="1" t="n">
        <v>45845</v>
      </c>
      <c r="D2664" t="inlineStr">
        <is>
          <t>VÄSTERNORRLANDS LÄN</t>
        </is>
      </c>
      <c r="E2664" t="inlineStr">
        <is>
          <t>SUNDSVALL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29058-2024</t>
        </is>
      </c>
      <c r="B2665" s="1" t="n">
        <v>45481</v>
      </c>
      <c r="C2665" s="1" t="n">
        <v>45845</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29099-2024</t>
        </is>
      </c>
      <c r="B2666" s="1" t="n">
        <v>45482</v>
      </c>
      <c r="C2666" s="1" t="n">
        <v>45845</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29269-2024</t>
        </is>
      </c>
      <c r="B2667" s="1" t="n">
        <v>45483</v>
      </c>
      <c r="C2667" s="1" t="n">
        <v>45845</v>
      </c>
      <c r="D2667" t="inlineStr">
        <is>
          <t>VÄSTERNORRLANDS LÄN</t>
        </is>
      </c>
      <c r="E2667" t="inlineStr">
        <is>
          <t>SUNDSVALL</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29246-2024</t>
        </is>
      </c>
      <c r="B2668" s="1" t="n">
        <v>45482</v>
      </c>
      <c r="C2668" s="1" t="n">
        <v>45845</v>
      </c>
      <c r="D2668" t="inlineStr">
        <is>
          <t>VÄSTERNORRLANDS LÄN</t>
        </is>
      </c>
      <c r="E2668" t="inlineStr">
        <is>
          <t>SUNDSVALL</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29252-2024</t>
        </is>
      </c>
      <c r="B2669" s="1" t="n">
        <v>45483</v>
      </c>
      <c r="C2669" s="1" t="n">
        <v>45845</v>
      </c>
      <c r="D2669" t="inlineStr">
        <is>
          <t>VÄSTERNORRLANDS LÄN</t>
        </is>
      </c>
      <c r="E2669" t="inlineStr">
        <is>
          <t>SUNDSVALL</t>
        </is>
      </c>
      <c r="F2669" t="inlineStr">
        <is>
          <t>SCA</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29298-2024</t>
        </is>
      </c>
      <c r="B2670" s="1" t="n">
        <v>45483</v>
      </c>
      <c r="C2670" s="1" t="n">
        <v>45845</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29465-2024</t>
        </is>
      </c>
      <c r="B2671" s="1" t="n">
        <v>45484</v>
      </c>
      <c r="C2671" s="1" t="n">
        <v>45845</v>
      </c>
      <c r="D2671" t="inlineStr">
        <is>
          <t>VÄSTERNORRLANDS LÄN</t>
        </is>
      </c>
      <c r="E2671" t="inlineStr">
        <is>
          <t>SUNDSVALL</t>
        </is>
      </c>
      <c r="F2671" t="inlineStr">
        <is>
          <t>Naturvårdsverket</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29663-2024</t>
        </is>
      </c>
      <c r="B2672" s="1" t="n">
        <v>45485</v>
      </c>
      <c r="C2672" s="1" t="n">
        <v>45845</v>
      </c>
      <c r="D2672" t="inlineStr">
        <is>
          <t>VÄSTERNORRLANDS LÄN</t>
        </is>
      </c>
      <c r="E2672" t="inlineStr">
        <is>
          <t>SUNDSVALL</t>
        </is>
      </c>
      <c r="F2672" t="inlineStr">
        <is>
          <t>SCA</t>
        </is>
      </c>
      <c r="G2672" t="n">
        <v>44.6</v>
      </c>
      <c r="H2672" t="n">
        <v>0</v>
      </c>
      <c r="I2672" t="n">
        <v>0</v>
      </c>
      <c r="J2672" t="n">
        <v>0</v>
      </c>
      <c r="K2672" t="n">
        <v>0</v>
      </c>
      <c r="L2672" t="n">
        <v>0</v>
      </c>
      <c r="M2672" t="n">
        <v>0</v>
      </c>
      <c r="N2672" t="n">
        <v>0</v>
      </c>
      <c r="O2672" t="n">
        <v>0</v>
      </c>
      <c r="P2672" t="n">
        <v>0</v>
      </c>
      <c r="Q2672" t="n">
        <v>0</v>
      </c>
      <c r="R2672" s="2" t="inlineStr"/>
    </row>
    <row r="2673" ht="15" customHeight="1">
      <c r="A2673" t="inlineStr">
        <is>
          <t>A 29695-2024</t>
        </is>
      </c>
      <c r="B2673" s="1" t="n">
        <v>45485</v>
      </c>
      <c r="C2673" s="1" t="n">
        <v>45845</v>
      </c>
      <c r="D2673" t="inlineStr">
        <is>
          <t>VÄSTERNORRLANDS LÄN</t>
        </is>
      </c>
      <c r="E2673" t="inlineStr">
        <is>
          <t>SUNDSVALL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29662-2024</t>
        </is>
      </c>
      <c r="B2674" s="1" t="n">
        <v>45485</v>
      </c>
      <c r="C2674" s="1" t="n">
        <v>45845</v>
      </c>
      <c r="D2674" t="inlineStr">
        <is>
          <t>VÄSTERNORRLANDS LÄN</t>
        </is>
      </c>
      <c r="E2674" t="inlineStr">
        <is>
          <t>SUNDSVALL</t>
        </is>
      </c>
      <c r="F2674" t="inlineStr">
        <is>
          <t>SCA</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29867-2024</t>
        </is>
      </c>
      <c r="B2675" s="1" t="n">
        <v>45486</v>
      </c>
      <c r="C2675" s="1" t="n">
        <v>45845</v>
      </c>
      <c r="D2675" t="inlineStr">
        <is>
          <t>VÄSTERNORRLANDS LÄN</t>
        </is>
      </c>
      <c r="E2675" t="inlineStr">
        <is>
          <t>SUNDSVALL</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30048-2024</t>
        </is>
      </c>
      <c r="B2676" s="1" t="n">
        <v>45489</v>
      </c>
      <c r="C2676" s="1" t="n">
        <v>45845</v>
      </c>
      <c r="D2676" t="inlineStr">
        <is>
          <t>VÄSTERNORRLANDS LÄN</t>
        </is>
      </c>
      <c r="E2676" t="inlineStr">
        <is>
          <t>SUNDSVALL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30066-2024</t>
        </is>
      </c>
      <c r="B2677" s="1" t="n">
        <v>45489</v>
      </c>
      <c r="C2677" s="1" t="n">
        <v>45845</v>
      </c>
      <c r="D2677" t="inlineStr">
        <is>
          <t>VÄSTERNORRLANDS LÄN</t>
        </is>
      </c>
      <c r="E2677" t="inlineStr">
        <is>
          <t>SUNDSVALL</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30049-2024</t>
        </is>
      </c>
      <c r="B2678" s="1" t="n">
        <v>45489</v>
      </c>
      <c r="C2678" s="1" t="n">
        <v>45845</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30180-2024</t>
        </is>
      </c>
      <c r="B2679" s="1" t="n">
        <v>45490</v>
      </c>
      <c r="C2679" s="1" t="n">
        <v>45845</v>
      </c>
      <c r="D2679" t="inlineStr">
        <is>
          <t>VÄSTERNORRLANDS LÄN</t>
        </is>
      </c>
      <c r="E2679" t="inlineStr">
        <is>
          <t>SUNDSVALL</t>
        </is>
      </c>
      <c r="F2679" t="inlineStr">
        <is>
          <t>Kyrkan</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30270-2024</t>
        </is>
      </c>
      <c r="B2680" s="1" t="n">
        <v>45489</v>
      </c>
      <c r="C2680" s="1" t="n">
        <v>45845</v>
      </c>
      <c r="D2680" t="inlineStr">
        <is>
          <t>VÄSTERNORRLANDS LÄN</t>
        </is>
      </c>
      <c r="E2680" t="inlineStr">
        <is>
          <t>SUNDSVALL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30179-2024</t>
        </is>
      </c>
      <c r="B2681" s="1" t="n">
        <v>45490</v>
      </c>
      <c r="C2681" s="1" t="n">
        <v>45845</v>
      </c>
      <c r="D2681" t="inlineStr">
        <is>
          <t>VÄSTERNORRLANDS LÄN</t>
        </is>
      </c>
      <c r="E2681" t="inlineStr">
        <is>
          <t>SUNDSVALL</t>
        </is>
      </c>
      <c r="F2681" t="inlineStr">
        <is>
          <t>Kyrkan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30298-2024</t>
        </is>
      </c>
      <c r="B2682" s="1" t="n">
        <v>45490</v>
      </c>
      <c r="C2682" s="1" t="n">
        <v>45845</v>
      </c>
      <c r="D2682" t="inlineStr">
        <is>
          <t>VÄSTERNORRLANDS LÄN</t>
        </is>
      </c>
      <c r="E2682" t="inlineStr">
        <is>
          <t>SUNDSVALL</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30299-2024</t>
        </is>
      </c>
      <c r="B2683" s="1" t="n">
        <v>45490</v>
      </c>
      <c r="C2683" s="1" t="n">
        <v>45845</v>
      </c>
      <c r="D2683" t="inlineStr">
        <is>
          <t>VÄSTERNORRLANDS LÄN</t>
        </is>
      </c>
      <c r="E2683" t="inlineStr">
        <is>
          <t>SUNDSVALL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30462-2024</t>
        </is>
      </c>
      <c r="B2684" s="1" t="n">
        <v>45492</v>
      </c>
      <c r="C2684" s="1" t="n">
        <v>45845</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30479-2024</t>
        </is>
      </c>
      <c r="B2685" s="1" t="n">
        <v>45492</v>
      </c>
      <c r="C2685" s="1" t="n">
        <v>45845</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30560-2024</t>
        </is>
      </c>
      <c r="B2686" s="1" t="n">
        <v>45493</v>
      </c>
      <c r="C2686" s="1" t="n">
        <v>45845</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30686-2024</t>
        </is>
      </c>
      <c r="B2687" s="1" t="n">
        <v>45495</v>
      </c>
      <c r="C2687" s="1" t="n">
        <v>45845</v>
      </c>
      <c r="D2687" t="inlineStr">
        <is>
          <t>VÄSTERNORRLANDS LÄN</t>
        </is>
      </c>
      <c r="E2687" t="inlineStr">
        <is>
          <t>SUNDSVALL</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30684-2024</t>
        </is>
      </c>
      <c r="B2688" s="1" t="n">
        <v>45496</v>
      </c>
      <c r="C2688" s="1" t="n">
        <v>45845</v>
      </c>
      <c r="D2688" t="inlineStr">
        <is>
          <t>VÄSTERNORRLANDS LÄN</t>
        </is>
      </c>
      <c r="E2688" t="inlineStr">
        <is>
          <t>SUNDSVALL</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30750-2024</t>
        </is>
      </c>
      <c r="B2689" s="1" t="n">
        <v>45496</v>
      </c>
      <c r="C2689" s="1" t="n">
        <v>45845</v>
      </c>
      <c r="D2689" t="inlineStr">
        <is>
          <t>VÄSTERNORRLANDS LÄN</t>
        </is>
      </c>
      <c r="E2689" t="inlineStr">
        <is>
          <t>SUNDSVALL</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30748-2024</t>
        </is>
      </c>
      <c r="B2690" s="1" t="n">
        <v>45496</v>
      </c>
      <c r="C2690" s="1" t="n">
        <v>45845</v>
      </c>
      <c r="D2690" t="inlineStr">
        <is>
          <t>VÄSTERNORRLANDS LÄN</t>
        </is>
      </c>
      <c r="E2690" t="inlineStr">
        <is>
          <t>SUNDSVALL</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30799-2024</t>
        </is>
      </c>
      <c r="B2691" s="1" t="n">
        <v>45497</v>
      </c>
      <c r="C2691" s="1" t="n">
        <v>45845</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30944-2024</t>
        </is>
      </c>
      <c r="B2692" s="1" t="n">
        <v>45499</v>
      </c>
      <c r="C2692" s="1" t="n">
        <v>45845</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31271-2024</t>
        </is>
      </c>
      <c r="B2693" s="1" t="n">
        <v>45503</v>
      </c>
      <c r="C2693" s="1" t="n">
        <v>45845</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31317-2024</t>
        </is>
      </c>
      <c r="B2694" s="1" t="n">
        <v>45504</v>
      </c>
      <c r="C2694" s="1" t="n">
        <v>45845</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31539-2024</t>
        </is>
      </c>
      <c r="B2695" s="1" t="n">
        <v>45506</v>
      </c>
      <c r="C2695" s="1" t="n">
        <v>45845</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31499-2024</t>
        </is>
      </c>
      <c r="B2696" s="1" t="n">
        <v>45505</v>
      </c>
      <c r="C2696" s="1" t="n">
        <v>45845</v>
      </c>
      <c r="D2696" t="inlineStr">
        <is>
          <t>VÄSTERNORRLANDS LÄN</t>
        </is>
      </c>
      <c r="E2696" t="inlineStr">
        <is>
          <t>SUNDSVALL</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31436-2024</t>
        </is>
      </c>
      <c r="B2697" s="1" t="n">
        <v>45505</v>
      </c>
      <c r="C2697" s="1" t="n">
        <v>45845</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31440-2024</t>
        </is>
      </c>
      <c r="B2698" s="1" t="n">
        <v>45505</v>
      </c>
      <c r="C2698" s="1" t="n">
        <v>45845</v>
      </c>
      <c r="D2698" t="inlineStr">
        <is>
          <t>VÄSTERNORRLANDS LÄN</t>
        </is>
      </c>
      <c r="E2698" t="inlineStr">
        <is>
          <t>SUNDSVALL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31472-2024</t>
        </is>
      </c>
      <c r="B2699" s="1" t="n">
        <v>45506</v>
      </c>
      <c r="C2699" s="1" t="n">
        <v>45845</v>
      </c>
      <c r="D2699" t="inlineStr">
        <is>
          <t>VÄSTERNORRLANDS LÄN</t>
        </is>
      </c>
      <c r="E2699" t="inlineStr">
        <is>
          <t>SUNDSVALL</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31484-2024</t>
        </is>
      </c>
      <c r="B2700" s="1" t="n">
        <v>45505</v>
      </c>
      <c r="C2700" s="1" t="n">
        <v>45845</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31483-2024</t>
        </is>
      </c>
      <c r="B2701" s="1" t="n">
        <v>45505</v>
      </c>
      <c r="C2701" s="1" t="n">
        <v>45845</v>
      </c>
      <c r="D2701" t="inlineStr">
        <is>
          <t>VÄSTERNORRLANDS LÄN</t>
        </is>
      </c>
      <c r="E2701" t="inlineStr">
        <is>
          <t>SUNDSVALL</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31507-2024</t>
        </is>
      </c>
      <c r="B2702" s="1" t="n">
        <v>45505</v>
      </c>
      <c r="C2702" s="1" t="n">
        <v>45845</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31498-2024</t>
        </is>
      </c>
      <c r="B2703" s="1" t="n">
        <v>45505</v>
      </c>
      <c r="C2703" s="1" t="n">
        <v>45845</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31437-2024</t>
        </is>
      </c>
      <c r="B2704" s="1" t="n">
        <v>45506</v>
      </c>
      <c r="C2704" s="1" t="n">
        <v>45845</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31439-2024</t>
        </is>
      </c>
      <c r="B2705" s="1" t="n">
        <v>45506</v>
      </c>
      <c r="C2705" s="1" t="n">
        <v>45845</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31522-2024</t>
        </is>
      </c>
      <c r="B2706" s="1" t="n">
        <v>45505</v>
      </c>
      <c r="C2706" s="1" t="n">
        <v>45845</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31667-2024</t>
        </is>
      </c>
      <c r="B2707" s="1" t="n">
        <v>45506</v>
      </c>
      <c r="C2707" s="1" t="n">
        <v>45845</v>
      </c>
      <c r="D2707" t="inlineStr">
        <is>
          <t>VÄSTERNORRLANDS LÄN</t>
        </is>
      </c>
      <c r="E2707" t="inlineStr">
        <is>
          <t>SUNDSVALL</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31679-2024</t>
        </is>
      </c>
      <c r="B2708" s="1" t="n">
        <v>45506</v>
      </c>
      <c r="C2708" s="1" t="n">
        <v>45845</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31666-2024</t>
        </is>
      </c>
      <c r="B2709" s="1" t="n">
        <v>45506</v>
      </c>
      <c r="C2709" s="1" t="n">
        <v>45845</v>
      </c>
      <c r="D2709" t="inlineStr">
        <is>
          <t>VÄSTERNORRLANDS LÄN</t>
        </is>
      </c>
      <c r="E2709" t="inlineStr">
        <is>
          <t>SUNDSVALL</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31712-2024</t>
        </is>
      </c>
      <c r="B2710" s="1" t="n">
        <v>45508</v>
      </c>
      <c r="C2710" s="1" t="n">
        <v>45845</v>
      </c>
      <c r="D2710" t="inlineStr">
        <is>
          <t>VÄSTERNORRLANDS LÄN</t>
        </is>
      </c>
      <c r="E2710" t="inlineStr">
        <is>
          <t>SUNDSVALL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32032-2024</t>
        </is>
      </c>
      <c r="B2711" s="1" t="n">
        <v>45510</v>
      </c>
      <c r="C2711" s="1" t="n">
        <v>45845</v>
      </c>
      <c r="D2711" t="inlineStr">
        <is>
          <t>VÄSTERNORRLANDS LÄN</t>
        </is>
      </c>
      <c r="E2711" t="inlineStr">
        <is>
          <t>SUNDSVALL</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31951-2024</t>
        </is>
      </c>
      <c r="B2712" s="1" t="n">
        <v>45510</v>
      </c>
      <c r="C2712" s="1" t="n">
        <v>45845</v>
      </c>
      <c r="D2712" t="inlineStr">
        <is>
          <t>VÄSTERNORRLANDS LÄN</t>
        </is>
      </c>
      <c r="E2712" t="inlineStr">
        <is>
          <t>SUNDSVALL</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32128-2024</t>
        </is>
      </c>
      <c r="B2713" s="1" t="n">
        <v>45511</v>
      </c>
      <c r="C2713" s="1" t="n">
        <v>45845</v>
      </c>
      <c r="D2713" t="inlineStr">
        <is>
          <t>VÄSTERNORRLANDS LÄN</t>
        </is>
      </c>
      <c r="E2713" t="inlineStr">
        <is>
          <t>SUNDSVALL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32470-2024</t>
        </is>
      </c>
      <c r="B2714" s="1" t="n">
        <v>45513</v>
      </c>
      <c r="C2714" s="1" t="n">
        <v>45845</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32391-2024</t>
        </is>
      </c>
      <c r="B2715" s="1" t="n">
        <v>45512</v>
      </c>
      <c r="C2715" s="1" t="n">
        <v>45845</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32399-2024</t>
        </is>
      </c>
      <c r="B2716" s="1" t="n">
        <v>45512</v>
      </c>
      <c r="C2716" s="1" t="n">
        <v>45845</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32393-2024</t>
        </is>
      </c>
      <c r="B2717" s="1" t="n">
        <v>45512</v>
      </c>
      <c r="C2717" s="1" t="n">
        <v>45845</v>
      </c>
      <c r="D2717" t="inlineStr">
        <is>
          <t>VÄSTERNORRLANDS LÄN</t>
        </is>
      </c>
      <c r="E2717" t="inlineStr">
        <is>
          <t>SUNDSVALL</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32529-2024</t>
        </is>
      </c>
      <c r="B2718" s="1" t="n">
        <v>45513</v>
      </c>
      <c r="C2718" s="1" t="n">
        <v>45845</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32652-2024</t>
        </is>
      </c>
      <c r="B2719" s="1" t="n">
        <v>45513</v>
      </c>
      <c r="C2719" s="1" t="n">
        <v>45845</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32653-2024</t>
        </is>
      </c>
      <c r="B2720" s="1" t="n">
        <v>45514</v>
      </c>
      <c r="C2720" s="1" t="n">
        <v>45845</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33042-2024</t>
        </is>
      </c>
      <c r="B2721" s="1" t="n">
        <v>45517</v>
      </c>
      <c r="C2721" s="1" t="n">
        <v>45845</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33004-2024</t>
        </is>
      </c>
      <c r="B2722" s="1" t="n">
        <v>45517</v>
      </c>
      <c r="C2722" s="1" t="n">
        <v>45845</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33108-2024</t>
        </is>
      </c>
      <c r="B2723" s="1" t="n">
        <v>45517</v>
      </c>
      <c r="C2723" s="1" t="n">
        <v>45845</v>
      </c>
      <c r="D2723" t="inlineStr">
        <is>
          <t>VÄSTERNORRLANDS LÄN</t>
        </is>
      </c>
      <c r="E2723" t="inlineStr">
        <is>
          <t>SUNDSVALL</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33023-2024</t>
        </is>
      </c>
      <c r="B2724" s="1" t="n">
        <v>45517</v>
      </c>
      <c r="C2724" s="1" t="n">
        <v>45845</v>
      </c>
      <c r="D2724" t="inlineStr">
        <is>
          <t>VÄSTERNORRLANDS LÄN</t>
        </is>
      </c>
      <c r="E2724" t="inlineStr">
        <is>
          <t>SUNDSVALL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33735-2024</t>
        </is>
      </c>
      <c r="B2725" s="1" t="n">
        <v>45520</v>
      </c>
      <c r="C2725" s="1" t="n">
        <v>45845</v>
      </c>
      <c r="D2725" t="inlineStr">
        <is>
          <t>VÄSTERNORRLANDS LÄN</t>
        </is>
      </c>
      <c r="E2725" t="inlineStr">
        <is>
          <t>SUNDSVALL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33911-2024</t>
        </is>
      </c>
      <c r="B2726" s="1" t="n">
        <v>45523</v>
      </c>
      <c r="C2726" s="1" t="n">
        <v>45845</v>
      </c>
      <c r="D2726" t="inlineStr">
        <is>
          <t>VÄSTERNORRLANDS LÄN</t>
        </is>
      </c>
      <c r="E2726" t="inlineStr">
        <is>
          <t>SUNDSVALL</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34195-2024</t>
        </is>
      </c>
      <c r="B2727" s="1" t="n">
        <v>45524</v>
      </c>
      <c r="C2727" s="1" t="n">
        <v>45845</v>
      </c>
      <c r="D2727" t="inlineStr">
        <is>
          <t>VÄSTERNORRLANDS LÄN</t>
        </is>
      </c>
      <c r="E2727" t="inlineStr">
        <is>
          <t>SUNDSVALL</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34249-2024</t>
        </is>
      </c>
      <c r="B2728" s="1" t="n">
        <v>45524</v>
      </c>
      <c r="C2728" s="1" t="n">
        <v>45845</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34296-2024</t>
        </is>
      </c>
      <c r="B2729" s="1" t="n">
        <v>45524</v>
      </c>
      <c r="C2729" s="1" t="n">
        <v>45845</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34544-2024</t>
        </is>
      </c>
      <c r="B2730" s="1" t="n">
        <v>45525</v>
      </c>
      <c r="C2730" s="1" t="n">
        <v>45845</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34543-2024</t>
        </is>
      </c>
      <c r="B2731" s="1" t="n">
        <v>45525</v>
      </c>
      <c r="C2731" s="1" t="n">
        <v>45845</v>
      </c>
      <c r="D2731" t="inlineStr">
        <is>
          <t>VÄSTERNORRLANDS LÄN</t>
        </is>
      </c>
      <c r="E2731" t="inlineStr">
        <is>
          <t>SUNDSVALL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34607-2024</t>
        </is>
      </c>
      <c r="B2732" s="1" t="n">
        <v>45526</v>
      </c>
      <c r="C2732" s="1" t="n">
        <v>45845</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34611-2024</t>
        </is>
      </c>
      <c r="B2733" s="1" t="n">
        <v>45526</v>
      </c>
      <c r="C2733" s="1" t="n">
        <v>45845</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34822-2024</t>
        </is>
      </c>
      <c r="B2734" s="1" t="n">
        <v>45526</v>
      </c>
      <c r="C2734" s="1" t="n">
        <v>45845</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34706-2024</t>
        </is>
      </c>
      <c r="B2735" s="1" t="n">
        <v>45526</v>
      </c>
      <c r="C2735" s="1" t="n">
        <v>45845</v>
      </c>
      <c r="D2735" t="inlineStr">
        <is>
          <t>VÄSTERNORRLANDS LÄN</t>
        </is>
      </c>
      <c r="E2735" t="inlineStr">
        <is>
          <t>SUNDSVALL</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34866-2024</t>
        </is>
      </c>
      <c r="B2736" s="1" t="n">
        <v>45527</v>
      </c>
      <c r="C2736" s="1" t="n">
        <v>45845</v>
      </c>
      <c r="D2736" t="inlineStr">
        <is>
          <t>VÄSTERNORRLANDS LÄN</t>
        </is>
      </c>
      <c r="E2736" t="inlineStr">
        <is>
          <t>SUNDSVALL</t>
        </is>
      </c>
      <c r="F2736" t="inlineStr">
        <is>
          <t>SCA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34900-2024</t>
        </is>
      </c>
      <c r="B2737" s="1" t="n">
        <v>45527</v>
      </c>
      <c r="C2737" s="1" t="n">
        <v>45845</v>
      </c>
      <c r="D2737" t="inlineStr">
        <is>
          <t>VÄSTERNORRLANDS LÄN</t>
        </is>
      </c>
      <c r="E2737" t="inlineStr">
        <is>
          <t>SUNDSVALL</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34977-2024</t>
        </is>
      </c>
      <c r="B2738" s="1" t="n">
        <v>45527</v>
      </c>
      <c r="C2738" s="1" t="n">
        <v>45845</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35174-2024</t>
        </is>
      </c>
      <c r="B2739" s="1" t="n">
        <v>45530</v>
      </c>
      <c r="C2739" s="1" t="n">
        <v>45845</v>
      </c>
      <c r="D2739" t="inlineStr">
        <is>
          <t>VÄSTERNORRLANDS LÄN</t>
        </is>
      </c>
      <c r="E2739" t="inlineStr">
        <is>
          <t>SUNDSVALL</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35145-2024</t>
        </is>
      </c>
      <c r="B2740" s="1" t="n">
        <v>45530</v>
      </c>
      <c r="C2740" s="1" t="n">
        <v>45845</v>
      </c>
      <c r="D2740" t="inlineStr">
        <is>
          <t>VÄSTERNORRLANDS LÄN</t>
        </is>
      </c>
      <c r="E2740" t="inlineStr">
        <is>
          <t>SUNDSVALL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35218-2024</t>
        </is>
      </c>
      <c r="B2741" s="1" t="n">
        <v>45530</v>
      </c>
      <c r="C2741" s="1" t="n">
        <v>45845</v>
      </c>
      <c r="D2741" t="inlineStr">
        <is>
          <t>VÄSTERNORRLANDS LÄN</t>
        </is>
      </c>
      <c r="E2741" t="inlineStr">
        <is>
          <t>SUNDSVALL</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35389-2024</t>
        </is>
      </c>
      <c r="B2742" s="1" t="n">
        <v>45531</v>
      </c>
      <c r="C2742" s="1" t="n">
        <v>45845</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35682-2024</t>
        </is>
      </c>
      <c r="B2743" s="1" t="n">
        <v>45532</v>
      </c>
      <c r="C2743" s="1" t="n">
        <v>45845</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35735-2024</t>
        </is>
      </c>
      <c r="B2744" s="1" t="n">
        <v>45532</v>
      </c>
      <c r="C2744" s="1" t="n">
        <v>45845</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35758-2024</t>
        </is>
      </c>
      <c r="B2745" s="1" t="n">
        <v>45532</v>
      </c>
      <c r="C2745" s="1" t="n">
        <v>45845</v>
      </c>
      <c r="D2745" t="inlineStr">
        <is>
          <t>VÄSTERNORRLANDS LÄN</t>
        </is>
      </c>
      <c r="E2745" t="inlineStr">
        <is>
          <t>SUNDSVALL</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35826-2024</t>
        </is>
      </c>
      <c r="B2746" s="1" t="n">
        <v>45532</v>
      </c>
      <c r="C2746" s="1" t="n">
        <v>45845</v>
      </c>
      <c r="D2746" t="inlineStr">
        <is>
          <t>VÄSTERNORRLANDS LÄN</t>
        </is>
      </c>
      <c r="E2746" t="inlineStr">
        <is>
          <t>SUNDSVALL</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35825-2024</t>
        </is>
      </c>
      <c r="B2747" s="1" t="n">
        <v>45532</v>
      </c>
      <c r="C2747" s="1" t="n">
        <v>45845</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35885-2024</t>
        </is>
      </c>
      <c r="B2748" s="1" t="n">
        <v>45533</v>
      </c>
      <c r="C2748" s="1" t="n">
        <v>45845</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36101-2024</t>
        </is>
      </c>
      <c r="B2749" s="1" t="n">
        <v>45533</v>
      </c>
      <c r="C2749" s="1" t="n">
        <v>45845</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36550-2024</t>
        </is>
      </c>
      <c r="B2750" s="1" t="n">
        <v>45537</v>
      </c>
      <c r="C2750" s="1" t="n">
        <v>45845</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36618-2024</t>
        </is>
      </c>
      <c r="B2751" s="1" t="n">
        <v>45537</v>
      </c>
      <c r="C2751" s="1" t="n">
        <v>45845</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36634-2024</t>
        </is>
      </c>
      <c r="B2752" s="1" t="n">
        <v>45537</v>
      </c>
      <c r="C2752" s="1" t="n">
        <v>45845</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36512-2024</t>
        </is>
      </c>
      <c r="B2753" s="1" t="n">
        <v>45537</v>
      </c>
      <c r="C2753" s="1" t="n">
        <v>45845</v>
      </c>
      <c r="D2753" t="inlineStr">
        <is>
          <t>VÄSTERNORRLANDS LÄN</t>
        </is>
      </c>
      <c r="E2753" t="inlineStr">
        <is>
          <t>SUNDSVALL</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36624-2024</t>
        </is>
      </c>
      <c r="B2754" s="1" t="n">
        <v>45537</v>
      </c>
      <c r="C2754" s="1" t="n">
        <v>45845</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36632-2024</t>
        </is>
      </c>
      <c r="B2755" s="1" t="n">
        <v>45537</v>
      </c>
      <c r="C2755" s="1" t="n">
        <v>45845</v>
      </c>
      <c r="D2755" t="inlineStr">
        <is>
          <t>VÄSTERNORRLANDS LÄN</t>
        </is>
      </c>
      <c r="E2755" t="inlineStr">
        <is>
          <t>SUNDSVALL</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36633-2024</t>
        </is>
      </c>
      <c r="B2756" s="1" t="n">
        <v>45537</v>
      </c>
      <c r="C2756" s="1" t="n">
        <v>45845</v>
      </c>
      <c r="D2756" t="inlineStr">
        <is>
          <t>VÄSTERNORRLANDS LÄN</t>
        </is>
      </c>
      <c r="E2756" t="inlineStr">
        <is>
          <t>SUNDSVALL</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36535-2024</t>
        </is>
      </c>
      <c r="B2757" s="1" t="n">
        <v>45537</v>
      </c>
      <c r="C2757" s="1" t="n">
        <v>45845</v>
      </c>
      <c r="D2757" t="inlineStr">
        <is>
          <t>VÄSTERNORRLANDS LÄN</t>
        </is>
      </c>
      <c r="E2757" t="inlineStr">
        <is>
          <t>SUNDSVALL</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36611-2024</t>
        </is>
      </c>
      <c r="B2758" s="1" t="n">
        <v>45537</v>
      </c>
      <c r="C2758" s="1" t="n">
        <v>45845</v>
      </c>
      <c r="D2758" t="inlineStr">
        <is>
          <t>VÄSTERNORRLANDS LÄN</t>
        </is>
      </c>
      <c r="E2758" t="inlineStr">
        <is>
          <t>SUNDSVALL</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36635-2024</t>
        </is>
      </c>
      <c r="B2759" s="1" t="n">
        <v>45537</v>
      </c>
      <c r="C2759" s="1" t="n">
        <v>45845</v>
      </c>
      <c r="D2759" t="inlineStr">
        <is>
          <t>VÄSTERNORRLANDS LÄN</t>
        </is>
      </c>
      <c r="E2759" t="inlineStr">
        <is>
          <t>SUNDSVALL</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36784-2024</t>
        </is>
      </c>
      <c r="B2760" s="1" t="n">
        <v>45538</v>
      </c>
      <c r="C2760" s="1" t="n">
        <v>45845</v>
      </c>
      <c r="D2760" t="inlineStr">
        <is>
          <t>VÄSTERNORRLANDS LÄN</t>
        </is>
      </c>
      <c r="E2760" t="inlineStr">
        <is>
          <t>SUNDSVALL</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37209-2024</t>
        </is>
      </c>
      <c r="B2761" s="1" t="n">
        <v>45539</v>
      </c>
      <c r="C2761" s="1" t="n">
        <v>45845</v>
      </c>
      <c r="D2761" t="inlineStr">
        <is>
          <t>VÄSTERNORRLANDS LÄN</t>
        </is>
      </c>
      <c r="E2761" t="inlineStr">
        <is>
          <t>SUNDSVALL</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37416-2024</t>
        </is>
      </c>
      <c r="B2762" s="1" t="n">
        <v>45540</v>
      </c>
      <c r="C2762" s="1" t="n">
        <v>45845</v>
      </c>
      <c r="D2762" t="inlineStr">
        <is>
          <t>VÄSTERNORRLANDS LÄN</t>
        </is>
      </c>
      <c r="E2762" t="inlineStr">
        <is>
          <t>SUNDSVALL</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37584-2024</t>
        </is>
      </c>
      <c r="B2763" s="1" t="n">
        <v>45541</v>
      </c>
      <c r="C2763" s="1" t="n">
        <v>45845</v>
      </c>
      <c r="D2763" t="inlineStr">
        <is>
          <t>VÄSTERNORRLANDS LÄN</t>
        </is>
      </c>
      <c r="E2763" t="inlineStr">
        <is>
          <t>SUNDSVALL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37605-2024</t>
        </is>
      </c>
      <c r="B2764" s="1" t="n">
        <v>45541</v>
      </c>
      <c r="C2764" s="1" t="n">
        <v>45845</v>
      </c>
      <c r="D2764" t="inlineStr">
        <is>
          <t>VÄSTERNORRLANDS LÄN</t>
        </is>
      </c>
      <c r="E2764" t="inlineStr">
        <is>
          <t>SUNDSVALL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37545-2024</t>
        </is>
      </c>
      <c r="B2765" s="1" t="n">
        <v>45541</v>
      </c>
      <c r="C2765" s="1" t="n">
        <v>45845</v>
      </c>
      <c r="D2765" t="inlineStr">
        <is>
          <t>VÄSTERNORRLANDS LÄN</t>
        </is>
      </c>
      <c r="E2765" t="inlineStr">
        <is>
          <t>SUNDSVALL</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37887-2024</t>
        </is>
      </c>
      <c r="B2766" s="1" t="n">
        <v>45544</v>
      </c>
      <c r="C2766" s="1" t="n">
        <v>45845</v>
      </c>
      <c r="D2766" t="inlineStr">
        <is>
          <t>VÄSTERNORRLANDS LÄN</t>
        </is>
      </c>
      <c r="E2766" t="inlineStr">
        <is>
          <t>SUNDSVALL</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37886-2024</t>
        </is>
      </c>
      <c r="B2767" s="1" t="n">
        <v>45544</v>
      </c>
      <c r="C2767" s="1" t="n">
        <v>45845</v>
      </c>
      <c r="D2767" t="inlineStr">
        <is>
          <t>VÄSTERNORRLANDS LÄN</t>
        </is>
      </c>
      <c r="E2767" t="inlineStr">
        <is>
          <t>SUNDSVALL</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37902-2024</t>
        </is>
      </c>
      <c r="B2768" s="1" t="n">
        <v>45544</v>
      </c>
      <c r="C2768" s="1" t="n">
        <v>45845</v>
      </c>
      <c r="D2768" t="inlineStr">
        <is>
          <t>VÄSTERNORRLANDS LÄN</t>
        </is>
      </c>
      <c r="E2768" t="inlineStr">
        <is>
          <t>SUNDSVALL</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38287-2024</t>
        </is>
      </c>
      <c r="B2769" s="1" t="n">
        <v>45545</v>
      </c>
      <c r="C2769" s="1" t="n">
        <v>45845</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38303-2024</t>
        </is>
      </c>
      <c r="B2770" s="1" t="n">
        <v>45545</v>
      </c>
      <c r="C2770" s="1" t="n">
        <v>45845</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38807-2024</t>
        </is>
      </c>
      <c r="B2771" s="1" t="n">
        <v>45547</v>
      </c>
      <c r="C2771" s="1" t="n">
        <v>45845</v>
      </c>
      <c r="D2771" t="inlineStr">
        <is>
          <t>VÄSTERNORRLANDS LÄN</t>
        </is>
      </c>
      <c r="E2771" t="inlineStr">
        <is>
          <t>SUNDSVALL</t>
        </is>
      </c>
      <c r="F2771" t="inlineStr">
        <is>
          <t>Holmen skog AB</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38864-2024</t>
        </is>
      </c>
      <c r="B2772" s="1" t="n">
        <v>45547</v>
      </c>
      <c r="C2772" s="1" t="n">
        <v>45845</v>
      </c>
      <c r="D2772" t="inlineStr">
        <is>
          <t>VÄSTERNORRLANDS LÄN</t>
        </is>
      </c>
      <c r="E2772" t="inlineStr">
        <is>
          <t>SUNDSVALL</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38942-2024</t>
        </is>
      </c>
      <c r="B2773" s="1" t="n">
        <v>45548</v>
      </c>
      <c r="C2773" s="1" t="n">
        <v>45845</v>
      </c>
      <c r="D2773" t="inlineStr">
        <is>
          <t>VÄSTERNORRLANDS LÄN</t>
        </is>
      </c>
      <c r="E2773" t="inlineStr">
        <is>
          <t>SUNDSVALL</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38939-2024</t>
        </is>
      </c>
      <c r="B2774" s="1" t="n">
        <v>45548</v>
      </c>
      <c r="C2774" s="1" t="n">
        <v>45845</v>
      </c>
      <c r="D2774" t="inlineStr">
        <is>
          <t>VÄSTERNORRLANDS LÄN</t>
        </is>
      </c>
      <c r="E2774" t="inlineStr">
        <is>
          <t>SUNDSVALL</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39013-2024</t>
        </is>
      </c>
      <c r="B2775" s="1" t="n">
        <v>45548</v>
      </c>
      <c r="C2775" s="1" t="n">
        <v>45845</v>
      </c>
      <c r="D2775" t="inlineStr">
        <is>
          <t>VÄSTERNORRLANDS LÄN</t>
        </is>
      </c>
      <c r="E2775" t="inlineStr">
        <is>
          <t>SUNDSVALL</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39037-2024</t>
        </is>
      </c>
      <c r="B2776" s="1" t="n">
        <v>45548</v>
      </c>
      <c r="C2776" s="1" t="n">
        <v>45845</v>
      </c>
      <c r="D2776" t="inlineStr">
        <is>
          <t>VÄSTERNORRLANDS LÄN</t>
        </is>
      </c>
      <c r="E2776" t="inlineStr">
        <is>
          <t>SUNDSVALL</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39162-2024</t>
        </is>
      </c>
      <c r="B2777" s="1" t="n">
        <v>45548</v>
      </c>
      <c r="C2777" s="1" t="n">
        <v>45845</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39347-2024</t>
        </is>
      </c>
      <c r="B2778" s="1" t="n">
        <v>45551</v>
      </c>
      <c r="C2778" s="1" t="n">
        <v>45845</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39370-2024</t>
        </is>
      </c>
      <c r="B2779" s="1" t="n">
        <v>45551</v>
      </c>
      <c r="C2779" s="1" t="n">
        <v>45845</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39559-2024</t>
        </is>
      </c>
      <c r="B2780" s="1" t="n">
        <v>45552</v>
      </c>
      <c r="C2780" s="1" t="n">
        <v>45845</v>
      </c>
      <c r="D2780" t="inlineStr">
        <is>
          <t>VÄSTERNORRLANDS LÄN</t>
        </is>
      </c>
      <c r="E2780" t="inlineStr">
        <is>
          <t>SUNDSVALL</t>
        </is>
      </c>
      <c r="F2780" t="inlineStr">
        <is>
          <t>Naturvårdsverket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39713-2024</t>
        </is>
      </c>
      <c r="B2781" s="1" t="n">
        <v>45552</v>
      </c>
      <c r="C2781" s="1" t="n">
        <v>45845</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39711-2024</t>
        </is>
      </c>
      <c r="B2782" s="1" t="n">
        <v>45552</v>
      </c>
      <c r="C2782" s="1" t="n">
        <v>45845</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39710-2024</t>
        </is>
      </c>
      <c r="B2783" s="1" t="n">
        <v>45552</v>
      </c>
      <c r="C2783" s="1" t="n">
        <v>45845</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39730-2024</t>
        </is>
      </c>
      <c r="B2784" s="1" t="n">
        <v>45552</v>
      </c>
      <c r="C2784" s="1" t="n">
        <v>45845</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39754-2024</t>
        </is>
      </c>
      <c r="B2785" s="1" t="n">
        <v>45552</v>
      </c>
      <c r="C2785" s="1" t="n">
        <v>45845</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v>
      </c>
      <c r="C2786" s="1" t="n">
        <v>45845</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39922-2024</t>
        </is>
      </c>
      <c r="B2787" s="1" t="n">
        <v>45553</v>
      </c>
      <c r="C2787" s="1" t="n">
        <v>45845</v>
      </c>
      <c r="D2787" t="inlineStr">
        <is>
          <t>VÄSTERNORRLANDS LÄN</t>
        </is>
      </c>
      <c r="E2787" t="inlineStr">
        <is>
          <t>SUNDSVALL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39900-2024</t>
        </is>
      </c>
      <c r="B2788" s="1" t="n">
        <v>45553</v>
      </c>
      <c r="C2788" s="1" t="n">
        <v>45845</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40040-2024</t>
        </is>
      </c>
      <c r="B2789" s="1" t="n">
        <v>45553</v>
      </c>
      <c r="C2789" s="1" t="n">
        <v>45845</v>
      </c>
      <c r="D2789" t="inlineStr">
        <is>
          <t>VÄSTERNORRLANDS LÄN</t>
        </is>
      </c>
      <c r="E2789" t="inlineStr">
        <is>
          <t>SUNDSVALL</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40050-2024</t>
        </is>
      </c>
      <c r="B2790" s="1" t="n">
        <v>45553</v>
      </c>
      <c r="C2790" s="1" t="n">
        <v>45845</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40044-2024</t>
        </is>
      </c>
      <c r="B2791" s="1" t="n">
        <v>45553</v>
      </c>
      <c r="C2791" s="1" t="n">
        <v>45845</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40319-2024</t>
        </is>
      </c>
      <c r="B2792" s="1" t="n">
        <v>45554</v>
      </c>
      <c r="C2792" s="1" t="n">
        <v>45845</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40317-2024</t>
        </is>
      </c>
      <c r="B2793" s="1" t="n">
        <v>45554</v>
      </c>
      <c r="C2793" s="1" t="n">
        <v>45845</v>
      </c>
      <c r="D2793" t="inlineStr">
        <is>
          <t>VÄSTERNORRLANDS LÄN</t>
        </is>
      </c>
      <c r="E2793" t="inlineStr">
        <is>
          <t>SUNDSVALL</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40077-2024</t>
        </is>
      </c>
      <c r="B2794" s="1" t="n">
        <v>45554</v>
      </c>
      <c r="C2794" s="1" t="n">
        <v>45845</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40089-2024</t>
        </is>
      </c>
      <c r="B2795" s="1" t="n">
        <v>45554</v>
      </c>
      <c r="C2795" s="1" t="n">
        <v>45845</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40384-2024</t>
        </is>
      </c>
      <c r="B2796" s="1" t="n">
        <v>45555</v>
      </c>
      <c r="C2796" s="1" t="n">
        <v>45845</v>
      </c>
      <c r="D2796" t="inlineStr">
        <is>
          <t>VÄSTERNORRLANDS LÄN</t>
        </is>
      </c>
      <c r="E2796" t="inlineStr">
        <is>
          <t>SUNDSVALL</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40473-2024</t>
        </is>
      </c>
      <c r="B2797" s="1" t="n">
        <v>45555</v>
      </c>
      <c r="C2797" s="1" t="n">
        <v>45845</v>
      </c>
      <c r="D2797" t="inlineStr">
        <is>
          <t>VÄSTERNORRLANDS LÄN</t>
        </is>
      </c>
      <c r="E2797" t="inlineStr">
        <is>
          <t>SUNDSVALL</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40922-2024</t>
        </is>
      </c>
      <c r="B2798" s="1" t="n">
        <v>45558</v>
      </c>
      <c r="C2798" s="1" t="n">
        <v>45845</v>
      </c>
      <c r="D2798" t="inlineStr">
        <is>
          <t>VÄSTERNORRLANDS LÄN</t>
        </is>
      </c>
      <c r="E2798" t="inlineStr">
        <is>
          <t>SUNDSVALL</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41091-2024</t>
        </is>
      </c>
      <c r="B2799" s="1" t="n">
        <v>45559</v>
      </c>
      <c r="C2799" s="1" t="n">
        <v>45845</v>
      </c>
      <c r="D2799" t="inlineStr">
        <is>
          <t>VÄSTERNORRLANDS LÄN</t>
        </is>
      </c>
      <c r="E2799" t="inlineStr">
        <is>
          <t>SUNDSVALL</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41196-2024</t>
        </is>
      </c>
      <c r="B2800" s="1" t="n">
        <v>45559</v>
      </c>
      <c r="C2800" s="1" t="n">
        <v>45845</v>
      </c>
      <c r="D2800" t="inlineStr">
        <is>
          <t>VÄSTERNORRLANDS LÄN</t>
        </is>
      </c>
      <c r="E2800" t="inlineStr">
        <is>
          <t>SUNDSVALL</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41200-2024</t>
        </is>
      </c>
      <c r="B2801" s="1" t="n">
        <v>45559</v>
      </c>
      <c r="C2801" s="1" t="n">
        <v>45845</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41244-2024</t>
        </is>
      </c>
      <c r="B2802" s="1" t="n">
        <v>45559</v>
      </c>
      <c r="C2802" s="1" t="n">
        <v>45845</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41287-2024</t>
        </is>
      </c>
      <c r="B2803" s="1" t="n">
        <v>45559</v>
      </c>
      <c r="C2803" s="1" t="n">
        <v>45845</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41027-2024</t>
        </is>
      </c>
      <c r="B2804" s="1" t="n">
        <v>45559</v>
      </c>
      <c r="C2804" s="1" t="n">
        <v>45845</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41456-2024</t>
        </is>
      </c>
      <c r="B2805" s="1" t="n">
        <v>45559</v>
      </c>
      <c r="C2805" s="1" t="n">
        <v>45845</v>
      </c>
      <c r="D2805" t="inlineStr">
        <is>
          <t>VÄSTERNORRLANDS LÄN</t>
        </is>
      </c>
      <c r="E2805" t="inlineStr">
        <is>
          <t>SUNDSVALL</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41381-2024</t>
        </is>
      </c>
      <c r="B2806" s="1" t="n">
        <v>45559</v>
      </c>
      <c r="C2806" s="1" t="n">
        <v>45845</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41354-2024</t>
        </is>
      </c>
      <c r="B2807" s="1" t="n">
        <v>45559</v>
      </c>
      <c r="C2807" s="1" t="n">
        <v>45845</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41380-2024</t>
        </is>
      </c>
      <c r="B2808" s="1" t="n">
        <v>45559</v>
      </c>
      <c r="C2808" s="1" t="n">
        <v>45845</v>
      </c>
      <c r="D2808" t="inlineStr">
        <is>
          <t>VÄSTERNORRLANDS LÄN</t>
        </is>
      </c>
      <c r="E2808" t="inlineStr">
        <is>
          <t>SUNDSVALL</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41652-2024</t>
        </is>
      </c>
      <c r="B2809" s="1" t="n">
        <v>45560</v>
      </c>
      <c r="C2809" s="1" t="n">
        <v>45845</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41681-2024</t>
        </is>
      </c>
      <c r="B2810" s="1" t="n">
        <v>45560</v>
      </c>
      <c r="C2810" s="1" t="n">
        <v>45845</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41655-2024</t>
        </is>
      </c>
      <c r="B2811" s="1" t="n">
        <v>45560</v>
      </c>
      <c r="C2811" s="1" t="n">
        <v>45845</v>
      </c>
      <c r="D2811" t="inlineStr">
        <is>
          <t>VÄSTERNORRLANDS LÄN</t>
        </is>
      </c>
      <c r="E2811" t="inlineStr">
        <is>
          <t>SUNDSVALL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41741-2024</t>
        </is>
      </c>
      <c r="B2812" s="1" t="n">
        <v>45561</v>
      </c>
      <c r="C2812" s="1" t="n">
        <v>45845</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41753-2024</t>
        </is>
      </c>
      <c r="B2813" s="1" t="n">
        <v>45561</v>
      </c>
      <c r="C2813" s="1" t="n">
        <v>45845</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41765-2024</t>
        </is>
      </c>
      <c r="B2814" s="1" t="n">
        <v>45561</v>
      </c>
      <c r="C2814" s="1" t="n">
        <v>45845</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42114-2024</t>
        </is>
      </c>
      <c r="B2815" s="1" t="n">
        <v>45562</v>
      </c>
      <c r="C2815" s="1" t="n">
        <v>45845</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42525-2024</t>
        </is>
      </c>
      <c r="B2816" s="1" t="n">
        <v>45565</v>
      </c>
      <c r="C2816" s="1" t="n">
        <v>45845</v>
      </c>
      <c r="D2816" t="inlineStr">
        <is>
          <t>VÄSTERNORRLANDS LÄN</t>
        </is>
      </c>
      <c r="E2816" t="inlineStr">
        <is>
          <t>SUNDSVALL</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42497-2024</t>
        </is>
      </c>
      <c r="B2817" s="1" t="n">
        <v>45565</v>
      </c>
      <c r="C2817" s="1" t="n">
        <v>45845</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42833-2024</t>
        </is>
      </c>
      <c r="B2818" s="1" t="n">
        <v>45566</v>
      </c>
      <c r="C2818" s="1" t="n">
        <v>45845</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42771-2024</t>
        </is>
      </c>
      <c r="B2819" s="1" t="n">
        <v>45566</v>
      </c>
      <c r="C2819" s="1" t="n">
        <v>45845</v>
      </c>
      <c r="D2819" t="inlineStr">
        <is>
          <t>VÄSTERNORRLANDS LÄN</t>
        </is>
      </c>
      <c r="E2819" t="inlineStr">
        <is>
          <t>SUNDSVALL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43004-2024</t>
        </is>
      </c>
      <c r="B2820" s="1" t="n">
        <v>45567</v>
      </c>
      <c r="C2820" s="1" t="n">
        <v>45845</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43001-2024</t>
        </is>
      </c>
      <c r="B2821" s="1" t="n">
        <v>45567</v>
      </c>
      <c r="C2821" s="1" t="n">
        <v>45845</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42977-2024</t>
        </is>
      </c>
      <c r="B2822" s="1" t="n">
        <v>45567</v>
      </c>
      <c r="C2822" s="1" t="n">
        <v>45845</v>
      </c>
      <c r="D2822" t="inlineStr">
        <is>
          <t>VÄSTERNORRLANDS LÄN</t>
        </is>
      </c>
      <c r="E2822" t="inlineStr">
        <is>
          <t>SUNDSVALL</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43040-2024</t>
        </is>
      </c>
      <c r="B2823" s="1" t="n">
        <v>45567</v>
      </c>
      <c r="C2823" s="1" t="n">
        <v>45845</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v>
      </c>
      <c r="C2824" s="1" t="n">
        <v>45845</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43128-2024</t>
        </is>
      </c>
      <c r="B2825" s="1" t="n">
        <v>45567</v>
      </c>
      <c r="C2825" s="1" t="n">
        <v>45845</v>
      </c>
      <c r="D2825" t="inlineStr">
        <is>
          <t>VÄSTERNORRLANDS LÄN</t>
        </is>
      </c>
      <c r="E2825" t="inlineStr">
        <is>
          <t>SUNDSVALL</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43002-2024</t>
        </is>
      </c>
      <c r="B2826" s="1" t="n">
        <v>45567</v>
      </c>
      <c r="C2826" s="1" t="n">
        <v>45845</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43365-2024</t>
        </is>
      </c>
      <c r="B2827" s="1" t="n">
        <v>45568</v>
      </c>
      <c r="C2827" s="1" t="n">
        <v>45845</v>
      </c>
      <c r="D2827" t="inlineStr">
        <is>
          <t>VÄSTERNORRLANDS LÄN</t>
        </is>
      </c>
      <c r="E2827" t="inlineStr">
        <is>
          <t>SUNDSVALL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43571-2024</t>
        </is>
      </c>
      <c r="B2828" s="1" t="n">
        <v>45569</v>
      </c>
      <c r="C2828" s="1" t="n">
        <v>45845</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44035-2024</t>
        </is>
      </c>
      <c r="B2829" s="1" t="n">
        <v>45572</v>
      </c>
      <c r="C2829" s="1" t="n">
        <v>45845</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44080-2024</t>
        </is>
      </c>
      <c r="B2830" s="1" t="n">
        <v>45572</v>
      </c>
      <c r="C2830" s="1" t="n">
        <v>45845</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44187-2024</t>
        </is>
      </c>
      <c r="B2831" s="1" t="n">
        <v>45573</v>
      </c>
      <c r="C2831" s="1" t="n">
        <v>45845</v>
      </c>
      <c r="D2831" t="inlineStr">
        <is>
          <t>VÄSTERNORRLANDS LÄN</t>
        </is>
      </c>
      <c r="E2831" t="inlineStr">
        <is>
          <t>SUNDSVALL</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44078-2024</t>
        </is>
      </c>
      <c r="B2832" s="1" t="n">
        <v>45572</v>
      </c>
      <c r="C2832" s="1" t="n">
        <v>45845</v>
      </c>
      <c r="D2832" t="inlineStr">
        <is>
          <t>VÄSTERNORRLANDS LÄN</t>
        </is>
      </c>
      <c r="E2832" t="inlineStr">
        <is>
          <t>SUNDSVALL</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44098-2024</t>
        </is>
      </c>
      <c r="B2833" s="1" t="n">
        <v>45572</v>
      </c>
      <c r="C2833" s="1" t="n">
        <v>45845</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44545-2024</t>
        </is>
      </c>
      <c r="B2834" s="1" t="n">
        <v>45574</v>
      </c>
      <c r="C2834" s="1" t="n">
        <v>45845</v>
      </c>
      <c r="D2834" t="inlineStr">
        <is>
          <t>VÄSTERNORRLANDS LÄN</t>
        </is>
      </c>
      <c r="E2834" t="inlineStr">
        <is>
          <t>SUNDSVALL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44578-2024</t>
        </is>
      </c>
      <c r="B2835" s="1" t="n">
        <v>45574</v>
      </c>
      <c r="C2835" s="1" t="n">
        <v>45845</v>
      </c>
      <c r="D2835" t="inlineStr">
        <is>
          <t>VÄSTERNORRLANDS LÄN</t>
        </is>
      </c>
      <c r="E2835" t="inlineStr">
        <is>
          <t>SUNDSVALL</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44602-2024</t>
        </is>
      </c>
      <c r="B2836" s="1" t="n">
        <v>45574</v>
      </c>
      <c r="C2836" s="1" t="n">
        <v>45845</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44610-2024</t>
        </is>
      </c>
      <c r="B2837" s="1" t="n">
        <v>45574</v>
      </c>
      <c r="C2837" s="1" t="n">
        <v>45845</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44730-2024</t>
        </is>
      </c>
      <c r="B2838" s="1" t="n">
        <v>45574</v>
      </c>
      <c r="C2838" s="1" t="n">
        <v>45845</v>
      </c>
      <c r="D2838" t="inlineStr">
        <is>
          <t>VÄSTERNORRLANDS LÄN</t>
        </is>
      </c>
      <c r="E2838" t="inlineStr">
        <is>
          <t>SUNDSVALL</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44557-2024</t>
        </is>
      </c>
      <c r="B2839" s="1" t="n">
        <v>45574</v>
      </c>
      <c r="C2839" s="1" t="n">
        <v>45845</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44758-2024</t>
        </is>
      </c>
      <c r="B2840" s="1" t="n">
        <v>45574</v>
      </c>
      <c r="C2840" s="1" t="n">
        <v>45845</v>
      </c>
      <c r="D2840" t="inlineStr">
        <is>
          <t>VÄSTERNORRLANDS LÄN</t>
        </is>
      </c>
      <c r="E2840" t="inlineStr">
        <is>
          <t>SUNDSVALL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44569-2024</t>
        </is>
      </c>
      <c r="B2841" s="1" t="n">
        <v>45574</v>
      </c>
      <c r="C2841" s="1" t="n">
        <v>45845</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44593-2024</t>
        </is>
      </c>
      <c r="B2842" s="1" t="n">
        <v>45574</v>
      </c>
      <c r="C2842" s="1" t="n">
        <v>45845</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44663-2024</t>
        </is>
      </c>
      <c r="B2843" s="1" t="n">
        <v>45574</v>
      </c>
      <c r="C2843" s="1" t="n">
        <v>45845</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45141-2024</t>
        </is>
      </c>
      <c r="B2844" s="1" t="n">
        <v>45575</v>
      </c>
      <c r="C2844" s="1" t="n">
        <v>45845</v>
      </c>
      <c r="D2844" t="inlineStr">
        <is>
          <t>VÄSTERNORRLANDS LÄN</t>
        </is>
      </c>
      <c r="E2844" t="inlineStr">
        <is>
          <t>SUNDSVALL</t>
        </is>
      </c>
      <c r="F2844" t="inlineStr">
        <is>
          <t>Kommuner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45158-2024</t>
        </is>
      </c>
      <c r="B2845" s="1" t="n">
        <v>45575</v>
      </c>
      <c r="C2845" s="1" t="n">
        <v>45845</v>
      </c>
      <c r="D2845" t="inlineStr">
        <is>
          <t>VÄSTERNORRLANDS LÄN</t>
        </is>
      </c>
      <c r="E2845" t="inlineStr">
        <is>
          <t>SUNDSVALL</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45172-2024</t>
        </is>
      </c>
      <c r="B2846" s="1" t="n">
        <v>45575</v>
      </c>
      <c r="C2846" s="1" t="n">
        <v>45845</v>
      </c>
      <c r="D2846" t="inlineStr">
        <is>
          <t>VÄSTERNORRLANDS LÄN</t>
        </is>
      </c>
      <c r="E2846" t="inlineStr">
        <is>
          <t>SUNDSVALL</t>
        </is>
      </c>
      <c r="F2846" t="inlineStr">
        <is>
          <t>SCA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44908-2024</t>
        </is>
      </c>
      <c r="B2847" s="1" t="n">
        <v>45575</v>
      </c>
      <c r="C2847" s="1" t="n">
        <v>45845</v>
      </c>
      <c r="D2847" t="inlineStr">
        <is>
          <t>VÄSTERNORRLANDS LÄN</t>
        </is>
      </c>
      <c r="E2847" t="inlineStr">
        <is>
          <t>SUNDSVALL</t>
        </is>
      </c>
      <c r="F2847" t="inlineStr">
        <is>
          <t>SCA</t>
        </is>
      </c>
      <c r="G2847" t="n">
        <v>2.6</v>
      </c>
      <c r="H2847" t="n">
        <v>0</v>
      </c>
      <c r="I2847" t="n">
        <v>0</v>
      </c>
      <c r="J2847" t="n">
        <v>0</v>
      </c>
      <c r="K2847" t="n">
        <v>0</v>
      </c>
      <c r="L2847" t="n">
        <v>0</v>
      </c>
      <c r="M2847" t="n">
        <v>0</v>
      </c>
      <c r="N2847" t="n">
        <v>0</v>
      </c>
      <c r="O2847" t="n">
        <v>0</v>
      </c>
      <c r="P2847" t="n">
        <v>0</v>
      </c>
      <c r="Q2847" t="n">
        <v>0</v>
      </c>
      <c r="R2847" s="2" t="inlineStr"/>
      <c r="U2847">
        <f>HYPERLINK("https://klasma.github.io/Logging_2281/knärot/A 44908-2024 karta knärot.png", "A 44908-2024")</f>
        <v/>
      </c>
      <c r="V2847">
        <f>HYPERLINK("https://klasma.github.io/Logging_2281/klagomål/A 44908-2024 FSC-klagomål.docx", "A 44908-2024")</f>
        <v/>
      </c>
      <c r="W2847">
        <f>HYPERLINK("https://klasma.github.io/Logging_2281/klagomålsmail/A 44908-2024 FSC-klagomål mail.docx", "A 44908-2024")</f>
        <v/>
      </c>
      <c r="X2847">
        <f>HYPERLINK("https://klasma.github.io/Logging_2281/tillsyn/A 44908-2024 tillsynsbegäran.docx", "A 44908-2024")</f>
        <v/>
      </c>
      <c r="Y2847">
        <f>HYPERLINK("https://klasma.github.io/Logging_2281/tillsynsmail/A 44908-2024 tillsynsbegäran mail.docx", "A 44908-2024")</f>
        <v/>
      </c>
    </row>
    <row r="2848" ht="15" customHeight="1">
      <c r="A2848" t="inlineStr">
        <is>
          <t>A 44922-2024</t>
        </is>
      </c>
      <c r="B2848" s="1" t="n">
        <v>45575</v>
      </c>
      <c r="C2848" s="1" t="n">
        <v>45845</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44875-2024</t>
        </is>
      </c>
      <c r="B2849" s="1" t="n">
        <v>45575</v>
      </c>
      <c r="C2849" s="1" t="n">
        <v>45845</v>
      </c>
      <c r="D2849" t="inlineStr">
        <is>
          <t>VÄSTERNORRLANDS LÄN</t>
        </is>
      </c>
      <c r="E2849" t="inlineStr">
        <is>
          <t>SUNDSVALL</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45434-2024</t>
        </is>
      </c>
      <c r="B2850" s="1" t="n">
        <v>45576</v>
      </c>
      <c r="C2850" s="1" t="n">
        <v>45845</v>
      </c>
      <c r="D2850" t="inlineStr">
        <is>
          <t>VÄSTERNORRLANDS LÄN</t>
        </is>
      </c>
      <c r="E2850" t="inlineStr">
        <is>
          <t>SUNDSVALL</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45357-2024</t>
        </is>
      </c>
      <c r="B2851" s="1" t="n">
        <v>45576</v>
      </c>
      <c r="C2851" s="1" t="n">
        <v>45845</v>
      </c>
      <c r="D2851" t="inlineStr">
        <is>
          <t>VÄSTERNORRLANDS LÄN</t>
        </is>
      </c>
      <c r="E2851" t="inlineStr">
        <is>
          <t>SUNDSVALL</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45293-2024</t>
        </is>
      </c>
      <c r="B2852" s="1" t="n">
        <v>45576</v>
      </c>
      <c r="C2852" s="1" t="n">
        <v>45845</v>
      </c>
      <c r="D2852" t="inlineStr">
        <is>
          <t>VÄSTERNORRLANDS LÄN</t>
        </is>
      </c>
      <c r="E2852" t="inlineStr">
        <is>
          <t>SUNDSVALL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45816-2024</t>
        </is>
      </c>
      <c r="B2853" s="1" t="n">
        <v>45579</v>
      </c>
      <c r="C2853" s="1" t="n">
        <v>45845</v>
      </c>
      <c r="D2853" t="inlineStr">
        <is>
          <t>VÄSTERNORRLANDS LÄN</t>
        </is>
      </c>
      <c r="E2853" t="inlineStr">
        <is>
          <t>SUNDSVALL</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45923-2024</t>
        </is>
      </c>
      <c r="B2854" s="1" t="n">
        <v>45580</v>
      </c>
      <c r="C2854" s="1" t="n">
        <v>45845</v>
      </c>
      <c r="D2854" t="inlineStr">
        <is>
          <t>VÄSTERNORRLANDS LÄN</t>
        </is>
      </c>
      <c r="E2854" t="inlineStr">
        <is>
          <t>SUNDSVALL</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46032-2024</t>
        </is>
      </c>
      <c r="B2855" s="1" t="n">
        <v>45580</v>
      </c>
      <c r="C2855" s="1" t="n">
        <v>45845</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46126-2024</t>
        </is>
      </c>
      <c r="B2856" s="1" t="n">
        <v>45581</v>
      </c>
      <c r="C2856" s="1" t="n">
        <v>45845</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46121-2024</t>
        </is>
      </c>
      <c r="B2857" s="1" t="n">
        <v>45581</v>
      </c>
      <c r="C2857" s="1" t="n">
        <v>45845</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46159-2024</t>
        </is>
      </c>
      <c r="B2858" s="1" t="n">
        <v>45581</v>
      </c>
      <c r="C2858" s="1" t="n">
        <v>45845</v>
      </c>
      <c r="D2858" t="inlineStr">
        <is>
          <t>VÄSTERNORRLANDS LÄN</t>
        </is>
      </c>
      <c r="E2858" t="inlineStr">
        <is>
          <t>SUNDSVALL</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46136-2024</t>
        </is>
      </c>
      <c r="B2859" s="1" t="n">
        <v>45581</v>
      </c>
      <c r="C2859" s="1" t="n">
        <v>45845</v>
      </c>
      <c r="D2859" t="inlineStr">
        <is>
          <t>VÄSTERNORRLANDS LÄN</t>
        </is>
      </c>
      <c r="E2859" t="inlineStr">
        <is>
          <t>SUNDSVALL</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46814-2024</t>
        </is>
      </c>
      <c r="B2860" s="1" t="n">
        <v>45583</v>
      </c>
      <c r="C2860" s="1" t="n">
        <v>45845</v>
      </c>
      <c r="D2860" t="inlineStr">
        <is>
          <t>VÄSTERNORRLANDS LÄN</t>
        </is>
      </c>
      <c r="E2860" t="inlineStr">
        <is>
          <t>SUNDSVALL</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46907-2024</t>
        </is>
      </c>
      <c r="B2861" s="1" t="n">
        <v>45583</v>
      </c>
      <c r="C2861" s="1" t="n">
        <v>45845</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47269-2024</t>
        </is>
      </c>
      <c r="B2862" s="1" t="n">
        <v>45586</v>
      </c>
      <c r="C2862" s="1" t="n">
        <v>45845</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47172-2024</t>
        </is>
      </c>
      <c r="B2863" s="1" t="n">
        <v>45586</v>
      </c>
      <c r="C2863" s="1" t="n">
        <v>45845</v>
      </c>
      <c r="D2863" t="inlineStr">
        <is>
          <t>VÄSTERNORRLANDS LÄN</t>
        </is>
      </c>
      <c r="E2863" t="inlineStr">
        <is>
          <t>SUNDSVALL</t>
        </is>
      </c>
      <c r="F2863" t="inlineStr">
        <is>
          <t>SCA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47023-2024</t>
        </is>
      </c>
      <c r="B2864" s="1" t="n">
        <v>45586</v>
      </c>
      <c r="C2864" s="1" t="n">
        <v>45845</v>
      </c>
      <c r="D2864" t="inlineStr">
        <is>
          <t>VÄSTERNORRLANDS LÄN</t>
        </is>
      </c>
      <c r="E2864" t="inlineStr">
        <is>
          <t>SUNDSVALL</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47268-2024</t>
        </is>
      </c>
      <c r="B2865" s="1" t="n">
        <v>45586</v>
      </c>
      <c r="C2865" s="1" t="n">
        <v>45845</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47174-2024</t>
        </is>
      </c>
      <c r="B2866" s="1" t="n">
        <v>45586</v>
      </c>
      <c r="C2866" s="1" t="n">
        <v>45845</v>
      </c>
      <c r="D2866" t="inlineStr">
        <is>
          <t>VÄSTERNORRLANDS LÄN</t>
        </is>
      </c>
      <c r="E2866" t="inlineStr">
        <is>
          <t>SUNDSVALL</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47246-2024</t>
        </is>
      </c>
      <c r="B2867" s="1" t="n">
        <v>45586</v>
      </c>
      <c r="C2867" s="1" t="n">
        <v>45845</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47629-2024</t>
        </is>
      </c>
      <c r="B2868" s="1" t="n">
        <v>45588</v>
      </c>
      <c r="C2868" s="1" t="n">
        <v>45845</v>
      </c>
      <c r="D2868" t="inlineStr">
        <is>
          <t>VÄSTERNORRLANDS LÄN</t>
        </is>
      </c>
      <c r="E2868" t="inlineStr">
        <is>
          <t>SUNDSVALL</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47769-2024</t>
        </is>
      </c>
      <c r="B2869" s="1" t="n">
        <v>45588</v>
      </c>
      <c r="C2869" s="1" t="n">
        <v>45845</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47733-2024</t>
        </is>
      </c>
      <c r="B2870" s="1" t="n">
        <v>45588</v>
      </c>
      <c r="C2870" s="1" t="n">
        <v>45845</v>
      </c>
      <c r="D2870" t="inlineStr">
        <is>
          <t>VÄSTERNORRLANDS LÄN</t>
        </is>
      </c>
      <c r="E2870" t="inlineStr">
        <is>
          <t>SUNDSVALL</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47714-2024</t>
        </is>
      </c>
      <c r="B2871" s="1" t="n">
        <v>45588</v>
      </c>
      <c r="C2871" s="1" t="n">
        <v>45845</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47718-2024</t>
        </is>
      </c>
      <c r="B2872" s="1" t="n">
        <v>45588</v>
      </c>
      <c r="C2872" s="1" t="n">
        <v>45845</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47886-2024</t>
        </is>
      </c>
      <c r="B2873" s="1" t="n">
        <v>45588</v>
      </c>
      <c r="C2873" s="1" t="n">
        <v>45845</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47682-2024</t>
        </is>
      </c>
      <c r="B2874" s="1" t="n">
        <v>45588</v>
      </c>
      <c r="C2874" s="1" t="n">
        <v>45845</v>
      </c>
      <c r="D2874" t="inlineStr">
        <is>
          <t>VÄSTERNORRLANDS LÄN</t>
        </is>
      </c>
      <c r="E2874" t="inlineStr">
        <is>
          <t>SUNDSVALL</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47788-2024</t>
        </is>
      </c>
      <c r="B2875" s="1" t="n">
        <v>45588</v>
      </c>
      <c r="C2875" s="1" t="n">
        <v>45845</v>
      </c>
      <c r="D2875" t="inlineStr">
        <is>
          <t>VÄSTERNORRLANDS LÄN</t>
        </is>
      </c>
      <c r="E2875" t="inlineStr">
        <is>
          <t>SUNDSVALL</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48105-2024</t>
        </is>
      </c>
      <c r="B2876" s="1" t="n">
        <v>45589</v>
      </c>
      <c r="C2876" s="1" t="n">
        <v>45845</v>
      </c>
      <c r="D2876" t="inlineStr">
        <is>
          <t>VÄSTERNORRLANDS LÄN</t>
        </is>
      </c>
      <c r="E2876" t="inlineStr">
        <is>
          <t>SUNDSVALL</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47959-2024</t>
        </is>
      </c>
      <c r="B2877" s="1" t="n">
        <v>45589</v>
      </c>
      <c r="C2877" s="1" t="n">
        <v>45845</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v>
      </c>
      <c r="C2878" s="1" t="n">
        <v>45845</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47990-2024</t>
        </is>
      </c>
      <c r="B2879" s="1" t="n">
        <v>45589</v>
      </c>
      <c r="C2879" s="1" t="n">
        <v>45845</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47957-2024</t>
        </is>
      </c>
      <c r="B2880" s="1" t="n">
        <v>45589</v>
      </c>
      <c r="C2880" s="1" t="n">
        <v>45845</v>
      </c>
      <c r="D2880" t="inlineStr">
        <is>
          <t>VÄSTERNORRLANDS LÄN</t>
        </is>
      </c>
      <c r="E2880" t="inlineStr">
        <is>
          <t>SUNDSVALL</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48316-2024</t>
        </is>
      </c>
      <c r="B2881" s="1" t="n">
        <v>45590</v>
      </c>
      <c r="C2881" s="1" t="n">
        <v>45845</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48333-2024</t>
        </is>
      </c>
      <c r="B2882" s="1" t="n">
        <v>45590</v>
      </c>
      <c r="C2882" s="1" t="n">
        <v>45845</v>
      </c>
      <c r="D2882" t="inlineStr">
        <is>
          <t>VÄSTERNORRLANDS LÄN</t>
        </is>
      </c>
      <c r="E2882" t="inlineStr">
        <is>
          <t>SUNDSVALL</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48372-2024</t>
        </is>
      </c>
      <c r="B2883" s="1" t="n">
        <v>45590</v>
      </c>
      <c r="C2883" s="1" t="n">
        <v>45845</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48442-2024</t>
        </is>
      </c>
      <c r="B2884" s="1" t="n">
        <v>45590</v>
      </c>
      <c r="C2884" s="1" t="n">
        <v>45845</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48441-2024</t>
        </is>
      </c>
      <c r="B2885" s="1" t="n">
        <v>45590</v>
      </c>
      <c r="C2885" s="1" t="n">
        <v>45845</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48274-2024</t>
        </is>
      </c>
      <c r="B2886" s="1" t="n">
        <v>45590</v>
      </c>
      <c r="C2886" s="1" t="n">
        <v>45845</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48251-2024</t>
        </is>
      </c>
      <c r="B2887" s="1" t="n">
        <v>45590</v>
      </c>
      <c r="C2887" s="1" t="n">
        <v>45845</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48595-2024</t>
        </is>
      </c>
      <c r="B2888" s="1" t="n">
        <v>45593</v>
      </c>
      <c r="C2888" s="1" t="n">
        <v>45845</v>
      </c>
      <c r="D2888" t="inlineStr">
        <is>
          <t>VÄSTERNORRLANDS LÄN</t>
        </is>
      </c>
      <c r="E2888" t="inlineStr">
        <is>
          <t>SUNDSVALL</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48672-2024</t>
        </is>
      </c>
      <c r="B2889" s="1" t="n">
        <v>45593</v>
      </c>
      <c r="C2889" s="1" t="n">
        <v>45845</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48549-2024</t>
        </is>
      </c>
      <c r="B2890" s="1" t="n">
        <v>45593</v>
      </c>
      <c r="C2890" s="1" t="n">
        <v>45845</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48578-2024</t>
        </is>
      </c>
      <c r="B2891" s="1" t="n">
        <v>45593</v>
      </c>
      <c r="C2891" s="1" t="n">
        <v>45845</v>
      </c>
      <c r="D2891" t="inlineStr">
        <is>
          <t>VÄSTERNORRLANDS LÄN</t>
        </is>
      </c>
      <c r="E2891" t="inlineStr">
        <is>
          <t>SUNDSVALL</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48950-2024</t>
        </is>
      </c>
      <c r="B2892" s="1" t="n">
        <v>45594</v>
      </c>
      <c r="C2892" s="1" t="n">
        <v>45845</v>
      </c>
      <c r="D2892" t="inlineStr">
        <is>
          <t>VÄSTERNORRLANDS LÄN</t>
        </is>
      </c>
      <c r="E2892" t="inlineStr">
        <is>
          <t>SUNDSVALL</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48934-2024</t>
        </is>
      </c>
      <c r="B2893" s="1" t="n">
        <v>45594</v>
      </c>
      <c r="C2893" s="1" t="n">
        <v>45845</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49360-2024</t>
        </is>
      </c>
      <c r="B2894" s="1" t="n">
        <v>45595</v>
      </c>
      <c r="C2894" s="1" t="n">
        <v>45845</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49368-2024</t>
        </is>
      </c>
      <c r="B2895" s="1" t="n">
        <v>45595</v>
      </c>
      <c r="C2895" s="1" t="n">
        <v>45845</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49631-2024</t>
        </is>
      </c>
      <c r="B2896" s="1" t="n">
        <v>45596</v>
      </c>
      <c r="C2896" s="1" t="n">
        <v>45845</v>
      </c>
      <c r="D2896" t="inlineStr">
        <is>
          <t>VÄSTERNORRLANDS LÄN</t>
        </is>
      </c>
      <c r="E2896" t="inlineStr">
        <is>
          <t>SUNDSVALL</t>
        </is>
      </c>
      <c r="F2896" t="inlineStr">
        <is>
          <t>Holmen skog AB</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49929-2024</t>
        </is>
      </c>
      <c r="B2897" s="1" t="n">
        <v>45597</v>
      </c>
      <c r="C2897" s="1" t="n">
        <v>45845</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49899-2024</t>
        </is>
      </c>
      <c r="B2898" s="1" t="n">
        <v>45597</v>
      </c>
      <c r="C2898" s="1" t="n">
        <v>45845</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49789-2024</t>
        </is>
      </c>
      <c r="B2899" s="1" t="n">
        <v>45597</v>
      </c>
      <c r="C2899" s="1" t="n">
        <v>45845</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50013-2024</t>
        </is>
      </c>
      <c r="B2900" s="1" t="n">
        <v>45598</v>
      </c>
      <c r="C2900" s="1" t="n">
        <v>45845</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50012-2024</t>
        </is>
      </c>
      <c r="B2901" s="1" t="n">
        <v>45598</v>
      </c>
      <c r="C2901" s="1" t="n">
        <v>45845</v>
      </c>
      <c r="D2901" t="inlineStr">
        <is>
          <t>VÄSTERNORRLANDS LÄN</t>
        </is>
      </c>
      <c r="E2901" t="inlineStr">
        <is>
          <t>SUNDSVALL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50203-2024</t>
        </is>
      </c>
      <c r="B2902" s="1" t="n">
        <v>45600</v>
      </c>
      <c r="C2902" s="1" t="n">
        <v>45845</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50220-2024</t>
        </is>
      </c>
      <c r="B2903" s="1" t="n">
        <v>45600</v>
      </c>
      <c r="C2903" s="1" t="n">
        <v>45845</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50205-2024</t>
        </is>
      </c>
      <c r="B2904" s="1" t="n">
        <v>45600</v>
      </c>
      <c r="C2904" s="1" t="n">
        <v>45845</v>
      </c>
      <c r="D2904" t="inlineStr">
        <is>
          <t>VÄSTERNORRLANDS LÄN</t>
        </is>
      </c>
      <c r="E2904" t="inlineStr">
        <is>
          <t>SUNDSVALL</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50325-2024</t>
        </is>
      </c>
      <c r="B2905" s="1" t="n">
        <v>45600</v>
      </c>
      <c r="C2905" s="1" t="n">
        <v>45845</v>
      </c>
      <c r="D2905" t="inlineStr">
        <is>
          <t>VÄSTERNORRLANDS LÄN</t>
        </is>
      </c>
      <c r="E2905" t="inlineStr">
        <is>
          <t>SUNDSVALL</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50213-2024</t>
        </is>
      </c>
      <c r="B2906" s="1" t="n">
        <v>45600</v>
      </c>
      <c r="C2906" s="1" t="n">
        <v>45845</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50157-2024</t>
        </is>
      </c>
      <c r="B2907" s="1" t="n">
        <v>45600</v>
      </c>
      <c r="C2907" s="1" t="n">
        <v>45845</v>
      </c>
      <c r="D2907" t="inlineStr">
        <is>
          <t>VÄSTERNORRLANDS LÄN</t>
        </is>
      </c>
      <c r="E2907" t="inlineStr">
        <is>
          <t>SUNDSVALL</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50145-2024</t>
        </is>
      </c>
      <c r="B2908" s="1" t="n">
        <v>45600</v>
      </c>
      <c r="C2908" s="1" t="n">
        <v>45845</v>
      </c>
      <c r="D2908" t="inlineStr">
        <is>
          <t>VÄSTERNORRLANDS LÄN</t>
        </is>
      </c>
      <c r="E2908" t="inlineStr">
        <is>
          <t>SUNDSVALL</t>
        </is>
      </c>
      <c r="G2908" t="n">
        <v>10.7</v>
      </c>
      <c r="H2908" t="n">
        <v>0</v>
      </c>
      <c r="I2908" t="n">
        <v>0</v>
      </c>
      <c r="J2908" t="n">
        <v>0</v>
      </c>
      <c r="K2908" t="n">
        <v>0</v>
      </c>
      <c r="L2908" t="n">
        <v>0</v>
      </c>
      <c r="M2908" t="n">
        <v>0</v>
      </c>
      <c r="N2908" t="n">
        <v>0</v>
      </c>
      <c r="O2908" t="n">
        <v>0</v>
      </c>
      <c r="P2908" t="n">
        <v>0</v>
      </c>
      <c r="Q2908" t="n">
        <v>0</v>
      </c>
      <c r="R2908" s="2" t="inlineStr"/>
    </row>
    <row r="2909" ht="15" customHeight="1">
      <c r="A2909" t="inlineStr">
        <is>
          <t>A 50202-2024</t>
        </is>
      </c>
      <c r="B2909" s="1" t="n">
        <v>45600</v>
      </c>
      <c r="C2909" s="1" t="n">
        <v>45845</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50324-2024</t>
        </is>
      </c>
      <c r="B2910" s="1" t="n">
        <v>45600</v>
      </c>
      <c r="C2910" s="1" t="n">
        <v>45845</v>
      </c>
      <c r="D2910" t="inlineStr">
        <is>
          <t>VÄSTERNORRLANDS LÄN</t>
        </is>
      </c>
      <c r="E2910" t="inlineStr">
        <is>
          <t>SUNDSVALL</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50204-2024</t>
        </is>
      </c>
      <c r="B2911" s="1" t="n">
        <v>45600</v>
      </c>
      <c r="C2911" s="1" t="n">
        <v>45845</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50221-2024</t>
        </is>
      </c>
      <c r="B2912" s="1" t="n">
        <v>45600</v>
      </c>
      <c r="C2912" s="1" t="n">
        <v>45845</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50602-2024</t>
        </is>
      </c>
      <c r="B2913" s="1" t="n">
        <v>45601</v>
      </c>
      <c r="C2913" s="1" t="n">
        <v>45845</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50599-2024</t>
        </is>
      </c>
      <c r="B2914" s="1" t="n">
        <v>45601</v>
      </c>
      <c r="C2914" s="1" t="n">
        <v>45845</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50713-2024</t>
        </is>
      </c>
      <c r="B2915" s="1" t="n">
        <v>45602</v>
      </c>
      <c r="C2915" s="1" t="n">
        <v>45845</v>
      </c>
      <c r="D2915" t="inlineStr">
        <is>
          <t>VÄSTERNORRLANDS LÄN</t>
        </is>
      </c>
      <c r="E2915" t="inlineStr">
        <is>
          <t>SUNDSVALL</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50737-2024</t>
        </is>
      </c>
      <c r="B2916" s="1" t="n">
        <v>45602</v>
      </c>
      <c r="C2916" s="1" t="n">
        <v>45845</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51081-2024</t>
        </is>
      </c>
      <c r="B2917" s="1" t="n">
        <v>45603</v>
      </c>
      <c r="C2917" s="1" t="n">
        <v>45845</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51050-2024</t>
        </is>
      </c>
      <c r="B2918" s="1" t="n">
        <v>45603</v>
      </c>
      <c r="C2918" s="1" t="n">
        <v>45845</v>
      </c>
      <c r="D2918" t="inlineStr">
        <is>
          <t>VÄSTERNORRLANDS LÄN</t>
        </is>
      </c>
      <c r="E2918" t="inlineStr">
        <is>
          <t>SUNDSVALL</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51074-2024</t>
        </is>
      </c>
      <c r="B2919" s="1" t="n">
        <v>45603</v>
      </c>
      <c r="C2919" s="1" t="n">
        <v>45845</v>
      </c>
      <c r="D2919" t="inlineStr">
        <is>
          <t>VÄSTERNORRLANDS LÄN</t>
        </is>
      </c>
      <c r="E2919" t="inlineStr">
        <is>
          <t>SUNDSVALL</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51239-2024</t>
        </is>
      </c>
      <c r="B2920" s="1" t="n">
        <v>45603</v>
      </c>
      <c r="C2920" s="1" t="n">
        <v>45845</v>
      </c>
      <c r="D2920" t="inlineStr">
        <is>
          <t>VÄSTERNORRLANDS LÄN</t>
        </is>
      </c>
      <c r="E2920" t="inlineStr">
        <is>
          <t>SUNDSVALL</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51047-2024</t>
        </is>
      </c>
      <c r="B2921" s="1" t="n">
        <v>45603</v>
      </c>
      <c r="C2921" s="1" t="n">
        <v>45845</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51067-2024</t>
        </is>
      </c>
      <c r="B2922" s="1" t="n">
        <v>45603</v>
      </c>
      <c r="C2922" s="1" t="n">
        <v>45845</v>
      </c>
      <c r="D2922" t="inlineStr">
        <is>
          <t>VÄSTERNORRLANDS LÄN</t>
        </is>
      </c>
      <c r="E2922" t="inlineStr">
        <is>
          <t>SUNDSVALL</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51078-2024</t>
        </is>
      </c>
      <c r="B2923" s="1" t="n">
        <v>45603</v>
      </c>
      <c r="C2923" s="1" t="n">
        <v>45845</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51084-2024</t>
        </is>
      </c>
      <c r="B2924" s="1" t="n">
        <v>45603</v>
      </c>
      <c r="C2924" s="1" t="n">
        <v>45845</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51242-2024</t>
        </is>
      </c>
      <c r="B2925" s="1" t="n">
        <v>45603</v>
      </c>
      <c r="C2925" s="1" t="n">
        <v>45845</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51327-2024</t>
        </is>
      </c>
      <c r="B2926" s="1" t="n">
        <v>45604</v>
      </c>
      <c r="C2926" s="1" t="n">
        <v>45845</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51476-2024</t>
        </is>
      </c>
      <c r="B2927" s="1" t="n">
        <v>45604</v>
      </c>
      <c r="C2927" s="1" t="n">
        <v>45845</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51431-2024</t>
        </is>
      </c>
      <c r="B2928" s="1" t="n">
        <v>45604</v>
      </c>
      <c r="C2928" s="1" t="n">
        <v>45845</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51433-2024</t>
        </is>
      </c>
      <c r="B2929" s="1" t="n">
        <v>45604</v>
      </c>
      <c r="C2929" s="1" t="n">
        <v>45845</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51845-2024</t>
        </is>
      </c>
      <c r="B2930" s="1" t="n">
        <v>45607</v>
      </c>
      <c r="C2930" s="1" t="n">
        <v>45845</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52196-2024</t>
        </is>
      </c>
      <c r="B2931" s="1" t="n">
        <v>45607</v>
      </c>
      <c r="C2931" s="1" t="n">
        <v>45845</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52368-2024</t>
        </is>
      </c>
      <c r="B2932" s="1" t="n">
        <v>45608</v>
      </c>
      <c r="C2932" s="1" t="n">
        <v>45845</v>
      </c>
      <c r="D2932" t="inlineStr">
        <is>
          <t>VÄSTERNORRLANDS LÄN</t>
        </is>
      </c>
      <c r="E2932" t="inlineStr">
        <is>
          <t>SUNDSVALL</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52035-2024</t>
        </is>
      </c>
      <c r="B2933" s="1" t="n">
        <v>45608</v>
      </c>
      <c r="C2933" s="1" t="n">
        <v>45845</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52039-2024</t>
        </is>
      </c>
      <c r="B2934" s="1" t="n">
        <v>45608</v>
      </c>
      <c r="C2934" s="1" t="n">
        <v>45845</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52033-2024</t>
        </is>
      </c>
      <c r="B2935" s="1" t="n">
        <v>45608</v>
      </c>
      <c r="C2935" s="1" t="n">
        <v>45845</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52101-2024</t>
        </is>
      </c>
      <c r="B2936" s="1" t="n">
        <v>45608</v>
      </c>
      <c r="C2936" s="1" t="n">
        <v>45845</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52032-2024</t>
        </is>
      </c>
      <c r="B2937" s="1" t="n">
        <v>45608</v>
      </c>
      <c r="C2937" s="1" t="n">
        <v>45845</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52338-2024</t>
        </is>
      </c>
      <c r="B2938" s="1" t="n">
        <v>45609</v>
      </c>
      <c r="C2938" s="1" t="n">
        <v>45845</v>
      </c>
      <c r="D2938" t="inlineStr">
        <is>
          <t>VÄSTERNORRLANDS LÄN</t>
        </is>
      </c>
      <c r="E2938" t="inlineStr">
        <is>
          <t>SUNDSVALL</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52404-2024</t>
        </is>
      </c>
      <c r="B2939" s="1" t="n">
        <v>45609</v>
      </c>
      <c r="C2939" s="1" t="n">
        <v>45845</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52344-2024</t>
        </is>
      </c>
      <c r="B2940" s="1" t="n">
        <v>45609</v>
      </c>
      <c r="C2940" s="1" t="n">
        <v>45845</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52706-2024</t>
        </is>
      </c>
      <c r="B2941" s="1" t="n">
        <v>45610</v>
      </c>
      <c r="C2941" s="1" t="n">
        <v>45845</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52784-2024</t>
        </is>
      </c>
      <c r="B2942" s="1" t="n">
        <v>45610</v>
      </c>
      <c r="C2942" s="1" t="n">
        <v>45845</v>
      </c>
      <c r="D2942" t="inlineStr">
        <is>
          <t>VÄSTERNORRLANDS LÄN</t>
        </is>
      </c>
      <c r="E2942" t="inlineStr">
        <is>
          <t>SUNDSVALL</t>
        </is>
      </c>
      <c r="F2942" t="inlineStr">
        <is>
          <t>SCA</t>
        </is>
      </c>
      <c r="G2942" t="n">
        <v>14.8</v>
      </c>
      <c r="H2942" t="n">
        <v>0</v>
      </c>
      <c r="I2942" t="n">
        <v>0</v>
      </c>
      <c r="J2942" t="n">
        <v>0</v>
      </c>
      <c r="K2942" t="n">
        <v>0</v>
      </c>
      <c r="L2942" t="n">
        <v>0</v>
      </c>
      <c r="M2942" t="n">
        <v>0</v>
      </c>
      <c r="N2942" t="n">
        <v>0</v>
      </c>
      <c r="O2942" t="n">
        <v>0</v>
      </c>
      <c r="P2942" t="n">
        <v>0</v>
      </c>
      <c r="Q2942" t="n">
        <v>0</v>
      </c>
      <c r="R2942" s="2" t="inlineStr"/>
    </row>
    <row r="2943" ht="15" customHeight="1">
      <c r="A2943" t="inlineStr">
        <is>
          <t>A 52860-2024</t>
        </is>
      </c>
      <c r="B2943" s="1" t="n">
        <v>45610</v>
      </c>
      <c r="C2943" s="1" t="n">
        <v>45845</v>
      </c>
      <c r="D2943" t="inlineStr">
        <is>
          <t>VÄSTERNORRLANDS LÄN</t>
        </is>
      </c>
      <c r="E2943" t="inlineStr">
        <is>
          <t>SUNDSVALL</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52898-2024</t>
        </is>
      </c>
      <c r="B2944" s="1" t="n">
        <v>45610</v>
      </c>
      <c r="C2944" s="1" t="n">
        <v>45845</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53098-2024</t>
        </is>
      </c>
      <c r="B2945" s="1" t="n">
        <v>45611</v>
      </c>
      <c r="C2945" s="1" t="n">
        <v>45845</v>
      </c>
      <c r="D2945" t="inlineStr">
        <is>
          <t>VÄSTERNORRLANDS LÄN</t>
        </is>
      </c>
      <c r="E2945" t="inlineStr">
        <is>
          <t>SUNDSVALL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53339-2024</t>
        </is>
      </c>
      <c r="B2946" s="1" t="n">
        <v>45614</v>
      </c>
      <c r="C2946" s="1" t="n">
        <v>45845</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53403-2024</t>
        </is>
      </c>
      <c r="B2947" s="1" t="n">
        <v>45614</v>
      </c>
      <c r="C2947" s="1" t="n">
        <v>45845</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53341-2024</t>
        </is>
      </c>
      <c r="B2948" s="1" t="n">
        <v>45614</v>
      </c>
      <c r="C2948" s="1" t="n">
        <v>45845</v>
      </c>
      <c r="D2948" t="inlineStr">
        <is>
          <t>VÄSTERNORRLANDS LÄN</t>
        </is>
      </c>
      <c r="E2948" t="inlineStr">
        <is>
          <t>SUNDSVALL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53710-2024</t>
        </is>
      </c>
      <c r="B2949" s="1" t="n">
        <v>45615</v>
      </c>
      <c r="C2949" s="1" t="n">
        <v>45845</v>
      </c>
      <c r="D2949" t="inlineStr">
        <is>
          <t>VÄSTERNORRLANDS LÄN</t>
        </is>
      </c>
      <c r="E2949" t="inlineStr">
        <is>
          <t>SUNDSVALL</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53704-2024</t>
        </is>
      </c>
      <c r="B2950" s="1" t="n">
        <v>45615</v>
      </c>
      <c r="C2950" s="1" t="n">
        <v>45845</v>
      </c>
      <c r="D2950" t="inlineStr">
        <is>
          <t>VÄSTERNORRLANDS LÄN</t>
        </is>
      </c>
      <c r="E2950" t="inlineStr">
        <is>
          <t>SUNDSVALL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54086-2024</t>
        </is>
      </c>
      <c r="B2951" s="1" t="n">
        <v>45616</v>
      </c>
      <c r="C2951" s="1" t="n">
        <v>45845</v>
      </c>
      <c r="D2951" t="inlineStr">
        <is>
          <t>VÄSTERNORRLANDS LÄN</t>
        </is>
      </c>
      <c r="E2951" t="inlineStr">
        <is>
          <t>SUNDSVALL</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54041-2024</t>
        </is>
      </c>
      <c r="B2952" s="1" t="n">
        <v>45616</v>
      </c>
      <c r="C2952" s="1" t="n">
        <v>45845</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54370-2024</t>
        </is>
      </c>
      <c r="B2953" s="1" t="n">
        <v>45617</v>
      </c>
      <c r="C2953" s="1" t="n">
        <v>45845</v>
      </c>
      <c r="D2953" t="inlineStr">
        <is>
          <t>VÄSTERNORRLANDS LÄN</t>
        </is>
      </c>
      <c r="E2953" t="inlineStr">
        <is>
          <t>SUNDSVALL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54478-2024</t>
        </is>
      </c>
      <c r="B2954" s="1" t="n">
        <v>45617</v>
      </c>
      <c r="C2954" s="1" t="n">
        <v>45845</v>
      </c>
      <c r="D2954" t="inlineStr">
        <is>
          <t>VÄSTERNORRLANDS LÄN</t>
        </is>
      </c>
      <c r="E2954" t="inlineStr">
        <is>
          <t>SUNDSVALL</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54313-2024</t>
        </is>
      </c>
      <c r="B2955" s="1" t="n">
        <v>45617</v>
      </c>
      <c r="C2955" s="1" t="n">
        <v>45845</v>
      </c>
      <c r="D2955" t="inlineStr">
        <is>
          <t>VÄSTERNORRLANDS LÄN</t>
        </is>
      </c>
      <c r="E2955" t="inlineStr">
        <is>
          <t>SUNDSVALL</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54550-2024</t>
        </is>
      </c>
      <c r="B2956" s="1" t="n">
        <v>45617</v>
      </c>
      <c r="C2956" s="1" t="n">
        <v>45845</v>
      </c>
      <c r="D2956" t="inlineStr">
        <is>
          <t>VÄSTERNORRLANDS LÄN</t>
        </is>
      </c>
      <c r="E2956" t="inlineStr">
        <is>
          <t>SUNDSVALL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54555-2024</t>
        </is>
      </c>
      <c r="B2957" s="1" t="n">
        <v>45617</v>
      </c>
      <c r="C2957" s="1" t="n">
        <v>45845</v>
      </c>
      <c r="D2957" t="inlineStr">
        <is>
          <t>VÄSTERNORRLANDS LÄN</t>
        </is>
      </c>
      <c r="E2957" t="inlineStr">
        <is>
          <t>SUNDSVALL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54570-2024</t>
        </is>
      </c>
      <c r="B2958" s="1" t="n">
        <v>45617</v>
      </c>
      <c r="C2958" s="1" t="n">
        <v>45845</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54314-2024</t>
        </is>
      </c>
      <c r="B2959" s="1" t="n">
        <v>45617</v>
      </c>
      <c r="C2959" s="1" t="n">
        <v>45845</v>
      </c>
      <c r="D2959" t="inlineStr">
        <is>
          <t>VÄSTERNORRLANDS LÄN</t>
        </is>
      </c>
      <c r="E2959" t="inlineStr">
        <is>
          <t>SUNDSVALL</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54460-2024</t>
        </is>
      </c>
      <c r="B2960" s="1" t="n">
        <v>45617</v>
      </c>
      <c r="C2960" s="1" t="n">
        <v>45845</v>
      </c>
      <c r="D2960" t="inlineStr">
        <is>
          <t>VÄSTERNORRLANDS LÄN</t>
        </is>
      </c>
      <c r="E2960" t="inlineStr">
        <is>
          <t>SUNDSVALL</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54580-2024</t>
        </is>
      </c>
      <c r="B2961" s="1" t="n">
        <v>45617</v>
      </c>
      <c r="C2961" s="1" t="n">
        <v>45845</v>
      </c>
      <c r="D2961" t="inlineStr">
        <is>
          <t>VÄSTERNORRLANDS LÄN</t>
        </is>
      </c>
      <c r="E2961" t="inlineStr">
        <is>
          <t>SUNDSVALL</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54584-2024</t>
        </is>
      </c>
      <c r="B2962" s="1" t="n">
        <v>45617</v>
      </c>
      <c r="C2962" s="1" t="n">
        <v>45845</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54477-2024</t>
        </is>
      </c>
      <c r="B2963" s="1" t="n">
        <v>45617</v>
      </c>
      <c r="C2963" s="1" t="n">
        <v>45845</v>
      </c>
      <c r="D2963" t="inlineStr">
        <is>
          <t>VÄSTERNORRLANDS LÄN</t>
        </is>
      </c>
      <c r="E2963" t="inlineStr">
        <is>
          <t>SUNDSVALL</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54799-2024</t>
        </is>
      </c>
      <c r="B2964" s="1" t="n">
        <v>45618</v>
      </c>
      <c r="C2964" s="1" t="n">
        <v>45845</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54792-2024</t>
        </is>
      </c>
      <c r="B2965" s="1" t="n">
        <v>45618</v>
      </c>
      <c r="C2965" s="1" t="n">
        <v>45845</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54801-2024</t>
        </is>
      </c>
      <c r="B2966" s="1" t="n">
        <v>45618</v>
      </c>
      <c r="C2966" s="1" t="n">
        <v>45845</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54789-2024</t>
        </is>
      </c>
      <c r="B2967" s="1" t="n">
        <v>45618</v>
      </c>
      <c r="C2967" s="1" t="n">
        <v>45845</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54743-2024</t>
        </is>
      </c>
      <c r="B2968" s="1" t="n">
        <v>45618</v>
      </c>
      <c r="C2968" s="1" t="n">
        <v>45845</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54732-2024</t>
        </is>
      </c>
      <c r="B2969" s="1" t="n">
        <v>45618</v>
      </c>
      <c r="C2969" s="1" t="n">
        <v>45845</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55148-2024</t>
        </is>
      </c>
      <c r="B2970" s="1" t="n">
        <v>45621</v>
      </c>
      <c r="C2970" s="1" t="n">
        <v>45845</v>
      </c>
      <c r="D2970" t="inlineStr">
        <is>
          <t>VÄSTERNORRLANDS LÄN</t>
        </is>
      </c>
      <c r="E2970" t="inlineStr">
        <is>
          <t>SUNDSVALL</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55112-2024</t>
        </is>
      </c>
      <c r="B2971" s="1" t="n">
        <v>45621</v>
      </c>
      <c r="C2971" s="1" t="n">
        <v>45845</v>
      </c>
      <c r="D2971" t="inlineStr">
        <is>
          <t>VÄSTERNORRLANDS LÄN</t>
        </is>
      </c>
      <c r="E2971" t="inlineStr">
        <is>
          <t>SUNDSVALL</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55116-2024</t>
        </is>
      </c>
      <c r="B2972" s="1" t="n">
        <v>45621</v>
      </c>
      <c r="C2972" s="1" t="n">
        <v>45845</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55172-2024</t>
        </is>
      </c>
      <c r="B2973" s="1" t="n">
        <v>45621</v>
      </c>
      <c r="C2973" s="1" t="n">
        <v>45845</v>
      </c>
      <c r="D2973" t="inlineStr">
        <is>
          <t>VÄSTERNORRLANDS LÄN</t>
        </is>
      </c>
      <c r="E2973" t="inlineStr">
        <is>
          <t>SUNDSVALL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55188-2024</t>
        </is>
      </c>
      <c r="B2974" s="1" t="n">
        <v>45621</v>
      </c>
      <c r="C2974" s="1" t="n">
        <v>45845</v>
      </c>
      <c r="D2974" t="inlineStr">
        <is>
          <t>VÄSTERNORRLANDS LÄN</t>
        </is>
      </c>
      <c r="E2974" t="inlineStr">
        <is>
          <t>SUNDSVALL</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55152-2024</t>
        </is>
      </c>
      <c r="B2975" s="1" t="n">
        <v>45621</v>
      </c>
      <c r="C2975" s="1" t="n">
        <v>45845</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55117-2024</t>
        </is>
      </c>
      <c r="B2976" s="1" t="n">
        <v>45621</v>
      </c>
      <c r="C2976" s="1" t="n">
        <v>45845</v>
      </c>
      <c r="D2976" t="inlineStr">
        <is>
          <t>VÄSTERNORRLANDS LÄN</t>
        </is>
      </c>
      <c r="E2976" t="inlineStr">
        <is>
          <t>SUNDSVALL</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55466-2024</t>
        </is>
      </c>
      <c r="B2977" s="1" t="n">
        <v>45622</v>
      </c>
      <c r="C2977" s="1" t="n">
        <v>45845</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55599-2024</t>
        </is>
      </c>
      <c r="B2978" s="1" t="n">
        <v>45622</v>
      </c>
      <c r="C2978" s="1" t="n">
        <v>45845</v>
      </c>
      <c r="D2978" t="inlineStr">
        <is>
          <t>VÄSTERNORRLANDS LÄN</t>
        </is>
      </c>
      <c r="E2978" t="inlineStr">
        <is>
          <t>SUNDSVALL</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55568-2024</t>
        </is>
      </c>
      <c r="B2979" s="1" t="n">
        <v>45622</v>
      </c>
      <c r="C2979" s="1" t="n">
        <v>45845</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55492-2024</t>
        </is>
      </c>
      <c r="B2980" s="1" t="n">
        <v>45622</v>
      </c>
      <c r="C2980" s="1" t="n">
        <v>45845</v>
      </c>
      <c r="D2980" t="inlineStr">
        <is>
          <t>VÄSTERNORRLANDS LÄN</t>
        </is>
      </c>
      <c r="E2980" t="inlineStr">
        <is>
          <t>SUNDSVALL</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55778-2024</t>
        </is>
      </c>
      <c r="B2981" s="1" t="n">
        <v>45623</v>
      </c>
      <c r="C2981" s="1" t="n">
        <v>45845</v>
      </c>
      <c r="D2981" t="inlineStr">
        <is>
          <t>VÄSTERNORRLANDS LÄN</t>
        </is>
      </c>
      <c r="E2981" t="inlineStr">
        <is>
          <t>SUNDSVALL</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55775-2024</t>
        </is>
      </c>
      <c r="B2982" s="1" t="n">
        <v>45623</v>
      </c>
      <c r="C2982" s="1" t="n">
        <v>45845</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55817-2024</t>
        </is>
      </c>
      <c r="B2983" s="1" t="n">
        <v>45623</v>
      </c>
      <c r="C2983" s="1" t="n">
        <v>45845</v>
      </c>
      <c r="D2983" t="inlineStr">
        <is>
          <t>VÄSTERNORRLANDS LÄN</t>
        </is>
      </c>
      <c r="E2983" t="inlineStr">
        <is>
          <t>SUNDSVALL</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55752-2024</t>
        </is>
      </c>
      <c r="B2984" s="1" t="n">
        <v>45623</v>
      </c>
      <c r="C2984" s="1" t="n">
        <v>45845</v>
      </c>
      <c r="D2984" t="inlineStr">
        <is>
          <t>VÄSTERNORRLANDS LÄN</t>
        </is>
      </c>
      <c r="E2984" t="inlineStr">
        <is>
          <t>SUNDSVALL</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55790-2024</t>
        </is>
      </c>
      <c r="B2985" s="1" t="n">
        <v>45623</v>
      </c>
      <c r="C2985" s="1" t="n">
        <v>45845</v>
      </c>
      <c r="D2985" t="inlineStr">
        <is>
          <t>VÄSTERNORRLANDS LÄN</t>
        </is>
      </c>
      <c r="E2985" t="inlineStr">
        <is>
          <t>SUNDSVALL</t>
        </is>
      </c>
      <c r="F2985" t="inlineStr">
        <is>
          <t>Naturvårdsverket</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56015-2024</t>
        </is>
      </c>
      <c r="B2986" s="1" t="n">
        <v>45623</v>
      </c>
      <c r="C2986" s="1" t="n">
        <v>45845</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56185-2024</t>
        </is>
      </c>
      <c r="B2987" s="1" t="n">
        <v>45624</v>
      </c>
      <c r="C2987" s="1" t="n">
        <v>45845</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56211-2024</t>
        </is>
      </c>
      <c r="B2988" s="1" t="n">
        <v>45624</v>
      </c>
      <c r="C2988" s="1" t="n">
        <v>45845</v>
      </c>
      <c r="D2988" t="inlineStr">
        <is>
          <t>VÄSTERNORRLANDS LÄN</t>
        </is>
      </c>
      <c r="E2988" t="inlineStr">
        <is>
          <t>SUNDSVALL</t>
        </is>
      </c>
      <c r="G2988" t="n">
        <v>21.5</v>
      </c>
      <c r="H2988" t="n">
        <v>0</v>
      </c>
      <c r="I2988" t="n">
        <v>0</v>
      </c>
      <c r="J2988" t="n">
        <v>0</v>
      </c>
      <c r="K2988" t="n">
        <v>0</v>
      </c>
      <c r="L2988" t="n">
        <v>0</v>
      </c>
      <c r="M2988" t="n">
        <v>0</v>
      </c>
      <c r="N2988" t="n">
        <v>0</v>
      </c>
      <c r="O2988" t="n">
        <v>0</v>
      </c>
      <c r="P2988" t="n">
        <v>0</v>
      </c>
      <c r="Q2988" t="n">
        <v>0</v>
      </c>
      <c r="R2988" s="2" t="inlineStr"/>
    </row>
    <row r="2989" ht="15" customHeight="1">
      <c r="A2989" t="inlineStr">
        <is>
          <t>A 56214-2024</t>
        </is>
      </c>
      <c r="B2989" s="1" t="n">
        <v>45624</v>
      </c>
      <c r="C2989" s="1" t="n">
        <v>45845</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56197-2024</t>
        </is>
      </c>
      <c r="B2990" s="1" t="n">
        <v>45624</v>
      </c>
      <c r="C2990" s="1" t="n">
        <v>45845</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56423-2024</t>
        </is>
      </c>
      <c r="B2991" s="1" t="n">
        <v>45625</v>
      </c>
      <c r="C2991" s="1" t="n">
        <v>45845</v>
      </c>
      <c r="D2991" t="inlineStr">
        <is>
          <t>VÄSTERNORRLANDS LÄN</t>
        </is>
      </c>
      <c r="E2991" t="inlineStr">
        <is>
          <t>SUNDSVALL</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56648-2024</t>
        </is>
      </c>
      <c r="B2992" s="1" t="n">
        <v>45625</v>
      </c>
      <c r="C2992" s="1" t="n">
        <v>45845</v>
      </c>
      <c r="D2992" t="inlineStr">
        <is>
          <t>VÄSTERNORRLANDS LÄN</t>
        </is>
      </c>
      <c r="E2992" t="inlineStr">
        <is>
          <t>SUNDSVALL</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56647-2024</t>
        </is>
      </c>
      <c r="B2993" s="1" t="n">
        <v>45625</v>
      </c>
      <c r="C2993" s="1" t="n">
        <v>45845</v>
      </c>
      <c r="D2993" t="inlineStr">
        <is>
          <t>VÄSTERNORRLANDS LÄN</t>
        </is>
      </c>
      <c r="E2993" t="inlineStr">
        <is>
          <t>SUNDSVALL</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56790-2024</t>
        </is>
      </c>
      <c r="B2994" s="1" t="n">
        <v>45628</v>
      </c>
      <c r="C2994" s="1" t="n">
        <v>45845</v>
      </c>
      <c r="D2994" t="inlineStr">
        <is>
          <t>VÄSTERNORRLANDS LÄN</t>
        </is>
      </c>
      <c r="E2994" t="inlineStr">
        <is>
          <t>SUNDSVALL</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v>
      </c>
      <c r="C2995" s="1" t="n">
        <v>45845</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v>
      </c>
      <c r="C2996" s="1" t="n">
        <v>45845</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57270-2024</t>
        </is>
      </c>
      <c r="B2997" s="1" t="n">
        <v>45629</v>
      </c>
      <c r="C2997" s="1" t="n">
        <v>45845</v>
      </c>
      <c r="D2997" t="inlineStr">
        <is>
          <t>VÄSTERNORRLANDS LÄN</t>
        </is>
      </c>
      <c r="E2997" t="inlineStr">
        <is>
          <t>SUNDSVALL</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57079-2024</t>
        </is>
      </c>
      <c r="B2998" s="1" t="n">
        <v>45629</v>
      </c>
      <c r="C2998" s="1" t="n">
        <v>45845</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57083-2024</t>
        </is>
      </c>
      <c r="B2999" s="1" t="n">
        <v>45629</v>
      </c>
      <c r="C2999" s="1" t="n">
        <v>45845</v>
      </c>
      <c r="D2999" t="inlineStr">
        <is>
          <t>VÄSTERNORRLANDS LÄN</t>
        </is>
      </c>
      <c r="E2999" t="inlineStr">
        <is>
          <t>SUNDSVALL</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57077-2024</t>
        </is>
      </c>
      <c r="B3000" s="1" t="n">
        <v>45629</v>
      </c>
      <c r="C3000" s="1" t="n">
        <v>45845</v>
      </c>
      <c r="D3000" t="inlineStr">
        <is>
          <t>VÄSTERNORRLANDS LÄN</t>
        </is>
      </c>
      <c r="E3000" t="inlineStr">
        <is>
          <t>SUNDSVALL</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57273-2024</t>
        </is>
      </c>
      <c r="B3001" s="1" t="n">
        <v>45629</v>
      </c>
      <c r="C3001" s="1" t="n">
        <v>45845</v>
      </c>
      <c r="D3001" t="inlineStr">
        <is>
          <t>VÄSTERNORRLANDS LÄN</t>
        </is>
      </c>
      <c r="E3001" t="inlineStr">
        <is>
          <t>SUNDSVALL</t>
        </is>
      </c>
      <c r="F3001" t="inlineStr">
        <is>
          <t>SCA</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57288-2024</t>
        </is>
      </c>
      <c r="B3002" s="1" t="n">
        <v>45629</v>
      </c>
      <c r="C3002" s="1" t="n">
        <v>45845</v>
      </c>
      <c r="D3002" t="inlineStr">
        <is>
          <t>VÄSTERNORRLANDS LÄN</t>
        </is>
      </c>
      <c r="E3002" t="inlineStr">
        <is>
          <t>SUNDSVALL</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57521-2024</t>
        </is>
      </c>
      <c r="B3003" s="1" t="n">
        <v>45629</v>
      </c>
      <c r="C3003" s="1" t="n">
        <v>45845</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57488-2024</t>
        </is>
      </c>
      <c r="B3004" s="1" t="n">
        <v>45630</v>
      </c>
      <c r="C3004" s="1" t="n">
        <v>45845</v>
      </c>
      <c r="D3004" t="inlineStr">
        <is>
          <t>VÄSTERNORRLANDS LÄN</t>
        </is>
      </c>
      <c r="E3004" t="inlineStr">
        <is>
          <t>SUNDSVALL</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57519-2024</t>
        </is>
      </c>
      <c r="B3005" s="1" t="n">
        <v>45630</v>
      </c>
      <c r="C3005" s="1" t="n">
        <v>45845</v>
      </c>
      <c r="D3005" t="inlineStr">
        <is>
          <t>VÄSTERNORRLANDS LÄN</t>
        </is>
      </c>
      <c r="E3005" t="inlineStr">
        <is>
          <t>SUNDSVALL</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57641-2024</t>
        </is>
      </c>
      <c r="B3006" s="1" t="n">
        <v>45630</v>
      </c>
      <c r="C3006" s="1" t="n">
        <v>45845</v>
      </c>
      <c r="D3006" t="inlineStr">
        <is>
          <t>VÄSTERNORRLANDS LÄN</t>
        </is>
      </c>
      <c r="E3006" t="inlineStr">
        <is>
          <t>SUNDSVALL</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57499-2024</t>
        </is>
      </c>
      <c r="B3007" s="1" t="n">
        <v>45630</v>
      </c>
      <c r="C3007" s="1" t="n">
        <v>45845</v>
      </c>
      <c r="D3007" t="inlineStr">
        <is>
          <t>VÄSTERNORRLANDS LÄN</t>
        </is>
      </c>
      <c r="E3007" t="inlineStr">
        <is>
          <t>SUNDSVALL</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57595-2024</t>
        </is>
      </c>
      <c r="B3008" s="1" t="n">
        <v>45630</v>
      </c>
      <c r="C3008" s="1" t="n">
        <v>45845</v>
      </c>
      <c r="D3008" t="inlineStr">
        <is>
          <t>VÄSTERNORRLANDS LÄN</t>
        </is>
      </c>
      <c r="E3008" t="inlineStr">
        <is>
          <t>SUNDSVALL</t>
        </is>
      </c>
      <c r="F3008" t="inlineStr">
        <is>
          <t>SCA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57797-2024</t>
        </is>
      </c>
      <c r="B3009" s="1" t="n">
        <v>45631</v>
      </c>
      <c r="C3009" s="1" t="n">
        <v>45845</v>
      </c>
      <c r="D3009" t="inlineStr">
        <is>
          <t>VÄSTERNORRLANDS LÄN</t>
        </is>
      </c>
      <c r="E3009" t="inlineStr">
        <is>
          <t>SUNDSVALL</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57844-2024</t>
        </is>
      </c>
      <c r="B3010" s="1" t="n">
        <v>45631</v>
      </c>
      <c r="C3010" s="1" t="n">
        <v>45845</v>
      </c>
      <c r="D3010" t="inlineStr">
        <is>
          <t>VÄSTERNORRLANDS LÄN</t>
        </is>
      </c>
      <c r="E3010" t="inlineStr">
        <is>
          <t>SUNDSVALL</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57972-2024</t>
        </is>
      </c>
      <c r="B3011" s="1" t="n">
        <v>45631</v>
      </c>
      <c r="C3011" s="1" t="n">
        <v>45845</v>
      </c>
      <c r="D3011" t="inlineStr">
        <is>
          <t>VÄSTERNORRLANDS LÄN</t>
        </is>
      </c>
      <c r="E3011" t="inlineStr">
        <is>
          <t>SUNDSVALL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57875-2024</t>
        </is>
      </c>
      <c r="B3012" s="1" t="n">
        <v>45631</v>
      </c>
      <c r="C3012" s="1" t="n">
        <v>45845</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57942-2024</t>
        </is>
      </c>
      <c r="B3013" s="1" t="n">
        <v>45631</v>
      </c>
      <c r="C3013" s="1" t="n">
        <v>45845</v>
      </c>
      <c r="D3013" t="inlineStr">
        <is>
          <t>VÄSTERNORRLANDS LÄN</t>
        </is>
      </c>
      <c r="E3013" t="inlineStr">
        <is>
          <t>SUNDSVALL</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58355-2024</t>
        </is>
      </c>
      <c r="B3014" s="1" t="n">
        <v>45632</v>
      </c>
      <c r="C3014" s="1" t="n">
        <v>45845</v>
      </c>
      <c r="D3014" t="inlineStr">
        <is>
          <t>VÄSTERNORRLANDS LÄN</t>
        </is>
      </c>
      <c r="E3014" t="inlineStr">
        <is>
          <t>SUNDSVALL</t>
        </is>
      </c>
      <c r="F3014" t="inlineStr">
        <is>
          <t>SCA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58130-2024</t>
        </is>
      </c>
      <c r="B3015" s="1" t="n">
        <v>45632</v>
      </c>
      <c r="C3015" s="1" t="n">
        <v>45845</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58722-2024</t>
        </is>
      </c>
      <c r="B3016" s="1" t="n">
        <v>45635</v>
      </c>
      <c r="C3016" s="1" t="n">
        <v>45845</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58583-2024</t>
        </is>
      </c>
      <c r="B3017" s="1" t="n">
        <v>45635</v>
      </c>
      <c r="C3017" s="1" t="n">
        <v>45845</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58466-2024</t>
        </is>
      </c>
      <c r="B3018" s="1" t="n">
        <v>45635</v>
      </c>
      <c r="C3018" s="1" t="n">
        <v>45845</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58475-2024</t>
        </is>
      </c>
      <c r="B3019" s="1" t="n">
        <v>45635</v>
      </c>
      <c r="C3019" s="1" t="n">
        <v>45845</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58763-2024</t>
        </is>
      </c>
      <c r="B3020" s="1" t="n">
        <v>45635</v>
      </c>
      <c r="C3020" s="1" t="n">
        <v>45845</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58756-2024</t>
        </is>
      </c>
      <c r="B3021" s="1" t="n">
        <v>45635</v>
      </c>
      <c r="C3021" s="1" t="n">
        <v>45845</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58720-2024</t>
        </is>
      </c>
      <c r="B3022" s="1" t="n">
        <v>45635</v>
      </c>
      <c r="C3022" s="1" t="n">
        <v>45845</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58753-2024</t>
        </is>
      </c>
      <c r="B3023" s="1" t="n">
        <v>45635</v>
      </c>
      <c r="C3023" s="1" t="n">
        <v>45845</v>
      </c>
      <c r="D3023" t="inlineStr">
        <is>
          <t>VÄSTERNORRLANDS LÄN</t>
        </is>
      </c>
      <c r="E3023" t="inlineStr">
        <is>
          <t>SUNDSVALL</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58757-2024</t>
        </is>
      </c>
      <c r="B3024" s="1" t="n">
        <v>45635</v>
      </c>
      <c r="C3024" s="1" t="n">
        <v>45845</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58761-2024</t>
        </is>
      </c>
      <c r="B3025" s="1" t="n">
        <v>45635</v>
      </c>
      <c r="C3025" s="1" t="n">
        <v>45845</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58721-2024</t>
        </is>
      </c>
      <c r="B3026" s="1" t="n">
        <v>45635</v>
      </c>
      <c r="C3026" s="1" t="n">
        <v>45845</v>
      </c>
      <c r="D3026" t="inlineStr">
        <is>
          <t>VÄSTERNORRLANDS LÄN</t>
        </is>
      </c>
      <c r="E3026" t="inlineStr">
        <is>
          <t>SUNDSVALL</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58758-2024</t>
        </is>
      </c>
      <c r="B3027" s="1" t="n">
        <v>45635</v>
      </c>
      <c r="C3027" s="1" t="n">
        <v>45845</v>
      </c>
      <c r="D3027" t="inlineStr">
        <is>
          <t>VÄSTERNORRLANDS LÄN</t>
        </is>
      </c>
      <c r="E3027" t="inlineStr">
        <is>
          <t>SUNDSVALL</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58762-2024</t>
        </is>
      </c>
      <c r="B3028" s="1" t="n">
        <v>45635</v>
      </c>
      <c r="C3028" s="1" t="n">
        <v>45845</v>
      </c>
      <c r="D3028" t="inlineStr">
        <is>
          <t>VÄSTERNORRLANDS LÄN</t>
        </is>
      </c>
      <c r="E3028" t="inlineStr">
        <is>
          <t>SUNDSVALL</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58991-2024</t>
        </is>
      </c>
      <c r="B3029" s="1" t="n">
        <v>45636</v>
      </c>
      <c r="C3029" s="1" t="n">
        <v>45845</v>
      </c>
      <c r="D3029" t="inlineStr">
        <is>
          <t>VÄSTERNORRLANDS LÄN</t>
        </is>
      </c>
      <c r="E3029" t="inlineStr">
        <is>
          <t>SUNDSVALL</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59046-2024</t>
        </is>
      </c>
      <c r="B3030" s="1" t="n">
        <v>45636</v>
      </c>
      <c r="C3030" s="1" t="n">
        <v>45845</v>
      </c>
      <c r="D3030" t="inlineStr">
        <is>
          <t>VÄSTERNORRLANDS LÄN</t>
        </is>
      </c>
      <c r="E3030" t="inlineStr">
        <is>
          <t>SUNDSVALL</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59461-2024</t>
        </is>
      </c>
      <c r="B3031" s="1" t="n">
        <v>45638</v>
      </c>
      <c r="C3031" s="1" t="n">
        <v>45845</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59761-2024</t>
        </is>
      </c>
      <c r="B3032" s="1" t="n">
        <v>45639</v>
      </c>
      <c r="C3032" s="1" t="n">
        <v>45845</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59896-2024</t>
        </is>
      </c>
      <c r="B3033" s="1" t="n">
        <v>45641</v>
      </c>
      <c r="C3033" s="1" t="n">
        <v>45845</v>
      </c>
      <c r="D3033" t="inlineStr">
        <is>
          <t>VÄSTERNORRLANDS LÄN</t>
        </is>
      </c>
      <c r="E3033" t="inlineStr">
        <is>
          <t>SUNDSVALL</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59898-2024</t>
        </is>
      </c>
      <c r="B3034" s="1" t="n">
        <v>45641</v>
      </c>
      <c r="C3034" s="1" t="n">
        <v>45845</v>
      </c>
      <c r="D3034" t="inlineStr">
        <is>
          <t>VÄSTERNORRLANDS LÄN</t>
        </is>
      </c>
      <c r="E3034" t="inlineStr">
        <is>
          <t>SUNDSVALL</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59900-2024</t>
        </is>
      </c>
      <c r="B3035" s="1" t="n">
        <v>45641</v>
      </c>
      <c r="C3035" s="1" t="n">
        <v>45845</v>
      </c>
      <c r="D3035" t="inlineStr">
        <is>
          <t>VÄSTERNORRLANDS LÄN</t>
        </is>
      </c>
      <c r="E3035" t="inlineStr">
        <is>
          <t>SUNDSVALL</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59899-2024</t>
        </is>
      </c>
      <c r="B3036" s="1" t="n">
        <v>45641</v>
      </c>
      <c r="C3036" s="1" t="n">
        <v>45845</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59902-2024</t>
        </is>
      </c>
      <c r="B3037" s="1" t="n">
        <v>45641</v>
      </c>
      <c r="C3037" s="1" t="n">
        <v>45845</v>
      </c>
      <c r="D3037" t="inlineStr">
        <is>
          <t>VÄSTERNORRLANDS LÄN</t>
        </is>
      </c>
      <c r="E3037" t="inlineStr">
        <is>
          <t>SUNDSVALL</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59901-2024</t>
        </is>
      </c>
      <c r="B3038" s="1" t="n">
        <v>45641</v>
      </c>
      <c r="C3038" s="1" t="n">
        <v>45845</v>
      </c>
      <c r="D3038" t="inlineStr">
        <is>
          <t>VÄSTERNORRLANDS LÄN</t>
        </is>
      </c>
      <c r="E3038" t="inlineStr">
        <is>
          <t>SUNDSVALL</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59897-2024</t>
        </is>
      </c>
      <c r="B3039" s="1" t="n">
        <v>45641</v>
      </c>
      <c r="C3039" s="1" t="n">
        <v>45845</v>
      </c>
      <c r="D3039" t="inlineStr">
        <is>
          <t>VÄSTERNORRLANDS LÄN</t>
        </is>
      </c>
      <c r="E3039" t="inlineStr">
        <is>
          <t>SUNDSVALL</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60263-2024</t>
        </is>
      </c>
      <c r="B3040" s="1" t="n">
        <v>45642</v>
      </c>
      <c r="C3040" s="1" t="n">
        <v>45845</v>
      </c>
      <c r="D3040" t="inlineStr">
        <is>
          <t>VÄSTERNORRLANDS LÄN</t>
        </is>
      </c>
      <c r="E3040" t="inlineStr">
        <is>
          <t>SUNDSVALL</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60144-2024</t>
        </is>
      </c>
      <c r="B3041" s="1" t="n">
        <v>45642</v>
      </c>
      <c r="C3041" s="1" t="n">
        <v>45845</v>
      </c>
      <c r="D3041" t="inlineStr">
        <is>
          <t>VÄSTERNORRLANDS LÄN</t>
        </is>
      </c>
      <c r="E3041" t="inlineStr">
        <is>
          <t>SUNDSVALL</t>
        </is>
      </c>
      <c r="G3041" t="n">
        <v>17.8</v>
      </c>
      <c r="H3041" t="n">
        <v>0</v>
      </c>
      <c r="I3041" t="n">
        <v>0</v>
      </c>
      <c r="J3041" t="n">
        <v>0</v>
      </c>
      <c r="K3041" t="n">
        <v>0</v>
      </c>
      <c r="L3041" t="n">
        <v>0</v>
      </c>
      <c r="M3041" t="n">
        <v>0</v>
      </c>
      <c r="N3041" t="n">
        <v>0</v>
      </c>
      <c r="O3041" t="n">
        <v>0</v>
      </c>
      <c r="P3041" t="n">
        <v>0</v>
      </c>
      <c r="Q3041" t="n">
        <v>0</v>
      </c>
      <c r="R3041" s="2" t="inlineStr"/>
    </row>
    <row r="3042" ht="15" customHeight="1">
      <c r="A3042" t="inlineStr">
        <is>
          <t>A 60141-2024</t>
        </is>
      </c>
      <c r="B3042" s="1" t="n">
        <v>45642</v>
      </c>
      <c r="C3042" s="1" t="n">
        <v>45845</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60579-2024</t>
        </is>
      </c>
      <c r="B3043" s="1" t="n">
        <v>45644</v>
      </c>
      <c r="C3043" s="1" t="n">
        <v>45845</v>
      </c>
      <c r="D3043" t="inlineStr">
        <is>
          <t>VÄSTERNORRLANDS LÄN</t>
        </is>
      </c>
      <c r="E3043" t="inlineStr">
        <is>
          <t>SUNDSVALL</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60611-2024</t>
        </is>
      </c>
      <c r="B3044" s="1" t="n">
        <v>45644</v>
      </c>
      <c r="C3044" s="1" t="n">
        <v>45845</v>
      </c>
      <c r="D3044" t="inlineStr">
        <is>
          <t>VÄSTERNORRLANDS LÄN</t>
        </is>
      </c>
      <c r="E3044" t="inlineStr">
        <is>
          <t>SUNDSVALL</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60758-2024</t>
        </is>
      </c>
      <c r="B3045" s="1" t="n">
        <v>45644</v>
      </c>
      <c r="C3045" s="1" t="n">
        <v>45845</v>
      </c>
      <c r="D3045" t="inlineStr">
        <is>
          <t>VÄSTERNORRLANDS LÄN</t>
        </is>
      </c>
      <c r="E3045" t="inlineStr">
        <is>
          <t>SUNDSVALL</t>
        </is>
      </c>
      <c r="F3045" t="inlineStr">
        <is>
          <t>SCA</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61595-2024</t>
        </is>
      </c>
      <c r="B3046" s="1" t="n">
        <v>45646</v>
      </c>
      <c r="C3046" s="1" t="n">
        <v>45845</v>
      </c>
      <c r="D3046" t="inlineStr">
        <is>
          <t>VÄSTERNORRLANDS LÄN</t>
        </is>
      </c>
      <c r="E3046" t="inlineStr">
        <is>
          <t>SUNDSVALL</t>
        </is>
      </c>
      <c r="F3046" t="inlineStr">
        <is>
          <t>SCA</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61599-2024</t>
        </is>
      </c>
      <c r="B3047" s="1" t="n">
        <v>45646</v>
      </c>
      <c r="C3047" s="1" t="n">
        <v>45845</v>
      </c>
      <c r="D3047" t="inlineStr">
        <is>
          <t>VÄSTERNORRLANDS LÄN</t>
        </is>
      </c>
      <c r="E3047" t="inlineStr">
        <is>
          <t>SUNDSVALL</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v>
      </c>
      <c r="C3048" s="1" t="n">
        <v>45845</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62120-2024</t>
        </is>
      </c>
      <c r="B3049" s="1" t="n">
        <v>45646</v>
      </c>
      <c r="C3049" s="1" t="n">
        <v>45845</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61837-2024</t>
        </is>
      </c>
      <c r="B3050" s="1" t="n">
        <v>45649</v>
      </c>
      <c r="C3050" s="1" t="n">
        <v>45845</v>
      </c>
      <c r="D3050" t="inlineStr">
        <is>
          <t>VÄSTERNORRLANDS LÄN</t>
        </is>
      </c>
      <c r="E3050" t="inlineStr">
        <is>
          <t>SUNDSVALL</t>
        </is>
      </c>
      <c r="F3050" t="inlineStr">
        <is>
          <t>SCA</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61995-2024</t>
        </is>
      </c>
      <c r="B3051" s="1" t="n">
        <v>45653</v>
      </c>
      <c r="C3051" s="1" t="n">
        <v>45845</v>
      </c>
      <c r="D3051" t="inlineStr">
        <is>
          <t>VÄSTERNORRLANDS LÄN</t>
        </is>
      </c>
      <c r="E3051" t="inlineStr">
        <is>
          <t>SUNDSVALL</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112-2025</t>
        </is>
      </c>
      <c r="B3052" s="1" t="n">
        <v>45659</v>
      </c>
      <c r="C3052" s="1" t="n">
        <v>45845</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117-2025</t>
        </is>
      </c>
      <c r="B3053" s="1" t="n">
        <v>45659</v>
      </c>
      <c r="C3053" s="1" t="n">
        <v>45845</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147-2025</t>
        </is>
      </c>
      <c r="B3054" s="1" t="n">
        <v>45659</v>
      </c>
      <c r="C3054" s="1" t="n">
        <v>45845</v>
      </c>
      <c r="D3054" t="inlineStr">
        <is>
          <t>VÄSTERNORRLANDS LÄN</t>
        </is>
      </c>
      <c r="E3054" t="inlineStr">
        <is>
          <t>SUNDSVALL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382-2025</t>
        </is>
      </c>
      <c r="B3055" s="1" t="n">
        <v>45662</v>
      </c>
      <c r="C3055" s="1" t="n">
        <v>45845</v>
      </c>
      <c r="D3055" t="inlineStr">
        <is>
          <t>VÄSTERNORRLANDS LÄN</t>
        </is>
      </c>
      <c r="E3055" t="inlineStr">
        <is>
          <t>SUNDSVALL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381-2025</t>
        </is>
      </c>
      <c r="B3056" s="1" t="n">
        <v>45662</v>
      </c>
      <c r="C3056" s="1" t="n">
        <v>45845</v>
      </c>
      <c r="D3056" t="inlineStr">
        <is>
          <t>VÄSTERNORRLANDS LÄN</t>
        </is>
      </c>
      <c r="E3056" t="inlineStr">
        <is>
          <t>SUNDSVALL</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505-2025</t>
        </is>
      </c>
      <c r="B3057" s="1" t="n">
        <v>45664</v>
      </c>
      <c r="C3057" s="1" t="n">
        <v>45845</v>
      </c>
      <c r="D3057" t="inlineStr">
        <is>
          <t>VÄSTERNORRLANDS LÄN</t>
        </is>
      </c>
      <c r="E3057" t="inlineStr">
        <is>
          <t>SUNDSVALL</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532-2025</t>
        </is>
      </c>
      <c r="B3058" s="1" t="n">
        <v>45664</v>
      </c>
      <c r="C3058" s="1" t="n">
        <v>45845</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623-2025</t>
        </is>
      </c>
      <c r="B3059" s="1" t="n">
        <v>45664</v>
      </c>
      <c r="C3059" s="1" t="n">
        <v>45845</v>
      </c>
      <c r="D3059" t="inlineStr">
        <is>
          <t>VÄSTERNORRLANDS LÄN</t>
        </is>
      </c>
      <c r="E3059" t="inlineStr">
        <is>
          <t>SUNDSVALL</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715-2025</t>
        </is>
      </c>
      <c r="B3060" s="1" t="n">
        <v>45665</v>
      </c>
      <c r="C3060" s="1" t="n">
        <v>45845</v>
      </c>
      <c r="D3060" t="inlineStr">
        <is>
          <t>VÄSTERNORRLANDS LÄN</t>
        </is>
      </c>
      <c r="E3060" t="inlineStr">
        <is>
          <t>SUNDSVALL</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730-2025</t>
        </is>
      </c>
      <c r="B3061" s="1" t="n">
        <v>45665</v>
      </c>
      <c r="C3061" s="1" t="n">
        <v>45845</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1116-2025</t>
        </is>
      </c>
      <c r="B3062" s="1" t="n">
        <v>45666</v>
      </c>
      <c r="C3062" s="1" t="n">
        <v>45845</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965-2025</t>
        </is>
      </c>
      <c r="B3063" s="1" t="n">
        <v>45666</v>
      </c>
      <c r="C3063" s="1" t="n">
        <v>45845</v>
      </c>
      <c r="D3063" t="inlineStr">
        <is>
          <t>VÄSTERNORRLANDS LÄN</t>
        </is>
      </c>
      <c r="E3063" t="inlineStr">
        <is>
          <t>SUNDSVALL</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974-2025</t>
        </is>
      </c>
      <c r="B3064" s="1" t="n">
        <v>45666</v>
      </c>
      <c r="C3064" s="1" t="n">
        <v>45845</v>
      </c>
      <c r="D3064" t="inlineStr">
        <is>
          <t>VÄSTERNORRLANDS LÄN</t>
        </is>
      </c>
      <c r="E3064" t="inlineStr">
        <is>
          <t>SUNDSVALL</t>
        </is>
      </c>
      <c r="F3064" t="inlineStr">
        <is>
          <t>SCA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1188-2025</t>
        </is>
      </c>
      <c r="B3065" s="1" t="n">
        <v>45667</v>
      </c>
      <c r="C3065" s="1" t="n">
        <v>45845</v>
      </c>
      <c r="D3065" t="inlineStr">
        <is>
          <t>VÄSTERNORRLANDS LÄN</t>
        </is>
      </c>
      <c r="E3065" t="inlineStr">
        <is>
          <t>SUNDSVALL</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1296-2025</t>
        </is>
      </c>
      <c r="B3066" s="1" t="n">
        <v>45667</v>
      </c>
      <c r="C3066" s="1" t="n">
        <v>45845</v>
      </c>
      <c r="D3066" t="inlineStr">
        <is>
          <t>VÄSTERNORRLANDS LÄN</t>
        </is>
      </c>
      <c r="E3066" t="inlineStr">
        <is>
          <t>SUNDSVALL</t>
        </is>
      </c>
      <c r="F3066" t="inlineStr">
        <is>
          <t>SCA</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1398-2025</t>
        </is>
      </c>
      <c r="B3067" s="1" t="n">
        <v>45667</v>
      </c>
      <c r="C3067" s="1" t="n">
        <v>45845</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1673-2025</t>
        </is>
      </c>
      <c r="B3068" s="1" t="n">
        <v>45670</v>
      </c>
      <c r="C3068" s="1" t="n">
        <v>45845</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1747-2025</t>
        </is>
      </c>
      <c r="B3069" s="1" t="n">
        <v>45671</v>
      </c>
      <c r="C3069" s="1" t="n">
        <v>45845</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1792-2025</t>
        </is>
      </c>
      <c r="B3070" s="1" t="n">
        <v>45671</v>
      </c>
      <c r="C3070" s="1" t="n">
        <v>45845</v>
      </c>
      <c r="D3070" t="inlineStr">
        <is>
          <t>VÄSTERNORRLANDS LÄN</t>
        </is>
      </c>
      <c r="E3070" t="inlineStr">
        <is>
          <t>SUNDSVALL</t>
        </is>
      </c>
      <c r="F3070" t="inlineStr">
        <is>
          <t>Kyrkan</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1797-2025</t>
        </is>
      </c>
      <c r="B3071" s="1" t="n">
        <v>45671</v>
      </c>
      <c r="C3071" s="1" t="n">
        <v>45845</v>
      </c>
      <c r="D3071" t="inlineStr">
        <is>
          <t>VÄSTERNORRLANDS LÄN</t>
        </is>
      </c>
      <c r="E3071" t="inlineStr">
        <is>
          <t>SUNDSVALL</t>
        </is>
      </c>
      <c r="F3071" t="inlineStr">
        <is>
          <t>Kyrkan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1813-2025</t>
        </is>
      </c>
      <c r="B3072" s="1" t="n">
        <v>45671</v>
      </c>
      <c r="C3072" s="1" t="n">
        <v>45845</v>
      </c>
      <c r="D3072" t="inlineStr">
        <is>
          <t>VÄSTERNORRLANDS LÄN</t>
        </is>
      </c>
      <c r="E3072" t="inlineStr">
        <is>
          <t>SUNDSVALL</t>
        </is>
      </c>
      <c r="F3072" t="inlineStr">
        <is>
          <t>Kyrkan</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2102-2025</t>
        </is>
      </c>
      <c r="B3073" s="1" t="n">
        <v>45672</v>
      </c>
      <c r="C3073" s="1" t="n">
        <v>45845</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2104-2025</t>
        </is>
      </c>
      <c r="B3074" s="1" t="n">
        <v>45672</v>
      </c>
      <c r="C3074" s="1" t="n">
        <v>45845</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2595-2025</t>
        </is>
      </c>
      <c r="B3075" s="1" t="n">
        <v>45674</v>
      </c>
      <c r="C3075" s="1" t="n">
        <v>45845</v>
      </c>
      <c r="D3075" t="inlineStr">
        <is>
          <t>VÄSTERNORRLANDS LÄN</t>
        </is>
      </c>
      <c r="E3075" t="inlineStr">
        <is>
          <t>SUNDSVALL</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2577-2025</t>
        </is>
      </c>
      <c r="B3076" s="1" t="n">
        <v>45674</v>
      </c>
      <c r="C3076" s="1" t="n">
        <v>45845</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2585-2025</t>
        </is>
      </c>
      <c r="B3077" s="1" t="n">
        <v>45674</v>
      </c>
      <c r="C3077" s="1" t="n">
        <v>45845</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2493-2025</t>
        </is>
      </c>
      <c r="B3078" s="1" t="n">
        <v>45674</v>
      </c>
      <c r="C3078" s="1" t="n">
        <v>45845</v>
      </c>
      <c r="D3078" t="inlineStr">
        <is>
          <t>VÄSTERNORRLANDS LÄN</t>
        </is>
      </c>
      <c r="E3078" t="inlineStr">
        <is>
          <t>SUNDSVALL</t>
        </is>
      </c>
      <c r="F3078" t="inlineStr">
        <is>
          <t>SCA</t>
        </is>
      </c>
      <c r="G3078" t="n">
        <v>39.6</v>
      </c>
      <c r="H3078" t="n">
        <v>0</v>
      </c>
      <c r="I3078" t="n">
        <v>0</v>
      </c>
      <c r="J3078" t="n">
        <v>0</v>
      </c>
      <c r="K3078" t="n">
        <v>0</v>
      </c>
      <c r="L3078" t="n">
        <v>0</v>
      </c>
      <c r="M3078" t="n">
        <v>0</v>
      </c>
      <c r="N3078" t="n">
        <v>0</v>
      </c>
      <c r="O3078" t="n">
        <v>0</v>
      </c>
      <c r="P3078" t="n">
        <v>0</v>
      </c>
      <c r="Q3078" t="n">
        <v>0</v>
      </c>
      <c r="R3078" s="2" t="inlineStr"/>
    </row>
    <row r="3079" ht="15" customHeight="1">
      <c r="A3079" t="inlineStr">
        <is>
          <t>A 2589-2025</t>
        </is>
      </c>
      <c r="B3079" s="1" t="n">
        <v>45674</v>
      </c>
      <c r="C3079" s="1" t="n">
        <v>45845</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2591-2025</t>
        </is>
      </c>
      <c r="B3080" s="1" t="n">
        <v>45674</v>
      </c>
      <c r="C3080" s="1" t="n">
        <v>45845</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2594-2025</t>
        </is>
      </c>
      <c r="B3081" s="1" t="n">
        <v>45674</v>
      </c>
      <c r="C3081" s="1" t="n">
        <v>45845</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2494-2025</t>
        </is>
      </c>
      <c r="B3082" s="1" t="n">
        <v>45674</v>
      </c>
      <c r="C3082" s="1" t="n">
        <v>45845</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2427-2025</t>
        </is>
      </c>
      <c r="B3083" s="1" t="n">
        <v>45674</v>
      </c>
      <c r="C3083" s="1" t="n">
        <v>45845</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2831-2025</t>
        </is>
      </c>
      <c r="B3084" s="1" t="n">
        <v>45677</v>
      </c>
      <c r="C3084" s="1" t="n">
        <v>45845</v>
      </c>
      <c r="D3084" t="inlineStr">
        <is>
          <t>VÄSTERNORRLANDS LÄN</t>
        </is>
      </c>
      <c r="E3084" t="inlineStr">
        <is>
          <t>SUNDSVALL</t>
        </is>
      </c>
      <c r="G3084" t="n">
        <v>14.5</v>
      </c>
      <c r="H3084" t="n">
        <v>0</v>
      </c>
      <c r="I3084" t="n">
        <v>0</v>
      </c>
      <c r="J3084" t="n">
        <v>0</v>
      </c>
      <c r="K3084" t="n">
        <v>0</v>
      </c>
      <c r="L3084" t="n">
        <v>0</v>
      </c>
      <c r="M3084" t="n">
        <v>0</v>
      </c>
      <c r="N3084" t="n">
        <v>0</v>
      </c>
      <c r="O3084" t="n">
        <v>0</v>
      </c>
      <c r="P3084" t="n">
        <v>0</v>
      </c>
      <c r="Q3084" t="n">
        <v>0</v>
      </c>
      <c r="R3084" s="2" t="inlineStr"/>
    </row>
    <row r="3085" ht="15" customHeight="1">
      <c r="A3085" t="inlineStr">
        <is>
          <t>A 2881-2025</t>
        </is>
      </c>
      <c r="B3085" s="1" t="n">
        <v>45677</v>
      </c>
      <c r="C3085" s="1" t="n">
        <v>45845</v>
      </c>
      <c r="D3085" t="inlineStr">
        <is>
          <t>VÄSTERNORRLANDS LÄN</t>
        </is>
      </c>
      <c r="E3085" t="inlineStr">
        <is>
          <t>SUNDSVALL</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2834-2025</t>
        </is>
      </c>
      <c r="B3086" s="1" t="n">
        <v>45677</v>
      </c>
      <c r="C3086" s="1" t="n">
        <v>45845</v>
      </c>
      <c r="D3086" t="inlineStr">
        <is>
          <t>VÄSTERNORRLANDS LÄN</t>
        </is>
      </c>
      <c r="E3086" t="inlineStr">
        <is>
          <t>SUNDSVALL</t>
        </is>
      </c>
      <c r="F3086" t="inlineStr">
        <is>
          <t>SCA</t>
        </is>
      </c>
      <c r="G3086" t="n">
        <v>28.4</v>
      </c>
      <c r="H3086" t="n">
        <v>0</v>
      </c>
      <c r="I3086" t="n">
        <v>0</v>
      </c>
      <c r="J3086" t="n">
        <v>0</v>
      </c>
      <c r="K3086" t="n">
        <v>0</v>
      </c>
      <c r="L3086" t="n">
        <v>0</v>
      </c>
      <c r="M3086" t="n">
        <v>0</v>
      </c>
      <c r="N3086" t="n">
        <v>0</v>
      </c>
      <c r="O3086" t="n">
        <v>0</v>
      </c>
      <c r="P3086" t="n">
        <v>0</v>
      </c>
      <c r="Q3086" t="n">
        <v>0</v>
      </c>
      <c r="R3086" s="2" t="inlineStr"/>
    </row>
    <row r="3087" ht="15" customHeight="1">
      <c r="A3087" t="inlineStr">
        <is>
          <t>A 2880-2025</t>
        </is>
      </c>
      <c r="B3087" s="1" t="n">
        <v>45677</v>
      </c>
      <c r="C3087" s="1" t="n">
        <v>45845</v>
      </c>
      <c r="D3087" t="inlineStr">
        <is>
          <t>VÄSTERNORRLANDS LÄN</t>
        </is>
      </c>
      <c r="E3087" t="inlineStr">
        <is>
          <t>SUNDSVALL</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2785-2025</t>
        </is>
      </c>
      <c r="B3088" s="1" t="n">
        <v>45677</v>
      </c>
      <c r="C3088" s="1" t="n">
        <v>45845</v>
      </c>
      <c r="D3088" t="inlineStr">
        <is>
          <t>VÄSTERNORRLANDS LÄN</t>
        </is>
      </c>
      <c r="E3088" t="inlineStr">
        <is>
          <t>SUNDSVALL</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2779-2025</t>
        </is>
      </c>
      <c r="B3089" s="1" t="n">
        <v>45677</v>
      </c>
      <c r="C3089" s="1" t="n">
        <v>45845</v>
      </c>
      <c r="D3089" t="inlineStr">
        <is>
          <t>VÄSTERNORRLANDS LÄN</t>
        </is>
      </c>
      <c r="E3089" t="inlineStr">
        <is>
          <t>SUNDSVALL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2711-2025</t>
        </is>
      </c>
      <c r="B3090" s="1" t="n">
        <v>45677</v>
      </c>
      <c r="C3090" s="1" t="n">
        <v>45845</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3015-2025</t>
        </is>
      </c>
      <c r="B3091" s="1" t="n">
        <v>45678</v>
      </c>
      <c r="C3091" s="1" t="n">
        <v>45845</v>
      </c>
      <c r="D3091" t="inlineStr">
        <is>
          <t>VÄSTERNORRLANDS LÄN</t>
        </is>
      </c>
      <c r="E3091" t="inlineStr">
        <is>
          <t>SUNDSVALL</t>
        </is>
      </c>
      <c r="F3091" t="inlineStr">
        <is>
          <t>SCA</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2959-2025</t>
        </is>
      </c>
      <c r="B3092" s="1" t="n">
        <v>45678</v>
      </c>
      <c r="C3092" s="1" t="n">
        <v>45845</v>
      </c>
      <c r="D3092" t="inlineStr">
        <is>
          <t>VÄSTERNORRLANDS LÄN</t>
        </is>
      </c>
      <c r="E3092" t="inlineStr">
        <is>
          <t>SUNDSVALL</t>
        </is>
      </c>
      <c r="F3092" t="inlineStr">
        <is>
          <t>SCA</t>
        </is>
      </c>
      <c r="G3092" t="n">
        <v>21.5</v>
      </c>
      <c r="H3092" t="n">
        <v>0</v>
      </c>
      <c r="I3092" t="n">
        <v>0</v>
      </c>
      <c r="J3092" t="n">
        <v>0</v>
      </c>
      <c r="K3092" t="n">
        <v>0</v>
      </c>
      <c r="L3092" t="n">
        <v>0</v>
      </c>
      <c r="M3092" t="n">
        <v>0</v>
      </c>
      <c r="N3092" t="n">
        <v>0</v>
      </c>
      <c r="O3092" t="n">
        <v>0</v>
      </c>
      <c r="P3092" t="n">
        <v>0</v>
      </c>
      <c r="Q3092" t="n">
        <v>0</v>
      </c>
      <c r="R3092" s="2" t="inlineStr"/>
    </row>
    <row r="3093" ht="15" customHeight="1">
      <c r="A3093" t="inlineStr">
        <is>
          <t>A 3293-2025</t>
        </is>
      </c>
      <c r="B3093" s="1" t="n">
        <v>45679</v>
      </c>
      <c r="C3093" s="1" t="n">
        <v>45845</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3326-2025</t>
        </is>
      </c>
      <c r="B3094" s="1" t="n">
        <v>45679</v>
      </c>
      <c r="C3094" s="1" t="n">
        <v>45845</v>
      </c>
      <c r="D3094" t="inlineStr">
        <is>
          <t>VÄSTERNORRLANDS LÄN</t>
        </is>
      </c>
      <c r="E3094" t="inlineStr">
        <is>
          <t>SUNDSVALL</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3216-2025</t>
        </is>
      </c>
      <c r="B3095" s="1" t="n">
        <v>45679</v>
      </c>
      <c r="C3095" s="1" t="n">
        <v>45845</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3217-2025</t>
        </is>
      </c>
      <c r="B3096" s="1" t="n">
        <v>45679</v>
      </c>
      <c r="C3096" s="1" t="n">
        <v>45845</v>
      </c>
      <c r="D3096" t="inlineStr">
        <is>
          <t>VÄSTERNORRLANDS LÄN</t>
        </is>
      </c>
      <c r="E3096" t="inlineStr">
        <is>
          <t>SUNDSVALL</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3188-2025</t>
        </is>
      </c>
      <c r="B3097" s="1" t="n">
        <v>45679</v>
      </c>
      <c r="C3097" s="1" t="n">
        <v>45845</v>
      </c>
      <c r="D3097" t="inlineStr">
        <is>
          <t>VÄSTERNORRLANDS LÄN</t>
        </is>
      </c>
      <c r="E3097" t="inlineStr">
        <is>
          <t>SUNDSVALL</t>
        </is>
      </c>
      <c r="F3097" t="inlineStr">
        <is>
          <t>SCA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3215-2025</t>
        </is>
      </c>
      <c r="B3098" s="1" t="n">
        <v>45679</v>
      </c>
      <c r="C3098" s="1" t="n">
        <v>45845</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3214-2025</t>
        </is>
      </c>
      <c r="B3099" s="1" t="n">
        <v>45679</v>
      </c>
      <c r="C3099" s="1" t="n">
        <v>45845</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3232-2025</t>
        </is>
      </c>
      <c r="B3100" s="1" t="n">
        <v>45679</v>
      </c>
      <c r="C3100" s="1" t="n">
        <v>45845</v>
      </c>
      <c r="D3100" t="inlineStr">
        <is>
          <t>VÄSTERNORRLANDS LÄN</t>
        </is>
      </c>
      <c r="E3100" t="inlineStr">
        <is>
          <t>SUNDSVALL</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3428-2025</t>
        </is>
      </c>
      <c r="B3101" s="1" t="n">
        <v>45680</v>
      </c>
      <c r="C3101" s="1" t="n">
        <v>45845</v>
      </c>
      <c r="D3101" t="inlineStr">
        <is>
          <t>VÄSTERNORRLANDS LÄN</t>
        </is>
      </c>
      <c r="E3101" t="inlineStr">
        <is>
          <t>SUNDSVALL</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3535-2025</t>
        </is>
      </c>
      <c r="B3102" s="1" t="n">
        <v>45680</v>
      </c>
      <c r="C3102" s="1" t="n">
        <v>45845</v>
      </c>
      <c r="D3102" t="inlineStr">
        <is>
          <t>VÄSTERNORRLANDS LÄN</t>
        </is>
      </c>
      <c r="E3102" t="inlineStr">
        <is>
          <t>SUNDSVALL</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3543-2025</t>
        </is>
      </c>
      <c r="B3103" s="1" t="n">
        <v>45680</v>
      </c>
      <c r="C3103" s="1" t="n">
        <v>45845</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3477-2025</t>
        </is>
      </c>
      <c r="B3104" s="1" t="n">
        <v>45680</v>
      </c>
      <c r="C3104" s="1" t="n">
        <v>45845</v>
      </c>
      <c r="D3104" t="inlineStr">
        <is>
          <t>VÄSTERNORRLANDS LÄN</t>
        </is>
      </c>
      <c r="E3104" t="inlineStr">
        <is>
          <t>SUNDSVALL</t>
        </is>
      </c>
      <c r="F3104" t="inlineStr">
        <is>
          <t>SCA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3713-2025</t>
        </is>
      </c>
      <c r="B3105" s="1" t="n">
        <v>45681</v>
      </c>
      <c r="C3105" s="1" t="n">
        <v>45845</v>
      </c>
      <c r="D3105" t="inlineStr">
        <is>
          <t>VÄSTERNORRLANDS LÄN</t>
        </is>
      </c>
      <c r="E3105" t="inlineStr">
        <is>
          <t>SUNDSVALL</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3696-2025</t>
        </is>
      </c>
      <c r="B3106" s="1" t="n">
        <v>45681</v>
      </c>
      <c r="C3106" s="1" t="n">
        <v>45845</v>
      </c>
      <c r="D3106" t="inlineStr">
        <is>
          <t>VÄSTERNORRLANDS LÄN</t>
        </is>
      </c>
      <c r="E3106" t="inlineStr">
        <is>
          <t>SUNDSVALL</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3772-2025</t>
        </is>
      </c>
      <c r="B3107" s="1" t="n">
        <v>45681</v>
      </c>
      <c r="C3107" s="1" t="n">
        <v>45845</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3740-2025</t>
        </is>
      </c>
      <c r="B3108" s="1" t="n">
        <v>45681</v>
      </c>
      <c r="C3108" s="1" t="n">
        <v>45845</v>
      </c>
      <c r="D3108" t="inlineStr">
        <is>
          <t>VÄSTERNORRLANDS LÄN</t>
        </is>
      </c>
      <c r="E3108" t="inlineStr">
        <is>
          <t>SUNDSVALL</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3670-2025</t>
        </is>
      </c>
      <c r="B3109" s="1" t="n">
        <v>45681</v>
      </c>
      <c r="C3109" s="1" t="n">
        <v>45845</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3877-2025</t>
        </is>
      </c>
      <c r="B3110" s="1" t="n">
        <v>45684</v>
      </c>
      <c r="C3110" s="1" t="n">
        <v>45845</v>
      </c>
      <c r="D3110" t="inlineStr">
        <is>
          <t>VÄSTERNORRLANDS LÄN</t>
        </is>
      </c>
      <c r="E3110" t="inlineStr">
        <is>
          <t>SUNDSVALL</t>
        </is>
      </c>
      <c r="F3110" t="inlineStr">
        <is>
          <t>SCA</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3967-2025</t>
        </is>
      </c>
      <c r="B3111" s="1" t="n">
        <v>45684</v>
      </c>
      <c r="C3111" s="1" t="n">
        <v>45845</v>
      </c>
      <c r="D3111" t="inlineStr">
        <is>
          <t>VÄSTERNORRLANDS LÄN</t>
        </is>
      </c>
      <c r="E3111" t="inlineStr">
        <is>
          <t>SUNDSVALL</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4111-2025</t>
        </is>
      </c>
      <c r="B3112" s="1" t="n">
        <v>45684</v>
      </c>
      <c r="C3112" s="1" t="n">
        <v>45845</v>
      </c>
      <c r="D3112" t="inlineStr">
        <is>
          <t>VÄSTERNORRLANDS LÄN</t>
        </is>
      </c>
      <c r="E3112" t="inlineStr">
        <is>
          <t>SUNDSVALL</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3962-2025</t>
        </is>
      </c>
      <c r="B3113" s="1" t="n">
        <v>45684</v>
      </c>
      <c r="C3113" s="1" t="n">
        <v>45845</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3948-2025</t>
        </is>
      </c>
      <c r="B3114" s="1" t="n">
        <v>45684</v>
      </c>
      <c r="C3114" s="1" t="n">
        <v>45845</v>
      </c>
      <c r="D3114" t="inlineStr">
        <is>
          <t>VÄSTERNORRLANDS LÄN</t>
        </is>
      </c>
      <c r="E3114" t="inlineStr">
        <is>
          <t>SUNDSVALL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4815-2025</t>
        </is>
      </c>
      <c r="B3115" s="1" t="n">
        <v>45688</v>
      </c>
      <c r="C3115" s="1" t="n">
        <v>45845</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4813-2025</t>
        </is>
      </c>
      <c r="B3116" s="1" t="n">
        <v>45688</v>
      </c>
      <c r="C3116" s="1" t="n">
        <v>45845</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4810-2025</t>
        </is>
      </c>
      <c r="B3117" s="1" t="n">
        <v>45688</v>
      </c>
      <c r="C3117" s="1" t="n">
        <v>45845</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4890-2025</t>
        </is>
      </c>
      <c r="B3118" s="1" t="n">
        <v>45688</v>
      </c>
      <c r="C3118" s="1" t="n">
        <v>45845</v>
      </c>
      <c r="D3118" t="inlineStr">
        <is>
          <t>VÄSTERNORRLANDS LÄN</t>
        </is>
      </c>
      <c r="E3118" t="inlineStr">
        <is>
          <t>SUNDSVALL</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4906-2025</t>
        </is>
      </c>
      <c r="B3119" s="1" t="n">
        <v>45688</v>
      </c>
      <c r="C3119" s="1" t="n">
        <v>45845</v>
      </c>
      <c r="D3119" t="inlineStr">
        <is>
          <t>VÄSTERNORRLANDS LÄN</t>
        </is>
      </c>
      <c r="E3119" t="inlineStr">
        <is>
          <t>SUNDSVALL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4853-2025</t>
        </is>
      </c>
      <c r="B3120" s="1" t="n">
        <v>45688</v>
      </c>
      <c r="C3120" s="1" t="n">
        <v>45845</v>
      </c>
      <c r="D3120" t="inlineStr">
        <is>
          <t>VÄSTERNORRLANDS LÄN</t>
        </is>
      </c>
      <c r="E3120" t="inlineStr">
        <is>
          <t>SUNDSVALL</t>
        </is>
      </c>
      <c r="F3120" t="inlineStr">
        <is>
          <t>SCA</t>
        </is>
      </c>
      <c r="G3120" t="n">
        <v>18.3</v>
      </c>
      <c r="H3120" t="n">
        <v>0</v>
      </c>
      <c r="I3120" t="n">
        <v>0</v>
      </c>
      <c r="J3120" t="n">
        <v>0</v>
      </c>
      <c r="K3120" t="n">
        <v>0</v>
      </c>
      <c r="L3120" t="n">
        <v>0</v>
      </c>
      <c r="M3120" t="n">
        <v>0</v>
      </c>
      <c r="N3120" t="n">
        <v>0</v>
      </c>
      <c r="O3120" t="n">
        <v>0</v>
      </c>
      <c r="P3120" t="n">
        <v>0</v>
      </c>
      <c r="Q3120" t="n">
        <v>0</v>
      </c>
      <c r="R3120" s="2" t="inlineStr"/>
    </row>
    <row r="3121" ht="15" customHeight="1">
      <c r="A3121" t="inlineStr">
        <is>
          <t>A 4917-2025</t>
        </is>
      </c>
      <c r="B3121" s="1" t="n">
        <v>45688</v>
      </c>
      <c r="C3121" s="1" t="n">
        <v>45845</v>
      </c>
      <c r="D3121" t="inlineStr">
        <is>
          <t>VÄSTERNORRLANDS LÄN</t>
        </is>
      </c>
      <c r="E3121" t="inlineStr">
        <is>
          <t>SUNDSVALL</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4933-2025</t>
        </is>
      </c>
      <c r="B3122" s="1" t="n">
        <v>45688</v>
      </c>
      <c r="C3122" s="1" t="n">
        <v>45845</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4932-2025</t>
        </is>
      </c>
      <c r="B3123" s="1" t="n">
        <v>45688</v>
      </c>
      <c r="C3123" s="1" t="n">
        <v>45845</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4888-2025</t>
        </is>
      </c>
      <c r="B3124" s="1" t="n">
        <v>45688</v>
      </c>
      <c r="C3124" s="1" t="n">
        <v>45845</v>
      </c>
      <c r="D3124" t="inlineStr">
        <is>
          <t>VÄSTERNORRLANDS LÄN</t>
        </is>
      </c>
      <c r="E3124" t="inlineStr">
        <is>
          <t>SUNDSVALL</t>
        </is>
      </c>
      <c r="F3124" t="inlineStr">
        <is>
          <t>SCA</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4784-2025</t>
        </is>
      </c>
      <c r="B3125" s="1" t="n">
        <v>45688</v>
      </c>
      <c r="C3125" s="1" t="n">
        <v>45845</v>
      </c>
      <c r="D3125" t="inlineStr">
        <is>
          <t>VÄSTERNORRLANDS LÄN</t>
        </is>
      </c>
      <c r="E3125" t="inlineStr">
        <is>
          <t>SUNDSVALL</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5049-2025</t>
        </is>
      </c>
      <c r="B3126" s="1" t="n">
        <v>45691</v>
      </c>
      <c r="C3126" s="1" t="n">
        <v>45845</v>
      </c>
      <c r="D3126" t="inlineStr">
        <is>
          <t>VÄSTERNORRLANDS LÄN</t>
        </is>
      </c>
      <c r="E3126" t="inlineStr">
        <is>
          <t>SUNDSVALL</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5022-2025</t>
        </is>
      </c>
      <c r="B3127" s="1" t="n">
        <v>45691</v>
      </c>
      <c r="C3127" s="1" t="n">
        <v>45845</v>
      </c>
      <c r="D3127" t="inlineStr">
        <is>
          <t>VÄSTERNORRLANDS LÄN</t>
        </is>
      </c>
      <c r="E3127" t="inlineStr">
        <is>
          <t>SUNDSVALL</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5171-2025</t>
        </is>
      </c>
      <c r="B3128" s="1" t="n">
        <v>45691</v>
      </c>
      <c r="C3128" s="1" t="n">
        <v>45845</v>
      </c>
      <c r="D3128" t="inlineStr">
        <is>
          <t>VÄSTERNORRLANDS LÄN</t>
        </is>
      </c>
      <c r="E3128" t="inlineStr">
        <is>
          <t>SUNDSVALL</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5023-2025</t>
        </is>
      </c>
      <c r="B3129" s="1" t="n">
        <v>45691</v>
      </c>
      <c r="C3129" s="1" t="n">
        <v>45845</v>
      </c>
      <c r="D3129" t="inlineStr">
        <is>
          <t>VÄSTERNORRLANDS LÄN</t>
        </is>
      </c>
      <c r="E3129" t="inlineStr">
        <is>
          <t>SUNDSVALL</t>
        </is>
      </c>
      <c r="F3129" t="inlineStr">
        <is>
          <t>SCA</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5267-2025</t>
        </is>
      </c>
      <c r="B3130" s="1" t="n">
        <v>45692</v>
      </c>
      <c r="C3130" s="1" t="n">
        <v>45845</v>
      </c>
      <c r="D3130" t="inlineStr">
        <is>
          <t>VÄSTERNORRLANDS LÄN</t>
        </is>
      </c>
      <c r="E3130" t="inlineStr">
        <is>
          <t>SUNDSVALL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5296-2025</t>
        </is>
      </c>
      <c r="B3131" s="1" t="n">
        <v>45692</v>
      </c>
      <c r="C3131" s="1" t="n">
        <v>45845</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5361-2025</t>
        </is>
      </c>
      <c r="B3132" s="1" t="n">
        <v>45692</v>
      </c>
      <c r="C3132" s="1" t="n">
        <v>45845</v>
      </c>
      <c r="D3132" t="inlineStr">
        <is>
          <t>VÄSTERNORRLANDS LÄN</t>
        </is>
      </c>
      <c r="E3132" t="inlineStr">
        <is>
          <t>SUNDSVALL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5362-2025</t>
        </is>
      </c>
      <c r="B3133" s="1" t="n">
        <v>45692</v>
      </c>
      <c r="C3133" s="1" t="n">
        <v>45845</v>
      </c>
      <c r="D3133" t="inlineStr">
        <is>
          <t>VÄSTERNORRLANDS LÄN</t>
        </is>
      </c>
      <c r="E3133" t="inlineStr">
        <is>
          <t>SUNDSVALL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5314-2025</t>
        </is>
      </c>
      <c r="B3134" s="1" t="n">
        <v>45692</v>
      </c>
      <c r="C3134" s="1" t="n">
        <v>45845</v>
      </c>
      <c r="D3134" t="inlineStr">
        <is>
          <t>VÄSTERNORRLANDS LÄN</t>
        </is>
      </c>
      <c r="E3134" t="inlineStr">
        <is>
          <t>SUNDSVALL</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45845</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5601-2025</t>
        </is>
      </c>
      <c r="B3136" s="1" t="n">
        <v>45693</v>
      </c>
      <c r="C3136" s="1" t="n">
        <v>45845</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5488-2025</t>
        </is>
      </c>
      <c r="B3137" s="1" t="n">
        <v>45693</v>
      </c>
      <c r="C3137" s="1" t="n">
        <v>45845</v>
      </c>
      <c r="D3137" t="inlineStr">
        <is>
          <t>VÄSTERNORRLANDS LÄN</t>
        </is>
      </c>
      <c r="E3137" t="inlineStr">
        <is>
          <t>SUNDSVALL</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5569-2025</t>
        </is>
      </c>
      <c r="B3138" s="1" t="n">
        <v>45693</v>
      </c>
      <c r="C3138" s="1" t="n">
        <v>45845</v>
      </c>
      <c r="D3138" t="inlineStr">
        <is>
          <t>VÄSTERNORRLANDS LÄN</t>
        </is>
      </c>
      <c r="E3138" t="inlineStr">
        <is>
          <t>SUNDSVALL</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5715-2025</t>
        </is>
      </c>
      <c r="B3139" s="1" t="n">
        <v>45694</v>
      </c>
      <c r="C3139" s="1" t="n">
        <v>45845</v>
      </c>
      <c r="D3139" t="inlineStr">
        <is>
          <t>VÄSTERNORRLANDS LÄN</t>
        </is>
      </c>
      <c r="E3139" t="inlineStr">
        <is>
          <t>SUNDSVALL</t>
        </is>
      </c>
      <c r="F3139" t="inlineStr">
        <is>
          <t>Naturvårdsverket</t>
        </is>
      </c>
      <c r="G3139" t="n">
        <v>31.6</v>
      </c>
      <c r="H3139" t="n">
        <v>0</v>
      </c>
      <c r="I3139" t="n">
        <v>0</v>
      </c>
      <c r="J3139" t="n">
        <v>0</v>
      </c>
      <c r="K3139" t="n">
        <v>0</v>
      </c>
      <c r="L3139" t="n">
        <v>0</v>
      </c>
      <c r="M3139" t="n">
        <v>0</v>
      </c>
      <c r="N3139" t="n">
        <v>0</v>
      </c>
      <c r="O3139" t="n">
        <v>0</v>
      </c>
      <c r="P3139" t="n">
        <v>0</v>
      </c>
      <c r="Q3139" t="n">
        <v>0</v>
      </c>
      <c r="R3139" s="2" t="inlineStr"/>
    </row>
    <row r="3140" ht="15" customHeight="1">
      <c r="A3140" t="inlineStr">
        <is>
          <t>A 5857-2025</t>
        </is>
      </c>
      <c r="B3140" s="1" t="n">
        <v>45695</v>
      </c>
      <c r="C3140" s="1" t="n">
        <v>45845</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6709-2025</t>
        </is>
      </c>
      <c r="B3141" s="1" t="n">
        <v>45700</v>
      </c>
      <c r="C3141" s="1" t="n">
        <v>45845</v>
      </c>
      <c r="D3141" t="inlineStr">
        <is>
          <t>VÄSTERNORRLANDS LÄN</t>
        </is>
      </c>
      <c r="E3141" t="inlineStr">
        <is>
          <t>SUNDSVALL</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6704-2025</t>
        </is>
      </c>
      <c r="B3142" s="1" t="n">
        <v>45700</v>
      </c>
      <c r="C3142" s="1" t="n">
        <v>45845</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6708-2025</t>
        </is>
      </c>
      <c r="B3143" s="1" t="n">
        <v>45700</v>
      </c>
      <c r="C3143" s="1" t="n">
        <v>45845</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6656-2025</t>
        </is>
      </c>
      <c r="B3144" s="1" t="n">
        <v>45700</v>
      </c>
      <c r="C3144" s="1" t="n">
        <v>45845</v>
      </c>
      <c r="D3144" t="inlineStr">
        <is>
          <t>VÄSTERNORRLANDS LÄN</t>
        </is>
      </c>
      <c r="E3144" t="inlineStr">
        <is>
          <t>SUNDSVALL</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6777-2025</t>
        </is>
      </c>
      <c r="B3145" s="1" t="n">
        <v>45700</v>
      </c>
      <c r="C3145" s="1" t="n">
        <v>45845</v>
      </c>
      <c r="D3145" t="inlineStr">
        <is>
          <t>VÄSTERNORRLANDS LÄN</t>
        </is>
      </c>
      <c r="E3145" t="inlineStr">
        <is>
          <t>SUNDSVALL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6702-2025</t>
        </is>
      </c>
      <c r="B3146" s="1" t="n">
        <v>45700</v>
      </c>
      <c r="C3146" s="1" t="n">
        <v>45845</v>
      </c>
      <c r="D3146" t="inlineStr">
        <is>
          <t>VÄSTERNORRLANDS LÄN</t>
        </is>
      </c>
      <c r="E3146" t="inlineStr">
        <is>
          <t>SUNDSVALL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6673-2025</t>
        </is>
      </c>
      <c r="B3147" s="1" t="n">
        <v>45700</v>
      </c>
      <c r="C3147" s="1" t="n">
        <v>45845</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6670-2025</t>
        </is>
      </c>
      <c r="B3148" s="1" t="n">
        <v>45700</v>
      </c>
      <c r="C3148" s="1" t="n">
        <v>45845</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6654-2025</t>
        </is>
      </c>
      <c r="B3149" s="1" t="n">
        <v>45700</v>
      </c>
      <c r="C3149" s="1" t="n">
        <v>45845</v>
      </c>
      <c r="D3149" t="inlineStr">
        <is>
          <t>VÄSTERNORRLANDS LÄN</t>
        </is>
      </c>
      <c r="E3149" t="inlineStr">
        <is>
          <t>SUNDSVALL</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6880-2025</t>
        </is>
      </c>
      <c r="B3150" s="1" t="n">
        <v>45701</v>
      </c>
      <c r="C3150" s="1" t="n">
        <v>45845</v>
      </c>
      <c r="D3150" t="inlineStr">
        <is>
          <t>VÄSTERNORRLANDS LÄN</t>
        </is>
      </c>
      <c r="E3150" t="inlineStr">
        <is>
          <t>SUNDSVALL</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6969-2025</t>
        </is>
      </c>
      <c r="B3151" s="1" t="n">
        <v>45701</v>
      </c>
      <c r="C3151" s="1" t="n">
        <v>45845</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7090-2025</t>
        </is>
      </c>
      <c r="B3152" s="1" t="n">
        <v>45701</v>
      </c>
      <c r="C3152" s="1" t="n">
        <v>45845</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7091-2025</t>
        </is>
      </c>
      <c r="B3153" s="1" t="n">
        <v>45701</v>
      </c>
      <c r="C3153" s="1" t="n">
        <v>45845</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6955-2025</t>
        </is>
      </c>
      <c r="B3154" s="1" t="n">
        <v>45701</v>
      </c>
      <c r="C3154" s="1" t="n">
        <v>45845</v>
      </c>
      <c r="D3154" t="inlineStr">
        <is>
          <t>VÄSTERNORRLANDS LÄN</t>
        </is>
      </c>
      <c r="E3154" t="inlineStr">
        <is>
          <t>SUNDSVALL</t>
        </is>
      </c>
      <c r="F3154" t="inlineStr">
        <is>
          <t>SCA</t>
        </is>
      </c>
      <c r="G3154" t="n">
        <v>24.7</v>
      </c>
      <c r="H3154" t="n">
        <v>0</v>
      </c>
      <c r="I3154" t="n">
        <v>0</v>
      </c>
      <c r="J3154" t="n">
        <v>0</v>
      </c>
      <c r="K3154" t="n">
        <v>0</v>
      </c>
      <c r="L3154" t="n">
        <v>0</v>
      </c>
      <c r="M3154" t="n">
        <v>0</v>
      </c>
      <c r="N3154" t="n">
        <v>0</v>
      </c>
      <c r="O3154" t="n">
        <v>0</v>
      </c>
      <c r="P3154" t="n">
        <v>0</v>
      </c>
      <c r="Q3154" t="n">
        <v>0</v>
      </c>
      <c r="R3154" s="2" t="inlineStr"/>
    </row>
    <row r="3155" ht="15" customHeight="1">
      <c r="A3155" t="inlineStr">
        <is>
          <t>A 6882-2025</t>
        </is>
      </c>
      <c r="B3155" s="1" t="n">
        <v>45701</v>
      </c>
      <c r="C3155" s="1" t="n">
        <v>45845</v>
      </c>
      <c r="D3155" t="inlineStr">
        <is>
          <t>VÄSTERNORRLANDS LÄN</t>
        </is>
      </c>
      <c r="E3155" t="inlineStr">
        <is>
          <t>SUNDSVALL</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7089-2025</t>
        </is>
      </c>
      <c r="B3156" s="1" t="n">
        <v>45701</v>
      </c>
      <c r="C3156" s="1" t="n">
        <v>45845</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7292-2025</t>
        </is>
      </c>
      <c r="B3157" s="1" t="n">
        <v>45702</v>
      </c>
      <c r="C3157" s="1" t="n">
        <v>45845</v>
      </c>
      <c r="D3157" t="inlineStr">
        <is>
          <t>VÄSTERNORRLANDS LÄN</t>
        </is>
      </c>
      <c r="E3157" t="inlineStr">
        <is>
          <t>SUNDSVALL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7155-2025</t>
        </is>
      </c>
      <c r="B3158" s="1" t="n">
        <v>45702</v>
      </c>
      <c r="C3158" s="1" t="n">
        <v>45845</v>
      </c>
      <c r="D3158" t="inlineStr">
        <is>
          <t>VÄSTERNORRLANDS LÄN</t>
        </is>
      </c>
      <c r="E3158" t="inlineStr">
        <is>
          <t>SUNDSVALL</t>
        </is>
      </c>
      <c r="F3158" t="inlineStr">
        <is>
          <t>SCA</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7265-2025</t>
        </is>
      </c>
      <c r="B3159" s="1" t="n">
        <v>45702</v>
      </c>
      <c r="C3159" s="1" t="n">
        <v>45845</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c r="U3159">
        <f>HYPERLINK("https://klasma.github.io/Logging_2281/knärot/A 7265-2025 karta knärot.png", "A 7265-2025")</f>
        <v/>
      </c>
      <c r="V3159">
        <f>HYPERLINK("https://klasma.github.io/Logging_2281/klagomål/A 7265-2025 FSC-klagomål.docx", "A 7265-2025")</f>
        <v/>
      </c>
      <c r="W3159">
        <f>HYPERLINK("https://klasma.github.io/Logging_2281/klagomålsmail/A 7265-2025 FSC-klagomål mail.docx", "A 7265-2025")</f>
        <v/>
      </c>
      <c r="X3159">
        <f>HYPERLINK("https://klasma.github.io/Logging_2281/tillsyn/A 7265-2025 tillsynsbegäran.docx", "A 7265-2025")</f>
        <v/>
      </c>
      <c r="Y3159">
        <f>HYPERLINK("https://klasma.github.io/Logging_2281/tillsynsmail/A 7265-2025 tillsynsbegäran mail.docx", "A 7265-2025")</f>
        <v/>
      </c>
    </row>
    <row r="3160" ht="15" customHeight="1">
      <c r="A3160" t="inlineStr">
        <is>
          <t>A 7293-2025</t>
        </is>
      </c>
      <c r="B3160" s="1" t="n">
        <v>45702</v>
      </c>
      <c r="C3160" s="1" t="n">
        <v>45845</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7612-2025</t>
        </is>
      </c>
      <c r="B3161" s="1" t="n">
        <v>45705</v>
      </c>
      <c r="C3161" s="1" t="n">
        <v>45845</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7579-2025</t>
        </is>
      </c>
      <c r="B3162" s="1" t="n">
        <v>45705</v>
      </c>
      <c r="C3162" s="1" t="n">
        <v>45845</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7422-2025</t>
        </is>
      </c>
      <c r="B3163" s="1" t="n">
        <v>45705</v>
      </c>
      <c r="C3163" s="1" t="n">
        <v>45845</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7427-2025</t>
        </is>
      </c>
      <c r="B3164" s="1" t="n">
        <v>45705</v>
      </c>
      <c r="C3164" s="1" t="n">
        <v>45845</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7419-2025</t>
        </is>
      </c>
      <c r="B3165" s="1" t="n">
        <v>45705</v>
      </c>
      <c r="C3165" s="1" t="n">
        <v>45845</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7463-2025</t>
        </is>
      </c>
      <c r="B3166" s="1" t="n">
        <v>45705</v>
      </c>
      <c r="C3166" s="1" t="n">
        <v>45845</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7416-2025</t>
        </is>
      </c>
      <c r="B3167" s="1" t="n">
        <v>45705</v>
      </c>
      <c r="C3167" s="1" t="n">
        <v>45845</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7839-2025</t>
        </is>
      </c>
      <c r="B3168" s="1" t="n">
        <v>45706</v>
      </c>
      <c r="C3168" s="1" t="n">
        <v>45845</v>
      </c>
      <c r="D3168" t="inlineStr">
        <is>
          <t>VÄSTERNORRLANDS LÄN</t>
        </is>
      </c>
      <c r="E3168" t="inlineStr">
        <is>
          <t>SUNDSVALL</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7758-2025</t>
        </is>
      </c>
      <c r="B3169" s="1" t="n">
        <v>45706</v>
      </c>
      <c r="C3169" s="1" t="n">
        <v>45845</v>
      </c>
      <c r="D3169" t="inlineStr">
        <is>
          <t>VÄSTERNORRLANDS LÄN</t>
        </is>
      </c>
      <c r="E3169" t="inlineStr">
        <is>
          <t>SUNDSVALL</t>
        </is>
      </c>
      <c r="F3169" t="inlineStr">
        <is>
          <t>SCA</t>
        </is>
      </c>
      <c r="G3169" t="n">
        <v>19.7</v>
      </c>
      <c r="H3169" t="n">
        <v>0</v>
      </c>
      <c r="I3169" t="n">
        <v>0</v>
      </c>
      <c r="J3169" t="n">
        <v>0</v>
      </c>
      <c r="K3169" t="n">
        <v>0</v>
      </c>
      <c r="L3169" t="n">
        <v>0</v>
      </c>
      <c r="M3169" t="n">
        <v>0</v>
      </c>
      <c r="N3169" t="n">
        <v>0</v>
      </c>
      <c r="O3169" t="n">
        <v>0</v>
      </c>
      <c r="P3169" t="n">
        <v>0</v>
      </c>
      <c r="Q3169" t="n">
        <v>0</v>
      </c>
      <c r="R3169" s="2" t="inlineStr"/>
    </row>
    <row r="3170" ht="15" customHeight="1">
      <c r="A3170" t="inlineStr">
        <is>
          <t>A 7960-2025</t>
        </is>
      </c>
      <c r="B3170" s="1" t="n">
        <v>45707</v>
      </c>
      <c r="C3170" s="1" t="n">
        <v>45845</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7924-2025</t>
        </is>
      </c>
      <c r="B3171" s="1" t="n">
        <v>45707</v>
      </c>
      <c r="C3171" s="1" t="n">
        <v>45845</v>
      </c>
      <c r="D3171" t="inlineStr">
        <is>
          <t>VÄSTERNORRLANDS LÄN</t>
        </is>
      </c>
      <c r="E3171" t="inlineStr">
        <is>
          <t>SUNDSVALL</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7962-2025</t>
        </is>
      </c>
      <c r="B3172" s="1" t="n">
        <v>45707</v>
      </c>
      <c r="C3172" s="1" t="n">
        <v>45845</v>
      </c>
      <c r="D3172" t="inlineStr">
        <is>
          <t>VÄSTERNORRLANDS LÄN</t>
        </is>
      </c>
      <c r="E3172" t="inlineStr">
        <is>
          <t>SUNDSVALL</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7970-2025</t>
        </is>
      </c>
      <c r="B3173" s="1" t="n">
        <v>45707</v>
      </c>
      <c r="C3173" s="1" t="n">
        <v>45845</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7961-2025</t>
        </is>
      </c>
      <c r="B3174" s="1" t="n">
        <v>45707</v>
      </c>
      <c r="C3174" s="1" t="n">
        <v>45845</v>
      </c>
      <c r="D3174" t="inlineStr">
        <is>
          <t>VÄSTERNORRLANDS LÄN</t>
        </is>
      </c>
      <c r="E3174" t="inlineStr">
        <is>
          <t>SUNDSVALL</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7967-2025</t>
        </is>
      </c>
      <c r="B3175" s="1" t="n">
        <v>45707</v>
      </c>
      <c r="C3175" s="1" t="n">
        <v>45845</v>
      </c>
      <c r="D3175" t="inlineStr">
        <is>
          <t>VÄSTERNORRLANDS LÄN</t>
        </is>
      </c>
      <c r="E3175" t="inlineStr">
        <is>
          <t>SUNDSVALL</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7959-2025</t>
        </is>
      </c>
      <c r="B3176" s="1" t="n">
        <v>45707</v>
      </c>
      <c r="C3176" s="1" t="n">
        <v>45845</v>
      </c>
      <c r="D3176" t="inlineStr">
        <is>
          <t>VÄSTERNORRLANDS LÄN</t>
        </is>
      </c>
      <c r="E3176" t="inlineStr">
        <is>
          <t>SUNDSVALL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7939-2025</t>
        </is>
      </c>
      <c r="B3177" s="1" t="n">
        <v>45707</v>
      </c>
      <c r="C3177" s="1" t="n">
        <v>45845</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7925-2025</t>
        </is>
      </c>
      <c r="B3178" s="1" t="n">
        <v>45707</v>
      </c>
      <c r="C3178" s="1" t="n">
        <v>45845</v>
      </c>
      <c r="D3178" t="inlineStr">
        <is>
          <t>VÄSTERNORRLANDS LÄN</t>
        </is>
      </c>
      <c r="E3178" t="inlineStr">
        <is>
          <t>SUNDSVALL</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8186-2025</t>
        </is>
      </c>
      <c r="B3179" s="1" t="n">
        <v>45708</v>
      </c>
      <c r="C3179" s="1" t="n">
        <v>45845</v>
      </c>
      <c r="D3179" t="inlineStr">
        <is>
          <t>VÄSTERNORRLANDS LÄN</t>
        </is>
      </c>
      <c r="E3179" t="inlineStr">
        <is>
          <t>SUNDSVALL</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8479-2025</t>
        </is>
      </c>
      <c r="B3180" s="1" t="n">
        <v>45709</v>
      </c>
      <c r="C3180" s="1" t="n">
        <v>45845</v>
      </c>
      <c r="D3180" t="inlineStr">
        <is>
          <t>VÄSTERNORRLANDS LÄN</t>
        </is>
      </c>
      <c r="E3180" t="inlineStr">
        <is>
          <t>SUNDSVALL</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8488-2025</t>
        </is>
      </c>
      <c r="B3181" s="1" t="n">
        <v>45709</v>
      </c>
      <c r="C3181" s="1" t="n">
        <v>45845</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8440-2025</t>
        </is>
      </c>
      <c r="B3182" s="1" t="n">
        <v>45709</v>
      </c>
      <c r="C3182" s="1" t="n">
        <v>45845</v>
      </c>
      <c r="D3182" t="inlineStr">
        <is>
          <t>VÄSTERNORRLANDS LÄN</t>
        </is>
      </c>
      <c r="E3182" t="inlineStr">
        <is>
          <t>SUNDSVALL</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8463-2025</t>
        </is>
      </c>
      <c r="B3183" s="1" t="n">
        <v>45709</v>
      </c>
      <c r="C3183" s="1" t="n">
        <v>45845</v>
      </c>
      <c r="D3183" t="inlineStr">
        <is>
          <t>VÄSTERNORRLANDS LÄN</t>
        </is>
      </c>
      <c r="E3183" t="inlineStr">
        <is>
          <t>SUNDSVALL</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8531-2025</t>
        </is>
      </c>
      <c r="B3184" s="1" t="n">
        <v>45709</v>
      </c>
      <c r="C3184" s="1" t="n">
        <v>45845</v>
      </c>
      <c r="D3184" t="inlineStr">
        <is>
          <t>VÄSTERNORRLANDS LÄN</t>
        </is>
      </c>
      <c r="E3184" t="inlineStr">
        <is>
          <t>SUNDSVALL</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8462-2025</t>
        </is>
      </c>
      <c r="B3185" s="1" t="n">
        <v>45709</v>
      </c>
      <c r="C3185" s="1" t="n">
        <v>45845</v>
      </c>
      <c r="D3185" t="inlineStr">
        <is>
          <t>VÄSTERNORRLANDS LÄN</t>
        </is>
      </c>
      <c r="E3185" t="inlineStr">
        <is>
          <t>SUNDSVALL</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8731-2025</t>
        </is>
      </c>
      <c r="B3186" s="1" t="n">
        <v>45712</v>
      </c>
      <c r="C3186" s="1" t="n">
        <v>45845</v>
      </c>
      <c r="D3186" t="inlineStr">
        <is>
          <t>VÄSTERNORRLANDS LÄN</t>
        </is>
      </c>
      <c r="E3186" t="inlineStr">
        <is>
          <t>SUNDSVALL</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8705-2025</t>
        </is>
      </c>
      <c r="B3187" s="1" t="n">
        <v>45712</v>
      </c>
      <c r="C3187" s="1" t="n">
        <v>45845</v>
      </c>
      <c r="D3187" t="inlineStr">
        <is>
          <t>VÄSTERNORRLANDS LÄN</t>
        </is>
      </c>
      <c r="E3187" t="inlineStr">
        <is>
          <t>SUNDSVALL</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8813-2025</t>
        </is>
      </c>
      <c r="B3188" s="1" t="n">
        <v>45712</v>
      </c>
      <c r="C3188" s="1" t="n">
        <v>45845</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8796-2025</t>
        </is>
      </c>
      <c r="B3189" s="1" t="n">
        <v>45712</v>
      </c>
      <c r="C3189" s="1" t="n">
        <v>45845</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8794-2025</t>
        </is>
      </c>
      <c r="B3190" s="1" t="n">
        <v>45712</v>
      </c>
      <c r="C3190" s="1" t="n">
        <v>45845</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8708-2025</t>
        </is>
      </c>
      <c r="B3191" s="1" t="n">
        <v>45712</v>
      </c>
      <c r="C3191" s="1" t="n">
        <v>45845</v>
      </c>
      <c r="D3191" t="inlineStr">
        <is>
          <t>VÄSTERNORRLANDS LÄN</t>
        </is>
      </c>
      <c r="E3191" t="inlineStr">
        <is>
          <t>SUNDSVALL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8850-2025</t>
        </is>
      </c>
      <c r="B3192" s="1" t="n">
        <v>45713</v>
      </c>
      <c r="C3192" s="1" t="n">
        <v>45845</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8849-2025</t>
        </is>
      </c>
      <c r="B3193" s="1" t="n">
        <v>45713</v>
      </c>
      <c r="C3193" s="1" t="n">
        <v>45845</v>
      </c>
      <c r="D3193" t="inlineStr">
        <is>
          <t>VÄSTERNORRLANDS LÄN</t>
        </is>
      </c>
      <c r="E3193" t="inlineStr">
        <is>
          <t>SUNDSVALL</t>
        </is>
      </c>
      <c r="F3193" t="inlineStr">
        <is>
          <t>SCA</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9017-2025</t>
        </is>
      </c>
      <c r="B3194" s="1" t="n">
        <v>45713</v>
      </c>
      <c r="C3194" s="1" t="n">
        <v>45845</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v>
      </c>
      <c r="C3195" s="1" t="n">
        <v>45845</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9018-2025</t>
        </is>
      </c>
      <c r="B3196" s="1" t="n">
        <v>45713</v>
      </c>
      <c r="C3196" s="1" t="n">
        <v>45845</v>
      </c>
      <c r="D3196" t="inlineStr">
        <is>
          <t>VÄSTERNORRLANDS LÄN</t>
        </is>
      </c>
      <c r="E3196" t="inlineStr">
        <is>
          <t>SUNDSVALL</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9149-2025</t>
        </is>
      </c>
      <c r="B3197" s="1" t="n">
        <v>45714</v>
      </c>
      <c r="C3197" s="1" t="n">
        <v>45845</v>
      </c>
      <c r="D3197" t="inlineStr">
        <is>
          <t>VÄSTERNORRLANDS LÄN</t>
        </is>
      </c>
      <c r="E3197" t="inlineStr">
        <is>
          <t>SUNDSVALL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9276-2025</t>
        </is>
      </c>
      <c r="B3198" s="1" t="n">
        <v>45714</v>
      </c>
      <c r="C3198" s="1" t="n">
        <v>45845</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9507-2025</t>
        </is>
      </c>
      <c r="B3199" s="1" t="n">
        <v>45714</v>
      </c>
      <c r="C3199" s="1" t="n">
        <v>45845</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9470-2025</t>
        </is>
      </c>
      <c r="B3200" s="1" t="n">
        <v>45715</v>
      </c>
      <c r="C3200" s="1" t="n">
        <v>45845</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9609-2025</t>
        </is>
      </c>
      <c r="B3201" s="1" t="n">
        <v>45715</v>
      </c>
      <c r="C3201" s="1" t="n">
        <v>45845</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9598-2025</t>
        </is>
      </c>
      <c r="B3202" s="1" t="n">
        <v>45715</v>
      </c>
      <c r="C3202" s="1" t="n">
        <v>45845</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9514-2025</t>
        </is>
      </c>
      <c r="B3203" s="1" t="n">
        <v>45715</v>
      </c>
      <c r="C3203" s="1" t="n">
        <v>45845</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9469-2025</t>
        </is>
      </c>
      <c r="B3204" s="1" t="n">
        <v>45715</v>
      </c>
      <c r="C3204" s="1" t="n">
        <v>45845</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9579-2025</t>
        </is>
      </c>
      <c r="B3205" s="1" t="n">
        <v>45715</v>
      </c>
      <c r="C3205" s="1" t="n">
        <v>45845</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9616-2025</t>
        </is>
      </c>
      <c r="B3206" s="1" t="n">
        <v>45715</v>
      </c>
      <c r="C3206" s="1" t="n">
        <v>45845</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9709-2025</t>
        </is>
      </c>
      <c r="B3207" s="1" t="n">
        <v>45716</v>
      </c>
      <c r="C3207" s="1" t="n">
        <v>45845</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10242-2025</t>
        </is>
      </c>
      <c r="B3208" s="1" t="n">
        <v>45720</v>
      </c>
      <c r="C3208" s="1" t="n">
        <v>45845</v>
      </c>
      <c r="D3208" t="inlineStr">
        <is>
          <t>VÄSTERNORRLANDS LÄN</t>
        </is>
      </c>
      <c r="E3208" t="inlineStr">
        <is>
          <t>SUNDSVALL</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10487-2025</t>
        </is>
      </c>
      <c r="B3209" s="1" t="n">
        <v>45721</v>
      </c>
      <c r="C3209" s="1" t="n">
        <v>45845</v>
      </c>
      <c r="D3209" t="inlineStr">
        <is>
          <t>VÄSTERNORRLANDS LÄN</t>
        </is>
      </c>
      <c r="E3209" t="inlineStr">
        <is>
          <t>SUNDSVALL</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10517-2025</t>
        </is>
      </c>
      <c r="B3210" s="1" t="n">
        <v>45721</v>
      </c>
      <c r="C3210" s="1" t="n">
        <v>45845</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10684-2025</t>
        </is>
      </c>
      <c r="B3211" s="1" t="n">
        <v>45721</v>
      </c>
      <c r="C3211" s="1" t="n">
        <v>45845</v>
      </c>
      <c r="D3211" t="inlineStr">
        <is>
          <t>VÄSTERNORRLANDS LÄN</t>
        </is>
      </c>
      <c r="E3211" t="inlineStr">
        <is>
          <t>SUNDSVALL</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10686-2025</t>
        </is>
      </c>
      <c r="B3212" s="1" t="n">
        <v>45722</v>
      </c>
      <c r="C3212" s="1" t="n">
        <v>45845</v>
      </c>
      <c r="D3212" t="inlineStr">
        <is>
          <t>VÄSTERNORRLANDS LÄN</t>
        </is>
      </c>
      <c r="E3212" t="inlineStr">
        <is>
          <t>SUNDSVALL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11023-2025</t>
        </is>
      </c>
      <c r="B3213" s="1" t="n">
        <v>45723</v>
      </c>
      <c r="C3213" s="1" t="n">
        <v>45845</v>
      </c>
      <c r="D3213" t="inlineStr">
        <is>
          <t>VÄSTERNORRLANDS LÄN</t>
        </is>
      </c>
      <c r="E3213" t="inlineStr">
        <is>
          <t>SUNDSVALL</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11083-2025</t>
        </is>
      </c>
      <c r="B3214" s="1" t="n">
        <v>45723</v>
      </c>
      <c r="C3214" s="1" t="n">
        <v>45845</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11028-2025</t>
        </is>
      </c>
      <c r="B3215" s="1" t="n">
        <v>45723</v>
      </c>
      <c r="C3215" s="1" t="n">
        <v>45845</v>
      </c>
      <c r="D3215" t="inlineStr">
        <is>
          <t>VÄSTERNORRLANDS LÄN</t>
        </is>
      </c>
      <c r="E3215" t="inlineStr">
        <is>
          <t>SUNDSVALL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11398-2025</t>
        </is>
      </c>
      <c r="B3216" s="1" t="n">
        <v>45726</v>
      </c>
      <c r="C3216" s="1" t="n">
        <v>45845</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11263-2025</t>
        </is>
      </c>
      <c r="B3217" s="1" t="n">
        <v>45726</v>
      </c>
      <c r="C3217" s="1" t="n">
        <v>45845</v>
      </c>
      <c r="D3217" t="inlineStr">
        <is>
          <t>VÄSTERNORRLANDS LÄN</t>
        </is>
      </c>
      <c r="E3217" t="inlineStr">
        <is>
          <t>SUNDSVALL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11668-2025</t>
        </is>
      </c>
      <c r="B3218" s="1" t="n">
        <v>45727</v>
      </c>
      <c r="C3218" s="1" t="n">
        <v>45845</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11576-2025</t>
        </is>
      </c>
      <c r="B3219" s="1" t="n">
        <v>45727</v>
      </c>
      <c r="C3219" s="1" t="n">
        <v>45845</v>
      </c>
      <c r="D3219" t="inlineStr">
        <is>
          <t>VÄSTERNORRLANDS LÄN</t>
        </is>
      </c>
      <c r="E3219" t="inlineStr">
        <is>
          <t>SUNDSVALL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11764-2025</t>
        </is>
      </c>
      <c r="B3220" s="1" t="n">
        <v>45727</v>
      </c>
      <c r="C3220" s="1" t="n">
        <v>45845</v>
      </c>
      <c r="D3220" t="inlineStr">
        <is>
          <t>VÄSTERNORRLANDS LÄN</t>
        </is>
      </c>
      <c r="E3220" t="inlineStr">
        <is>
          <t>SUNDSVALL</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11724-2025</t>
        </is>
      </c>
      <c r="B3221" s="1" t="n">
        <v>45727</v>
      </c>
      <c r="C3221" s="1" t="n">
        <v>45845</v>
      </c>
      <c r="D3221" t="inlineStr">
        <is>
          <t>VÄSTERNORRLANDS LÄN</t>
        </is>
      </c>
      <c r="E3221" t="inlineStr">
        <is>
          <t>SUNDSVALL</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11929-2025</t>
        </is>
      </c>
      <c r="B3222" s="1" t="n">
        <v>45728</v>
      </c>
      <c r="C3222" s="1" t="n">
        <v>45845</v>
      </c>
      <c r="D3222" t="inlineStr">
        <is>
          <t>VÄSTERNORRLANDS LÄN</t>
        </is>
      </c>
      <c r="E3222" t="inlineStr">
        <is>
          <t>SUNDSVALL</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12044-2025</t>
        </is>
      </c>
      <c r="B3223" s="1" t="n">
        <v>45728</v>
      </c>
      <c r="C3223" s="1" t="n">
        <v>45845</v>
      </c>
      <c r="D3223" t="inlineStr">
        <is>
          <t>VÄSTERNORRLANDS LÄN</t>
        </is>
      </c>
      <c r="E3223" t="inlineStr">
        <is>
          <t>SUNDSVALL</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12190-2025</t>
        </is>
      </c>
      <c r="B3224" s="1" t="n">
        <v>45729</v>
      </c>
      <c r="C3224" s="1" t="n">
        <v>45845</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12206-2025</t>
        </is>
      </c>
      <c r="B3225" s="1" t="n">
        <v>45729</v>
      </c>
      <c r="C3225" s="1" t="n">
        <v>45845</v>
      </c>
      <c r="D3225" t="inlineStr">
        <is>
          <t>VÄSTERNORRLANDS LÄN</t>
        </is>
      </c>
      <c r="E3225" t="inlineStr">
        <is>
          <t>SUNDSVALL</t>
        </is>
      </c>
      <c r="F3225" t="inlineStr">
        <is>
          <t>SCA</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12280-2025</t>
        </is>
      </c>
      <c r="B3226" s="1" t="n">
        <v>45729</v>
      </c>
      <c r="C3226" s="1" t="n">
        <v>45845</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13033-2025</t>
        </is>
      </c>
      <c r="B3227" s="1" t="n">
        <v>45734</v>
      </c>
      <c r="C3227" s="1" t="n">
        <v>45845</v>
      </c>
      <c r="D3227" t="inlineStr">
        <is>
          <t>VÄSTERNORRLANDS LÄN</t>
        </is>
      </c>
      <c r="E3227" t="inlineStr">
        <is>
          <t>SUNDSVALL</t>
        </is>
      </c>
      <c r="F3227" t="inlineStr">
        <is>
          <t>SCA</t>
        </is>
      </c>
      <c r="G3227" t="n">
        <v>2.4</v>
      </c>
      <c r="H3227" t="n">
        <v>0</v>
      </c>
      <c r="I3227" t="n">
        <v>0</v>
      </c>
      <c r="J3227" t="n">
        <v>0</v>
      </c>
      <c r="K3227" t="n">
        <v>0</v>
      </c>
      <c r="L3227" t="n">
        <v>0</v>
      </c>
      <c r="M3227" t="n">
        <v>0</v>
      </c>
      <c r="N3227" t="n">
        <v>0</v>
      </c>
      <c r="O3227" t="n">
        <v>0</v>
      </c>
      <c r="P3227" t="n">
        <v>0</v>
      </c>
      <c r="Q3227" t="n">
        <v>0</v>
      </c>
      <c r="R3227" s="2" t="inlineStr"/>
      <c r="U3227">
        <f>HYPERLINK("https://klasma.github.io/Logging_222281/knärot/A 13033-2025 karta knärot.png", "A 13033-2025")</f>
        <v/>
      </c>
      <c r="V3227">
        <f>HYPERLINK("https://klasma.github.io/Logging_222281/klagomål/A 13033-2025 FSC-klagomål.docx", "A 13033-2025")</f>
        <v/>
      </c>
      <c r="W3227">
        <f>HYPERLINK("https://klasma.github.io/Logging_222281/klagomålsmail/A 13033-2025 FSC-klagomål mail.docx", "A 13033-2025")</f>
        <v/>
      </c>
      <c r="X3227">
        <f>HYPERLINK("https://klasma.github.io/Logging_222281/tillsyn/A 13033-2025 tillsynsbegäran.docx", "A 13033-2025")</f>
        <v/>
      </c>
      <c r="Y3227">
        <f>HYPERLINK("https://klasma.github.io/Logging_222281/tillsynsmail/A 13033-2025 tillsynsbegäran mail.docx", "A 13033-2025")</f>
        <v/>
      </c>
    </row>
    <row r="3228" ht="15" customHeight="1">
      <c r="A3228" t="inlineStr">
        <is>
          <t>A 13071-2025</t>
        </is>
      </c>
      <c r="B3228" s="1" t="n">
        <v>45734</v>
      </c>
      <c r="C3228" s="1" t="n">
        <v>45845</v>
      </c>
      <c r="D3228" t="inlineStr">
        <is>
          <t>VÄSTERNORRLANDS LÄN</t>
        </is>
      </c>
      <c r="E3228" t="inlineStr">
        <is>
          <t>SUNDSVALL</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12986-2025</t>
        </is>
      </c>
      <c r="B3229" s="1" t="n">
        <v>45734</v>
      </c>
      <c r="C3229" s="1" t="n">
        <v>45845</v>
      </c>
      <c r="D3229" t="inlineStr">
        <is>
          <t>VÄSTERNORRLANDS LÄN</t>
        </is>
      </c>
      <c r="E3229" t="inlineStr">
        <is>
          <t>SUNDSVALL</t>
        </is>
      </c>
      <c r="F3229" t="inlineStr">
        <is>
          <t>SCA</t>
        </is>
      </c>
      <c r="G3229" t="n">
        <v>29.3</v>
      </c>
      <c r="H3229" t="n">
        <v>0</v>
      </c>
      <c r="I3229" t="n">
        <v>0</v>
      </c>
      <c r="J3229" t="n">
        <v>0</v>
      </c>
      <c r="K3229" t="n">
        <v>0</v>
      </c>
      <c r="L3229" t="n">
        <v>0</v>
      </c>
      <c r="M3229" t="n">
        <v>0</v>
      </c>
      <c r="N3229" t="n">
        <v>0</v>
      </c>
      <c r="O3229" t="n">
        <v>0</v>
      </c>
      <c r="P3229" t="n">
        <v>0</v>
      </c>
      <c r="Q3229" t="n">
        <v>0</v>
      </c>
      <c r="R3229" s="2" t="inlineStr"/>
    </row>
    <row r="3230" ht="15" customHeight="1">
      <c r="A3230" t="inlineStr">
        <is>
          <t>A 13153-2025</t>
        </is>
      </c>
      <c r="B3230" s="1" t="n">
        <v>45735</v>
      </c>
      <c r="C3230" s="1" t="n">
        <v>45845</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13371-2025</t>
        </is>
      </c>
      <c r="B3231" s="1" t="n">
        <v>45735</v>
      </c>
      <c r="C3231" s="1" t="n">
        <v>45845</v>
      </c>
      <c r="D3231" t="inlineStr">
        <is>
          <t>VÄSTERNORRLANDS LÄN</t>
        </is>
      </c>
      <c r="E3231" t="inlineStr">
        <is>
          <t>SUNDSVALL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13302-2025</t>
        </is>
      </c>
      <c r="B3232" s="1" t="n">
        <v>45735</v>
      </c>
      <c r="C3232" s="1" t="n">
        <v>45845</v>
      </c>
      <c r="D3232" t="inlineStr">
        <is>
          <t>VÄSTERNORRLANDS LÄN</t>
        </is>
      </c>
      <c r="E3232" t="inlineStr">
        <is>
          <t>SUNDSVALL</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13294-2025</t>
        </is>
      </c>
      <c r="B3233" s="1" t="n">
        <v>45735</v>
      </c>
      <c r="C3233" s="1" t="n">
        <v>45845</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13296-2025</t>
        </is>
      </c>
      <c r="B3234" s="1" t="n">
        <v>45735</v>
      </c>
      <c r="C3234" s="1" t="n">
        <v>45845</v>
      </c>
      <c r="D3234" t="inlineStr">
        <is>
          <t>VÄSTERNORRLANDS LÄN</t>
        </is>
      </c>
      <c r="E3234" t="inlineStr">
        <is>
          <t>SUNDSVALL</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13299-2025</t>
        </is>
      </c>
      <c r="B3235" s="1" t="n">
        <v>45735</v>
      </c>
      <c r="C3235" s="1" t="n">
        <v>45845</v>
      </c>
      <c r="D3235" t="inlineStr">
        <is>
          <t>VÄSTERNORRLANDS LÄN</t>
        </is>
      </c>
      <c r="E3235" t="inlineStr">
        <is>
          <t>SUNDSVALL</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13180-2025</t>
        </is>
      </c>
      <c r="B3236" s="1" t="n">
        <v>45735</v>
      </c>
      <c r="C3236" s="1" t="n">
        <v>45845</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13152-2025</t>
        </is>
      </c>
      <c r="B3237" s="1" t="n">
        <v>45735</v>
      </c>
      <c r="C3237" s="1" t="n">
        <v>45845</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13445-2025</t>
        </is>
      </c>
      <c r="B3238" s="1" t="n">
        <v>45736</v>
      </c>
      <c r="C3238" s="1" t="n">
        <v>45845</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13570-2025</t>
        </is>
      </c>
      <c r="B3239" s="1" t="n">
        <v>45736</v>
      </c>
      <c r="C3239" s="1" t="n">
        <v>45845</v>
      </c>
      <c r="D3239" t="inlineStr">
        <is>
          <t>VÄSTERNORRLANDS LÄN</t>
        </is>
      </c>
      <c r="E3239" t="inlineStr">
        <is>
          <t>SUNDSVALL</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13479-2025</t>
        </is>
      </c>
      <c r="B3240" s="1" t="n">
        <v>45736</v>
      </c>
      <c r="C3240" s="1" t="n">
        <v>45845</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13638-2025</t>
        </is>
      </c>
      <c r="B3241" s="1" t="n">
        <v>45736</v>
      </c>
      <c r="C3241" s="1" t="n">
        <v>45845</v>
      </c>
      <c r="D3241" t="inlineStr">
        <is>
          <t>VÄSTERNORRLANDS LÄN</t>
        </is>
      </c>
      <c r="E3241" t="inlineStr">
        <is>
          <t>SUNDSVALL</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13440-2025</t>
        </is>
      </c>
      <c r="B3242" s="1" t="n">
        <v>45736</v>
      </c>
      <c r="C3242" s="1" t="n">
        <v>45845</v>
      </c>
      <c r="D3242" t="inlineStr">
        <is>
          <t>VÄSTERNORRLANDS LÄN</t>
        </is>
      </c>
      <c r="E3242" t="inlineStr">
        <is>
          <t>SUNDSVALL</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13488-2025</t>
        </is>
      </c>
      <c r="B3243" s="1" t="n">
        <v>45736</v>
      </c>
      <c r="C3243" s="1" t="n">
        <v>45845</v>
      </c>
      <c r="D3243" t="inlineStr">
        <is>
          <t>VÄSTERNORRLANDS LÄN</t>
        </is>
      </c>
      <c r="E3243" t="inlineStr">
        <is>
          <t>SUNDSVALL</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13706-2025</t>
        </is>
      </c>
      <c r="B3244" s="1" t="n">
        <v>45737</v>
      </c>
      <c r="C3244" s="1" t="n">
        <v>45845</v>
      </c>
      <c r="D3244" t="inlineStr">
        <is>
          <t>VÄSTERNORRLANDS LÄN</t>
        </is>
      </c>
      <c r="E3244" t="inlineStr">
        <is>
          <t>SUNDSVALL</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13794-2025</t>
        </is>
      </c>
      <c r="B3245" s="1" t="n">
        <v>45737</v>
      </c>
      <c r="C3245" s="1" t="n">
        <v>45845</v>
      </c>
      <c r="D3245" t="inlineStr">
        <is>
          <t>VÄSTERNORRLANDS LÄN</t>
        </is>
      </c>
      <c r="E3245" t="inlineStr">
        <is>
          <t>SUNDSVALL</t>
        </is>
      </c>
      <c r="F3245" t="inlineStr">
        <is>
          <t>Kommuner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13881-2025</t>
        </is>
      </c>
      <c r="B3246" s="1" t="n">
        <v>45737</v>
      </c>
      <c r="C3246" s="1" t="n">
        <v>45845</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13859-2025</t>
        </is>
      </c>
      <c r="B3247" s="1" t="n">
        <v>45737</v>
      </c>
      <c r="C3247" s="1" t="n">
        <v>45845</v>
      </c>
      <c r="D3247" t="inlineStr">
        <is>
          <t>VÄSTERNORRLANDS LÄN</t>
        </is>
      </c>
      <c r="E3247" t="inlineStr">
        <is>
          <t>SUNDSVALL</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14250-2025</t>
        </is>
      </c>
      <c r="B3248" s="1" t="n">
        <v>45740</v>
      </c>
      <c r="C3248" s="1" t="n">
        <v>45845</v>
      </c>
      <c r="D3248" t="inlineStr">
        <is>
          <t>VÄSTERNORRLANDS LÄN</t>
        </is>
      </c>
      <c r="E3248" t="inlineStr">
        <is>
          <t>SUNDSVALL</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14398-2025</t>
        </is>
      </c>
      <c r="B3249" s="1" t="n">
        <v>45741</v>
      </c>
      <c r="C3249" s="1" t="n">
        <v>45845</v>
      </c>
      <c r="D3249" t="inlineStr">
        <is>
          <t>VÄSTERNORRLANDS LÄN</t>
        </is>
      </c>
      <c r="E3249" t="inlineStr">
        <is>
          <t>SUNDSVALL</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14732-2025</t>
        </is>
      </c>
      <c r="B3250" s="1" t="n">
        <v>45742</v>
      </c>
      <c r="C3250" s="1" t="n">
        <v>45845</v>
      </c>
      <c r="D3250" t="inlineStr">
        <is>
          <t>VÄSTERNORRLANDS LÄN</t>
        </is>
      </c>
      <c r="E3250" t="inlineStr">
        <is>
          <t>SUNDSVALL</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15049-2025</t>
        </is>
      </c>
      <c r="B3251" s="1" t="n">
        <v>45743</v>
      </c>
      <c r="C3251" s="1" t="n">
        <v>45845</v>
      </c>
      <c r="D3251" t="inlineStr">
        <is>
          <t>VÄSTERNORRLANDS LÄN</t>
        </is>
      </c>
      <c r="E3251" t="inlineStr">
        <is>
          <t>SUNDSVALL</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15135-2025</t>
        </is>
      </c>
      <c r="B3252" s="1" t="n">
        <v>45744</v>
      </c>
      <c r="C3252" s="1" t="n">
        <v>45845</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15133-2025</t>
        </is>
      </c>
      <c r="B3253" s="1" t="n">
        <v>45744</v>
      </c>
      <c r="C3253" s="1" t="n">
        <v>45845</v>
      </c>
      <c r="D3253" t="inlineStr">
        <is>
          <t>VÄSTERNORRLANDS LÄN</t>
        </is>
      </c>
      <c r="E3253" t="inlineStr">
        <is>
          <t>SUNDSVALL</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15551-2025</t>
        </is>
      </c>
      <c r="B3254" s="1" t="n">
        <v>45747</v>
      </c>
      <c r="C3254" s="1" t="n">
        <v>45845</v>
      </c>
      <c r="D3254" t="inlineStr">
        <is>
          <t>VÄSTERNORRLANDS LÄN</t>
        </is>
      </c>
      <c r="E3254" t="inlineStr">
        <is>
          <t>SUNDSVALL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15475-2025</t>
        </is>
      </c>
      <c r="B3255" s="1" t="n">
        <v>45747</v>
      </c>
      <c r="C3255" s="1" t="n">
        <v>45845</v>
      </c>
      <c r="D3255" t="inlineStr">
        <is>
          <t>VÄSTERNORRLANDS LÄN</t>
        </is>
      </c>
      <c r="E3255" t="inlineStr">
        <is>
          <t>SUNDSVALL</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15411-2025</t>
        </is>
      </c>
      <c r="B3256" s="1" t="n">
        <v>45747</v>
      </c>
      <c r="C3256" s="1" t="n">
        <v>45845</v>
      </c>
      <c r="D3256" t="inlineStr">
        <is>
          <t>VÄSTERNORRLANDS LÄN</t>
        </is>
      </c>
      <c r="E3256" t="inlineStr">
        <is>
          <t>SUNDSVALL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15414-2025</t>
        </is>
      </c>
      <c r="B3257" s="1" t="n">
        <v>45747</v>
      </c>
      <c r="C3257" s="1" t="n">
        <v>45845</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15735-2025</t>
        </is>
      </c>
      <c r="B3258" s="1" t="n">
        <v>45748</v>
      </c>
      <c r="C3258" s="1" t="n">
        <v>45845</v>
      </c>
      <c r="D3258" t="inlineStr">
        <is>
          <t>VÄSTERNORRLANDS LÄN</t>
        </is>
      </c>
      <c r="E3258" t="inlineStr">
        <is>
          <t>SUNDSVALL</t>
        </is>
      </c>
      <c r="F3258" t="inlineStr">
        <is>
          <t>SCA</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15667-2025</t>
        </is>
      </c>
      <c r="B3259" s="1" t="n">
        <v>45748</v>
      </c>
      <c r="C3259" s="1" t="n">
        <v>45845</v>
      </c>
      <c r="D3259" t="inlineStr">
        <is>
          <t>VÄSTERNORRLANDS LÄN</t>
        </is>
      </c>
      <c r="E3259" t="inlineStr">
        <is>
          <t>SUNDSVALL</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15734-2025</t>
        </is>
      </c>
      <c r="B3260" s="1" t="n">
        <v>45748</v>
      </c>
      <c r="C3260" s="1" t="n">
        <v>45845</v>
      </c>
      <c r="D3260" t="inlineStr">
        <is>
          <t>VÄSTERNORRLANDS LÄN</t>
        </is>
      </c>
      <c r="E3260" t="inlineStr">
        <is>
          <t>SUNDSVALL</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15632-2025</t>
        </is>
      </c>
      <c r="B3261" s="1" t="n">
        <v>45748</v>
      </c>
      <c r="C3261" s="1" t="n">
        <v>45845</v>
      </c>
      <c r="D3261" t="inlineStr">
        <is>
          <t>VÄSTERNORRLANDS LÄN</t>
        </is>
      </c>
      <c r="E3261" t="inlineStr">
        <is>
          <t>SUNDSVALL</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15617-2025</t>
        </is>
      </c>
      <c r="B3262" s="1" t="n">
        <v>45748</v>
      </c>
      <c r="C3262" s="1" t="n">
        <v>45845</v>
      </c>
      <c r="D3262" t="inlineStr">
        <is>
          <t>VÄSTERNORRLANDS LÄN</t>
        </is>
      </c>
      <c r="E3262" t="inlineStr">
        <is>
          <t>SUNDSVALL</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15633-2025</t>
        </is>
      </c>
      <c r="B3263" s="1" t="n">
        <v>45748</v>
      </c>
      <c r="C3263" s="1" t="n">
        <v>45845</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15609-2025</t>
        </is>
      </c>
      <c r="B3264" s="1" t="n">
        <v>45748</v>
      </c>
      <c r="C3264" s="1" t="n">
        <v>45845</v>
      </c>
      <c r="D3264" t="inlineStr">
        <is>
          <t>VÄSTERNORRLANDS LÄN</t>
        </is>
      </c>
      <c r="E3264" t="inlineStr">
        <is>
          <t>SUNDSVALL</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15606-2025</t>
        </is>
      </c>
      <c r="B3265" s="1" t="n">
        <v>45748</v>
      </c>
      <c r="C3265" s="1" t="n">
        <v>45845</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15958-2025</t>
        </is>
      </c>
      <c r="B3266" s="1" t="n">
        <v>45749</v>
      </c>
      <c r="C3266" s="1" t="n">
        <v>45845</v>
      </c>
      <c r="D3266" t="inlineStr">
        <is>
          <t>VÄSTERNORRLANDS LÄN</t>
        </is>
      </c>
      <c r="E3266" t="inlineStr">
        <is>
          <t>SUNDSVALL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15967-2025</t>
        </is>
      </c>
      <c r="B3267" s="1" t="n">
        <v>45749</v>
      </c>
      <c r="C3267" s="1" t="n">
        <v>45845</v>
      </c>
      <c r="D3267" t="inlineStr">
        <is>
          <t>VÄSTERNORRLANDS LÄN</t>
        </is>
      </c>
      <c r="E3267" t="inlineStr">
        <is>
          <t>SUNDSVALL</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15871-2025</t>
        </is>
      </c>
      <c r="B3268" s="1" t="n">
        <v>45749</v>
      </c>
      <c r="C3268" s="1" t="n">
        <v>45845</v>
      </c>
      <c r="D3268" t="inlineStr">
        <is>
          <t>VÄSTERNORRLANDS LÄN</t>
        </is>
      </c>
      <c r="E3268" t="inlineStr">
        <is>
          <t>SUNDSVALL</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16272-2025</t>
        </is>
      </c>
      <c r="B3269" s="1" t="n">
        <v>45750</v>
      </c>
      <c r="C3269" s="1" t="n">
        <v>45845</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16298-2025</t>
        </is>
      </c>
      <c r="B3270" s="1" t="n">
        <v>45751</v>
      </c>
      <c r="C3270" s="1" t="n">
        <v>45845</v>
      </c>
      <c r="D3270" t="inlineStr">
        <is>
          <t>VÄSTERNORRLANDS LÄN</t>
        </is>
      </c>
      <c r="E3270" t="inlineStr">
        <is>
          <t>SUNDSVALL</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16313-2025</t>
        </is>
      </c>
      <c r="B3271" s="1" t="n">
        <v>45751</v>
      </c>
      <c r="C3271" s="1" t="n">
        <v>45845</v>
      </c>
      <c r="D3271" t="inlineStr">
        <is>
          <t>VÄSTERNORRLANDS LÄN</t>
        </is>
      </c>
      <c r="E3271" t="inlineStr">
        <is>
          <t>SUNDSVALL</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16479-2025</t>
        </is>
      </c>
      <c r="B3272" s="1" t="n">
        <v>45751</v>
      </c>
      <c r="C3272" s="1" t="n">
        <v>45845</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16404-2025</t>
        </is>
      </c>
      <c r="B3273" s="1" t="n">
        <v>45751</v>
      </c>
      <c r="C3273" s="1" t="n">
        <v>45845</v>
      </c>
      <c r="D3273" t="inlineStr">
        <is>
          <t>VÄSTERNORRLANDS LÄN</t>
        </is>
      </c>
      <c r="E3273" t="inlineStr">
        <is>
          <t>SUNDSVALL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16941-2025</t>
        </is>
      </c>
      <c r="B3274" s="1" t="n">
        <v>45755</v>
      </c>
      <c r="C3274" s="1" t="n">
        <v>45845</v>
      </c>
      <c r="D3274" t="inlineStr">
        <is>
          <t>VÄSTERNORRLANDS LÄN</t>
        </is>
      </c>
      <c r="E3274" t="inlineStr">
        <is>
          <t>SUNDSVALL</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17035-2025</t>
        </is>
      </c>
      <c r="B3275" s="1" t="n">
        <v>45755</v>
      </c>
      <c r="C3275" s="1" t="n">
        <v>45845</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17166-2025</t>
        </is>
      </c>
      <c r="B3276" s="1" t="n">
        <v>45756</v>
      </c>
      <c r="C3276" s="1" t="n">
        <v>45845</v>
      </c>
      <c r="D3276" t="inlineStr">
        <is>
          <t>VÄSTERNORRLANDS LÄN</t>
        </is>
      </c>
      <c r="E3276" t="inlineStr">
        <is>
          <t>SUNDSVALL</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17592-2025</t>
        </is>
      </c>
      <c r="B3277" s="1" t="n">
        <v>45757</v>
      </c>
      <c r="C3277" s="1" t="n">
        <v>45845</v>
      </c>
      <c r="D3277" t="inlineStr">
        <is>
          <t>VÄSTERNORRLANDS LÄN</t>
        </is>
      </c>
      <c r="E3277" t="inlineStr">
        <is>
          <t>SUNDSVALL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17490-2025</t>
        </is>
      </c>
      <c r="B3278" s="1" t="n">
        <v>45757</v>
      </c>
      <c r="C3278" s="1" t="n">
        <v>45845</v>
      </c>
      <c r="D3278" t="inlineStr">
        <is>
          <t>VÄSTERNORRLANDS LÄN</t>
        </is>
      </c>
      <c r="E3278" t="inlineStr">
        <is>
          <t>SUNDSVALL</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17395-2025</t>
        </is>
      </c>
      <c r="B3279" s="1" t="n">
        <v>45757</v>
      </c>
      <c r="C3279" s="1" t="n">
        <v>45845</v>
      </c>
      <c r="D3279" t="inlineStr">
        <is>
          <t>VÄSTERNORRLANDS LÄN</t>
        </is>
      </c>
      <c r="E3279" t="inlineStr">
        <is>
          <t>SUNDSVALL</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45845</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45845</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45845</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45845</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45845</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45845</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45845</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45845</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45845</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45845</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45845</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45845</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45845</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45845</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45845</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45845</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45845</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45845</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45845</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45845</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45845</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45845</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45845</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45845</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45845</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45845</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45845</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45845</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45845</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45845</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45845</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45845</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45845</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45845</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45845</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45845</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45845</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45845</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45845</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45845</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45845</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45845</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45845</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45845</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45845</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45845</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45845</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45845</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45845</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45845</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45845</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45845</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45845</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45845</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45845</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45845</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45845</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45845</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45845</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45845</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45845</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45845</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45845</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45845</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45845</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45845</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45845</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45845</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45845</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45845</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45845</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45845</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45845</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45845</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45845</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45845</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45845</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45845</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45845</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45845</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45845</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45845</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45845</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45845</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45845</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45845</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45845</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45845</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45845</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45845</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45845</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45845</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45845</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45845</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45845</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45845</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45845</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45845</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45845</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45845</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45845</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45845</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45845</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45845</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45845</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45845</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45845</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45845</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45845</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45845</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45845</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45845</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45845</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45845</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45845</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45845</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45845</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45845</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45845</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45845</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45845</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45845</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45845</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45845</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45845</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45845</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45845</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45845</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45845</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45845</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45845</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45845</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45845</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45845</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45845</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45845</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45845</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45845</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45845</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45845</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45845</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45845</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45845</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45845</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45845</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45845</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45845</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45845</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45845</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45845</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45845</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45845</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45845</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45845</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45845</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45845</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45845</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45845</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45845</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45845</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45845</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45845</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45845</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27823-2025</t>
        </is>
      </c>
      <c r="B3443" s="1" t="n">
        <v>45817</v>
      </c>
      <c r="C3443" s="1" t="n">
        <v>45845</v>
      </c>
      <c r="D3443" t="inlineStr">
        <is>
          <t>VÄSTERNORRLANDS LÄN</t>
        </is>
      </c>
      <c r="E3443" t="inlineStr">
        <is>
          <t>SUNDSVALL</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27944-2025</t>
        </is>
      </c>
      <c r="B3444" s="1" t="n">
        <v>45817</v>
      </c>
      <c r="C3444" s="1" t="n">
        <v>45845</v>
      </c>
      <c r="D3444" t="inlineStr">
        <is>
          <t>VÄSTERNORRLANDS LÄN</t>
        </is>
      </c>
      <c r="E3444" t="inlineStr">
        <is>
          <t>SUNDSVALL</t>
        </is>
      </c>
      <c r="F3444" t="inlineStr">
        <is>
          <t>Naturvårdsverket</t>
        </is>
      </c>
      <c r="G3444" t="n">
        <v>3.1</v>
      </c>
      <c r="H3444" t="n">
        <v>0</v>
      </c>
      <c r="I3444" t="n">
        <v>0</v>
      </c>
      <c r="J3444" t="n">
        <v>0</v>
      </c>
      <c r="K3444" t="n">
        <v>0</v>
      </c>
      <c r="L3444" t="n">
        <v>0</v>
      </c>
      <c r="M3444" t="n">
        <v>0</v>
      </c>
      <c r="N3444" t="n">
        <v>0</v>
      </c>
      <c r="O3444" t="n">
        <v>0</v>
      </c>
      <c r="P3444" t="n">
        <v>0</v>
      </c>
      <c r="Q3444" t="n">
        <v>0</v>
      </c>
      <c r="R3444" s="2" t="inlineStr"/>
      <c r="U3444">
        <f>HYPERLINK("https://klasma.github.io/Logging_222281/knärot/A 27944-2025 karta knärot.png", "A 27944-2025")</f>
        <v/>
      </c>
      <c r="V3444">
        <f>HYPERLINK("https://klasma.github.io/Logging_222281/klagomål/A 27944-2025 FSC-klagomål.docx", "A 27944-2025")</f>
        <v/>
      </c>
      <c r="W3444">
        <f>HYPERLINK("https://klasma.github.io/Logging_222281/klagomålsmail/A 27944-2025 FSC-klagomål mail.docx", "A 27944-2025")</f>
        <v/>
      </c>
      <c r="X3444">
        <f>HYPERLINK("https://klasma.github.io/Logging_222281/tillsyn/A 27944-2025 tillsynsbegäran.docx", "A 27944-2025")</f>
        <v/>
      </c>
      <c r="Y3444">
        <f>HYPERLINK("https://klasma.github.io/Logging_222281/tillsynsmail/A 27944-2025 tillsynsbegäran mail.docx", "A 27944-2025")</f>
        <v/>
      </c>
    </row>
    <row r="3445" ht="15" customHeight="1">
      <c r="A3445" t="inlineStr">
        <is>
          <t>A 28407-2025</t>
        </is>
      </c>
      <c r="B3445" s="1" t="n">
        <v>45819</v>
      </c>
      <c r="C3445" s="1" t="n">
        <v>45845</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45845</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45845</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45845</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29370-2025</t>
        </is>
      </c>
      <c r="B3449" s="1" t="n">
        <v>45824</v>
      </c>
      <c r="C3449" s="1" t="n">
        <v>45845</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45845</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29700-2025</t>
        </is>
      </c>
      <c r="B3451" s="1" t="n">
        <v>45825</v>
      </c>
      <c r="C3451" s="1" t="n">
        <v>45845</v>
      </c>
      <c r="D3451" t="inlineStr">
        <is>
          <t>VÄSTERNORRLANDS LÄN</t>
        </is>
      </c>
      <c r="E3451" t="inlineStr">
        <is>
          <t>SUNDSVALL</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29711-2025</t>
        </is>
      </c>
      <c r="B3452" s="1" t="n">
        <v>45825</v>
      </c>
      <c r="C3452" s="1" t="n">
        <v>45845</v>
      </c>
      <c r="D3452" t="inlineStr">
        <is>
          <t>VÄSTERNORRLANDS LÄN</t>
        </is>
      </c>
      <c r="E3452" t="inlineStr">
        <is>
          <t>SUNDSVALL</t>
        </is>
      </c>
      <c r="F3452" t="inlineStr">
        <is>
          <t>Kyrkan</t>
        </is>
      </c>
      <c r="G3452" t="n">
        <v>43.8</v>
      </c>
      <c r="H3452" t="n">
        <v>0</v>
      </c>
      <c r="I3452" t="n">
        <v>0</v>
      </c>
      <c r="J3452" t="n">
        <v>0</v>
      </c>
      <c r="K3452" t="n">
        <v>0</v>
      </c>
      <c r="L3452" t="n">
        <v>0</v>
      </c>
      <c r="M3452" t="n">
        <v>0</v>
      </c>
      <c r="N3452" t="n">
        <v>0</v>
      </c>
      <c r="O3452" t="n">
        <v>0</v>
      </c>
      <c r="P3452" t="n">
        <v>0</v>
      </c>
      <c r="Q3452" t="n">
        <v>0</v>
      </c>
      <c r="R3452" s="2" t="inlineStr"/>
    </row>
    <row r="3453" ht="15" customHeight="1">
      <c r="A3453" t="inlineStr">
        <is>
          <t>A 29954-2025</t>
        </is>
      </c>
      <c r="B3453" s="1" t="n">
        <v>45826</v>
      </c>
      <c r="C3453" s="1" t="n">
        <v>45845</v>
      </c>
      <c r="D3453" t="inlineStr">
        <is>
          <t>VÄSTERNORRLANDS LÄN</t>
        </is>
      </c>
      <c r="E3453" t="inlineStr">
        <is>
          <t>SUNDSVALL</t>
        </is>
      </c>
      <c r="F3453" t="inlineStr">
        <is>
          <t>Naturvårdsverket</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45845</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45845</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29952-2025</t>
        </is>
      </c>
      <c r="B3456" s="1" t="n">
        <v>45826</v>
      </c>
      <c r="C3456" s="1" t="n">
        <v>45845</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29923-2025</t>
        </is>
      </c>
      <c r="B3457" s="1" t="n">
        <v>45826</v>
      </c>
      <c r="C3457" s="1" t="n">
        <v>45845</v>
      </c>
      <c r="D3457" t="inlineStr">
        <is>
          <t>VÄSTERNORRLANDS LÄN</t>
        </is>
      </c>
      <c r="E3457" t="inlineStr">
        <is>
          <t>SUNDSVALL</t>
        </is>
      </c>
      <c r="F3457" t="inlineStr">
        <is>
          <t>Naturvårdsverket</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29970-2025</t>
        </is>
      </c>
      <c r="B3458" s="1" t="n">
        <v>45826</v>
      </c>
      <c r="C3458" s="1" t="n">
        <v>45845</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29973-2025</t>
        </is>
      </c>
      <c r="B3459" s="1" t="n">
        <v>45826</v>
      </c>
      <c r="C3459" s="1" t="n">
        <v>45845</v>
      </c>
      <c r="D3459" t="inlineStr">
        <is>
          <t>VÄSTERNORRLANDS LÄN</t>
        </is>
      </c>
      <c r="E3459" t="inlineStr">
        <is>
          <t>SUNDSVALL</t>
        </is>
      </c>
      <c r="F3459" t="inlineStr">
        <is>
          <t>Naturvårdsverket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45845</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30213-2025</t>
        </is>
      </c>
      <c r="B3461" s="1" t="n">
        <v>45827</v>
      </c>
      <c r="C3461" s="1" t="n">
        <v>45845</v>
      </c>
      <c r="D3461" t="inlineStr">
        <is>
          <t>VÄSTERNORRLANDS LÄN</t>
        </is>
      </c>
      <c r="E3461" t="inlineStr">
        <is>
          <t>SUNDSVALL</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45845</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30259-2025</t>
        </is>
      </c>
      <c r="B3463" s="1" t="n">
        <v>45827</v>
      </c>
      <c r="C3463" s="1" t="n">
        <v>45845</v>
      </c>
      <c r="D3463" t="inlineStr">
        <is>
          <t>VÄSTERNORRLANDS LÄN</t>
        </is>
      </c>
      <c r="E3463" t="inlineStr">
        <is>
          <t>SUNDSVALL</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45845</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45845</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45845</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45845</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45845</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31185-2025</t>
        </is>
      </c>
      <c r="B3469" s="1" t="n">
        <v>45832</v>
      </c>
      <c r="C3469" s="1" t="n">
        <v>45845</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45845</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31270-2025</t>
        </is>
      </c>
      <c r="B3471" s="1" t="n">
        <v>45833</v>
      </c>
      <c r="C3471" s="1" t="n">
        <v>45845</v>
      </c>
      <c r="D3471" t="inlineStr">
        <is>
          <t>VÄSTERNORRLANDS LÄN</t>
        </is>
      </c>
      <c r="E3471" t="inlineStr">
        <is>
          <t>SUNDSVALL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31261-2025</t>
        </is>
      </c>
      <c r="B3472" s="1" t="n">
        <v>45833</v>
      </c>
      <c r="C3472" s="1" t="n">
        <v>45845</v>
      </c>
      <c r="D3472" t="inlineStr">
        <is>
          <t>VÄSTERNORRLANDS LÄN</t>
        </is>
      </c>
      <c r="E3472" t="inlineStr">
        <is>
          <t>SUNDSVALL</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31322-2025</t>
        </is>
      </c>
      <c r="B3473" s="1" t="n">
        <v>45833</v>
      </c>
      <c r="C3473" s="1" t="n">
        <v>45845</v>
      </c>
      <c r="D3473" t="inlineStr">
        <is>
          <t>VÄSTERNORRLANDS LÄN</t>
        </is>
      </c>
      <c r="E3473" t="inlineStr">
        <is>
          <t>SUNDSVALL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31567-2025</t>
        </is>
      </c>
      <c r="B3474" s="1" t="n">
        <v>45833</v>
      </c>
      <c r="C3474" s="1" t="n">
        <v>45845</v>
      </c>
      <c r="D3474" t="inlineStr">
        <is>
          <t>VÄSTERNORRLANDS LÄN</t>
        </is>
      </c>
      <c r="E3474" t="inlineStr">
        <is>
          <t>SUNDSVALL</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31486-2025</t>
        </is>
      </c>
      <c r="B3475" s="1" t="n">
        <v>45833</v>
      </c>
      <c r="C3475" s="1" t="n">
        <v>45845</v>
      </c>
      <c r="D3475" t="inlineStr">
        <is>
          <t>VÄSTERNORRLANDS LÄN</t>
        </is>
      </c>
      <c r="E3475" t="inlineStr">
        <is>
          <t>SUNDSVALL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31295-2025</t>
        </is>
      </c>
      <c r="B3476" s="1" t="n">
        <v>45833</v>
      </c>
      <c r="C3476" s="1" t="n">
        <v>45845</v>
      </c>
      <c r="D3476" t="inlineStr">
        <is>
          <t>VÄSTERNORRLANDS LÄN</t>
        </is>
      </c>
      <c r="E3476" t="inlineStr">
        <is>
          <t>SUNDSVALL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31382-2025</t>
        </is>
      </c>
      <c r="B3477" s="1" t="n">
        <v>45833</v>
      </c>
      <c r="C3477" s="1" t="n">
        <v>45845</v>
      </c>
      <c r="D3477" t="inlineStr">
        <is>
          <t>VÄSTERNORRLANDS LÄN</t>
        </is>
      </c>
      <c r="E3477" t="inlineStr">
        <is>
          <t>SUNDSVALL</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31385-2025</t>
        </is>
      </c>
      <c r="B3478" s="1" t="n">
        <v>45833</v>
      </c>
      <c r="C3478" s="1" t="n">
        <v>45845</v>
      </c>
      <c r="D3478" t="inlineStr">
        <is>
          <t>VÄSTERNORRLANDS LÄN</t>
        </is>
      </c>
      <c r="E3478" t="inlineStr">
        <is>
          <t>SUNDSVALL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31388-2025</t>
        </is>
      </c>
      <c r="B3479" s="1" t="n">
        <v>45833</v>
      </c>
      <c r="C3479" s="1" t="n">
        <v>45845</v>
      </c>
      <c r="D3479" t="inlineStr">
        <is>
          <t>VÄSTERNORRLANDS LÄN</t>
        </is>
      </c>
      <c r="E3479" t="inlineStr">
        <is>
          <t>SUNDSVALL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31424-2025</t>
        </is>
      </c>
      <c r="B3480" s="1" t="n">
        <v>45833</v>
      </c>
      <c r="C3480" s="1" t="n">
        <v>45845</v>
      </c>
      <c r="D3480" t="inlineStr">
        <is>
          <t>VÄSTERNORRLANDS LÄN</t>
        </is>
      </c>
      <c r="E3480" t="inlineStr">
        <is>
          <t>SUNDSVALL</t>
        </is>
      </c>
      <c r="F3480" t="inlineStr">
        <is>
          <t>Naturvårdsverket</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31299-2025</t>
        </is>
      </c>
      <c r="B3481" s="1" t="n">
        <v>45833</v>
      </c>
      <c r="C3481" s="1" t="n">
        <v>45845</v>
      </c>
      <c r="D3481" t="inlineStr">
        <is>
          <t>VÄSTERNORRLANDS LÄN</t>
        </is>
      </c>
      <c r="E3481" t="inlineStr">
        <is>
          <t>SUNDSVALL</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31319-2025</t>
        </is>
      </c>
      <c r="B3482" s="1" t="n">
        <v>45833</v>
      </c>
      <c r="C3482" s="1" t="n">
        <v>45845</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45845</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45845</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31934-2025</t>
        </is>
      </c>
      <c r="B3485" s="1" t="n">
        <v>45835</v>
      </c>
      <c r="C3485" s="1" t="n">
        <v>45845</v>
      </c>
      <c r="D3485" t="inlineStr">
        <is>
          <t>VÄSTERNORRLANDS LÄN</t>
        </is>
      </c>
      <c r="E3485" t="inlineStr">
        <is>
          <t>SUNDSVALL</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31931-2025</t>
        </is>
      </c>
      <c r="B3486" s="1" t="n">
        <v>45835</v>
      </c>
      <c r="C3486" s="1" t="n">
        <v>45845</v>
      </c>
      <c r="D3486" t="inlineStr">
        <is>
          <t>VÄSTERNORRLANDS LÄN</t>
        </is>
      </c>
      <c r="E3486" t="inlineStr">
        <is>
          <t>SUNDSVALL</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31935-2025</t>
        </is>
      </c>
      <c r="B3487" s="1" t="n">
        <v>45835</v>
      </c>
      <c r="C3487" s="1" t="n">
        <v>45845</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31932-2025</t>
        </is>
      </c>
      <c r="B3488" s="1" t="n">
        <v>45835</v>
      </c>
      <c r="C3488" s="1" t="n">
        <v>45845</v>
      </c>
      <c r="D3488" t="inlineStr">
        <is>
          <t>VÄSTERNORRLANDS LÄN</t>
        </is>
      </c>
      <c r="E3488" t="inlineStr">
        <is>
          <t>SUNDSVALL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31933-2025</t>
        </is>
      </c>
      <c r="B3489" s="1" t="n">
        <v>45835</v>
      </c>
      <c r="C3489" s="1" t="n">
        <v>45845</v>
      </c>
      <c r="D3489" t="inlineStr">
        <is>
          <t>VÄSTERNORRLANDS LÄN</t>
        </is>
      </c>
      <c r="E3489" t="inlineStr">
        <is>
          <t>SUNDSVALL</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45845</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45845</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45845</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45845</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45845</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45845</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32356-2025</t>
        </is>
      </c>
      <c r="B3496" s="1" t="n">
        <v>45837</v>
      </c>
      <c r="C3496" s="1" t="n">
        <v>45845</v>
      </c>
      <c r="D3496" t="inlineStr">
        <is>
          <t>VÄSTERNORRLANDS LÄN</t>
        </is>
      </c>
      <c r="E3496" t="inlineStr">
        <is>
          <t>SUNDSVALL</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32383-2025</t>
        </is>
      </c>
      <c r="B3497" s="1" t="n">
        <v>45837</v>
      </c>
      <c r="C3497" s="1" t="n">
        <v>45845</v>
      </c>
      <c r="D3497" t="inlineStr">
        <is>
          <t>VÄSTERNORRLANDS LÄN</t>
        </is>
      </c>
      <c r="E3497" t="inlineStr">
        <is>
          <t>SUNDSVALL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32385-2025</t>
        </is>
      </c>
      <c r="B3498" s="1" t="n">
        <v>45837</v>
      </c>
      <c r="C3498" s="1" t="n">
        <v>45845</v>
      </c>
      <c r="D3498" t="inlineStr">
        <is>
          <t>VÄSTERNORRLANDS LÄN</t>
        </is>
      </c>
      <c r="E3498" t="inlineStr">
        <is>
          <t>SUNDSVALL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32350-2025</t>
        </is>
      </c>
      <c r="B3499" s="1" t="n">
        <v>45837</v>
      </c>
      <c r="C3499" s="1" t="n">
        <v>45845</v>
      </c>
      <c r="D3499" t="inlineStr">
        <is>
          <t>VÄSTERNORRLANDS LÄN</t>
        </is>
      </c>
      <c r="E3499" t="inlineStr">
        <is>
          <t>SUNDSVALL</t>
        </is>
      </c>
      <c r="F3499" t="inlineStr">
        <is>
          <t>SCA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32351-2025</t>
        </is>
      </c>
      <c r="B3500" s="1" t="n">
        <v>45837</v>
      </c>
      <c r="C3500" s="1" t="n">
        <v>45845</v>
      </c>
      <c r="D3500" t="inlineStr">
        <is>
          <t>VÄSTERNORRLANDS LÄN</t>
        </is>
      </c>
      <c r="E3500" t="inlineStr">
        <is>
          <t>SUNDSVALL</t>
        </is>
      </c>
      <c r="F3500" t="inlineStr">
        <is>
          <t>SCA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32357-2025</t>
        </is>
      </c>
      <c r="B3501" s="1" t="n">
        <v>45837</v>
      </c>
      <c r="C3501" s="1" t="n">
        <v>45845</v>
      </c>
      <c r="D3501" t="inlineStr">
        <is>
          <t>VÄSTERNORRLANDS LÄN</t>
        </is>
      </c>
      <c r="E3501" t="inlineStr">
        <is>
          <t>SUNDSVALL</t>
        </is>
      </c>
      <c r="F3501" t="inlineStr">
        <is>
          <t>SCA</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32359-2025</t>
        </is>
      </c>
      <c r="B3502" s="1" t="n">
        <v>45837</v>
      </c>
      <c r="C3502" s="1" t="n">
        <v>45845</v>
      </c>
      <c r="D3502" t="inlineStr">
        <is>
          <t>VÄSTERNORRLANDS LÄN</t>
        </is>
      </c>
      <c r="E3502" t="inlineStr">
        <is>
          <t>SUNDSVALL</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45845</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33646-2025</t>
        </is>
      </c>
      <c r="B3504" s="1" t="n">
        <v>45841</v>
      </c>
      <c r="C3504" s="1" t="n">
        <v>45845</v>
      </c>
      <c r="D3504" t="inlineStr">
        <is>
          <t>VÄSTERNORRLANDS LÄN</t>
        </is>
      </c>
      <c r="E3504" t="inlineStr">
        <is>
          <t>SUNDSVALL</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33649-2025</t>
        </is>
      </c>
      <c r="B3505" s="1" t="n">
        <v>45841</v>
      </c>
      <c r="C3505" s="1" t="n">
        <v>45845</v>
      </c>
      <c r="D3505" t="inlineStr">
        <is>
          <t>VÄSTERNORRLANDS LÄN</t>
        </is>
      </c>
      <c r="E3505" t="inlineStr">
        <is>
          <t>SUNDSVALL</t>
        </is>
      </c>
      <c r="F3505" t="inlineStr">
        <is>
          <t>SCA</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33433-2025</t>
        </is>
      </c>
      <c r="B3506" s="1" t="n">
        <v>45841</v>
      </c>
      <c r="C3506" s="1" t="n">
        <v>45845</v>
      </c>
      <c r="D3506" t="inlineStr">
        <is>
          <t>VÄSTERNORRLANDS LÄN</t>
        </is>
      </c>
      <c r="E3506" t="inlineStr">
        <is>
          <t>SUNDSVALL</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33584-2025</t>
        </is>
      </c>
      <c r="B3507" s="1" t="n">
        <v>45841</v>
      </c>
      <c r="C3507" s="1" t="n">
        <v>45845</v>
      </c>
      <c r="D3507" t="inlineStr">
        <is>
          <t>VÄSTERNORRLANDS LÄN</t>
        </is>
      </c>
      <c r="E3507" t="inlineStr">
        <is>
          <t>SUNDSVALL</t>
        </is>
      </c>
      <c r="F3507" t="inlineStr">
        <is>
          <t>SCA</t>
        </is>
      </c>
      <c r="G3507" t="n">
        <v>12.9</v>
      </c>
      <c r="H3507" t="n">
        <v>0</v>
      </c>
      <c r="I3507" t="n">
        <v>0</v>
      </c>
      <c r="J3507" t="n">
        <v>0</v>
      </c>
      <c r="K3507" t="n">
        <v>0</v>
      </c>
      <c r="L3507" t="n">
        <v>0</v>
      </c>
      <c r="M3507" t="n">
        <v>0</v>
      </c>
      <c r="N3507" t="n">
        <v>0</v>
      </c>
      <c r="O3507" t="n">
        <v>0</v>
      </c>
      <c r="P3507" t="n">
        <v>0</v>
      </c>
      <c r="Q3507" t="n">
        <v>0</v>
      </c>
      <c r="R3507" s="2" t="inlineStr"/>
    </row>
    <row r="3508" ht="15" customHeight="1">
      <c r="A3508" t="inlineStr">
        <is>
          <t>A 33606-2025</t>
        </is>
      </c>
      <c r="B3508" s="1" t="n">
        <v>45841</v>
      </c>
      <c r="C3508" s="1" t="n">
        <v>45845</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45845</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c r="A3510" t="inlineStr">
        <is>
          <t>A 33934-2025</t>
        </is>
      </c>
      <c r="B3510" s="1" t="n">
        <v>45842</v>
      </c>
      <c r="C3510" s="1" t="n">
        <v>45845</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2025-07-07T19:45:26Z</dcterms:created>
  <dcterms:modified xmlns:dcterms="http://purl.org/dc/terms/" xmlns:xsi="http://www.w3.org/2001/XMLSchema-instance" xsi:type="dcterms:W3CDTF">2025-07-07T19:45:29Z</dcterms:modified>
</cp:coreProperties>
</file>