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45720</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45720</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45720</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45720</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45720</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45720</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45720</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45720</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45720</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45720</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45720</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45720</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45720</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45720</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45720</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45720</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45720</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45720</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45720</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45720</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45720</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45720</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45720</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45720</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45720</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45720</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45720</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45720</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45720</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45720</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45720</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45720</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45720</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45720</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45720</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45720</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45720</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45720</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45720</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45720</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45720</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45720</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45720</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45720</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45720</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45720</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45720</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45720</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45720</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45720</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45720</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45720</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45720</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45720</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45720</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45720</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45720</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45720</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45720</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45720</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45720</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45720</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45720</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45720</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45720</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45720</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45720</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45720</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45720</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45720</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45720</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45720</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45720</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45720</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45720</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45720</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45720</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45720</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45720</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45720</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45720</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45720</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45720</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45720</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45720</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45720</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45720</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45720</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45720</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45720</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45720</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45720</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45720</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45720</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45720</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45720</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45720</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45720</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45720</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45720</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45720</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45720</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45720</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45720</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45720</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45720</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45720</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45720</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45720</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45720</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45720</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45720</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45720</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45720</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45720</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45720</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45720</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45720</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45720</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45720</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45720</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45720</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45720</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45720</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45720</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45720</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45720</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45720</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45720</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45720</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45720</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45720</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45720</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45720</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45720</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45720</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45720</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45720</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45720</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45720</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45720</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45720</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45720</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45720</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45720</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45720</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45720</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45720</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45720</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45720</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45720</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45720</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45720</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45720</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45720</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45720</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45720</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45720</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45720</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45720</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45720</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45720</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45720</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45720</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45720</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45720</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45720</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45720</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45720</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45720</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45720</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45720</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45720</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45720</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45720</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45720</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45720</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45720</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45720</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45720</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45720</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45720</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45720</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45720</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45720</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45720</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45720</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45720</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45720</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45720</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45720</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45720</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45720</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45720</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45720</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4856-2025</t>
        </is>
      </c>
      <c r="B197" s="1" t="n">
        <v>45688</v>
      </c>
      <c r="C197" s="1" t="n">
        <v>45720</v>
      </c>
      <c r="D197" t="inlineStr">
        <is>
          <t>VÄSTERNORRLANDS LÄN</t>
        </is>
      </c>
      <c r="E197" t="inlineStr">
        <is>
          <t>SUNDSVALL</t>
        </is>
      </c>
      <c r="F197" t="inlineStr">
        <is>
          <t>SCA</t>
        </is>
      </c>
      <c r="G197" t="n">
        <v>3.5</v>
      </c>
      <c r="H197" t="n">
        <v>0</v>
      </c>
      <c r="I197" t="n">
        <v>1</v>
      </c>
      <c r="J197" t="n">
        <v>0</v>
      </c>
      <c r="K197" t="n">
        <v>0</v>
      </c>
      <c r="L197" t="n">
        <v>0</v>
      </c>
      <c r="M197" t="n">
        <v>0</v>
      </c>
      <c r="N197" t="n">
        <v>0</v>
      </c>
      <c r="O197" t="n">
        <v>0</v>
      </c>
      <c r="P197" t="n">
        <v>0</v>
      </c>
      <c r="Q197" t="n">
        <v>1</v>
      </c>
      <c r="R197" s="2" t="inlineStr">
        <is>
          <t>Grönpyrola</t>
        </is>
      </c>
      <c r="S197">
        <f>HYPERLINK("https://klasma.github.io/Logging_2281/artfynd/A 4856-2025 artfynd.xlsx", "A 4856-2025")</f>
        <v/>
      </c>
      <c r="T197">
        <f>HYPERLINK("https://klasma.github.io/Logging_2281/kartor/A 4856-2025 karta.png", "A 4856-2025")</f>
        <v/>
      </c>
      <c r="V197">
        <f>HYPERLINK("https://klasma.github.io/Logging_2281/klagomål/A 4856-2025 FSC-klagomål.docx", "A 4856-2025")</f>
        <v/>
      </c>
      <c r="W197">
        <f>HYPERLINK("https://klasma.github.io/Logging_2281/klagomålsmail/A 4856-2025 FSC-klagomål mail.docx", "A 4856-2025")</f>
        <v/>
      </c>
      <c r="X197">
        <f>HYPERLINK("https://klasma.github.io/Logging_2281/tillsyn/A 4856-2025 tillsynsbegäran.docx", "A 4856-2025")</f>
        <v/>
      </c>
      <c r="Y197">
        <f>HYPERLINK("https://klasma.github.io/Logging_2281/tillsynsmail/A 4856-2025 tillsynsbegäran mail.docx", "A 4856-2025")</f>
        <v/>
      </c>
    </row>
    <row r="198" ht="15" customHeight="1">
      <c r="A198" t="inlineStr">
        <is>
          <t>A 4896-2025</t>
        </is>
      </c>
      <c r="B198" s="1" t="n">
        <v>45688</v>
      </c>
      <c r="C198" s="1" t="n">
        <v>45720</v>
      </c>
      <c r="D198" t="inlineStr">
        <is>
          <t>VÄSTERNORRLANDS LÄN</t>
        </is>
      </c>
      <c r="E198" t="inlineStr">
        <is>
          <t>SUNDSVALL</t>
        </is>
      </c>
      <c r="F198" t="inlineStr">
        <is>
          <t>SCA</t>
        </is>
      </c>
      <c r="G198" t="n">
        <v>6.9</v>
      </c>
      <c r="H198" t="n">
        <v>0</v>
      </c>
      <c r="I198" t="n">
        <v>1</v>
      </c>
      <c r="J198" t="n">
        <v>0</v>
      </c>
      <c r="K198" t="n">
        <v>0</v>
      </c>
      <c r="L198" t="n">
        <v>0</v>
      </c>
      <c r="M198" t="n">
        <v>0</v>
      </c>
      <c r="N198" t="n">
        <v>0</v>
      </c>
      <c r="O198" t="n">
        <v>0</v>
      </c>
      <c r="P198" t="n">
        <v>0</v>
      </c>
      <c r="Q198" t="n">
        <v>1</v>
      </c>
      <c r="R198" s="2" t="inlineStr">
        <is>
          <t>Tibast</t>
        </is>
      </c>
      <c r="S198">
        <f>HYPERLINK("https://klasma.github.io/Logging_2281/artfynd/A 4896-2025 artfynd.xlsx", "A 4896-2025")</f>
        <v/>
      </c>
      <c r="T198">
        <f>HYPERLINK("https://klasma.github.io/Logging_2281/kartor/A 4896-2025 karta.png", "A 4896-2025")</f>
        <v/>
      </c>
      <c r="U198">
        <f>HYPERLINK("https://klasma.github.io/Logging_2281/knärot/A 4896-2025 karta knärot.png", "A 4896-2025")</f>
        <v/>
      </c>
      <c r="V198">
        <f>HYPERLINK("https://klasma.github.io/Logging_2281/klagomål/A 4896-2025 FSC-klagomål.docx", "A 4896-2025")</f>
        <v/>
      </c>
      <c r="W198">
        <f>HYPERLINK("https://klasma.github.io/Logging_2281/klagomålsmail/A 4896-2025 FSC-klagomål mail.docx", "A 4896-2025")</f>
        <v/>
      </c>
      <c r="X198">
        <f>HYPERLINK("https://klasma.github.io/Logging_2281/tillsyn/A 4896-2025 tillsynsbegäran.docx", "A 4896-2025")</f>
        <v/>
      </c>
      <c r="Y198">
        <f>HYPERLINK("https://klasma.github.io/Logging_2281/tillsynsmail/A 4896-2025 tillsynsbegäran mail.docx", "A 4896-2025")</f>
        <v/>
      </c>
    </row>
    <row r="199" ht="15" customHeight="1">
      <c r="A199" t="inlineStr">
        <is>
          <t>A 4878-2025</t>
        </is>
      </c>
      <c r="B199" s="1" t="n">
        <v>45688</v>
      </c>
      <c r="C199" s="1" t="n">
        <v>45720</v>
      </c>
      <c r="D199" t="inlineStr">
        <is>
          <t>VÄSTERNORRLANDS LÄN</t>
        </is>
      </c>
      <c r="E199" t="inlineStr">
        <is>
          <t>SUNDSVALL</t>
        </is>
      </c>
      <c r="F199" t="inlineStr">
        <is>
          <t>SCA</t>
        </is>
      </c>
      <c r="G199" t="n">
        <v>4.2</v>
      </c>
      <c r="H199" t="n">
        <v>1</v>
      </c>
      <c r="I199" t="n">
        <v>0</v>
      </c>
      <c r="J199" t="n">
        <v>0</v>
      </c>
      <c r="K199" t="n">
        <v>1</v>
      </c>
      <c r="L199" t="n">
        <v>0</v>
      </c>
      <c r="M199" t="n">
        <v>0</v>
      </c>
      <c r="N199" t="n">
        <v>0</v>
      </c>
      <c r="O199" t="n">
        <v>1</v>
      </c>
      <c r="P199" t="n">
        <v>1</v>
      </c>
      <c r="Q199" t="n">
        <v>1</v>
      </c>
      <c r="R199" s="2" t="inlineStr">
        <is>
          <t>Knärot</t>
        </is>
      </c>
      <c r="S199">
        <f>HYPERLINK("https://klasma.github.io/Logging_2281/artfynd/A 4878-2025 artfynd.xlsx", "A 4878-2025")</f>
        <v/>
      </c>
      <c r="T199">
        <f>HYPERLINK("https://klasma.github.io/Logging_2281/kartor/A 4878-2025 karta.png", "A 4878-2025")</f>
        <v/>
      </c>
      <c r="U199">
        <f>HYPERLINK("https://klasma.github.io/Logging_2281/knärot/A 4878-2025 karta knärot.png", "A 4878-2025")</f>
        <v/>
      </c>
      <c r="V199">
        <f>HYPERLINK("https://klasma.github.io/Logging_2281/klagomål/A 4878-2025 FSC-klagomål.docx", "A 4878-2025")</f>
        <v/>
      </c>
      <c r="W199">
        <f>HYPERLINK("https://klasma.github.io/Logging_2281/klagomålsmail/A 4878-2025 FSC-klagomål mail.docx", "A 4878-2025")</f>
        <v/>
      </c>
      <c r="X199">
        <f>HYPERLINK("https://klasma.github.io/Logging_2281/tillsyn/A 4878-2025 tillsynsbegäran.docx", "A 4878-2025")</f>
        <v/>
      </c>
      <c r="Y199">
        <f>HYPERLINK("https://klasma.github.io/Logging_2281/tillsynsmail/A 4878-2025 tillsynsbegäran mail.docx", "A 4878-2025")</f>
        <v/>
      </c>
    </row>
    <row r="200" ht="15" customHeight="1">
      <c r="A200" t="inlineStr">
        <is>
          <t>A 18070-2019</t>
        </is>
      </c>
      <c r="B200" s="1" t="n">
        <v>43557</v>
      </c>
      <c r="C200" s="1" t="n">
        <v>45720</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45720</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45720</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45720</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45720</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45720</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45720</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45720</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45720</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45720</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45720</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45720</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45720</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45720</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45720</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45720</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45720</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45720</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45720</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45720</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45720</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45720</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45720</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45720</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45720</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45720</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45720</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45720</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45720</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45720</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45720</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45720</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45720</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45720</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45720</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45720</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45720</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45720</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45720</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45720</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45720</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45720</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45720</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45720</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45720</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45720</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45720</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45720</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45720</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45720</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45720</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45720</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45720</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45720</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45720</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45720</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45720</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45720</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45720</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45720</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45720</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45720</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45720</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45720</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45720</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45720</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45720</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45720</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45720</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45720</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45720</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45720</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45720</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45720</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45720</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45720</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45720</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45720</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45720</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45720</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45720</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45720</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45720</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45720</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45720</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45720</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45720</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45720</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45720</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45720</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45720</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45720</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45720</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45720</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45720</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45720</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45720</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45720</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45720</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45720</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45720</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45720</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45720</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45720</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45720</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45720</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45720</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45720</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45720</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45720</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45720</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45720</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45720</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45720</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45720</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45720</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45720</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45720</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45720</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45720</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45720</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45720</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45720</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45720</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45720</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45720</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45720</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45720</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45720</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45720</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45720</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45720</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45720</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45720</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45720</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45720</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45720</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45720</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45720</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45720</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45720</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45720</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45720</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45720</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45720</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45720</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45720</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45720</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45720</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45720</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45720</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45720</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45720</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45720</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45720</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45720</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45720</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45720</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45720</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45720</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45720</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45720</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45720</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45720</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45720</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45720</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45720</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45720</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45720</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45720</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45720</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45720</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45720</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45720</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45720</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45720</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45720</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45720</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45720</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45720</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45720</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45720</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45720</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45720</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45720</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45720</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45720</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45720</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45720</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45720</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45720</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45720</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45720</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45720</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45720</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45720</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45720</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45720</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45720</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45720</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45720</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45720</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45720</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45720</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45720</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45720</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45720</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45720</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45720</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45720</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45720</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45720</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45720</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45720</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45720</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45720</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45720</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45720</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45720</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45720</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45720</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45720</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45720</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45720</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45720</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45720</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45720</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45720</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45720</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45720</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45720</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45720</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45720</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45720</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45720</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45720</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45720</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45720</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45720</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45720</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45720</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45720</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45720</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45720</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45720</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45720</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45720</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45720</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45720</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45720</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45720</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45720</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45720</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45720</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45720</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45720</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45720</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45720</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45720</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45720</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45720</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45720</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45720</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45720</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45720</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45720</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45720</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45720</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45720</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45720</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45720</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45720</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45720</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45720</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45720</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45720</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45720</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45720</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45720</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45720</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45720</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45720</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45720</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45720</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45720</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45720</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45720</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45720</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45720</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45720</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45720</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45720</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45720</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45720</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45720</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45720</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45720</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45720</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45720</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45720</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45720</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45720</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45720</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45720</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45720</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45720</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45720</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45720</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45720</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45720</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45720</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45720</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45720</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45720</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45720</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45720</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45720</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45720</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45720</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45720</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45720</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45720</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45720</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45720</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45720</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45720</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45720</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45720</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45720</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45720</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45720</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45720</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45720</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45720</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45720</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45720</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45720</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45720</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45720</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45720</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45720</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45720</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45720</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45720</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45720</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45720</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45720</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45720</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45720</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45720</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45720</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45720</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45720</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45720</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45720</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45720</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45720</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45720</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45720</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45720</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45720</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45720</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45720</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45720</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45720</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45720</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45720</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45720</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45720</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45720</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45720</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45720</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45720</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45720</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45720</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45720</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45720</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45720</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45720</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45720</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45720</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45720</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45720</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45720</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45720</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45720</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45720</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45720</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45720</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45720</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45720</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45720</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45720</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45720</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45720</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45720</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45720</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45720</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45720</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45720</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45720</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45720</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45720</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45720</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45720</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45720</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45720</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45720</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45720</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45720</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45720</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45720</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45720</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45720</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45720</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45720</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45720</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45720</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45720</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45720</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45720</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45720</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45720</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45720</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45720</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45720</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45720</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45720</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45720</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45720</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45720</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45720</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45720</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45720</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45720</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45720</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45720</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45720</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45720</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45720</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45720</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45720</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45720</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45720</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45720</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45720</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45720</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45720</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45720</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45720</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45720</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45720</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45720</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45720</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45720</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45720</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45720</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45720</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45720</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45720</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45720</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45720</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45720</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45720</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45720</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45720</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45720</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45720</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45720</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45720</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45720</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45720</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45720</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45720</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45720</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45720</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45720</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45720</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45720</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45720</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45720</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45720</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45720</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45720</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45720</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45720</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45720</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45720</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45720</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45720</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45720</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45720</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45720</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45720</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45720</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45720</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45720</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45720</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45720</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45720</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45720</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45720</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45720</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45720</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45720</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45720</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45720</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45720</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45720</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45720</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45720</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45720</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45720</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45720</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45720</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45720</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45720</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45720</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45720</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45720</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45720</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45720</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45720</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45720</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45720</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45720</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45720</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45720</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45720</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45720</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45720</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45720</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45720</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45720</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45720</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45720</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45720</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45720</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45720</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45720</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45720</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45720</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45720</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45720</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45720</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45720</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45720</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45720</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45720</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45720</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45720</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45720</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45720</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45720</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45720</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45720</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45720</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45720</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45720</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45720</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45720</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45720</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45720</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45720</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45720</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45720</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45720</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45720</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45720</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45720</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45720</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45720</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45720</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45720</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45720</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45720</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45720</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45720</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45720</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45720</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45720</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45720</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45720</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45720</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45720</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45720</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45720</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45720</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45720</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45720</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45720</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45720</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45720</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45720</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45720</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45720</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45720</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45720</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45720</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45720</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45720</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45720</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45720</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45720</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45720</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45720</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45720</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45720</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45720</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45720</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45720</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45720</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45720</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45720</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45720</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45720</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45720</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45720</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45720</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45720</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45720</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45720</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45720</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45720</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45720</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45720</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45720</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45720</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45720</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45720</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45720</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45720</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45720</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45720</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45720</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45720</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45720</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45720</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45720</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45720</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45720</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45720</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45720</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45720</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45720</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45720</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45720</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45720</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45720</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45720</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45720</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45720</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45720</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45720</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45720</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45720</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45720</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45720</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45720</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45720</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45720</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45720</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45720</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45720</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45720</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45720</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45720</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45720</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45720</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45720</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45720</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45720</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45720</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45720</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45720</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45720</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45720</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45720</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45720</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45720</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45720</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45720</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45720</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45720</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45720</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45720</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45720</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45720</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45720</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45720</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45720</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45720</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45720</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45720</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45720</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45720</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45720</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45720</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45720</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45720</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45720</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45720</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45720</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45720</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45720</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45720</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45720</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45720</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45720</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45720</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45720</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45720</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45720</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45720</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45720</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45720</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45720</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45720</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45720</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45720</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45720</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45720</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45720</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45720</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45720</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45720</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45720</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45720</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45720</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45720</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45720</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45720</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45720</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45720</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45720</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45720</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45720</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45720</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45720</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45720</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45720</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45720</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45720</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45720</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45720</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45720</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45720</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45720</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45720</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45720</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45720</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45720</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45720</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45720</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45720</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45720</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45720</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45720</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45720</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45720</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45720</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45720</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45720</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45720</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45720</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45720</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45720</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45720</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45720</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45720</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45720</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45720</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45720</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45720</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45720</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45720</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45720</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45720</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45720</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45720</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45720</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45720</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45720</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45720</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45720</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45720</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45720</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45720</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45720</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45720</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45720</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45720</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45720</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45720</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45720</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45720</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45720</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45720</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45720</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45720</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45720</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45720</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45720</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45720</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45720</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45720</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45720</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45720</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45720</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45720</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45720</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45720</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45720</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45720</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45720</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45720</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45720</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45720</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45720</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45720</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45720</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45720</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45720</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45720</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45720</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45720</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45720</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45720</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45720</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45720</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45720</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45720</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45720</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45720</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45720</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45720</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45720</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45720</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45720</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45720</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45720</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45720</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45720</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45720</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45720</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45720</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45720</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45720</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45720</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45720</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45720</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45720</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45720</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45720</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45720</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45720</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45720</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45720</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45720</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45720</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45720</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45720</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45720</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45720</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45720</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45720</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45720</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45720</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45720</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45720</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45720</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45720</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45720</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45720</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45720</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45720</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45720</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45720</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45720</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45720</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45720</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45720</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45720</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45720</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45720</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45720</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45720</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45720</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45720</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45720</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45720</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45720</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45720</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45720</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45720</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45720</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45720</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45720</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45720</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45720</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45720</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45720</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45720</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45720</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45720</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45720</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45720</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45720</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45720</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45720</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45720</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45720</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45720</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45720</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45720</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45720</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45720</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45720</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45720</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45720</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45720</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45720</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45720</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45720</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45720</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45720</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45720</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45720</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45720</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45720</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45720</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45720</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45720</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45720</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45720</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45720</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45720</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45720</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45720</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45720</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45720</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45720</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45720</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45720</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45720</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45720</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45720</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45720</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45720</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45720</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45720</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45720</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45720</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45720</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45720</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45720</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45720</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45720</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45720</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45720</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45720</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45720</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45720</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45720</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45720</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45720</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45720</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45720</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45720</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45720</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45720</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45720</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45720</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45720</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45720</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45720</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45720</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45720</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45720</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45720</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45720</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45720</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45720</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45720</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45720</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45720</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45720</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45720</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45720</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45720</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45720</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45720</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45720</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45720</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45720</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45720</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45720</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45720</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45720</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45720</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45720</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45720</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45720</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45720</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45720</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45720</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45720</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45720</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45720</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45720</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45720</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45720</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45720</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45720</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45720</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45720</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45720</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45720</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45720</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45720</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45720</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45720</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45720</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45720</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45720</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45720</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45720</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45720</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45720</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45720</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45720</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45720</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45720</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45720</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45720</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45720</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45720</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45720</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45720</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45720</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45720</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45720</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45720</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45720</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45720</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45720</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45720</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45720</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45720</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45720</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45720</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45720</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45720</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45720</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45720</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45720</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45720</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45720</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45720</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45720</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45720</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45720</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45720</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45720</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45720</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45720</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45720</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45720</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45720</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45720</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45720</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45720</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45720</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45720</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45720</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45720</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45720</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45720</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45720</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45720</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45720</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45720</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45720</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45720</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45720</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45720</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45720</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45720</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45720</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45720</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45720</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45720</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45720</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45720</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45720</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45720</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45720</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45720</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45720</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45720</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45720</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45720</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45720</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45720</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45720</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45720</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45720</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45720</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45720</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45720</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45720</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45720</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45720</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45720</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45720</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45720</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45720</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45720</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45720</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45720</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45720</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45720</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45720</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45720</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45720</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45720</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45720</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45720</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45720</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45720</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45720</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45720</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45720</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45720</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45720</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45720</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45720</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45720</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45720</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45720</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45720</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45720</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45720</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45720</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45720</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45720</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45720</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45720</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45720</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45720</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45720</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45720</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45720</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45720</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45720</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45720</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45720</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45720</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45720</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45720</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45720</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45720</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45720</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45720</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45720</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45720</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45720</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45720</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45720</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45720</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45720</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45720</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45720</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45720</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45720</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45720</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45720</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45720</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45720</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45720</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45720</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45720</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45720</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45720</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45720</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45720</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45720</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45720</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45720</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45720</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45720</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45720</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45720</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45720</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45720</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45720</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45720</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45720</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45720</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45720</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45720</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45720</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45720</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45720</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45720</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45720</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45720</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45720</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45720</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45720</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45720</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45720</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45720</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45720</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45720</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45720</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45720</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45720</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45720</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45720</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45720</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45720</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45720</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45720</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45720</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45720</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45720</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45720</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45720</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45720</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45720</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45720</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45720</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45720</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45720</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45720</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45720</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45720</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45720</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45720</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45720</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45720</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45720</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45720</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45720</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45720</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45720</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45720</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45720</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45720</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45720</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45720</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45720</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45720</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45720</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45720</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45720</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45720</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45720</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45720</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45720</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45720</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45720</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45720</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45720</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45720</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45720</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45720</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45720</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45720</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45720</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45720</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45720</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45720</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45720</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45720</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45720</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45720</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45720</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45720</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45720</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45720</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45720</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45720</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45720</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45720</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45720</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45720</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45720</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45720</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45720</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45720</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45720</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45720</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45720</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45720</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45720</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45720</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45720</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45720</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45720</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45720</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45720</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45720</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45720</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45720</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45720</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45720</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45720</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45720</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45720</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45720</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45720</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45720</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45720</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45720</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45720</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45720</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45720</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45720</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45720</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45720</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45720</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45720</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45720</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45720</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45720</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45720</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45720</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45720</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45720</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45720</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45720</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45720</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45720</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45720</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45720</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45720</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45720</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45720</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45720</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45720</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45720</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45720</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45720</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45720</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45720</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45720</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45720</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45720</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45720</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45720</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45720</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45720</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45720</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45720</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45720</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45720</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45720</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45720</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45720</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45720</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45720</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45720</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45720</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45720</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45720</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45720</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45720</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45720</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45720</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45720</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45720</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45720</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45720</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45720</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45720</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45720</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45720</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45720</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45720</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45720</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45720</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45720</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45720</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45720</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45720</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45720</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45720</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45720</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45720</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45720</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45720</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45720</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45720</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45720</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45720</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45720</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45720</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45720</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45720</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45720</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45720</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45720</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45720</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45720</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45720</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45720</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45720</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45720</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45720</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45720</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45720</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45720</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45720</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45720</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45720</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45720</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45720</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45720</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45720</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45720</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45720</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45720</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45720</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45720</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45720</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45720</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45720</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45720</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45720</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45720</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45720</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45720</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45720</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45720</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45720</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45720</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45720</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45720</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45720</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45720</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45720</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45720</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45720</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45720</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45720</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45720</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45720</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45720</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45720</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45720</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45720</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45720</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45720</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45720</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45720</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45720</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45720</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45720</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45720</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45720</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45720</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45720</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45720</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45720</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45720</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45720</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45720</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45720</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45720</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45720</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45720</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45720</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45720</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45720</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45720</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45720</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45720</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45720</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45720</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45720</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45720</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45720</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45720</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45720</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45720</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45720</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45720</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45720</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45720</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45720</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45720</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45720</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45720</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45720</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45720</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45720</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45720</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45720</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45720</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45720</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45720</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45720</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45720</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45720</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45720</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45720</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45720</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45720</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45720</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45720</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45720</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45720</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45720</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45720</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45720</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45720</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45720</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45720</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45720</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45720</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45720</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45720</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45720</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45720</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45720</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45720</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45720</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45720</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45720</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45720</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45720</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45720</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45720</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45720</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45720</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45720</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45720</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45720</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45720</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45720</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45720</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45720</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45720</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45720</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45720</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45720</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45720</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45720</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45720</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45720</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45720</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45720</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45720</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45720</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45720</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45720</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45720</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45720</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45720</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45720</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45720</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45720</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45720</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45720</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45720</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45720</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45720</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45720</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45720</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45720</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45720</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45720</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45720</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45720</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45720</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45720</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45720</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45720</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45720</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45720</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45720</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45720</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45720</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45720</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45720</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45720</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45720</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45720</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45720</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45720</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45720</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45720</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45720</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45720</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45720</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45720</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45720</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45720</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45720</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45720</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45720</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45720</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45720</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45720</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45720</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45720</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45720</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45720</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45720</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45720</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45720</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45720</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45720</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45720</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45720</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45720</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45720</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45720</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45720</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45720</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45720</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45720</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45720</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45720</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45720</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45720</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45720</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45720</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45720</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45720</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45720</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45720</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45720</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45720</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45720</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45720</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45720</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45720</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45720</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45720</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45720</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45720</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45720</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45720</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45720</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45720</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45720</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45720</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45720</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45720</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45720</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45720</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45720</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45720</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45720</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45720</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45720</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45720</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45720</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45720</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45720</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45720</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45720</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45720</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45720</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45720</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45720</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45720</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45720</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45720</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45720</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45720</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45720</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45720</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45720</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45720</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45720</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45720</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45720</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45720</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45720</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45720</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45720</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45720</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45720</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45720</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45720</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45720</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45720</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45720</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45720</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45720</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45720</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45720</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45720</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45720</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45720</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45720</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45720</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45720</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45720</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45720</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45720</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45720</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45720</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45720</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45720</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45720</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45720</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45720</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45720</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45720</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45720</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45720</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45720</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45720</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45720</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45720</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45720</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45720</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45720</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45720</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45720</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45720</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45720</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45720</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45720</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45720</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45720</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45720</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45720</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45720</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45720</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45720</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45720</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45720</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45720</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45720</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45720</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45720</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45720</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45720</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45720</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45720</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45720</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45720</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45720</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45720</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45720</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45720</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45720</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45720</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45720</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45720</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45720</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45720</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45720</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45720</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45720</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45720</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45720</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45720</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45720</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45720</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45720</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45720</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45720</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45720</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45720</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45720</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45720</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45720</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45720</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45720</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45720</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45720</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45720</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45720</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45720</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45720</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45720</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45720</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45720</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45720</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45720</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45720</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45720</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45720</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45720</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45720</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45720</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45720</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45720</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45720</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45720</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45720</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45720</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45720</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45720</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45720</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45720</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45720</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45720</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45720</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45720</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45720</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45720</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45720</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45720</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45720</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45720</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45720</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45720</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45720</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45720</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45720</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45720</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45720</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45720</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45720</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45720</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45720</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45720</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45720</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45720</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45720</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45720</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45720</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45720</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45720</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45720</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45720</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45720</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45720</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45720</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45720</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45720</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45720</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45720</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45720</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45720</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45720</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45720</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45720</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45720</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45720</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45720</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45720</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45720</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45720</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45720</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45720</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45720</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45720</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45720</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45720</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45720</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45720</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45720</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45720</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45720</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45720</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45720</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45720</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45720</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45720</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45720</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45720</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45720</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45720</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45720</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45720</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45720</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45720</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45720</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45720</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45720</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45720</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45720</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45720</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45720</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45720</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45720</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45720</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45720</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45720</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45720</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45720</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45720</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45720</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45720</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45720</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45720</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45720</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45720</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45720</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45720</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45720</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45720</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45720</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45720</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45720</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45720</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45720</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45720</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45720</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45720</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45720</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45720</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45720</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45720</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45720</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45720</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45720</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45720</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45720</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45720</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45720</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45720</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45720</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45720</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45720</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45720</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45720</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45720</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45720</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45720</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45720</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45720</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45720</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45720</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45720</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45720</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45720</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45720</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45720</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45720</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45720</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45720</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45720</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45720</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45720</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45720</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45720</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45720</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45720</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45720</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45720</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45720</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45720</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45720</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45720</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45720</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45720</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45720</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45720</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45720</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45720</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45720</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45720</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45720</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45720</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45720</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45720</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45720</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45720</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45720</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45720</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45720</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45720</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45720</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45720</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45720</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45720</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45720</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45720</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45720</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45720</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45720</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45720</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45720</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45720</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45720</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45720</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45720</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45720</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45720</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45720</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45720</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45720</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45720</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45720</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45720</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45720</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45720</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45720</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45720</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45720</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45720</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45720</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45720</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45720</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45720</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45720</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45720</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45720</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45720</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45720</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45720</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45720</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45720</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45720</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45720</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45720</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45720</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45720</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45720</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45720</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45720</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45720</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45720</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45720</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45720</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45720</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45720</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45720</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45720</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45720</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45720</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45720</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45720</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45720</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45720</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45720</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45720</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45720</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45720</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45720</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45720</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45720</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45720</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45720</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45720</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45720</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45720</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45720</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45720</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45720</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45720</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45720</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45720</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45720</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45720</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45720</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45720</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45720</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45720</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45720</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45720</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45720</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45720</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45720</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45720</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45720</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45720</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45720</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45720</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45720</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45720</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45720</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45720</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45720</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45720</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45720</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45720</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45720</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45720</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45720</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45720</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45720</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45720</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45720</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45720</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45720</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45720</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45720</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45720</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45720</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45720</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45720</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45720</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45720</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45720</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45720</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45720</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45720</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45720</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45720</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45720</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45720</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45720</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45720</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45720</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45720</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45720</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45720</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45720</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45720</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45720</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45720</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45720</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45720</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45720</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45720</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45720</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45720</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45720</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45720</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45720</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45720</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45720</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45720</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45720</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45720</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45720</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45720</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45720</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45720</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45720</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45720</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45720</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45720</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45720</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45720</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45720</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45720</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45720</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45720</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45720</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45720</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45720</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45720</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45720</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45720</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45720</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45720</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45720</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45720</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45720</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45720</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45720</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45720</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45720</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45720</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45720</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45720</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45720</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45720</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45720</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45720</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45720</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45720</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45720</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45720</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45720</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45720</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45720</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45720</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45720</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45720</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45720</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45720</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45720</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45720</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45720</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45720</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45720</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45720</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45720</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45720</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45720</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45720</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45720</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45720</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45720</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45720</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45720</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45720</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45720</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45720</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45720</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45720</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45720</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45720</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45720</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45720</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45720</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45720</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45720</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45720</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45720</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45720</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45720</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45720</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45720</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45720</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45720</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45720</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45720</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45720</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45720</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45720</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45720</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45720</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45720</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45720</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45720</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45720</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45720</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45720</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45720</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45720</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45720</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45720</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45720</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45720</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45720</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45720</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45720</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45720</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45720</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45720</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45720</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45720</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45720</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45720</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45720</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45720</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45720</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45720</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45720</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45720</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45720</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45720</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45720</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45720</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45720</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45720</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45720</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45720</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45720</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45720</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45720</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45720</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45720</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45720</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45720</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45720</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45720</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45720</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45720</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45720</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45720</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45720</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45720</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45720</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45720</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45720</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45720</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45720</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45720</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45720</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45720</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45720</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45720</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45720</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45720</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45720</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45720</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45720</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45720</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45720</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45720</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45720</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45720</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45720</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45720</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45720</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45720</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45720</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45720</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45720</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45720</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45720</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45720</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45720</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45720</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45720</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45720</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45720</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45720</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45720</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45720</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45720</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45720</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45720</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45720</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45720</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45720</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45720</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45720</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45720</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45720</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45720</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45720</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45720</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45720</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45720</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45720</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45720</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45720</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45720</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45720</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45720</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45720</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45720</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45720</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45720</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45720</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45720</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45720</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45720</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45720</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45720</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45720</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45720</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45720</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45720</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45720</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45720</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45720</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45720</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45720</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45720</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45720</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45720</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45720</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45720</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45720</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45720</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45720</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45720</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45720</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45720</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45720</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45720</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45720</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45720</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45720</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45720</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45720</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45720</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45720</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45720</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45720</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45720</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45720</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45720</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45720</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45720</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45720</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45720</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45720</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45720</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45720</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45720</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45720</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45720</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45720</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45720</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45720</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45720</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45720</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45720</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45720</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45720</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45720</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45720</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45720</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45720</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45720</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45720</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45720</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45720</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45720</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45720</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45720</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45720</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45720</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45720</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45720</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45720</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45720</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45720</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45720</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45720</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45720</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45720</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45720</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45720</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45720</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45720</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45720</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45720</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45720</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45720</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45720</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45720</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45720</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45720</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45720</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45720</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45720</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45720</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45720</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45720</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45720</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45720</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45720</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45720</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45720</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45720</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45720</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45720</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45720</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45720</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45720</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45720</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45720</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45720</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45720</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45720</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45720</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45720</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45720</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45720</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45720</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45720</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45720</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45720</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45720</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45720</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45720</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45720</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45720</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45720</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45720</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45720</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45720</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45720</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45720</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45720</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45720</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45720</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45720</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45720</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45720</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45720</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45720</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45720</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45720</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45720</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45720</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45720</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45720</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45720</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45720</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45720</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45720</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45720</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45720</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45720</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45720</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45720</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45720</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45720</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45720</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45720</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45720</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45720</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45720</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45720</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45720</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45720</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45720</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45720</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45720</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45720</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45720</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45720</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45720</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45720</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45720</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45720</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45720</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45720</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45720</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45720</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45720</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45720</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45720</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45720</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45720</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45720</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45720</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45720</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45720</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45720</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45720</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45720</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45720</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45720</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45720</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45720</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45720</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45720</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45720</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45720</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45720</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45720</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45720</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45720</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45720</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45720</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45720</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45720</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45720</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45720</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45720</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45720</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45720</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45720</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45720</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45720</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45720</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45720</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45720</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45720</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45720</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45720</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45720</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45720</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45720</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45720</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45720</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45720</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45720</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45720</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45720</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45720</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45720</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45720</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45720</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45720</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45720</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45720</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45720</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45720</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45720</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45720</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45720</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45720</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45720</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45720</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45720</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45720</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45720</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45720</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45720</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45720</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45720</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45720</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45720</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45720</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45720</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45720</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45720</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45720</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45720</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45720</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45720</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45720</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45720</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45720</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45720</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45720</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45720</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45720</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45720</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45720</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45720</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45720</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45720</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45720</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45720</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45720</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45720</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45720</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45720</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45720</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45720</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45720</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45720</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45720</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45720</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45720</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45720</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45720</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45720</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45720</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45720</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45720</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45720</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45720</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45720</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45720</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45720</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45720</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45720</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45720</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45720</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45720</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45720</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45720</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45720</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45720</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45720</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45720</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45720</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45720</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45720</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45720</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45720</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45720</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45720</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45720</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45720</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45720</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45720</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45720</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45720</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45720</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45720</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45720</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45720</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45720</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45720</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45720</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45720</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45720</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45720</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45720</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45720</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45720</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45720</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45720</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45720</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45720</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45720</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45720</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45720</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45720</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45720</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45720</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45720</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45720</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45720</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45720</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45720</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45720</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45720</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45720</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45720</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45720</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45720</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45720</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45720</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45720</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45720</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45720</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45720</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45720</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45720</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45720</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45720</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45720</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45720</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45720</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45720</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45720</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45720</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45720</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45720</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45720</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45720</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45720</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45720</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45720</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45720</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45720</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45720</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45720</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45720</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45720</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45720</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45720</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45720</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45720</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45720</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45720</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45720</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45720</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45720</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45720</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45720</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45720</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45720</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45720</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45720</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45720</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45720</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45720</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45720</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45720</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45720</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45720</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45720</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45720</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45720</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45720</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45720</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45720</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45720</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45720</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45720</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45720</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45720</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45720</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45720</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45720</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45720</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45720</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45720</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45720</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45720</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45720</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45720</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45720</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45720</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45720</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45720</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45720</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45720</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45720</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45720</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45720</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45720</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45720</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45720</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45720</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45720</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45720</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45720</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45720</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45720</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45720</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45720</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45720</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45720</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45720</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45720</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45720</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45720</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45720</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45720</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45720</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45720</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45720</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45720</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45720</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45720</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45720</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45720</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45720</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45720</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45720</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45720</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45720</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45720</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45720</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45720</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45720</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45720</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45720</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45720</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45720</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45720</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45720</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45720</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45720</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45720</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45720</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45720</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45720</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45720</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45720</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45720</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45720</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45720</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45720</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45720</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45720</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45720</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45720</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45720</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45720</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45720</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45720</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45720</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45720</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45720</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45720</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45720</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45720</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3924-2025</t>
        </is>
      </c>
      <c r="B3036" s="1" t="n">
        <v>45684</v>
      </c>
      <c r="C3036" s="1" t="n">
        <v>45720</v>
      </c>
      <c r="D3036" t="inlineStr">
        <is>
          <t>VÄSTERNORRLANDS LÄN</t>
        </is>
      </c>
      <c r="E3036" t="inlineStr">
        <is>
          <t>SUNDSVALL</t>
        </is>
      </c>
      <c r="F3036" t="inlineStr">
        <is>
          <t>SCA</t>
        </is>
      </c>
      <c r="G3036" t="n">
        <v>5.9</v>
      </c>
      <c r="H3036" t="n">
        <v>0</v>
      </c>
      <c r="I3036" t="n">
        <v>0</v>
      </c>
      <c r="J3036" t="n">
        <v>0</v>
      </c>
      <c r="K3036" t="n">
        <v>0</v>
      </c>
      <c r="L3036" t="n">
        <v>0</v>
      </c>
      <c r="M3036" t="n">
        <v>0</v>
      </c>
      <c r="N3036" t="n">
        <v>0</v>
      </c>
      <c r="O3036" t="n">
        <v>0</v>
      </c>
      <c r="P3036" t="n">
        <v>0</v>
      </c>
      <c r="Q3036" t="n">
        <v>0</v>
      </c>
      <c r="R3036" s="2" t="inlineStr"/>
    </row>
    <row r="3037" ht="15" customHeight="1">
      <c r="A3037" t="inlineStr">
        <is>
          <t>A 3967-2025</t>
        </is>
      </c>
      <c r="B3037" s="1" t="n">
        <v>45684</v>
      </c>
      <c r="C3037" s="1" t="n">
        <v>45720</v>
      </c>
      <c r="D3037" t="inlineStr">
        <is>
          <t>VÄSTERNORRLANDS LÄN</t>
        </is>
      </c>
      <c r="E3037" t="inlineStr">
        <is>
          <t>SUNDSVALL</t>
        </is>
      </c>
      <c r="G3037" t="n">
        <v>4.8</v>
      </c>
      <c r="H3037" t="n">
        <v>0</v>
      </c>
      <c r="I3037" t="n">
        <v>0</v>
      </c>
      <c r="J3037" t="n">
        <v>0</v>
      </c>
      <c r="K3037" t="n">
        <v>0</v>
      </c>
      <c r="L3037" t="n">
        <v>0</v>
      </c>
      <c r="M3037" t="n">
        <v>0</v>
      </c>
      <c r="N3037" t="n">
        <v>0</v>
      </c>
      <c r="O3037" t="n">
        <v>0</v>
      </c>
      <c r="P3037" t="n">
        <v>0</v>
      </c>
      <c r="Q3037" t="n">
        <v>0</v>
      </c>
      <c r="R3037" s="2" t="inlineStr"/>
    </row>
    <row r="3038" ht="15" customHeight="1">
      <c r="A3038" t="inlineStr">
        <is>
          <t>A 4111-2025</t>
        </is>
      </c>
      <c r="B3038" s="1" t="n">
        <v>45684</v>
      </c>
      <c r="C3038" s="1" t="n">
        <v>45720</v>
      </c>
      <c r="D3038" t="inlineStr">
        <is>
          <t>VÄSTERNORRLANDS LÄN</t>
        </is>
      </c>
      <c r="E3038" t="inlineStr">
        <is>
          <t>SUNDSVALL</t>
        </is>
      </c>
      <c r="F3038" t="inlineStr">
        <is>
          <t>SCA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3962-2025</t>
        </is>
      </c>
      <c r="B3039" s="1" t="n">
        <v>45684</v>
      </c>
      <c r="C3039" s="1" t="n">
        <v>45720</v>
      </c>
      <c r="D3039" t="inlineStr">
        <is>
          <t>VÄSTERNORRLANDS LÄN</t>
        </is>
      </c>
      <c r="E3039" t="inlineStr">
        <is>
          <t>SUNDSVALL</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3948-2025</t>
        </is>
      </c>
      <c r="B3040" s="1" t="n">
        <v>45684</v>
      </c>
      <c r="C3040" s="1" t="n">
        <v>45720</v>
      </c>
      <c r="D3040" t="inlineStr">
        <is>
          <t>VÄSTERNORRLANDS LÄN</t>
        </is>
      </c>
      <c r="E3040" t="inlineStr">
        <is>
          <t>SUNDSVALL</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45720</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4813-2025</t>
        </is>
      </c>
      <c r="B3042" s="1" t="n">
        <v>45688</v>
      </c>
      <c r="C3042" s="1" t="n">
        <v>45720</v>
      </c>
      <c r="D3042" t="inlineStr">
        <is>
          <t>VÄSTERNORRLANDS LÄN</t>
        </is>
      </c>
      <c r="E3042" t="inlineStr">
        <is>
          <t>SUNDSVALL</t>
        </is>
      </c>
      <c r="G3042" t="n">
        <v>4.4</v>
      </c>
      <c r="H3042" t="n">
        <v>0</v>
      </c>
      <c r="I3042" t="n">
        <v>0</v>
      </c>
      <c r="J3042" t="n">
        <v>0</v>
      </c>
      <c r="K3042" t="n">
        <v>0</v>
      </c>
      <c r="L3042" t="n">
        <v>0</v>
      </c>
      <c r="M3042" t="n">
        <v>0</v>
      </c>
      <c r="N3042" t="n">
        <v>0</v>
      </c>
      <c r="O3042" t="n">
        <v>0</v>
      </c>
      <c r="P3042" t="n">
        <v>0</v>
      </c>
      <c r="Q3042" t="n">
        <v>0</v>
      </c>
      <c r="R3042" s="2" t="inlineStr"/>
    </row>
    <row r="3043" ht="15" customHeight="1">
      <c r="A3043" t="inlineStr">
        <is>
          <t>A 4810-2025</t>
        </is>
      </c>
      <c r="B3043" s="1" t="n">
        <v>45688</v>
      </c>
      <c r="C3043" s="1" t="n">
        <v>45720</v>
      </c>
      <c r="D3043" t="inlineStr">
        <is>
          <t>VÄSTERNORRLANDS LÄN</t>
        </is>
      </c>
      <c r="E3043" t="inlineStr">
        <is>
          <t>SUNDSVALL</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4890-2025</t>
        </is>
      </c>
      <c r="B3044" s="1" t="n">
        <v>45688</v>
      </c>
      <c r="C3044" s="1" t="n">
        <v>45720</v>
      </c>
      <c r="D3044" t="inlineStr">
        <is>
          <t>VÄSTERNORRLANDS LÄN</t>
        </is>
      </c>
      <c r="E3044" t="inlineStr">
        <is>
          <t>SUNDSVALL</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4906-2025</t>
        </is>
      </c>
      <c r="B3045" s="1" t="n">
        <v>45688</v>
      </c>
      <c r="C3045" s="1" t="n">
        <v>45720</v>
      </c>
      <c r="D3045" t="inlineStr">
        <is>
          <t>VÄSTERNORRLANDS LÄN</t>
        </is>
      </c>
      <c r="E3045" t="inlineStr">
        <is>
          <t>SUNDSVALL</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4853-2025</t>
        </is>
      </c>
      <c r="B3046" s="1" t="n">
        <v>45688</v>
      </c>
      <c r="C3046" s="1" t="n">
        <v>45720</v>
      </c>
      <c r="D3046" t="inlineStr">
        <is>
          <t>VÄSTERNORRLANDS LÄN</t>
        </is>
      </c>
      <c r="E3046" t="inlineStr">
        <is>
          <t>SUNDSVALL</t>
        </is>
      </c>
      <c r="F3046" t="inlineStr">
        <is>
          <t>SCA</t>
        </is>
      </c>
      <c r="G3046" t="n">
        <v>18.3</v>
      </c>
      <c r="H3046" t="n">
        <v>0</v>
      </c>
      <c r="I3046" t="n">
        <v>0</v>
      </c>
      <c r="J3046" t="n">
        <v>0</v>
      </c>
      <c r="K3046" t="n">
        <v>0</v>
      </c>
      <c r="L3046" t="n">
        <v>0</v>
      </c>
      <c r="M3046" t="n">
        <v>0</v>
      </c>
      <c r="N3046" t="n">
        <v>0</v>
      </c>
      <c r="O3046" t="n">
        <v>0</v>
      </c>
      <c r="P3046" t="n">
        <v>0</v>
      </c>
      <c r="Q3046" t="n">
        <v>0</v>
      </c>
      <c r="R3046" s="2" t="inlineStr"/>
    </row>
    <row r="3047" ht="15" customHeight="1">
      <c r="A3047" t="inlineStr">
        <is>
          <t>A 4865-2025</t>
        </is>
      </c>
      <c r="B3047" s="1" t="n">
        <v>45688</v>
      </c>
      <c r="C3047" s="1" t="n">
        <v>45720</v>
      </c>
      <c r="D3047" t="inlineStr">
        <is>
          <t>VÄSTERNORRLANDS LÄN</t>
        </is>
      </c>
      <c r="E3047" t="inlineStr">
        <is>
          <t>SUNDSVALL</t>
        </is>
      </c>
      <c r="F3047" t="inlineStr">
        <is>
          <t>SCA</t>
        </is>
      </c>
      <c r="G3047" t="n">
        <v>7.3</v>
      </c>
      <c r="H3047" t="n">
        <v>0</v>
      </c>
      <c r="I3047" t="n">
        <v>0</v>
      </c>
      <c r="J3047" t="n">
        <v>0</v>
      </c>
      <c r="K3047" t="n">
        <v>0</v>
      </c>
      <c r="L3047" t="n">
        <v>0</v>
      </c>
      <c r="M3047" t="n">
        <v>0</v>
      </c>
      <c r="N3047" t="n">
        <v>0</v>
      </c>
      <c r="O3047" t="n">
        <v>0</v>
      </c>
      <c r="P3047" t="n">
        <v>0</v>
      </c>
      <c r="Q3047" t="n">
        <v>0</v>
      </c>
      <c r="R3047" s="2" t="inlineStr"/>
    </row>
    <row r="3048" ht="15" customHeight="1">
      <c r="A3048" t="inlineStr">
        <is>
          <t>A 4917-2025</t>
        </is>
      </c>
      <c r="B3048" s="1" t="n">
        <v>45688</v>
      </c>
      <c r="C3048" s="1" t="n">
        <v>45720</v>
      </c>
      <c r="D3048" t="inlineStr">
        <is>
          <t>VÄSTERNORRLANDS LÄN</t>
        </is>
      </c>
      <c r="E3048" t="inlineStr">
        <is>
          <t>SUNDSVALL</t>
        </is>
      </c>
      <c r="F3048" t="inlineStr">
        <is>
          <t>SCA</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4871-2025</t>
        </is>
      </c>
      <c r="B3049" s="1" t="n">
        <v>45688</v>
      </c>
      <c r="C3049" s="1" t="n">
        <v>45720</v>
      </c>
      <c r="D3049" t="inlineStr">
        <is>
          <t>VÄSTERNORRLANDS LÄN</t>
        </is>
      </c>
      <c r="E3049" t="inlineStr">
        <is>
          <t>SUNDSVALL</t>
        </is>
      </c>
      <c r="F3049" t="inlineStr">
        <is>
          <t>SCA</t>
        </is>
      </c>
      <c r="G3049" t="n">
        <v>11.5</v>
      </c>
      <c r="H3049" t="n">
        <v>0</v>
      </c>
      <c r="I3049" t="n">
        <v>0</v>
      </c>
      <c r="J3049" t="n">
        <v>0</v>
      </c>
      <c r="K3049" t="n">
        <v>0</v>
      </c>
      <c r="L3049" t="n">
        <v>0</v>
      </c>
      <c r="M3049" t="n">
        <v>0</v>
      </c>
      <c r="N3049" t="n">
        <v>0</v>
      </c>
      <c r="O3049" t="n">
        <v>0</v>
      </c>
      <c r="P3049" t="n">
        <v>0</v>
      </c>
      <c r="Q3049" t="n">
        <v>0</v>
      </c>
      <c r="R3049" s="2" t="inlineStr"/>
    </row>
    <row r="3050" ht="15" customHeight="1">
      <c r="A3050" t="inlineStr">
        <is>
          <t>A 4933-2025</t>
        </is>
      </c>
      <c r="B3050" s="1" t="n">
        <v>45688</v>
      </c>
      <c r="C3050" s="1" t="n">
        <v>45720</v>
      </c>
      <c r="D3050" t="inlineStr">
        <is>
          <t>VÄSTERNORRLANDS LÄN</t>
        </is>
      </c>
      <c r="E3050" t="inlineStr">
        <is>
          <t>SUNDSVALL</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4932-2025</t>
        </is>
      </c>
      <c r="B3051" s="1" t="n">
        <v>45688</v>
      </c>
      <c r="C3051" s="1" t="n">
        <v>45720</v>
      </c>
      <c r="D3051" t="inlineStr">
        <is>
          <t>VÄSTERNORRLANDS LÄN</t>
        </is>
      </c>
      <c r="E3051" t="inlineStr">
        <is>
          <t>SUNDSVALL</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4900-2025</t>
        </is>
      </c>
      <c r="B3052" s="1" t="n">
        <v>45688</v>
      </c>
      <c r="C3052" s="1" t="n">
        <v>45720</v>
      </c>
      <c r="D3052" t="inlineStr">
        <is>
          <t>VÄSTERNORRLANDS LÄN</t>
        </is>
      </c>
      <c r="E3052" t="inlineStr">
        <is>
          <t>SUNDSVALL</t>
        </is>
      </c>
      <c r="F3052" t="inlineStr">
        <is>
          <t>SCA</t>
        </is>
      </c>
      <c r="G3052" t="n">
        <v>10.4</v>
      </c>
      <c r="H3052" t="n">
        <v>0</v>
      </c>
      <c r="I3052" t="n">
        <v>0</v>
      </c>
      <c r="J3052" t="n">
        <v>0</v>
      </c>
      <c r="K3052" t="n">
        <v>0</v>
      </c>
      <c r="L3052" t="n">
        <v>0</v>
      </c>
      <c r="M3052" t="n">
        <v>0</v>
      </c>
      <c r="N3052" t="n">
        <v>0</v>
      </c>
      <c r="O3052" t="n">
        <v>0</v>
      </c>
      <c r="P3052" t="n">
        <v>0</v>
      </c>
      <c r="Q3052" t="n">
        <v>0</v>
      </c>
      <c r="R3052" s="2" t="inlineStr"/>
    </row>
    <row r="3053" ht="15" customHeight="1">
      <c r="A3053" t="inlineStr">
        <is>
          <t>A 4888-2025</t>
        </is>
      </c>
      <c r="B3053" s="1" t="n">
        <v>45688</v>
      </c>
      <c r="C3053" s="1" t="n">
        <v>45720</v>
      </c>
      <c r="D3053" t="inlineStr">
        <is>
          <t>VÄSTERNORRLANDS LÄN</t>
        </is>
      </c>
      <c r="E3053" t="inlineStr">
        <is>
          <t>SUNDSVALL</t>
        </is>
      </c>
      <c r="F3053" t="inlineStr">
        <is>
          <t>SCA</t>
        </is>
      </c>
      <c r="G3053" t="n">
        <v>8.6</v>
      </c>
      <c r="H3053" t="n">
        <v>0</v>
      </c>
      <c r="I3053" t="n">
        <v>0</v>
      </c>
      <c r="J3053" t="n">
        <v>0</v>
      </c>
      <c r="K3053" t="n">
        <v>0</v>
      </c>
      <c r="L3053" t="n">
        <v>0</v>
      </c>
      <c r="M3053" t="n">
        <v>0</v>
      </c>
      <c r="N3053" t="n">
        <v>0</v>
      </c>
      <c r="O3053" t="n">
        <v>0</v>
      </c>
      <c r="P3053" t="n">
        <v>0</v>
      </c>
      <c r="Q3053" t="n">
        <v>0</v>
      </c>
      <c r="R3053" s="2" t="inlineStr"/>
    </row>
    <row r="3054" ht="15" customHeight="1">
      <c r="A3054" t="inlineStr">
        <is>
          <t>A 4784-2025</t>
        </is>
      </c>
      <c r="B3054" s="1" t="n">
        <v>45688</v>
      </c>
      <c r="C3054" s="1" t="n">
        <v>45720</v>
      </c>
      <c r="D3054" t="inlineStr">
        <is>
          <t>VÄSTERNORRLANDS LÄN</t>
        </is>
      </c>
      <c r="E3054" t="inlineStr">
        <is>
          <t>SUNDSVALL</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5049-2025</t>
        </is>
      </c>
      <c r="B3055" s="1" t="n">
        <v>45691</v>
      </c>
      <c r="C3055" s="1" t="n">
        <v>45720</v>
      </c>
      <c r="D3055" t="inlineStr">
        <is>
          <t>VÄSTERNORRLANDS LÄN</t>
        </is>
      </c>
      <c r="E3055" t="inlineStr">
        <is>
          <t>SUNDSVALL</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45720</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45720</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5022-2025</t>
        </is>
      </c>
      <c r="B3058" s="1" t="n">
        <v>45691</v>
      </c>
      <c r="C3058" s="1" t="n">
        <v>45720</v>
      </c>
      <c r="D3058" t="inlineStr">
        <is>
          <t>VÄSTERNORRLANDS LÄN</t>
        </is>
      </c>
      <c r="E3058" t="inlineStr">
        <is>
          <t>SUNDSVALL</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5314-2025</t>
        </is>
      </c>
      <c r="B3059" s="1" t="n">
        <v>45692</v>
      </c>
      <c r="C3059" s="1" t="n">
        <v>45720</v>
      </c>
      <c r="D3059" t="inlineStr">
        <is>
          <t>VÄSTERNORRLANDS LÄN</t>
        </is>
      </c>
      <c r="E3059" t="inlineStr">
        <is>
          <t>SUNDSVALL</t>
        </is>
      </c>
      <c r="F3059" t="inlineStr">
        <is>
          <t>SCA</t>
        </is>
      </c>
      <c r="G3059" t="n">
        <v>7.4</v>
      </c>
      <c r="H3059" t="n">
        <v>0</v>
      </c>
      <c r="I3059" t="n">
        <v>0</v>
      </c>
      <c r="J3059" t="n">
        <v>0</v>
      </c>
      <c r="K3059" t="n">
        <v>0</v>
      </c>
      <c r="L3059" t="n">
        <v>0</v>
      </c>
      <c r="M3059" t="n">
        <v>0</v>
      </c>
      <c r="N3059" t="n">
        <v>0</v>
      </c>
      <c r="O3059" t="n">
        <v>0</v>
      </c>
      <c r="P3059" t="n">
        <v>0</v>
      </c>
      <c r="Q3059" t="n">
        <v>0</v>
      </c>
      <c r="R3059" s="2" t="inlineStr"/>
    </row>
    <row r="3060" ht="15" customHeight="1">
      <c r="A3060" t="inlineStr">
        <is>
          <t>A 5267-2025</t>
        </is>
      </c>
      <c r="B3060" s="1" t="n">
        <v>45692</v>
      </c>
      <c r="C3060" s="1" t="n">
        <v>45720</v>
      </c>
      <c r="D3060" t="inlineStr">
        <is>
          <t>VÄSTERNORRLANDS LÄN</t>
        </is>
      </c>
      <c r="E3060" t="inlineStr">
        <is>
          <t>SUNDSVALL</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5296-2025</t>
        </is>
      </c>
      <c r="B3061" s="1" t="n">
        <v>45692</v>
      </c>
      <c r="C3061" s="1" t="n">
        <v>45720</v>
      </c>
      <c r="D3061" t="inlineStr">
        <is>
          <t>VÄSTERNORRLANDS LÄN</t>
        </is>
      </c>
      <c r="E3061" t="inlineStr">
        <is>
          <t>SUNDSVALL</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5361-2025</t>
        </is>
      </c>
      <c r="B3062" s="1" t="n">
        <v>45692</v>
      </c>
      <c r="C3062" s="1" t="n">
        <v>45720</v>
      </c>
      <c r="D3062" t="inlineStr">
        <is>
          <t>VÄSTERNORRLANDS LÄN</t>
        </is>
      </c>
      <c r="E3062" t="inlineStr">
        <is>
          <t>SUNDSVALL</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45720</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45720</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45720</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5569-2025</t>
        </is>
      </c>
      <c r="B3066" s="1" t="n">
        <v>45693</v>
      </c>
      <c r="C3066" s="1" t="n">
        <v>45720</v>
      </c>
      <c r="D3066" t="inlineStr">
        <is>
          <t>VÄSTERNORRLANDS LÄN</t>
        </is>
      </c>
      <c r="E3066" t="inlineStr">
        <is>
          <t>SUNDSVALL</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45720</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45720</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45720</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6656-2025</t>
        </is>
      </c>
      <c r="B3070" s="1" t="n">
        <v>45700</v>
      </c>
      <c r="C3070" s="1" t="n">
        <v>45720</v>
      </c>
      <c r="D3070" t="inlineStr">
        <is>
          <t>VÄSTERNORRLANDS LÄN</t>
        </is>
      </c>
      <c r="E3070" t="inlineStr">
        <is>
          <t>SUNDSVALL</t>
        </is>
      </c>
      <c r="F3070" t="inlineStr">
        <is>
          <t>SCA</t>
        </is>
      </c>
      <c r="G3070" t="n">
        <v>13.5</v>
      </c>
      <c r="H3070" t="n">
        <v>0</v>
      </c>
      <c r="I3070" t="n">
        <v>0</v>
      </c>
      <c r="J3070" t="n">
        <v>0</v>
      </c>
      <c r="K3070" t="n">
        <v>0</v>
      </c>
      <c r="L3070" t="n">
        <v>0</v>
      </c>
      <c r="M3070" t="n">
        <v>0</v>
      </c>
      <c r="N3070" t="n">
        <v>0</v>
      </c>
      <c r="O3070" t="n">
        <v>0</v>
      </c>
      <c r="P3070" t="n">
        <v>0</v>
      </c>
      <c r="Q3070" t="n">
        <v>0</v>
      </c>
      <c r="R3070" s="2" t="inlineStr"/>
    </row>
    <row r="3071" ht="15" customHeight="1">
      <c r="A3071" t="inlineStr">
        <is>
          <t>A 6704-2025</t>
        </is>
      </c>
      <c r="B3071" s="1" t="n">
        <v>45700</v>
      </c>
      <c r="C3071" s="1" t="n">
        <v>45720</v>
      </c>
      <c r="D3071" t="inlineStr">
        <is>
          <t>VÄSTERNORRLANDS LÄN</t>
        </is>
      </c>
      <c r="E3071" t="inlineStr">
        <is>
          <t>SUNDSVALL</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6654-2025</t>
        </is>
      </c>
      <c r="B3072" s="1" t="n">
        <v>45700</v>
      </c>
      <c r="C3072" s="1" t="n">
        <v>45720</v>
      </c>
      <c r="D3072" t="inlineStr">
        <is>
          <t>VÄSTERNORRLANDS LÄN</t>
        </is>
      </c>
      <c r="E3072" t="inlineStr">
        <is>
          <t>SUNDSVALL</t>
        </is>
      </c>
      <c r="F3072" t="inlineStr">
        <is>
          <t>SCA</t>
        </is>
      </c>
      <c r="G3072" t="n">
        <v>2.5</v>
      </c>
      <c r="H3072" t="n">
        <v>0</v>
      </c>
      <c r="I3072" t="n">
        <v>0</v>
      </c>
      <c r="J3072" t="n">
        <v>0</v>
      </c>
      <c r="K3072" t="n">
        <v>0</v>
      </c>
      <c r="L3072" t="n">
        <v>0</v>
      </c>
      <c r="M3072" t="n">
        <v>0</v>
      </c>
      <c r="N3072" t="n">
        <v>0</v>
      </c>
      <c r="O3072" t="n">
        <v>0</v>
      </c>
      <c r="P3072" t="n">
        <v>0</v>
      </c>
      <c r="Q3072" t="n">
        <v>0</v>
      </c>
      <c r="R3072" s="2" t="inlineStr"/>
    </row>
    <row r="3073" ht="15" customHeight="1">
      <c r="A3073" t="inlineStr">
        <is>
          <t>A 6670-2025</t>
        </is>
      </c>
      <c r="B3073" s="1" t="n">
        <v>45700</v>
      </c>
      <c r="C3073" s="1" t="n">
        <v>45720</v>
      </c>
      <c r="D3073" t="inlineStr">
        <is>
          <t>VÄSTERNORRLANDS LÄN</t>
        </is>
      </c>
      <c r="E3073" t="inlineStr">
        <is>
          <t>SUNDSVALL</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6708-2025</t>
        </is>
      </c>
      <c r="B3074" s="1" t="n">
        <v>45700</v>
      </c>
      <c r="C3074" s="1" t="n">
        <v>45720</v>
      </c>
      <c r="D3074" t="inlineStr">
        <is>
          <t>VÄSTERNORRLANDS LÄN</t>
        </is>
      </c>
      <c r="E3074" t="inlineStr">
        <is>
          <t>SUNDSVALL</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6672-2025</t>
        </is>
      </c>
      <c r="B3075" s="1" t="n">
        <v>45700</v>
      </c>
      <c r="C3075" s="1" t="n">
        <v>45720</v>
      </c>
      <c r="D3075" t="inlineStr">
        <is>
          <t>VÄSTERNORRLANDS LÄN</t>
        </is>
      </c>
      <c r="E3075" t="inlineStr">
        <is>
          <t>SUNDSVALL</t>
        </is>
      </c>
      <c r="G3075" t="n">
        <v>2.8</v>
      </c>
      <c r="H3075" t="n">
        <v>0</v>
      </c>
      <c r="I3075" t="n">
        <v>0</v>
      </c>
      <c r="J3075" t="n">
        <v>0</v>
      </c>
      <c r="K3075" t="n">
        <v>0</v>
      </c>
      <c r="L3075" t="n">
        <v>0</v>
      </c>
      <c r="M3075" t="n">
        <v>0</v>
      </c>
      <c r="N3075" t="n">
        <v>0</v>
      </c>
      <c r="O3075" t="n">
        <v>0</v>
      </c>
      <c r="P3075" t="n">
        <v>0</v>
      </c>
      <c r="Q3075" t="n">
        <v>0</v>
      </c>
      <c r="R3075" s="2" t="inlineStr"/>
    </row>
    <row r="3076" ht="15" customHeight="1">
      <c r="A3076" t="inlineStr">
        <is>
          <t>A 6709-2025</t>
        </is>
      </c>
      <c r="B3076" s="1" t="n">
        <v>45700</v>
      </c>
      <c r="C3076" s="1" t="n">
        <v>45720</v>
      </c>
      <c r="D3076" t="inlineStr">
        <is>
          <t>VÄSTERNORRLANDS LÄN</t>
        </is>
      </c>
      <c r="E3076" t="inlineStr">
        <is>
          <t>SUNDSVALL</t>
        </is>
      </c>
      <c r="F3076" t="inlineStr">
        <is>
          <t>SCA</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6777-2025</t>
        </is>
      </c>
      <c r="B3077" s="1" t="n">
        <v>45700</v>
      </c>
      <c r="C3077" s="1" t="n">
        <v>45720</v>
      </c>
      <c r="D3077" t="inlineStr">
        <is>
          <t>VÄSTERNORRLANDS LÄN</t>
        </is>
      </c>
      <c r="E3077" t="inlineStr">
        <is>
          <t>SUNDSVALL</t>
        </is>
      </c>
      <c r="G3077" t="n">
        <v>3.1</v>
      </c>
      <c r="H3077" t="n">
        <v>0</v>
      </c>
      <c r="I3077" t="n">
        <v>0</v>
      </c>
      <c r="J3077" t="n">
        <v>0</v>
      </c>
      <c r="K3077" t="n">
        <v>0</v>
      </c>
      <c r="L3077" t="n">
        <v>0</v>
      </c>
      <c r="M3077" t="n">
        <v>0</v>
      </c>
      <c r="N3077" t="n">
        <v>0</v>
      </c>
      <c r="O3077" t="n">
        <v>0</v>
      </c>
      <c r="P3077" t="n">
        <v>0</v>
      </c>
      <c r="Q3077" t="n">
        <v>0</v>
      </c>
      <c r="R3077" s="2" t="inlineStr"/>
    </row>
    <row r="3078" ht="15" customHeight="1">
      <c r="A3078" t="inlineStr">
        <is>
          <t>A 6673-2025</t>
        </is>
      </c>
      <c r="B3078" s="1" t="n">
        <v>45700</v>
      </c>
      <c r="C3078" s="1" t="n">
        <v>45720</v>
      </c>
      <c r="D3078" t="inlineStr">
        <is>
          <t>VÄSTERNORRLANDS LÄN</t>
        </is>
      </c>
      <c r="E3078" t="inlineStr">
        <is>
          <t>SUNDSVALL</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6702-2025</t>
        </is>
      </c>
      <c r="B3079" s="1" t="n">
        <v>45700</v>
      </c>
      <c r="C3079" s="1" t="n">
        <v>45720</v>
      </c>
      <c r="D3079" t="inlineStr">
        <is>
          <t>VÄSTERNORRLANDS LÄN</t>
        </is>
      </c>
      <c r="E3079" t="inlineStr">
        <is>
          <t>SUNDSVALL</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45720</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6880-2025</t>
        </is>
      </c>
      <c r="B3081" s="1" t="n">
        <v>45701</v>
      </c>
      <c r="C3081" s="1" t="n">
        <v>45720</v>
      </c>
      <c r="D3081" t="inlineStr">
        <is>
          <t>VÄSTERNORRLANDS LÄN</t>
        </is>
      </c>
      <c r="E3081" t="inlineStr">
        <is>
          <t>SUNDSVALL</t>
        </is>
      </c>
      <c r="F3081" t="inlineStr">
        <is>
          <t>SCA</t>
        </is>
      </c>
      <c r="G3081" t="n">
        <v>13.5</v>
      </c>
      <c r="H3081" t="n">
        <v>0</v>
      </c>
      <c r="I3081" t="n">
        <v>0</v>
      </c>
      <c r="J3081" t="n">
        <v>0</v>
      </c>
      <c r="K3081" t="n">
        <v>0</v>
      </c>
      <c r="L3081" t="n">
        <v>0</v>
      </c>
      <c r="M3081" t="n">
        <v>0</v>
      </c>
      <c r="N3081" t="n">
        <v>0</v>
      </c>
      <c r="O3081" t="n">
        <v>0</v>
      </c>
      <c r="P3081" t="n">
        <v>0</v>
      </c>
      <c r="Q3081" t="n">
        <v>0</v>
      </c>
      <c r="R3081" s="2" t="inlineStr"/>
    </row>
    <row r="3082" ht="15" customHeight="1">
      <c r="A3082" t="inlineStr">
        <is>
          <t>A 6969-2025</t>
        </is>
      </c>
      <c r="B3082" s="1" t="n">
        <v>45701</v>
      </c>
      <c r="C3082" s="1" t="n">
        <v>45720</v>
      </c>
      <c r="D3082" t="inlineStr">
        <is>
          <t>VÄSTERNORRLANDS LÄN</t>
        </is>
      </c>
      <c r="E3082" t="inlineStr">
        <is>
          <t>SUNDSVALL</t>
        </is>
      </c>
      <c r="G3082" t="n">
        <v>2.3</v>
      </c>
      <c r="H3082" t="n">
        <v>0</v>
      </c>
      <c r="I3082" t="n">
        <v>0</v>
      </c>
      <c r="J3082" t="n">
        <v>0</v>
      </c>
      <c r="K3082" t="n">
        <v>0</v>
      </c>
      <c r="L3082" t="n">
        <v>0</v>
      </c>
      <c r="M3082" t="n">
        <v>0</v>
      </c>
      <c r="N3082" t="n">
        <v>0</v>
      </c>
      <c r="O3082" t="n">
        <v>0</v>
      </c>
      <c r="P3082" t="n">
        <v>0</v>
      </c>
      <c r="Q3082" t="n">
        <v>0</v>
      </c>
      <c r="R3082" s="2" t="inlineStr"/>
    </row>
    <row r="3083" ht="15" customHeight="1">
      <c r="A3083" t="inlineStr">
        <is>
          <t>A 6955-2025</t>
        </is>
      </c>
      <c r="B3083" s="1" t="n">
        <v>45701</v>
      </c>
      <c r="C3083" s="1" t="n">
        <v>45720</v>
      </c>
      <c r="D3083" t="inlineStr">
        <is>
          <t>VÄSTERNORRLANDS LÄN</t>
        </is>
      </c>
      <c r="E3083" t="inlineStr">
        <is>
          <t>SUNDSVALL</t>
        </is>
      </c>
      <c r="F3083" t="inlineStr">
        <is>
          <t>SCA</t>
        </is>
      </c>
      <c r="G3083" t="n">
        <v>24.7</v>
      </c>
      <c r="H3083" t="n">
        <v>0</v>
      </c>
      <c r="I3083" t="n">
        <v>0</v>
      </c>
      <c r="J3083" t="n">
        <v>0</v>
      </c>
      <c r="K3083" t="n">
        <v>0</v>
      </c>
      <c r="L3083" t="n">
        <v>0</v>
      </c>
      <c r="M3083" t="n">
        <v>0</v>
      </c>
      <c r="N3083" t="n">
        <v>0</v>
      </c>
      <c r="O3083" t="n">
        <v>0</v>
      </c>
      <c r="P3083" t="n">
        <v>0</v>
      </c>
      <c r="Q3083" t="n">
        <v>0</v>
      </c>
      <c r="R3083" s="2" t="inlineStr"/>
    </row>
    <row r="3084" ht="15" customHeight="1">
      <c r="A3084" t="inlineStr">
        <is>
          <t>A 7090-2025</t>
        </is>
      </c>
      <c r="B3084" s="1" t="n">
        <v>45701</v>
      </c>
      <c r="C3084" s="1" t="n">
        <v>45720</v>
      </c>
      <c r="D3084" t="inlineStr">
        <is>
          <t>VÄSTERNORRLANDS LÄN</t>
        </is>
      </c>
      <c r="E3084" t="inlineStr">
        <is>
          <t>SUNDSVALL</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7089-2025</t>
        </is>
      </c>
      <c r="B3085" s="1" t="n">
        <v>45701</v>
      </c>
      <c r="C3085" s="1" t="n">
        <v>45720</v>
      </c>
      <c r="D3085" t="inlineStr">
        <is>
          <t>VÄSTERNORRLANDS LÄN</t>
        </is>
      </c>
      <c r="E3085" t="inlineStr">
        <is>
          <t>SUNDSVALL</t>
        </is>
      </c>
      <c r="G3085" t="n">
        <v>0.8</v>
      </c>
      <c r="H3085" t="n">
        <v>0</v>
      </c>
      <c r="I3085" t="n">
        <v>0</v>
      </c>
      <c r="J3085" t="n">
        <v>0</v>
      </c>
      <c r="K3085" t="n">
        <v>0</v>
      </c>
      <c r="L3085" t="n">
        <v>0</v>
      </c>
      <c r="M3085" t="n">
        <v>0</v>
      </c>
      <c r="N3085" t="n">
        <v>0</v>
      </c>
      <c r="O3085" t="n">
        <v>0</v>
      </c>
      <c r="P3085" t="n">
        <v>0</v>
      </c>
      <c r="Q3085" t="n">
        <v>0</v>
      </c>
      <c r="R3085" s="2" t="inlineStr"/>
    </row>
    <row r="3086" ht="15" customHeight="1">
      <c r="A3086" t="inlineStr">
        <is>
          <t>A 7091-2025</t>
        </is>
      </c>
      <c r="B3086" s="1" t="n">
        <v>45701</v>
      </c>
      <c r="C3086" s="1" t="n">
        <v>45720</v>
      </c>
      <c r="D3086" t="inlineStr">
        <is>
          <t>VÄSTERNORRLANDS LÄN</t>
        </is>
      </c>
      <c r="E3086" t="inlineStr">
        <is>
          <t>SUNDSVALL</t>
        </is>
      </c>
      <c r="G3086" t="n">
        <v>0.3</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45720</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45720</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7264-2025</t>
        </is>
      </c>
      <c r="B3089" s="1" t="n">
        <v>45702</v>
      </c>
      <c r="C3089" s="1" t="n">
        <v>45720</v>
      </c>
      <c r="D3089" t="inlineStr">
        <is>
          <t>VÄSTERNORRLANDS LÄN</t>
        </is>
      </c>
      <c r="E3089" t="inlineStr">
        <is>
          <t>SUNDSVALL</t>
        </is>
      </c>
      <c r="F3089" t="inlineStr">
        <is>
          <t>SCA</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7293-2025</t>
        </is>
      </c>
      <c r="B3090" s="1" t="n">
        <v>45702</v>
      </c>
      <c r="C3090" s="1" t="n">
        <v>45720</v>
      </c>
      <c r="D3090" t="inlineStr">
        <is>
          <t>VÄSTERNORRLANDS LÄN</t>
        </is>
      </c>
      <c r="E3090" t="inlineStr">
        <is>
          <t>SUNDSVALL</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7265-2025</t>
        </is>
      </c>
      <c r="B3091" s="1" t="n">
        <v>45702</v>
      </c>
      <c r="C3091" s="1" t="n">
        <v>45720</v>
      </c>
      <c r="D3091" t="inlineStr">
        <is>
          <t>VÄSTERNORRLANDS LÄN</t>
        </is>
      </c>
      <c r="E3091" t="inlineStr">
        <is>
          <t>SUNDSVALL</t>
        </is>
      </c>
      <c r="F3091" t="inlineStr">
        <is>
          <t>SCA</t>
        </is>
      </c>
      <c r="G3091" t="n">
        <v>6.2</v>
      </c>
      <c r="H3091" t="n">
        <v>0</v>
      </c>
      <c r="I3091" t="n">
        <v>0</v>
      </c>
      <c r="J3091" t="n">
        <v>0</v>
      </c>
      <c r="K3091" t="n">
        <v>0</v>
      </c>
      <c r="L3091" t="n">
        <v>0</v>
      </c>
      <c r="M3091" t="n">
        <v>0</v>
      </c>
      <c r="N3091" t="n">
        <v>0</v>
      </c>
      <c r="O3091" t="n">
        <v>0</v>
      </c>
      <c r="P3091" t="n">
        <v>0</v>
      </c>
      <c r="Q3091" t="n">
        <v>0</v>
      </c>
      <c r="R3091" s="2" t="inlineStr"/>
      <c r="U3091">
        <f>HYPERLINK("https://klasma.github.io/Logging_2281/knärot/A 7265-2025 karta knärot.png", "A 7265-2025")</f>
        <v/>
      </c>
      <c r="V3091">
        <f>HYPERLINK("https://klasma.github.io/Logging_2281/klagomål/A 7265-2025 FSC-klagomål.docx", "A 7265-2025")</f>
        <v/>
      </c>
      <c r="W3091">
        <f>HYPERLINK("https://klasma.github.io/Logging_2281/klagomålsmail/A 7265-2025 FSC-klagomål mail.docx", "A 7265-2025")</f>
        <v/>
      </c>
      <c r="X3091">
        <f>HYPERLINK("https://klasma.github.io/Logging_2281/tillsyn/A 7265-2025 tillsynsbegäran.docx", "A 7265-2025")</f>
        <v/>
      </c>
      <c r="Y3091">
        <f>HYPERLINK("https://klasma.github.io/Logging_2281/tillsynsmail/A 7265-2025 tillsynsbegäran mail.docx", "A 7265-2025")</f>
        <v/>
      </c>
    </row>
    <row r="3092" ht="15" customHeight="1">
      <c r="A3092" t="inlineStr">
        <is>
          <t>A 7427-2025</t>
        </is>
      </c>
      <c r="B3092" s="1" t="n">
        <v>45705</v>
      </c>
      <c r="C3092" s="1" t="n">
        <v>45720</v>
      </c>
      <c r="D3092" t="inlineStr">
        <is>
          <t>VÄSTERNORRLANDS LÄN</t>
        </is>
      </c>
      <c r="E3092" t="inlineStr">
        <is>
          <t>SUNDSVALL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7422-2025</t>
        </is>
      </c>
      <c r="B3093" s="1" t="n">
        <v>45705</v>
      </c>
      <c r="C3093" s="1" t="n">
        <v>45720</v>
      </c>
      <c r="D3093" t="inlineStr">
        <is>
          <t>VÄSTERNORRLANDS LÄN</t>
        </is>
      </c>
      <c r="E3093" t="inlineStr">
        <is>
          <t>SUNDSVALL</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7419-2025</t>
        </is>
      </c>
      <c r="B3094" s="1" t="n">
        <v>45705</v>
      </c>
      <c r="C3094" s="1" t="n">
        <v>45720</v>
      </c>
      <c r="D3094" t="inlineStr">
        <is>
          <t>VÄSTERNORRLANDS LÄN</t>
        </is>
      </c>
      <c r="E3094" t="inlineStr">
        <is>
          <t>SUNDSVALL</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7416-2025</t>
        </is>
      </c>
      <c r="B3095" s="1" t="n">
        <v>45705</v>
      </c>
      <c r="C3095" s="1" t="n">
        <v>45720</v>
      </c>
      <c r="D3095" t="inlineStr">
        <is>
          <t>VÄSTERNORRLANDS LÄN</t>
        </is>
      </c>
      <c r="E3095" t="inlineStr">
        <is>
          <t>SUNDSVALL</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7463-2025</t>
        </is>
      </c>
      <c r="B3096" s="1" t="n">
        <v>45705</v>
      </c>
      <c r="C3096" s="1" t="n">
        <v>45720</v>
      </c>
      <c r="D3096" t="inlineStr">
        <is>
          <t>VÄSTERNORRLANDS LÄN</t>
        </is>
      </c>
      <c r="E3096" t="inlineStr">
        <is>
          <t>SUNDSVALL</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45720</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45720</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7758-2025</t>
        </is>
      </c>
      <c r="B3099" s="1" t="n">
        <v>45706</v>
      </c>
      <c r="C3099" s="1" t="n">
        <v>45720</v>
      </c>
      <c r="D3099" t="inlineStr">
        <is>
          <t>VÄSTERNORRLANDS LÄN</t>
        </is>
      </c>
      <c r="E3099" t="inlineStr">
        <is>
          <t>SUNDSVALL</t>
        </is>
      </c>
      <c r="F3099" t="inlineStr">
        <is>
          <t>SCA</t>
        </is>
      </c>
      <c r="G3099" t="n">
        <v>19.7</v>
      </c>
      <c r="H3099" t="n">
        <v>0</v>
      </c>
      <c r="I3099" t="n">
        <v>0</v>
      </c>
      <c r="J3099" t="n">
        <v>0</v>
      </c>
      <c r="K3099" t="n">
        <v>0</v>
      </c>
      <c r="L3099" t="n">
        <v>0</v>
      </c>
      <c r="M3099" t="n">
        <v>0</v>
      </c>
      <c r="N3099" t="n">
        <v>0</v>
      </c>
      <c r="O3099" t="n">
        <v>0</v>
      </c>
      <c r="P3099" t="n">
        <v>0</v>
      </c>
      <c r="Q3099" t="n">
        <v>0</v>
      </c>
      <c r="R3099" s="2" t="inlineStr"/>
    </row>
    <row r="3100" ht="15" customHeight="1">
      <c r="A3100" t="inlineStr">
        <is>
          <t>A 7839-2025</t>
        </is>
      </c>
      <c r="B3100" s="1" t="n">
        <v>45706</v>
      </c>
      <c r="C3100" s="1" t="n">
        <v>45720</v>
      </c>
      <c r="D3100" t="inlineStr">
        <is>
          <t>VÄSTERNORRLANDS LÄN</t>
        </is>
      </c>
      <c r="E3100" t="inlineStr">
        <is>
          <t>SUNDSVALL</t>
        </is>
      </c>
      <c r="G3100" t="n">
        <v>10.1</v>
      </c>
      <c r="H3100" t="n">
        <v>0</v>
      </c>
      <c r="I3100" t="n">
        <v>0</v>
      </c>
      <c r="J3100" t="n">
        <v>0</v>
      </c>
      <c r="K3100" t="n">
        <v>0</v>
      </c>
      <c r="L3100" t="n">
        <v>0</v>
      </c>
      <c r="M3100" t="n">
        <v>0</v>
      </c>
      <c r="N3100" t="n">
        <v>0</v>
      </c>
      <c r="O3100" t="n">
        <v>0</v>
      </c>
      <c r="P3100" t="n">
        <v>0</v>
      </c>
      <c r="Q3100" t="n">
        <v>0</v>
      </c>
      <c r="R3100" s="2" t="inlineStr"/>
    </row>
    <row r="3101" ht="15" customHeight="1">
      <c r="A3101" t="inlineStr">
        <is>
          <t>A 7925-2025</t>
        </is>
      </c>
      <c r="B3101" s="1" t="n">
        <v>45707</v>
      </c>
      <c r="C3101" s="1" t="n">
        <v>45720</v>
      </c>
      <c r="D3101" t="inlineStr">
        <is>
          <t>VÄSTERNORRLANDS LÄN</t>
        </is>
      </c>
      <c r="E3101" t="inlineStr">
        <is>
          <t>SUNDSVALL</t>
        </is>
      </c>
      <c r="F3101" t="inlineStr">
        <is>
          <t>SCA</t>
        </is>
      </c>
      <c r="G3101" t="n">
        <v>5.2</v>
      </c>
      <c r="H3101" t="n">
        <v>0</v>
      </c>
      <c r="I3101" t="n">
        <v>0</v>
      </c>
      <c r="J3101" t="n">
        <v>0</v>
      </c>
      <c r="K3101" t="n">
        <v>0</v>
      </c>
      <c r="L3101" t="n">
        <v>0</v>
      </c>
      <c r="M3101" t="n">
        <v>0</v>
      </c>
      <c r="N3101" t="n">
        <v>0</v>
      </c>
      <c r="O3101" t="n">
        <v>0</v>
      </c>
      <c r="P3101" t="n">
        <v>0</v>
      </c>
      <c r="Q3101" t="n">
        <v>0</v>
      </c>
      <c r="R3101" s="2" t="inlineStr"/>
    </row>
    <row r="3102" ht="15" customHeight="1">
      <c r="A3102" t="inlineStr">
        <is>
          <t>A 7967-2025</t>
        </is>
      </c>
      <c r="B3102" s="1" t="n">
        <v>45707</v>
      </c>
      <c r="C3102" s="1" t="n">
        <v>45720</v>
      </c>
      <c r="D3102" t="inlineStr">
        <is>
          <t>VÄSTERNORRLANDS LÄN</t>
        </is>
      </c>
      <c r="E3102" t="inlineStr">
        <is>
          <t>SUNDSVALL</t>
        </is>
      </c>
      <c r="G3102" t="n">
        <v>4.7</v>
      </c>
      <c r="H3102" t="n">
        <v>0</v>
      </c>
      <c r="I3102" t="n">
        <v>0</v>
      </c>
      <c r="J3102" t="n">
        <v>0</v>
      </c>
      <c r="K3102" t="n">
        <v>0</v>
      </c>
      <c r="L3102" t="n">
        <v>0</v>
      </c>
      <c r="M3102" t="n">
        <v>0</v>
      </c>
      <c r="N3102" t="n">
        <v>0</v>
      </c>
      <c r="O3102" t="n">
        <v>0</v>
      </c>
      <c r="P3102" t="n">
        <v>0</v>
      </c>
      <c r="Q3102" t="n">
        <v>0</v>
      </c>
      <c r="R3102" s="2" t="inlineStr"/>
    </row>
    <row r="3103" ht="15" customHeight="1">
      <c r="A3103" t="inlineStr">
        <is>
          <t>A 7960-2025</t>
        </is>
      </c>
      <c r="B3103" s="1" t="n">
        <v>45707</v>
      </c>
      <c r="C3103" s="1" t="n">
        <v>45720</v>
      </c>
      <c r="D3103" t="inlineStr">
        <is>
          <t>VÄSTERNORRLANDS LÄN</t>
        </is>
      </c>
      <c r="E3103" t="inlineStr">
        <is>
          <t>SUNDSVALL</t>
        </is>
      </c>
      <c r="G3103" t="n">
        <v>2.4</v>
      </c>
      <c r="H3103" t="n">
        <v>0</v>
      </c>
      <c r="I3103" t="n">
        <v>0</v>
      </c>
      <c r="J3103" t="n">
        <v>0</v>
      </c>
      <c r="K3103" t="n">
        <v>0</v>
      </c>
      <c r="L3103" t="n">
        <v>0</v>
      </c>
      <c r="M3103" t="n">
        <v>0</v>
      </c>
      <c r="N3103" t="n">
        <v>0</v>
      </c>
      <c r="O3103" t="n">
        <v>0</v>
      </c>
      <c r="P3103" t="n">
        <v>0</v>
      </c>
      <c r="Q3103" t="n">
        <v>0</v>
      </c>
      <c r="R3103" s="2" t="inlineStr"/>
    </row>
    <row r="3104" ht="15" customHeight="1">
      <c r="A3104" t="inlineStr">
        <is>
          <t>A 7924-2025</t>
        </is>
      </c>
      <c r="B3104" s="1" t="n">
        <v>45707</v>
      </c>
      <c r="C3104" s="1" t="n">
        <v>45720</v>
      </c>
      <c r="D3104" t="inlineStr">
        <is>
          <t>VÄSTERNORRLANDS LÄN</t>
        </is>
      </c>
      <c r="E3104" t="inlineStr">
        <is>
          <t>SUNDSVALL</t>
        </is>
      </c>
      <c r="F3104" t="inlineStr">
        <is>
          <t>SCA</t>
        </is>
      </c>
      <c r="G3104" t="n">
        <v>3.9</v>
      </c>
      <c r="H3104" t="n">
        <v>0</v>
      </c>
      <c r="I3104" t="n">
        <v>0</v>
      </c>
      <c r="J3104" t="n">
        <v>0</v>
      </c>
      <c r="K3104" t="n">
        <v>0</v>
      </c>
      <c r="L3104" t="n">
        <v>0</v>
      </c>
      <c r="M3104" t="n">
        <v>0</v>
      </c>
      <c r="N3104" t="n">
        <v>0</v>
      </c>
      <c r="O3104" t="n">
        <v>0</v>
      </c>
      <c r="P3104" t="n">
        <v>0</v>
      </c>
      <c r="Q3104" t="n">
        <v>0</v>
      </c>
      <c r="R3104" s="2" t="inlineStr"/>
    </row>
    <row r="3105" ht="15" customHeight="1">
      <c r="A3105" t="inlineStr">
        <is>
          <t>A 7961-2025</t>
        </is>
      </c>
      <c r="B3105" s="1" t="n">
        <v>45707</v>
      </c>
      <c r="C3105" s="1" t="n">
        <v>45720</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7962-2025</t>
        </is>
      </c>
      <c r="B3106" s="1" t="n">
        <v>45707</v>
      </c>
      <c r="C3106" s="1" t="n">
        <v>45720</v>
      </c>
      <c r="D3106" t="inlineStr">
        <is>
          <t>VÄSTERNORRLANDS LÄN</t>
        </is>
      </c>
      <c r="E3106" t="inlineStr">
        <is>
          <t>SUNDSVALL</t>
        </is>
      </c>
      <c r="G3106" t="n">
        <v>2.2</v>
      </c>
      <c r="H3106" t="n">
        <v>0</v>
      </c>
      <c r="I3106" t="n">
        <v>0</v>
      </c>
      <c r="J3106" t="n">
        <v>0</v>
      </c>
      <c r="K3106" t="n">
        <v>0</v>
      </c>
      <c r="L3106" t="n">
        <v>0</v>
      </c>
      <c r="M3106" t="n">
        <v>0</v>
      </c>
      <c r="N3106" t="n">
        <v>0</v>
      </c>
      <c r="O3106" t="n">
        <v>0</v>
      </c>
      <c r="P3106" t="n">
        <v>0</v>
      </c>
      <c r="Q3106" t="n">
        <v>0</v>
      </c>
      <c r="R3106" s="2" t="inlineStr"/>
    </row>
    <row r="3107" ht="15" customHeight="1">
      <c r="A3107" t="inlineStr">
        <is>
          <t>A 7970-2025</t>
        </is>
      </c>
      <c r="B3107" s="1" t="n">
        <v>45707</v>
      </c>
      <c r="C3107" s="1" t="n">
        <v>45720</v>
      </c>
      <c r="D3107" t="inlineStr">
        <is>
          <t>VÄSTERNORRLANDS LÄN</t>
        </is>
      </c>
      <c r="E3107" t="inlineStr">
        <is>
          <t>SUNDSVALL</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45720</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7939-2025</t>
        </is>
      </c>
      <c r="B3109" s="1" t="n">
        <v>45707</v>
      </c>
      <c r="C3109" s="1" t="n">
        <v>45720</v>
      </c>
      <c r="D3109" t="inlineStr">
        <is>
          <t>VÄSTERNORRLANDS LÄN</t>
        </is>
      </c>
      <c r="E3109" t="inlineStr">
        <is>
          <t>SUNDSVALL</t>
        </is>
      </c>
      <c r="G3109" t="n">
        <v>1.8</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45720</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8440-2025</t>
        </is>
      </c>
      <c r="B3111" s="1" t="n">
        <v>45709</v>
      </c>
      <c r="C3111" s="1" t="n">
        <v>45720</v>
      </c>
      <c r="D3111" t="inlineStr">
        <is>
          <t>VÄSTERNORRLANDS LÄN</t>
        </is>
      </c>
      <c r="E3111" t="inlineStr">
        <is>
          <t>SUNDSVALL</t>
        </is>
      </c>
      <c r="F3111" t="inlineStr">
        <is>
          <t>SCA</t>
        </is>
      </c>
      <c r="G3111" t="n">
        <v>3.7</v>
      </c>
      <c r="H3111" t="n">
        <v>0</v>
      </c>
      <c r="I3111" t="n">
        <v>0</v>
      </c>
      <c r="J3111" t="n">
        <v>0</v>
      </c>
      <c r="K3111" t="n">
        <v>0</v>
      </c>
      <c r="L3111" t="n">
        <v>0</v>
      </c>
      <c r="M3111" t="n">
        <v>0</v>
      </c>
      <c r="N3111" t="n">
        <v>0</v>
      </c>
      <c r="O3111" t="n">
        <v>0</v>
      </c>
      <c r="P3111" t="n">
        <v>0</v>
      </c>
      <c r="Q3111" t="n">
        <v>0</v>
      </c>
      <c r="R3111" s="2" t="inlineStr"/>
    </row>
    <row r="3112" ht="15" customHeight="1">
      <c r="A3112" t="inlineStr">
        <is>
          <t>A 8462-2025</t>
        </is>
      </c>
      <c r="B3112" s="1" t="n">
        <v>45709</v>
      </c>
      <c r="C3112" s="1" t="n">
        <v>45720</v>
      </c>
      <c r="D3112" t="inlineStr">
        <is>
          <t>VÄSTERNORRLANDS LÄN</t>
        </is>
      </c>
      <c r="E3112" t="inlineStr">
        <is>
          <t>SUNDSVALL</t>
        </is>
      </c>
      <c r="F3112" t="inlineStr">
        <is>
          <t>SCA</t>
        </is>
      </c>
      <c r="G3112" t="n">
        <v>10.9</v>
      </c>
      <c r="H3112" t="n">
        <v>0</v>
      </c>
      <c r="I3112" t="n">
        <v>0</v>
      </c>
      <c r="J3112" t="n">
        <v>0</v>
      </c>
      <c r="K3112" t="n">
        <v>0</v>
      </c>
      <c r="L3112" t="n">
        <v>0</v>
      </c>
      <c r="M3112" t="n">
        <v>0</v>
      </c>
      <c r="N3112" t="n">
        <v>0</v>
      </c>
      <c r="O3112" t="n">
        <v>0</v>
      </c>
      <c r="P3112" t="n">
        <v>0</v>
      </c>
      <c r="Q3112" t="n">
        <v>0</v>
      </c>
      <c r="R3112" s="2" t="inlineStr"/>
    </row>
    <row r="3113" ht="15" customHeight="1">
      <c r="A3113" t="inlineStr">
        <is>
          <t>A 8531-2025</t>
        </is>
      </c>
      <c r="B3113" s="1" t="n">
        <v>45709</v>
      </c>
      <c r="C3113" s="1" t="n">
        <v>45720</v>
      </c>
      <c r="D3113" t="inlineStr">
        <is>
          <t>VÄSTERNORRLANDS LÄN</t>
        </is>
      </c>
      <c r="E3113" t="inlineStr">
        <is>
          <t>SUNDSVALL</t>
        </is>
      </c>
      <c r="G3113" t="n">
        <v>6.5</v>
      </c>
      <c r="H3113" t="n">
        <v>0</v>
      </c>
      <c r="I3113" t="n">
        <v>0</v>
      </c>
      <c r="J3113" t="n">
        <v>0</v>
      </c>
      <c r="K3113" t="n">
        <v>0</v>
      </c>
      <c r="L3113" t="n">
        <v>0</v>
      </c>
      <c r="M3113" t="n">
        <v>0</v>
      </c>
      <c r="N3113" t="n">
        <v>0</v>
      </c>
      <c r="O3113" t="n">
        <v>0</v>
      </c>
      <c r="P3113" t="n">
        <v>0</v>
      </c>
      <c r="Q3113" t="n">
        <v>0</v>
      </c>
      <c r="R3113" s="2" t="inlineStr"/>
    </row>
    <row r="3114" ht="15" customHeight="1">
      <c r="A3114" t="inlineStr">
        <is>
          <t>A 8463-2025</t>
        </is>
      </c>
      <c r="B3114" s="1" t="n">
        <v>45709</v>
      </c>
      <c r="C3114" s="1" t="n">
        <v>45720</v>
      </c>
      <c r="D3114" t="inlineStr">
        <is>
          <t>VÄSTERNORRLANDS LÄN</t>
        </is>
      </c>
      <c r="E3114" t="inlineStr">
        <is>
          <t>SUNDSVALL</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8479-2025</t>
        </is>
      </c>
      <c r="B3115" s="1" t="n">
        <v>45709</v>
      </c>
      <c r="C3115" s="1" t="n">
        <v>45720</v>
      </c>
      <c r="D3115" t="inlineStr">
        <is>
          <t>VÄSTERNORRLANDS LÄN</t>
        </is>
      </c>
      <c r="E3115" t="inlineStr">
        <is>
          <t>SUNDSVALL</t>
        </is>
      </c>
      <c r="G3115" t="n">
        <v>13.1</v>
      </c>
      <c r="H3115" t="n">
        <v>0</v>
      </c>
      <c r="I3115" t="n">
        <v>0</v>
      </c>
      <c r="J3115" t="n">
        <v>0</v>
      </c>
      <c r="K3115" t="n">
        <v>0</v>
      </c>
      <c r="L3115" t="n">
        <v>0</v>
      </c>
      <c r="M3115" t="n">
        <v>0</v>
      </c>
      <c r="N3115" t="n">
        <v>0</v>
      </c>
      <c r="O3115" t="n">
        <v>0</v>
      </c>
      <c r="P3115" t="n">
        <v>0</v>
      </c>
      <c r="Q3115" t="n">
        <v>0</v>
      </c>
      <c r="R3115" s="2" t="inlineStr"/>
    </row>
    <row r="3116" ht="15" customHeight="1">
      <c r="A3116" t="inlineStr">
        <is>
          <t>A 8488-2025</t>
        </is>
      </c>
      <c r="B3116" s="1" t="n">
        <v>45709</v>
      </c>
      <c r="C3116" s="1" t="n">
        <v>45720</v>
      </c>
      <c r="D3116" t="inlineStr">
        <is>
          <t>VÄSTERNORRLANDS LÄN</t>
        </is>
      </c>
      <c r="E3116" t="inlineStr">
        <is>
          <t>SUNDSVALL</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8705-2025</t>
        </is>
      </c>
      <c r="B3117" s="1" t="n">
        <v>45712</v>
      </c>
      <c r="C3117" s="1" t="n">
        <v>45720</v>
      </c>
      <c r="D3117" t="inlineStr">
        <is>
          <t>VÄSTERNORRLANDS LÄN</t>
        </is>
      </c>
      <c r="E3117" t="inlineStr">
        <is>
          <t>SUNDSVALL</t>
        </is>
      </c>
      <c r="F3117" t="inlineStr">
        <is>
          <t>SCA</t>
        </is>
      </c>
      <c r="G3117" t="n">
        <v>8.5</v>
      </c>
      <c r="H3117" t="n">
        <v>0</v>
      </c>
      <c r="I3117" t="n">
        <v>0</v>
      </c>
      <c r="J3117" t="n">
        <v>0</v>
      </c>
      <c r="K3117" t="n">
        <v>0</v>
      </c>
      <c r="L3117" t="n">
        <v>0</v>
      </c>
      <c r="M3117" t="n">
        <v>0</v>
      </c>
      <c r="N3117" t="n">
        <v>0</v>
      </c>
      <c r="O3117" t="n">
        <v>0</v>
      </c>
      <c r="P3117" t="n">
        <v>0</v>
      </c>
      <c r="Q3117" t="n">
        <v>0</v>
      </c>
      <c r="R3117" s="2" t="inlineStr"/>
    </row>
    <row r="3118" ht="15" customHeight="1">
      <c r="A3118" t="inlineStr">
        <is>
          <t>A 8708-2025</t>
        </is>
      </c>
      <c r="B3118" s="1" t="n">
        <v>45712</v>
      </c>
      <c r="C3118" s="1" t="n">
        <v>45720</v>
      </c>
      <c r="D3118" t="inlineStr">
        <is>
          <t>VÄSTERNORRLANDS LÄN</t>
        </is>
      </c>
      <c r="E3118" t="inlineStr">
        <is>
          <t>SUNDSVALL</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8732-2025</t>
        </is>
      </c>
      <c r="B3119" s="1" t="n">
        <v>45712</v>
      </c>
      <c r="C3119" s="1" t="n">
        <v>45720</v>
      </c>
      <c r="D3119" t="inlineStr">
        <is>
          <t>VÄSTERNORRLANDS LÄN</t>
        </is>
      </c>
      <c r="E3119" t="inlineStr">
        <is>
          <t>SUNDSVALL</t>
        </is>
      </c>
      <c r="F3119" t="inlineStr">
        <is>
          <t>SCA</t>
        </is>
      </c>
      <c r="G3119" t="n">
        <v>11.7</v>
      </c>
      <c r="H3119" t="n">
        <v>0</v>
      </c>
      <c r="I3119" t="n">
        <v>0</v>
      </c>
      <c r="J3119" t="n">
        <v>0</v>
      </c>
      <c r="K3119" t="n">
        <v>0</v>
      </c>
      <c r="L3119" t="n">
        <v>0</v>
      </c>
      <c r="M3119" t="n">
        <v>0</v>
      </c>
      <c r="N3119" t="n">
        <v>0</v>
      </c>
      <c r="O3119" t="n">
        <v>0</v>
      </c>
      <c r="P3119" t="n">
        <v>0</v>
      </c>
      <c r="Q3119" t="n">
        <v>0</v>
      </c>
      <c r="R3119" s="2" t="inlineStr"/>
    </row>
    <row r="3120" ht="15" customHeight="1">
      <c r="A3120" t="inlineStr">
        <is>
          <t>A 8794-2025</t>
        </is>
      </c>
      <c r="B3120" s="1" t="n">
        <v>45712</v>
      </c>
      <c r="C3120" s="1" t="n">
        <v>45720</v>
      </c>
      <c r="D3120" t="inlineStr">
        <is>
          <t>VÄSTERNORRLANDS LÄN</t>
        </is>
      </c>
      <c r="E3120" t="inlineStr">
        <is>
          <t>SUNDSVALL</t>
        </is>
      </c>
      <c r="G3120" t="n">
        <v>16.6</v>
      </c>
      <c r="H3120" t="n">
        <v>0</v>
      </c>
      <c r="I3120" t="n">
        <v>0</v>
      </c>
      <c r="J3120" t="n">
        <v>0</v>
      </c>
      <c r="K3120" t="n">
        <v>0</v>
      </c>
      <c r="L3120" t="n">
        <v>0</v>
      </c>
      <c r="M3120" t="n">
        <v>0</v>
      </c>
      <c r="N3120" t="n">
        <v>0</v>
      </c>
      <c r="O3120" t="n">
        <v>0</v>
      </c>
      <c r="P3120" t="n">
        <v>0</v>
      </c>
      <c r="Q3120" t="n">
        <v>0</v>
      </c>
      <c r="R3120" s="2" t="inlineStr"/>
    </row>
    <row r="3121" ht="15" customHeight="1">
      <c r="A3121" t="inlineStr">
        <is>
          <t>A 8796-2025</t>
        </is>
      </c>
      <c r="B3121" s="1" t="n">
        <v>45712</v>
      </c>
      <c r="C3121" s="1" t="n">
        <v>45720</v>
      </c>
      <c r="D3121" t="inlineStr">
        <is>
          <t>VÄSTERNORRLANDS LÄN</t>
        </is>
      </c>
      <c r="E3121" t="inlineStr">
        <is>
          <t>SUNDSVALL</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8731-2025</t>
        </is>
      </c>
      <c r="B3122" s="1" t="n">
        <v>45712</v>
      </c>
      <c r="C3122" s="1" t="n">
        <v>45720</v>
      </c>
      <c r="D3122" t="inlineStr">
        <is>
          <t>VÄSTERNORRLANDS LÄN</t>
        </is>
      </c>
      <c r="E3122" t="inlineStr">
        <is>
          <t>SUNDSVALL</t>
        </is>
      </c>
      <c r="F3122" t="inlineStr">
        <is>
          <t>SCA</t>
        </is>
      </c>
      <c r="G3122" t="n">
        <v>6.1</v>
      </c>
      <c r="H3122" t="n">
        <v>0</v>
      </c>
      <c r="I3122" t="n">
        <v>0</v>
      </c>
      <c r="J3122" t="n">
        <v>0</v>
      </c>
      <c r="K3122" t="n">
        <v>0</v>
      </c>
      <c r="L3122" t="n">
        <v>0</v>
      </c>
      <c r="M3122" t="n">
        <v>0</v>
      </c>
      <c r="N3122" t="n">
        <v>0</v>
      </c>
      <c r="O3122" t="n">
        <v>0</v>
      </c>
      <c r="P3122" t="n">
        <v>0</v>
      </c>
      <c r="Q3122" t="n">
        <v>0</v>
      </c>
      <c r="R3122" s="2" t="inlineStr"/>
    </row>
    <row r="3123" ht="15" customHeight="1">
      <c r="A3123" t="inlineStr">
        <is>
          <t>A 8813-2025</t>
        </is>
      </c>
      <c r="B3123" s="1" t="n">
        <v>45712</v>
      </c>
      <c r="C3123" s="1" t="n">
        <v>45720</v>
      </c>
      <c r="D3123" t="inlineStr">
        <is>
          <t>VÄSTERNORRLANDS LÄN</t>
        </is>
      </c>
      <c r="E3123" t="inlineStr">
        <is>
          <t>SUNDSVALL</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8849-2025</t>
        </is>
      </c>
      <c r="B3124" s="1" t="n">
        <v>45713</v>
      </c>
      <c r="C3124" s="1" t="n">
        <v>45720</v>
      </c>
      <c r="D3124" t="inlineStr">
        <is>
          <t>VÄSTERNORRLANDS LÄN</t>
        </is>
      </c>
      <c r="E3124" t="inlineStr">
        <is>
          <t>SUNDSVALL</t>
        </is>
      </c>
      <c r="F3124" t="inlineStr">
        <is>
          <t>SCA</t>
        </is>
      </c>
      <c r="G3124" t="n">
        <v>23.4</v>
      </c>
      <c r="H3124" t="n">
        <v>0</v>
      </c>
      <c r="I3124" t="n">
        <v>0</v>
      </c>
      <c r="J3124" t="n">
        <v>0</v>
      </c>
      <c r="K3124" t="n">
        <v>0</v>
      </c>
      <c r="L3124" t="n">
        <v>0</v>
      </c>
      <c r="M3124" t="n">
        <v>0</v>
      </c>
      <c r="N3124" t="n">
        <v>0</v>
      </c>
      <c r="O3124" t="n">
        <v>0</v>
      </c>
      <c r="P3124" t="n">
        <v>0</v>
      </c>
      <c r="Q3124" t="n">
        <v>0</v>
      </c>
      <c r="R3124" s="2" t="inlineStr"/>
    </row>
    <row r="3125" ht="15" customHeight="1">
      <c r="A3125" t="inlineStr">
        <is>
          <t>A 8850-2025</t>
        </is>
      </c>
      <c r="B3125" s="1" t="n">
        <v>45713</v>
      </c>
      <c r="C3125" s="1" t="n">
        <v>45720</v>
      </c>
      <c r="D3125" t="inlineStr">
        <is>
          <t>VÄSTERNORRLANDS LÄN</t>
        </is>
      </c>
      <c r="E3125" t="inlineStr">
        <is>
          <t>SUNDSVALL</t>
        </is>
      </c>
      <c r="G3125" t="n">
        <v>4.1</v>
      </c>
      <c r="H3125" t="n">
        <v>0</v>
      </c>
      <c r="I3125" t="n">
        <v>0</v>
      </c>
      <c r="J3125" t="n">
        <v>0</v>
      </c>
      <c r="K3125" t="n">
        <v>0</v>
      </c>
      <c r="L3125" t="n">
        <v>0</v>
      </c>
      <c r="M3125" t="n">
        <v>0</v>
      </c>
      <c r="N3125" t="n">
        <v>0</v>
      </c>
      <c r="O3125" t="n">
        <v>0</v>
      </c>
      <c r="P3125" t="n">
        <v>0</v>
      </c>
      <c r="Q3125" t="n">
        <v>0</v>
      </c>
      <c r="R3125" s="2" t="inlineStr"/>
    </row>
    <row r="3126" ht="15" customHeight="1">
      <c r="A3126" t="inlineStr">
        <is>
          <t>A 9018-2025</t>
        </is>
      </c>
      <c r="B3126" s="1" t="n">
        <v>45713</v>
      </c>
      <c r="C3126" s="1" t="n">
        <v>45720</v>
      </c>
      <c r="D3126" t="inlineStr">
        <is>
          <t>VÄSTERNORRLANDS LÄN</t>
        </is>
      </c>
      <c r="E3126" t="inlineStr">
        <is>
          <t>SUNDSVALL</t>
        </is>
      </c>
      <c r="F3126" t="inlineStr">
        <is>
          <t>SCA</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9102-2025</t>
        </is>
      </c>
      <c r="B3127" s="1" t="n">
        <v>45713</v>
      </c>
      <c r="C3127" s="1" t="n">
        <v>45720</v>
      </c>
      <c r="D3127" t="inlineStr">
        <is>
          <t>VÄSTERNORRLANDS LÄN</t>
        </is>
      </c>
      <c r="E3127" t="inlineStr">
        <is>
          <t>SUNDSVALL</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9017-2025</t>
        </is>
      </c>
      <c r="B3128" s="1" t="n">
        <v>45713</v>
      </c>
      <c r="C3128" s="1" t="n">
        <v>45720</v>
      </c>
      <c r="D3128" t="inlineStr">
        <is>
          <t>VÄSTERNORRLANDS LÄN</t>
        </is>
      </c>
      <c r="E3128" t="inlineStr">
        <is>
          <t>SUNDSVALL</t>
        </is>
      </c>
      <c r="F3128" t="inlineStr">
        <is>
          <t>SCA</t>
        </is>
      </c>
      <c r="G3128" t="n">
        <v>1.8</v>
      </c>
      <c r="H3128" t="n">
        <v>0</v>
      </c>
      <c r="I3128" t="n">
        <v>0</v>
      </c>
      <c r="J3128" t="n">
        <v>0</v>
      </c>
      <c r="K3128" t="n">
        <v>0</v>
      </c>
      <c r="L3128" t="n">
        <v>0</v>
      </c>
      <c r="M3128" t="n">
        <v>0</v>
      </c>
      <c r="N3128" t="n">
        <v>0</v>
      </c>
      <c r="O3128" t="n">
        <v>0</v>
      </c>
      <c r="P3128" t="n">
        <v>0</v>
      </c>
      <c r="Q3128" t="n">
        <v>0</v>
      </c>
      <c r="R3128" s="2" t="inlineStr"/>
    </row>
    <row r="3129" ht="15" customHeight="1">
      <c r="A3129" t="inlineStr">
        <is>
          <t>A 9149-2025</t>
        </is>
      </c>
      <c r="B3129" s="1" t="n">
        <v>45714</v>
      </c>
      <c r="C3129" s="1" t="n">
        <v>45720</v>
      </c>
      <c r="D3129" t="inlineStr">
        <is>
          <t>VÄSTERNORRLANDS LÄN</t>
        </is>
      </c>
      <c r="E3129" t="inlineStr">
        <is>
          <t>SUNDSVALL</t>
        </is>
      </c>
      <c r="F3129" t="inlineStr">
        <is>
          <t>SCA</t>
        </is>
      </c>
      <c r="G3129" t="n">
        <v>15.5</v>
      </c>
      <c r="H3129" t="n">
        <v>0</v>
      </c>
      <c r="I3129" t="n">
        <v>0</v>
      </c>
      <c r="J3129" t="n">
        <v>0</v>
      </c>
      <c r="K3129" t="n">
        <v>0</v>
      </c>
      <c r="L3129" t="n">
        <v>0</v>
      </c>
      <c r="M3129" t="n">
        <v>0</v>
      </c>
      <c r="N3129" t="n">
        <v>0</v>
      </c>
      <c r="O3129" t="n">
        <v>0</v>
      </c>
      <c r="P3129" t="n">
        <v>0</v>
      </c>
      <c r="Q3129" t="n">
        <v>0</v>
      </c>
      <c r="R3129" s="2" t="inlineStr"/>
    </row>
    <row r="3130" ht="15" customHeight="1">
      <c r="A3130" t="inlineStr">
        <is>
          <t>A 9276-2025</t>
        </is>
      </c>
      <c r="B3130" s="1" t="n">
        <v>45714</v>
      </c>
      <c r="C3130" s="1" t="n">
        <v>45720</v>
      </c>
      <c r="D3130" t="inlineStr">
        <is>
          <t>VÄSTERNORRLANDS LÄN</t>
        </is>
      </c>
      <c r="E3130" t="inlineStr">
        <is>
          <t>SUNDSVALL</t>
        </is>
      </c>
      <c r="G3130" t="n">
        <v>2.3</v>
      </c>
      <c r="H3130" t="n">
        <v>0</v>
      </c>
      <c r="I3130" t="n">
        <v>0</v>
      </c>
      <c r="J3130" t="n">
        <v>0</v>
      </c>
      <c r="K3130" t="n">
        <v>0</v>
      </c>
      <c r="L3130" t="n">
        <v>0</v>
      </c>
      <c r="M3130" t="n">
        <v>0</v>
      </c>
      <c r="N3130" t="n">
        <v>0</v>
      </c>
      <c r="O3130" t="n">
        <v>0</v>
      </c>
      <c r="P3130" t="n">
        <v>0</v>
      </c>
      <c r="Q3130" t="n">
        <v>0</v>
      </c>
      <c r="R3130" s="2" t="inlineStr"/>
    </row>
    <row r="3131" ht="15" customHeight="1">
      <c r="A3131" t="inlineStr">
        <is>
          <t>A 9507-2025</t>
        </is>
      </c>
      <c r="B3131" s="1" t="n">
        <v>45714</v>
      </c>
      <c r="C3131" s="1" t="n">
        <v>45720</v>
      </c>
      <c r="D3131" t="inlineStr">
        <is>
          <t>VÄSTERNORRLANDS LÄN</t>
        </is>
      </c>
      <c r="E3131" t="inlineStr">
        <is>
          <t>SUNDSVALL</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9470-2025</t>
        </is>
      </c>
      <c r="B3132" s="1" t="n">
        <v>45715</v>
      </c>
      <c r="C3132" s="1" t="n">
        <v>45720</v>
      </c>
      <c r="D3132" t="inlineStr">
        <is>
          <t>VÄSTERNORRLANDS LÄN</t>
        </is>
      </c>
      <c r="E3132" t="inlineStr">
        <is>
          <t>SUNDSVALL</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9514-2025</t>
        </is>
      </c>
      <c r="B3133" s="1" t="n">
        <v>45715</v>
      </c>
      <c r="C3133" s="1" t="n">
        <v>45720</v>
      </c>
      <c r="D3133" t="inlineStr">
        <is>
          <t>VÄSTERNORRLANDS LÄN</t>
        </is>
      </c>
      <c r="E3133" t="inlineStr">
        <is>
          <t>SUNDSVALL</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9609-2025</t>
        </is>
      </c>
      <c r="B3134" s="1" t="n">
        <v>45715</v>
      </c>
      <c r="C3134" s="1" t="n">
        <v>45720</v>
      </c>
      <c r="D3134" t="inlineStr">
        <is>
          <t>VÄSTERNORRLANDS LÄN</t>
        </is>
      </c>
      <c r="E3134" t="inlineStr">
        <is>
          <t>SUNDSVALL</t>
        </is>
      </c>
      <c r="F3134" t="inlineStr">
        <is>
          <t>SCA</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9616-2025</t>
        </is>
      </c>
      <c r="B3135" s="1" t="n">
        <v>45715</v>
      </c>
      <c r="C3135" s="1" t="n">
        <v>45720</v>
      </c>
      <c r="D3135" t="inlineStr">
        <is>
          <t>VÄSTERNORRLANDS LÄN</t>
        </is>
      </c>
      <c r="E3135" t="inlineStr">
        <is>
          <t>SUNDSVALL</t>
        </is>
      </c>
      <c r="G3135" t="n">
        <v>0.3</v>
      </c>
      <c r="H3135" t="n">
        <v>0</v>
      </c>
      <c r="I3135" t="n">
        <v>0</v>
      </c>
      <c r="J3135" t="n">
        <v>0</v>
      </c>
      <c r="K3135" t="n">
        <v>0</v>
      </c>
      <c r="L3135" t="n">
        <v>0</v>
      </c>
      <c r="M3135" t="n">
        <v>0</v>
      </c>
      <c r="N3135" t="n">
        <v>0</v>
      </c>
      <c r="O3135" t="n">
        <v>0</v>
      </c>
      <c r="P3135" t="n">
        <v>0</v>
      </c>
      <c r="Q3135" t="n">
        <v>0</v>
      </c>
      <c r="R3135" s="2" t="inlineStr"/>
    </row>
    <row r="3136" ht="15" customHeight="1">
      <c r="A3136" t="inlineStr">
        <is>
          <t>A 9469-2025</t>
        </is>
      </c>
      <c r="B3136" s="1" t="n">
        <v>45715</v>
      </c>
      <c r="C3136" s="1" t="n">
        <v>45720</v>
      </c>
      <c r="D3136" t="inlineStr">
        <is>
          <t>VÄSTERNORRLANDS LÄN</t>
        </is>
      </c>
      <c r="E3136" t="inlineStr">
        <is>
          <t>SUNDSVALL</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9509-2025</t>
        </is>
      </c>
      <c r="B3137" s="1" t="n">
        <v>45715</v>
      </c>
      <c r="C3137" s="1" t="n">
        <v>45720</v>
      </c>
      <c r="D3137" t="inlineStr">
        <is>
          <t>VÄSTERNORRLANDS LÄN</t>
        </is>
      </c>
      <c r="E3137" t="inlineStr">
        <is>
          <t>SUNDSVALL</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9566-2025</t>
        </is>
      </c>
      <c r="B3138" s="1" t="n">
        <v>45715</v>
      </c>
      <c r="C3138" s="1" t="n">
        <v>45720</v>
      </c>
      <c r="D3138" t="inlineStr">
        <is>
          <t>VÄSTERNORRLANDS LÄN</t>
        </is>
      </c>
      <c r="E3138" t="inlineStr">
        <is>
          <t>SUNDSVALL</t>
        </is>
      </c>
      <c r="F3138" t="inlineStr">
        <is>
          <t>SCA</t>
        </is>
      </c>
      <c r="G3138" t="n">
        <v>10.9</v>
      </c>
      <c r="H3138" t="n">
        <v>0</v>
      </c>
      <c r="I3138" t="n">
        <v>0</v>
      </c>
      <c r="J3138" t="n">
        <v>0</v>
      </c>
      <c r="K3138" t="n">
        <v>0</v>
      </c>
      <c r="L3138" t="n">
        <v>0</v>
      </c>
      <c r="M3138" t="n">
        <v>0</v>
      </c>
      <c r="N3138" t="n">
        <v>0</v>
      </c>
      <c r="O3138" t="n">
        <v>0</v>
      </c>
      <c r="P3138" t="n">
        <v>0</v>
      </c>
      <c r="Q3138" t="n">
        <v>0</v>
      </c>
      <c r="R3138" s="2" t="inlineStr"/>
    </row>
    <row r="3139" ht="15" customHeight="1">
      <c r="A3139" t="inlineStr">
        <is>
          <t>A 9579-2025</t>
        </is>
      </c>
      <c r="B3139" s="1" t="n">
        <v>45715</v>
      </c>
      <c r="C3139" s="1" t="n">
        <v>45720</v>
      </c>
      <c r="D3139" t="inlineStr">
        <is>
          <t>VÄSTERNORRLANDS LÄN</t>
        </is>
      </c>
      <c r="E3139" t="inlineStr">
        <is>
          <t>SUNDSVALL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9598-2025</t>
        </is>
      </c>
      <c r="B3140" s="1" t="n">
        <v>45715</v>
      </c>
      <c r="C3140" s="1" t="n">
        <v>45720</v>
      </c>
      <c r="D3140" t="inlineStr">
        <is>
          <t>VÄSTERNORRLANDS LÄN</t>
        </is>
      </c>
      <c r="E3140" t="inlineStr">
        <is>
          <t>SUNDSVALL</t>
        </is>
      </c>
      <c r="G3140" t="n">
        <v>1.9</v>
      </c>
      <c r="H3140" t="n">
        <v>0</v>
      </c>
      <c r="I3140" t="n">
        <v>0</v>
      </c>
      <c r="J3140" t="n">
        <v>0</v>
      </c>
      <c r="K3140" t="n">
        <v>0</v>
      </c>
      <c r="L3140" t="n">
        <v>0</v>
      </c>
      <c r="M3140" t="n">
        <v>0</v>
      </c>
      <c r="N3140" t="n">
        <v>0</v>
      </c>
      <c r="O3140" t="n">
        <v>0</v>
      </c>
      <c r="P3140" t="n">
        <v>0</v>
      </c>
      <c r="Q3140" t="n">
        <v>0</v>
      </c>
      <c r="R3140" s="2" t="inlineStr"/>
    </row>
    <row r="3141">
      <c r="A3141" t="inlineStr">
        <is>
          <t>A 9709-2025</t>
        </is>
      </c>
      <c r="B3141" s="1" t="n">
        <v>45716</v>
      </c>
      <c r="C3141" s="1" t="n">
        <v>45720</v>
      </c>
      <c r="D3141" t="inlineStr">
        <is>
          <t>VÄSTERNORRLANDS LÄN</t>
        </is>
      </c>
      <c r="E3141" t="inlineStr">
        <is>
          <t>SUNDSVALL</t>
        </is>
      </c>
      <c r="F3141" t="inlineStr">
        <is>
          <t>SCA</t>
        </is>
      </c>
      <c r="G3141" t="n">
        <v>3.6</v>
      </c>
      <c r="H3141" t="n">
        <v>0</v>
      </c>
      <c r="I3141" t="n">
        <v>0</v>
      </c>
      <c r="J3141" t="n">
        <v>0</v>
      </c>
      <c r="K3141" t="n">
        <v>0</v>
      </c>
      <c r="L3141" t="n">
        <v>0</v>
      </c>
      <c r="M3141" t="n">
        <v>0</v>
      </c>
      <c r="N3141" t="n">
        <v>0</v>
      </c>
      <c r="O3141" t="n">
        <v>0</v>
      </c>
      <c r="P3141" t="n">
        <v>0</v>
      </c>
      <c r="Q3141" t="n">
        <v>0</v>
      </c>
      <c r="R31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2025-03-04T17:19:04Z</dcterms:created>
  <dcterms:modified xmlns:dcterms="http://purl.org/dc/terms/" xmlns:xsi="http://www.w3.org/2001/XMLSchema-instance" xsi:type="dcterms:W3CDTF">2025-03-04T17:19:06Z</dcterms:modified>
</cp:coreProperties>
</file>