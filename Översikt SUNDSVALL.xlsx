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45348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45348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45348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45348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45348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45348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45348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45348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45348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45348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45348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45348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45348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45348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45348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45348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45348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45348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45348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45348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45348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45348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45348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45348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45348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45348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45348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45348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45348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45348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45348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45348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45348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45348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45348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45348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45348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45348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45348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45348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45348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45348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45348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45348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45348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45348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45348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45348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45348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45348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45348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45348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45348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45348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45348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45348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45348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45348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45348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45348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45348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45348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45348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45348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45348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45348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45348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45348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45348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45348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45348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45348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45348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45348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45348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45348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45348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45348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45348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45348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45348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45348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45348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45348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45348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45348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45348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45348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45348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45348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45348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45348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45348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45348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45348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45348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45348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45348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45348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45348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45348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45348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45348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45348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45348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45348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45348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45348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45348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45348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45348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45348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45348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45348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45348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45348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45348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45348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45348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45348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45348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45348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45348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45348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45348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45348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45348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45348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45348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27734-2023</t>
        </is>
      </c>
      <c r="B131" s="1" t="n">
        <v>45098</v>
      </c>
      <c r="C131" s="1" t="n">
        <v>45348</v>
      </c>
      <c r="D131" t="inlineStr">
        <is>
          <t>VÄSTERNORRLANDS LÄN</t>
        </is>
      </c>
      <c r="E131" t="inlineStr">
        <is>
          <t>SUNDSVALL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Grönfink</t>
        </is>
      </c>
      <c r="S131">
        <f>HYPERLINK("https://klasma.github.io/Logging_2281/artfynd/A 27734-2023 artfynd.xlsx", "A 27734-2023")</f>
        <v/>
      </c>
      <c r="T131">
        <f>HYPERLINK("https://klasma.github.io/Logging_2281/kartor/A 27734-2023 karta.png", "A 27734-2023")</f>
        <v/>
      </c>
      <c r="V131">
        <f>HYPERLINK("https://klasma.github.io/Logging_2281/klagomål/A 27734-2023 FSC-klagomål.docx", "A 27734-2023")</f>
        <v/>
      </c>
      <c r="W131">
        <f>HYPERLINK("https://klasma.github.io/Logging_2281/klagomålsmail/A 27734-2023 FSC-klagomål mail.docx", "A 27734-2023")</f>
        <v/>
      </c>
      <c r="X131">
        <f>HYPERLINK("https://klasma.github.io/Logging_2281/tillsyn/A 27734-2023 tillsynsbegäran.docx", "A 27734-2023")</f>
        <v/>
      </c>
      <c r="Y131">
        <f>HYPERLINK("https://klasma.github.io/Logging_2281/tillsynsmail/A 27734-2023 tillsynsbegäran mail.docx", "A 27734-2023")</f>
        <v/>
      </c>
    </row>
    <row r="132" ht="15" customHeight="1">
      <c r="A132" t="inlineStr">
        <is>
          <t>A 28008-2023</t>
        </is>
      </c>
      <c r="B132" s="1" t="n">
        <v>45098</v>
      </c>
      <c r="C132" s="1" t="n">
        <v>45348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6.4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28008-2023 artfynd.xlsx", "A 28008-2023")</f>
        <v/>
      </c>
      <c r="T132">
        <f>HYPERLINK("https://klasma.github.io/Logging_2281/kartor/A 28008-2023 karta.png", "A 28008-2023")</f>
        <v/>
      </c>
      <c r="V132">
        <f>HYPERLINK("https://klasma.github.io/Logging_2281/klagomål/A 28008-2023 FSC-klagomål.docx", "A 28008-2023")</f>
        <v/>
      </c>
      <c r="W132">
        <f>HYPERLINK("https://klasma.github.io/Logging_2281/klagomålsmail/A 28008-2023 FSC-klagomål mail.docx", "A 28008-2023")</f>
        <v/>
      </c>
      <c r="X132">
        <f>HYPERLINK("https://klasma.github.io/Logging_2281/tillsyn/A 28008-2023 tillsynsbegäran.docx", "A 28008-2023")</f>
        <v/>
      </c>
      <c r="Y132">
        <f>HYPERLINK("https://klasma.github.io/Logging_2281/tillsynsmail/A 28008-2023 tillsynsbegäran mail.docx", "A 28008-2023")</f>
        <v/>
      </c>
      <c r="Z132">
        <f>HYPERLINK("https://klasma.github.io/Logging_2281/fåglar/A 28008-2023 prioriterade fågelarter.docx", "A 28008-2023")</f>
        <v/>
      </c>
    </row>
    <row r="133" ht="15" customHeight="1">
      <c r="A133" t="inlineStr">
        <is>
          <t>A 32077-2023</t>
        </is>
      </c>
      <c r="B133" s="1" t="n">
        <v>45107</v>
      </c>
      <c r="C133" s="1" t="n">
        <v>45348</v>
      </c>
      <c r="D133" t="inlineStr">
        <is>
          <t>VÄSTERNORRLANDS LÄN</t>
        </is>
      </c>
      <c r="E133" t="inlineStr">
        <is>
          <t>SUNDSVALL</t>
        </is>
      </c>
      <c r="G133" t="n">
        <v>5.3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32077-2023 artfynd.xlsx", "A 32077-2023")</f>
        <v/>
      </c>
      <c r="T133">
        <f>HYPERLINK("https://klasma.github.io/Logging_2281/kartor/A 32077-2023 karta.png", "A 32077-2023")</f>
        <v/>
      </c>
      <c r="V133">
        <f>HYPERLINK("https://klasma.github.io/Logging_2281/klagomål/A 32077-2023 FSC-klagomål.docx", "A 32077-2023")</f>
        <v/>
      </c>
      <c r="W133">
        <f>HYPERLINK("https://klasma.github.io/Logging_2281/klagomålsmail/A 32077-2023 FSC-klagomål mail.docx", "A 32077-2023")</f>
        <v/>
      </c>
      <c r="X133">
        <f>HYPERLINK("https://klasma.github.io/Logging_2281/tillsyn/A 32077-2023 tillsynsbegäran.docx", "A 32077-2023")</f>
        <v/>
      </c>
      <c r="Y133">
        <f>HYPERLINK("https://klasma.github.io/Logging_2281/tillsynsmail/A 32077-2023 tillsynsbegäran mail.docx", "A 32077-2023")</f>
        <v/>
      </c>
    </row>
    <row r="134" ht="15" customHeight="1">
      <c r="A134" t="inlineStr">
        <is>
          <t>A 30837-2023</t>
        </is>
      </c>
      <c r="B134" s="1" t="n">
        <v>45112</v>
      </c>
      <c r="C134" s="1" t="n">
        <v>45348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30837-2023 artfynd.xlsx", "A 30837-2023")</f>
        <v/>
      </c>
      <c r="T134">
        <f>HYPERLINK("https://klasma.github.io/Logging_2281/kartor/A 30837-2023 karta.png", "A 30837-2023")</f>
        <v/>
      </c>
      <c r="V134">
        <f>HYPERLINK("https://klasma.github.io/Logging_2281/klagomål/A 30837-2023 FSC-klagomål.docx", "A 30837-2023")</f>
        <v/>
      </c>
      <c r="W134">
        <f>HYPERLINK("https://klasma.github.io/Logging_2281/klagomålsmail/A 30837-2023 FSC-klagomål mail.docx", "A 30837-2023")</f>
        <v/>
      </c>
      <c r="X134">
        <f>HYPERLINK("https://klasma.github.io/Logging_2281/tillsyn/A 30837-2023 tillsynsbegäran.docx", "A 30837-2023")</f>
        <v/>
      </c>
      <c r="Y134">
        <f>HYPERLINK("https://klasma.github.io/Logging_2281/tillsynsmail/A 30837-2023 tillsynsbegäran mail.docx", "A 30837-2023")</f>
        <v/>
      </c>
    </row>
    <row r="135" ht="15" customHeight="1">
      <c r="A135" t="inlineStr">
        <is>
          <t>A 30827-2023</t>
        </is>
      </c>
      <c r="B135" s="1" t="n">
        <v>45112</v>
      </c>
      <c r="C135" s="1" t="n">
        <v>45348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21.9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HYPERLINK("https://klasma.github.io/Logging_2281/artfynd/A 30827-2023 artfynd.xlsx", "A 30827-2023")</f>
        <v/>
      </c>
      <c r="T135">
        <f>HYPERLINK("https://klasma.github.io/Logging_2281/kartor/A 30827-2023 karta.png", "A 30827-2023")</f>
        <v/>
      </c>
      <c r="V135">
        <f>HYPERLINK("https://klasma.github.io/Logging_2281/klagomål/A 30827-2023 FSC-klagomål.docx", "A 30827-2023")</f>
        <v/>
      </c>
      <c r="W135">
        <f>HYPERLINK("https://klasma.github.io/Logging_2281/klagomålsmail/A 30827-2023 FSC-klagomål mail.docx", "A 30827-2023")</f>
        <v/>
      </c>
      <c r="X135">
        <f>HYPERLINK("https://klasma.github.io/Logging_2281/tillsyn/A 30827-2023 tillsynsbegäran.docx", "A 30827-2023")</f>
        <v/>
      </c>
      <c r="Y135">
        <f>HYPERLINK("https://klasma.github.io/Logging_2281/tillsynsmail/A 30827-2023 tillsynsbegäran mail.docx", "A 30827-2023")</f>
        <v/>
      </c>
    </row>
    <row r="136" ht="15" customHeight="1">
      <c r="A136" t="inlineStr">
        <is>
          <t>A 35751-2023</t>
        </is>
      </c>
      <c r="B136" s="1" t="n">
        <v>45147</v>
      </c>
      <c r="C136" s="1" t="n">
        <v>45348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Nordfladdermus</t>
        </is>
      </c>
      <c r="S136">
        <f>HYPERLINK("https://klasma.github.io/Logging_2281/artfynd/A 35751-2023 artfynd.xlsx", "A 35751-2023")</f>
        <v/>
      </c>
      <c r="T136">
        <f>HYPERLINK("https://klasma.github.io/Logging_2281/kartor/A 35751-2023 karta.png", "A 35751-2023")</f>
        <v/>
      </c>
      <c r="V136">
        <f>HYPERLINK("https://klasma.github.io/Logging_2281/klagomål/A 35751-2023 FSC-klagomål.docx", "A 35751-2023")</f>
        <v/>
      </c>
      <c r="W136">
        <f>HYPERLINK("https://klasma.github.io/Logging_2281/klagomålsmail/A 35751-2023 FSC-klagomål mail.docx", "A 35751-2023")</f>
        <v/>
      </c>
      <c r="X136">
        <f>HYPERLINK("https://klasma.github.io/Logging_2281/tillsyn/A 35751-2023 tillsynsbegäran.docx", "A 35751-2023")</f>
        <v/>
      </c>
      <c r="Y136">
        <f>HYPERLINK("https://klasma.github.io/Logging_2281/tillsynsmail/A 35751-2023 tillsynsbegäran mail.docx", "A 35751-2023")</f>
        <v/>
      </c>
    </row>
    <row r="137" ht="15" customHeight="1">
      <c r="A137" t="inlineStr">
        <is>
          <t>A 43424-2023</t>
        </is>
      </c>
      <c r="B137" s="1" t="n">
        <v>45183</v>
      </c>
      <c r="C137" s="1" t="n">
        <v>45348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HYPERLINK("https://klasma.github.io/Logging_2281/artfynd/A 43424-2023 artfynd.xlsx", "A 43424-2023")</f>
        <v/>
      </c>
      <c r="T137">
        <f>HYPERLINK("https://klasma.github.io/Logging_2281/kartor/A 43424-2023 karta.png", "A 43424-2023")</f>
        <v/>
      </c>
      <c r="V137">
        <f>HYPERLINK("https://klasma.github.io/Logging_2281/klagomål/A 43424-2023 FSC-klagomål.docx", "A 43424-2023")</f>
        <v/>
      </c>
      <c r="W137">
        <f>HYPERLINK("https://klasma.github.io/Logging_2281/klagomålsmail/A 43424-2023 FSC-klagomål mail.docx", "A 43424-2023")</f>
        <v/>
      </c>
      <c r="X137">
        <f>HYPERLINK("https://klasma.github.io/Logging_2281/tillsyn/A 43424-2023 tillsynsbegäran.docx", "A 43424-2023")</f>
        <v/>
      </c>
      <c r="Y137">
        <f>HYPERLINK("https://klasma.github.io/Logging_2281/tillsynsmail/A 43424-2023 tillsynsbegäran mail.docx", "A 43424-2023")</f>
        <v/>
      </c>
    </row>
    <row r="138" ht="15" customHeight="1">
      <c r="A138" t="inlineStr">
        <is>
          <t>A 46260-2023</t>
        </is>
      </c>
      <c r="B138" s="1" t="n">
        <v>45196</v>
      </c>
      <c r="C138" s="1" t="n">
        <v>45348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HYPERLINK("https://klasma.github.io/Logging_2281/artfynd/A 46260-2023 artfynd.xlsx", "A 46260-2023")</f>
        <v/>
      </c>
      <c r="T138">
        <f>HYPERLINK("https://klasma.github.io/Logging_2281/kartor/A 46260-2023 karta.png", "A 46260-2023")</f>
        <v/>
      </c>
      <c r="V138">
        <f>HYPERLINK("https://klasma.github.io/Logging_2281/klagomål/A 46260-2023 FSC-klagomål.docx", "A 46260-2023")</f>
        <v/>
      </c>
      <c r="W138">
        <f>HYPERLINK("https://klasma.github.io/Logging_2281/klagomålsmail/A 46260-2023 FSC-klagomål mail.docx", "A 46260-2023")</f>
        <v/>
      </c>
      <c r="X138">
        <f>HYPERLINK("https://klasma.github.io/Logging_2281/tillsyn/A 46260-2023 tillsynsbegäran.docx", "A 46260-2023")</f>
        <v/>
      </c>
      <c r="Y138">
        <f>HYPERLINK("https://klasma.github.io/Logging_2281/tillsynsmail/A 46260-2023 tillsynsbegäran mail.docx", "A 46260-2023")</f>
        <v/>
      </c>
      <c r="Z138">
        <f>HYPERLINK("https://klasma.github.io/Logging_2281/fåglar/A 46260-2023 prioriterade fågelarter.docx", "A 46260-2023")</f>
        <v/>
      </c>
    </row>
    <row r="139" ht="15" customHeight="1">
      <c r="A139" t="inlineStr">
        <is>
          <t>A 47245-2023</t>
        </is>
      </c>
      <c r="B139" s="1" t="n">
        <v>45202</v>
      </c>
      <c r="C139" s="1" t="n">
        <v>45348</v>
      </c>
      <c r="D139" t="inlineStr">
        <is>
          <t>VÄSTERNORRLANDS LÄN</t>
        </is>
      </c>
      <c r="E139" t="inlineStr">
        <is>
          <t>SUNDSVALL</t>
        </is>
      </c>
      <c r="G139" t="n">
        <v>1.6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Tvåblad</t>
        </is>
      </c>
      <c r="S139">
        <f>HYPERLINK("https://klasma.github.io/Logging_2281/artfynd/A 47245-2023 artfynd.xlsx", "A 47245-2023")</f>
        <v/>
      </c>
      <c r="T139">
        <f>HYPERLINK("https://klasma.github.io/Logging_2281/kartor/A 47245-2023 karta.png", "A 47245-2023")</f>
        <v/>
      </c>
      <c r="V139">
        <f>HYPERLINK("https://klasma.github.io/Logging_2281/klagomål/A 47245-2023 FSC-klagomål.docx", "A 47245-2023")</f>
        <v/>
      </c>
      <c r="W139">
        <f>HYPERLINK("https://klasma.github.io/Logging_2281/klagomålsmail/A 47245-2023 FSC-klagomål mail.docx", "A 47245-2023")</f>
        <v/>
      </c>
      <c r="X139">
        <f>HYPERLINK("https://klasma.github.io/Logging_2281/tillsyn/A 47245-2023 tillsynsbegäran.docx", "A 47245-2023")</f>
        <v/>
      </c>
      <c r="Y139">
        <f>HYPERLINK("https://klasma.github.io/Logging_2281/tillsynsmail/A 47245-2023 tillsynsbegäran mail.docx", "A 47245-2023")</f>
        <v/>
      </c>
    </row>
    <row r="140" ht="15" customHeight="1">
      <c r="A140" t="inlineStr">
        <is>
          <t>A 49863-2023</t>
        </is>
      </c>
      <c r="B140" s="1" t="n">
        <v>45212</v>
      </c>
      <c r="C140" s="1" t="n">
        <v>45348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2.3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HYPERLINK("https://klasma.github.io/Logging_2281/artfynd/A 49863-2023 artfynd.xlsx", "A 49863-2023")</f>
        <v/>
      </c>
      <c r="T140">
        <f>HYPERLINK("https://klasma.github.io/Logging_2281/kartor/A 49863-2023 karta.png", "A 49863-2023")</f>
        <v/>
      </c>
      <c r="V140">
        <f>HYPERLINK("https://klasma.github.io/Logging_2281/klagomål/A 49863-2023 FSC-klagomål.docx", "A 49863-2023")</f>
        <v/>
      </c>
      <c r="W140">
        <f>HYPERLINK("https://klasma.github.io/Logging_2281/klagomålsmail/A 49863-2023 FSC-klagomål mail.docx", "A 49863-2023")</f>
        <v/>
      </c>
      <c r="X140">
        <f>HYPERLINK("https://klasma.github.io/Logging_2281/tillsyn/A 49863-2023 tillsynsbegäran.docx", "A 49863-2023")</f>
        <v/>
      </c>
      <c r="Y140">
        <f>HYPERLINK("https://klasma.github.io/Logging_2281/tillsynsmail/A 49863-2023 tillsynsbegäran mail.docx", "A 49863-2023")</f>
        <v/>
      </c>
      <c r="Z140">
        <f>HYPERLINK("https://klasma.github.io/Logging_2281/fåglar/A 49863-2023 prioriterade fågelarter.docx", "A 49863-2023")</f>
        <v/>
      </c>
    </row>
    <row r="141" ht="15" customHeight="1">
      <c r="A141" t="inlineStr">
        <is>
          <t>A 56698-2023</t>
        </is>
      </c>
      <c r="B141" s="1" t="n">
        <v>45244</v>
      </c>
      <c r="C141" s="1" t="n">
        <v>45348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HYPERLINK("https://klasma.github.io/Logging_2281/artfynd/A 56698-2023 artfynd.xlsx", "A 56698-2023")</f>
        <v/>
      </c>
      <c r="T141">
        <f>HYPERLINK("https://klasma.github.io/Logging_2281/kartor/A 56698-2023 karta.png", "A 56698-2023")</f>
        <v/>
      </c>
      <c r="V141">
        <f>HYPERLINK("https://klasma.github.io/Logging_2281/klagomål/A 56698-2023 FSC-klagomål.docx", "A 56698-2023")</f>
        <v/>
      </c>
      <c r="W141">
        <f>HYPERLINK("https://klasma.github.io/Logging_2281/klagomålsmail/A 56698-2023 FSC-klagomål mail.docx", "A 56698-2023")</f>
        <v/>
      </c>
      <c r="X141">
        <f>HYPERLINK("https://klasma.github.io/Logging_2281/tillsyn/A 56698-2023 tillsynsbegäran.docx", "A 56698-2023")</f>
        <v/>
      </c>
      <c r="Y141">
        <f>HYPERLINK("https://klasma.github.io/Logging_2281/tillsynsmail/A 56698-2023 tillsynsbegäran mail.docx", "A 56698-2023")</f>
        <v/>
      </c>
    </row>
    <row r="142" ht="15" customHeight="1">
      <c r="A142" t="inlineStr">
        <is>
          <t>A 59870-2023</t>
        </is>
      </c>
      <c r="B142" s="1" t="n">
        <v>45254</v>
      </c>
      <c r="C142" s="1" t="n">
        <v>45348</v>
      </c>
      <c r="D142" t="inlineStr">
        <is>
          <t>VÄSTERNORRLANDS LÄN</t>
        </is>
      </c>
      <c r="E142" t="inlineStr">
        <is>
          <t>SUNDSVALL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HYPERLINK("https://klasma.github.io/Logging_2281/artfynd/A 59870-2023 artfynd.xlsx", "A 59870-2023")</f>
        <v/>
      </c>
      <c r="T142">
        <f>HYPERLINK("https://klasma.github.io/Logging_2281/kartor/A 59870-2023 karta.png", "A 59870-2023")</f>
        <v/>
      </c>
      <c r="V142">
        <f>HYPERLINK("https://klasma.github.io/Logging_2281/klagomål/A 59870-2023 FSC-klagomål.docx", "A 59870-2023")</f>
        <v/>
      </c>
      <c r="W142">
        <f>HYPERLINK("https://klasma.github.io/Logging_2281/klagomålsmail/A 59870-2023 FSC-klagomål mail.docx", "A 59870-2023")</f>
        <v/>
      </c>
      <c r="X142">
        <f>HYPERLINK("https://klasma.github.io/Logging_2281/tillsyn/A 59870-2023 tillsynsbegäran.docx", "A 59870-2023")</f>
        <v/>
      </c>
      <c r="Y142">
        <f>HYPERLINK("https://klasma.github.io/Logging_2281/tillsynsmail/A 59870-2023 tillsynsbegäran mail.docx", "A 59870-2023")</f>
        <v/>
      </c>
    </row>
    <row r="143" ht="15" customHeight="1">
      <c r="A143" t="inlineStr">
        <is>
          <t>A 233-2024</t>
        </is>
      </c>
      <c r="B143" s="1" t="n">
        <v>45294</v>
      </c>
      <c r="C143" s="1" t="n">
        <v>45348</v>
      </c>
      <c r="D143" t="inlineStr">
        <is>
          <t>VÄSTERNORRLANDS LÄN</t>
        </is>
      </c>
      <c r="E143" t="inlineStr">
        <is>
          <t>SUNDSVALL</t>
        </is>
      </c>
      <c r="G143" t="n">
        <v>2.4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Duvhök</t>
        </is>
      </c>
      <c r="S143">
        <f>HYPERLINK("https://klasma.github.io/Logging_2281/artfynd/A 233-2024 artfynd.xlsx", "A 233-2024")</f>
        <v/>
      </c>
      <c r="T143">
        <f>HYPERLINK("https://klasma.github.io/Logging_2281/kartor/A 233-2024 karta.png", "A 233-2024")</f>
        <v/>
      </c>
      <c r="V143">
        <f>HYPERLINK("https://klasma.github.io/Logging_2281/klagomål/A 233-2024 FSC-klagomål.docx", "A 233-2024")</f>
        <v/>
      </c>
      <c r="W143">
        <f>HYPERLINK("https://klasma.github.io/Logging_2281/klagomålsmail/A 233-2024 FSC-klagomål mail.docx", "A 233-2024")</f>
        <v/>
      </c>
      <c r="X143">
        <f>HYPERLINK("https://klasma.github.io/Logging_2281/tillsyn/A 233-2024 tillsynsbegäran.docx", "A 233-2024")</f>
        <v/>
      </c>
      <c r="Y143">
        <f>HYPERLINK("https://klasma.github.io/Logging_2281/tillsynsmail/A 233-2024 tillsynsbegäran mail.docx", "A 233-2024")</f>
        <v/>
      </c>
    </row>
    <row r="144" ht="15" customHeight="1">
      <c r="A144" t="inlineStr">
        <is>
          <t>A 1058-2024</t>
        </is>
      </c>
      <c r="B144" s="1" t="n">
        <v>45301</v>
      </c>
      <c r="C144" s="1" t="n">
        <v>45348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1058-2024 artfynd.xlsx", "A 1058-2024")</f>
        <v/>
      </c>
      <c r="T144">
        <f>HYPERLINK("https://klasma.github.io/Logging_2281/kartor/A 1058-2024 karta.png", "A 1058-2024")</f>
        <v/>
      </c>
      <c r="V144">
        <f>HYPERLINK("https://klasma.github.io/Logging_2281/klagomål/A 1058-2024 FSC-klagomål.docx", "A 1058-2024")</f>
        <v/>
      </c>
      <c r="W144">
        <f>HYPERLINK("https://klasma.github.io/Logging_2281/klagomålsmail/A 1058-2024 FSC-klagomål mail.docx", "A 1058-2024")</f>
        <v/>
      </c>
      <c r="X144">
        <f>HYPERLINK("https://klasma.github.io/Logging_2281/tillsyn/A 1058-2024 tillsynsbegäran.docx", "A 1058-2024")</f>
        <v/>
      </c>
      <c r="Y144">
        <f>HYPERLINK("https://klasma.github.io/Logging_2281/tillsynsmail/A 1058-2024 tillsynsbegäran mail.docx", "A 1058-2024")</f>
        <v/>
      </c>
    </row>
    <row r="145" ht="15" customHeight="1">
      <c r="A145" t="inlineStr">
        <is>
          <t>A 3819-2024</t>
        </is>
      </c>
      <c r="B145" s="1" t="n">
        <v>45321</v>
      </c>
      <c r="C145" s="1" t="n">
        <v>45348</v>
      </c>
      <c r="D145" t="inlineStr">
        <is>
          <t>VÄSTERNORRLANDS LÄN</t>
        </is>
      </c>
      <c r="E145" t="inlineStr">
        <is>
          <t>SUNDSVALL</t>
        </is>
      </c>
      <c r="G145" t="n">
        <v>13.5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Bombmurkla</t>
        </is>
      </c>
      <c r="S145">
        <f>HYPERLINK("https://klasma.github.io/Logging_2281/artfynd/A 3819-2024 artfynd.xlsx", "A 3819-2024")</f>
        <v/>
      </c>
      <c r="T145">
        <f>HYPERLINK("https://klasma.github.io/Logging_2281/kartor/A 3819-2024 karta.png", "A 3819-2024")</f>
        <v/>
      </c>
      <c r="V145">
        <f>HYPERLINK("https://klasma.github.io/Logging_2281/klagomål/A 3819-2024 FSC-klagomål.docx", "A 3819-2024")</f>
        <v/>
      </c>
      <c r="W145">
        <f>HYPERLINK("https://klasma.github.io/Logging_2281/klagomålsmail/A 3819-2024 FSC-klagomål mail.docx", "A 3819-2024")</f>
        <v/>
      </c>
      <c r="X145">
        <f>HYPERLINK("https://klasma.github.io/Logging_2281/tillsyn/A 3819-2024 tillsynsbegäran.docx", "A 3819-2024")</f>
        <v/>
      </c>
      <c r="Y145">
        <f>HYPERLINK("https://klasma.github.io/Logging_2281/tillsynsmail/A 3819-2024 tillsynsbegäran mail.docx", "A 3819-2024")</f>
        <v/>
      </c>
    </row>
    <row r="146" ht="15" customHeight="1">
      <c r="A146" t="inlineStr">
        <is>
          <t>A 6629-2024</t>
        </is>
      </c>
      <c r="B146" s="1" t="n">
        <v>45341</v>
      </c>
      <c r="C146" s="1" t="n">
        <v>45348</v>
      </c>
      <c r="D146" t="inlineStr">
        <is>
          <t>VÄSTERNORRLANDS LÄN</t>
        </is>
      </c>
      <c r="E146" t="inlineStr">
        <is>
          <t>SUNDSVALL</t>
        </is>
      </c>
      <c r="G146" t="n">
        <v>0.7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HYPERLINK("https://klasma.github.io/Logging_2281/artfynd/A 6629-2024 artfynd.xlsx", "A 6629-2024")</f>
        <v/>
      </c>
      <c r="T146">
        <f>HYPERLINK("https://klasma.github.io/Logging_2281/kartor/A 6629-2024 karta.png", "A 6629-2024")</f>
        <v/>
      </c>
      <c r="V146">
        <f>HYPERLINK("https://klasma.github.io/Logging_2281/klagomål/A 6629-2024 FSC-klagomål.docx", "A 6629-2024")</f>
        <v/>
      </c>
      <c r="W146">
        <f>HYPERLINK("https://klasma.github.io/Logging_2281/klagomålsmail/A 6629-2024 FSC-klagomål mail.docx", "A 6629-2024")</f>
        <v/>
      </c>
      <c r="X146">
        <f>HYPERLINK("https://klasma.github.io/Logging_2281/tillsyn/A 6629-2024 tillsynsbegäran.docx", "A 6629-2024")</f>
        <v/>
      </c>
      <c r="Y146">
        <f>HYPERLINK("https://klasma.github.io/Logging_2281/tillsynsmail/A 6629-2024 tillsynsbegäran mail.docx", "A 6629-2024")</f>
        <v/>
      </c>
      <c r="Z146">
        <f>HYPERLINK("https://klasma.github.io/Logging_2281/fåglar/A 6629-2024 prioriterade fågelarter.docx", "A 6629-2024")</f>
        <v/>
      </c>
    </row>
    <row r="147" ht="15" customHeight="1">
      <c r="A147" t="inlineStr">
        <is>
          <t>A 6897-2024</t>
        </is>
      </c>
      <c r="B147" s="1" t="n">
        <v>45342</v>
      </c>
      <c r="C147" s="1" t="n">
        <v>45348</v>
      </c>
      <c r="D147" t="inlineStr">
        <is>
          <t>VÄSTERNORRLANDS LÄN</t>
        </is>
      </c>
      <c r="E147" t="inlineStr">
        <is>
          <t>SUNDSVALL</t>
        </is>
      </c>
      <c r="G147" t="n">
        <v>22.7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HYPERLINK("https://klasma.github.io/Logging_2281/artfynd/A 6897-2024 artfynd.xlsx", "A 6897-2024")</f>
        <v/>
      </c>
      <c r="T147">
        <f>HYPERLINK("https://klasma.github.io/Logging_2281/kartor/A 6897-2024 karta.png", "A 6897-2024")</f>
        <v/>
      </c>
      <c r="V147">
        <f>HYPERLINK("https://klasma.github.io/Logging_2281/klagomål/A 6897-2024 FSC-klagomål.docx", "A 6897-2024")</f>
        <v/>
      </c>
      <c r="W147">
        <f>HYPERLINK("https://klasma.github.io/Logging_2281/klagomålsmail/A 6897-2024 FSC-klagomål mail.docx", "A 6897-2024")</f>
        <v/>
      </c>
      <c r="X147">
        <f>HYPERLINK("https://klasma.github.io/Logging_2281/tillsyn/A 6897-2024 tillsynsbegäran.docx", "A 6897-2024")</f>
        <v/>
      </c>
      <c r="Y147">
        <f>HYPERLINK("https://klasma.github.io/Logging_2281/tillsynsmail/A 6897-2024 tillsynsbegäran mail.docx", "A 6897-2024")</f>
        <v/>
      </c>
    </row>
    <row r="148" ht="15" customHeight="1">
      <c r="A148" t="inlineStr">
        <is>
          <t>A 34569-2018</t>
        </is>
      </c>
      <c r="B148" s="1" t="n">
        <v>43320</v>
      </c>
      <c r="C148" s="1" t="n">
        <v>45348</v>
      </c>
      <c r="D148" t="inlineStr">
        <is>
          <t>VÄSTERNORRLANDS LÄN</t>
        </is>
      </c>
      <c r="E148" t="inlineStr">
        <is>
          <t>SUNDSVALL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35559-2018</t>
        </is>
      </c>
      <c r="B149" s="1" t="n">
        <v>43325</v>
      </c>
      <c r="C149" s="1" t="n">
        <v>45348</v>
      </c>
      <c r="D149" t="inlineStr">
        <is>
          <t>VÄSTERNORRLANDS LÄN</t>
        </is>
      </c>
      <c r="E149" t="inlineStr">
        <is>
          <t>SUNDSVALL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35533-2018</t>
        </is>
      </c>
      <c r="B150" s="1" t="n">
        <v>43325</v>
      </c>
      <c r="C150" s="1" t="n">
        <v>45348</v>
      </c>
      <c r="D150" t="inlineStr">
        <is>
          <t>VÄSTERNORRLANDS LÄN</t>
        </is>
      </c>
      <c r="E150" t="inlineStr">
        <is>
          <t>SUNDSVALL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37052-2018</t>
        </is>
      </c>
      <c r="B151" s="1" t="n">
        <v>43332</v>
      </c>
      <c r="C151" s="1" t="n">
        <v>45348</v>
      </c>
      <c r="D151" t="inlineStr">
        <is>
          <t>VÄSTERNORRLANDS LÄN</t>
        </is>
      </c>
      <c r="E151" t="inlineStr">
        <is>
          <t>SUNDSVALL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39315-2018</t>
        </is>
      </c>
      <c r="B152" s="1" t="n">
        <v>43339</v>
      </c>
      <c r="C152" s="1" t="n">
        <v>45348</v>
      </c>
      <c r="D152" t="inlineStr">
        <is>
          <t>VÄSTERNORRLANDS LÄN</t>
        </is>
      </c>
      <c r="E152" t="inlineStr">
        <is>
          <t>SUNDSVALL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39738-2018</t>
        </is>
      </c>
      <c r="B153" s="1" t="n">
        <v>43341</v>
      </c>
      <c r="C153" s="1" t="n">
        <v>45348</v>
      </c>
      <c r="D153" t="inlineStr">
        <is>
          <t>VÄSTERNORRLANDS LÄN</t>
        </is>
      </c>
      <c r="E153" t="inlineStr">
        <is>
          <t>SUNDSVALL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39698-2018</t>
        </is>
      </c>
      <c r="B154" s="1" t="n">
        <v>43341</v>
      </c>
      <c r="C154" s="1" t="n">
        <v>45348</v>
      </c>
      <c r="D154" t="inlineStr">
        <is>
          <t>VÄSTERNORRLANDS LÄN</t>
        </is>
      </c>
      <c r="E154" t="inlineStr">
        <is>
          <t>SUNDSVALL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42076-2018</t>
        </is>
      </c>
      <c r="B155" s="1" t="n">
        <v>43353</v>
      </c>
      <c r="C155" s="1" t="n">
        <v>45348</v>
      </c>
      <c r="D155" t="inlineStr">
        <is>
          <t>VÄSTERNORRLANDS LÄN</t>
        </is>
      </c>
      <c r="E155" t="inlineStr">
        <is>
          <t>SUNDSVALL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43961-2018</t>
        </is>
      </c>
      <c r="B156" s="1" t="n">
        <v>43355</v>
      </c>
      <c r="C156" s="1" t="n">
        <v>45348</v>
      </c>
      <c r="D156" t="inlineStr">
        <is>
          <t>VÄSTERNORRLANDS LÄN</t>
        </is>
      </c>
      <c r="E156" t="inlineStr">
        <is>
          <t>SUNDSVALL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45244-2018</t>
        </is>
      </c>
      <c r="B157" s="1" t="n">
        <v>43361</v>
      </c>
      <c r="C157" s="1" t="n">
        <v>45348</v>
      </c>
      <c r="D157" t="inlineStr">
        <is>
          <t>VÄSTERNORRLANDS LÄN</t>
        </is>
      </c>
      <c r="E157" t="inlineStr">
        <is>
          <t>SUNDSVALL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47686-2018</t>
        </is>
      </c>
      <c r="B158" s="1" t="n">
        <v>43368</v>
      </c>
      <c r="C158" s="1" t="n">
        <v>45348</v>
      </c>
      <c r="D158" t="inlineStr">
        <is>
          <t>VÄSTERNORRLANDS LÄN</t>
        </is>
      </c>
      <c r="E158" t="inlineStr">
        <is>
          <t>SUNDSVALL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47718-2018</t>
        </is>
      </c>
      <c r="B159" s="1" t="n">
        <v>43368</v>
      </c>
      <c r="C159" s="1" t="n">
        <v>45348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48975-2018</t>
        </is>
      </c>
      <c r="B160" s="1" t="n">
        <v>43371</v>
      </c>
      <c r="C160" s="1" t="n">
        <v>45348</v>
      </c>
      <c r="D160" t="inlineStr">
        <is>
          <t>VÄSTERNORRLANDS LÄN</t>
        </is>
      </c>
      <c r="E160" t="inlineStr">
        <is>
          <t>SUNDSVALL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48785-2018</t>
        </is>
      </c>
      <c r="B161" s="1" t="n">
        <v>43375</v>
      </c>
      <c r="C161" s="1" t="n">
        <v>45348</v>
      </c>
      <c r="D161" t="inlineStr">
        <is>
          <t>VÄSTERNORRLANDS LÄN</t>
        </is>
      </c>
      <c r="E161" t="inlineStr">
        <is>
          <t>SUNDSVALL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48992-2018</t>
        </is>
      </c>
      <c r="B162" s="1" t="n">
        <v>43375</v>
      </c>
      <c r="C162" s="1" t="n">
        <v>45348</v>
      </c>
      <c r="D162" t="inlineStr">
        <is>
          <t>VÄSTERNORRLANDS LÄN</t>
        </is>
      </c>
      <c r="E162" t="inlineStr">
        <is>
          <t>SUNDSVALL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49202-2018</t>
        </is>
      </c>
      <c r="B163" s="1" t="n">
        <v>43375</v>
      </c>
      <c r="C163" s="1" t="n">
        <v>45348</v>
      </c>
      <c r="D163" t="inlineStr">
        <is>
          <t>VÄSTERNORRLANDS LÄN</t>
        </is>
      </c>
      <c r="E163" t="inlineStr">
        <is>
          <t>SUNDSVALL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48983-2018</t>
        </is>
      </c>
      <c r="B164" s="1" t="n">
        <v>43375</v>
      </c>
      <c r="C164" s="1" t="n">
        <v>45348</v>
      </c>
      <c r="D164" t="inlineStr">
        <is>
          <t>VÄSTERNORRLANDS LÄN</t>
        </is>
      </c>
      <c r="E164" t="inlineStr">
        <is>
          <t>SUNDSVALL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51792-2018</t>
        </is>
      </c>
      <c r="B165" s="1" t="n">
        <v>43382</v>
      </c>
      <c r="C165" s="1" t="n">
        <v>45348</v>
      </c>
      <c r="D165" t="inlineStr">
        <is>
          <t>VÄSTERNORRLANDS LÄN</t>
        </is>
      </c>
      <c r="E165" t="inlineStr">
        <is>
          <t>SUNDSVALL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55442-2018</t>
        </is>
      </c>
      <c r="B166" s="1" t="n">
        <v>43391</v>
      </c>
      <c r="C166" s="1" t="n">
        <v>45348</v>
      </c>
      <c r="D166" t="inlineStr">
        <is>
          <t>VÄSTERNORRLANDS LÄN</t>
        </is>
      </c>
      <c r="E166" t="inlineStr">
        <is>
          <t>SUNDSVALL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55636-2018</t>
        </is>
      </c>
      <c r="B167" s="1" t="n">
        <v>43397</v>
      </c>
      <c r="C167" s="1" t="n">
        <v>45348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55639-2018</t>
        </is>
      </c>
      <c r="B168" s="1" t="n">
        <v>43397</v>
      </c>
      <c r="C168" s="1" t="n">
        <v>45348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15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55634-2018</t>
        </is>
      </c>
      <c r="B169" s="1" t="n">
        <v>43397</v>
      </c>
      <c r="C169" s="1" t="n">
        <v>45348</v>
      </c>
      <c r="D169" t="inlineStr">
        <is>
          <t>VÄSTERNORRLANDS LÄN</t>
        </is>
      </c>
      <c r="E169" t="inlineStr">
        <is>
          <t>SUNDSVALL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58839-2018</t>
        </is>
      </c>
      <c r="B170" s="1" t="n">
        <v>43400</v>
      </c>
      <c r="C170" s="1" t="n">
        <v>45348</v>
      </c>
      <c r="D170" t="inlineStr">
        <is>
          <t>VÄSTERNORRLANDS LÄN</t>
        </is>
      </c>
      <c r="E170" t="inlineStr">
        <is>
          <t>SUNDSVALL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56842-2018</t>
        </is>
      </c>
      <c r="B171" s="1" t="n">
        <v>43402</v>
      </c>
      <c r="C171" s="1" t="n">
        <v>45348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57249-2018</t>
        </is>
      </c>
      <c r="B172" s="1" t="n">
        <v>43403</v>
      </c>
      <c r="C172" s="1" t="n">
        <v>45348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56944-2018</t>
        </is>
      </c>
      <c r="B173" s="1" t="n">
        <v>43403</v>
      </c>
      <c r="C173" s="1" t="n">
        <v>45348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Holmen skog AB</t>
        </is>
      </c>
      <c r="G173" t="n">
        <v>25.6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57606-2018</t>
        </is>
      </c>
      <c r="B174" s="1" t="n">
        <v>43404</v>
      </c>
      <c r="C174" s="1" t="n">
        <v>45348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57619-2018</t>
        </is>
      </c>
      <c r="B175" s="1" t="n">
        <v>43404</v>
      </c>
      <c r="C175" s="1" t="n">
        <v>45348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58569-2018</t>
        </is>
      </c>
      <c r="B176" s="1" t="n">
        <v>43409</v>
      </c>
      <c r="C176" s="1" t="n">
        <v>45348</v>
      </c>
      <c r="D176" t="inlineStr">
        <is>
          <t>VÄSTERNORRLANDS LÄN</t>
        </is>
      </c>
      <c r="E176" t="inlineStr">
        <is>
          <t>SUNDSVALL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58588-2018</t>
        </is>
      </c>
      <c r="B177" s="1" t="n">
        <v>43409</v>
      </c>
      <c r="C177" s="1" t="n">
        <v>45348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60183-2018</t>
        </is>
      </c>
      <c r="B178" s="1" t="n">
        <v>43412</v>
      </c>
      <c r="C178" s="1" t="n">
        <v>45348</v>
      </c>
      <c r="D178" t="inlineStr">
        <is>
          <t>VÄSTERNORRLANDS LÄN</t>
        </is>
      </c>
      <c r="E178" t="inlineStr">
        <is>
          <t>SUNDSVALL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60184-2018</t>
        </is>
      </c>
      <c r="B179" s="1" t="n">
        <v>43412</v>
      </c>
      <c r="C179" s="1" t="n">
        <v>45348</v>
      </c>
      <c r="D179" t="inlineStr">
        <is>
          <t>VÄSTERNORRLANDS LÄN</t>
        </is>
      </c>
      <c r="E179" t="inlineStr">
        <is>
          <t>SUNDSVALL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60212-2018</t>
        </is>
      </c>
      <c r="B180" s="1" t="n">
        <v>43412</v>
      </c>
      <c r="C180" s="1" t="n">
        <v>45348</v>
      </c>
      <c r="D180" t="inlineStr">
        <is>
          <t>VÄSTERNORRLANDS LÄN</t>
        </is>
      </c>
      <c r="E180" t="inlineStr">
        <is>
          <t>SUNDSVALL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60186-2018</t>
        </is>
      </c>
      <c r="B181" s="1" t="n">
        <v>43412</v>
      </c>
      <c r="C181" s="1" t="n">
        <v>45348</v>
      </c>
      <c r="D181" t="inlineStr">
        <is>
          <t>VÄSTERNORRLANDS LÄN</t>
        </is>
      </c>
      <c r="E181" t="inlineStr">
        <is>
          <t>SUNDSVALL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61354-2018</t>
        </is>
      </c>
      <c r="B182" s="1" t="n">
        <v>43412</v>
      </c>
      <c r="C182" s="1" t="n">
        <v>45348</v>
      </c>
      <c r="D182" t="inlineStr">
        <is>
          <t>VÄSTERNORRLANDS LÄN</t>
        </is>
      </c>
      <c r="E182" t="inlineStr">
        <is>
          <t>SUNDSVALL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61875-2018</t>
        </is>
      </c>
      <c r="B183" s="1" t="n">
        <v>43413</v>
      </c>
      <c r="C183" s="1" t="n">
        <v>45348</v>
      </c>
      <c r="D183" t="inlineStr">
        <is>
          <t>VÄSTERNORRLANDS LÄN</t>
        </is>
      </c>
      <c r="E183" t="inlineStr">
        <is>
          <t>SUNDSVALL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61872-2018</t>
        </is>
      </c>
      <c r="B184" s="1" t="n">
        <v>43413</v>
      </c>
      <c r="C184" s="1" t="n">
        <v>45348</v>
      </c>
      <c r="D184" t="inlineStr">
        <is>
          <t>VÄSTERNORRLANDS LÄN</t>
        </is>
      </c>
      <c r="E184" t="inlineStr">
        <is>
          <t>SUNDSVALL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62523-2018</t>
        </is>
      </c>
      <c r="B185" s="1" t="n">
        <v>43413</v>
      </c>
      <c r="C185" s="1" t="n">
        <v>45348</v>
      </c>
      <c r="D185" t="inlineStr">
        <is>
          <t>VÄSTERNORRLANDS LÄN</t>
        </is>
      </c>
      <c r="E185" t="inlineStr">
        <is>
          <t>SUNDSVALL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59407-2018</t>
        </is>
      </c>
      <c r="B186" s="1" t="n">
        <v>43418</v>
      </c>
      <c r="C186" s="1" t="n">
        <v>45348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59401-2018</t>
        </is>
      </c>
      <c r="B187" s="1" t="n">
        <v>43418</v>
      </c>
      <c r="C187" s="1" t="n">
        <v>45348</v>
      </c>
      <c r="D187" t="inlineStr">
        <is>
          <t>VÄSTERNORRLANDS LÄN</t>
        </is>
      </c>
      <c r="E187" t="inlineStr">
        <is>
          <t>SUNDSVALL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59364-2018</t>
        </is>
      </c>
      <c r="B188" s="1" t="n">
        <v>43418</v>
      </c>
      <c r="C188" s="1" t="n">
        <v>45348</v>
      </c>
      <c r="D188" t="inlineStr">
        <is>
          <t>VÄSTERNORRLANDS LÄN</t>
        </is>
      </c>
      <c r="E188" t="inlineStr">
        <is>
          <t>SUNDSVALL</t>
        </is>
      </c>
      <c r="G188" t="n">
        <v>20.8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66867-2018</t>
        </is>
      </c>
      <c r="B189" s="1" t="n">
        <v>43418</v>
      </c>
      <c r="C189" s="1" t="n">
        <v>45348</v>
      </c>
      <c r="D189" t="inlineStr">
        <is>
          <t>VÄSTERNORRLANDS LÄN</t>
        </is>
      </c>
      <c r="E189" t="inlineStr">
        <is>
          <t>SUNDSVALL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59907-2018</t>
        </is>
      </c>
      <c r="B190" s="1" t="n">
        <v>43419</v>
      </c>
      <c r="C190" s="1" t="n">
        <v>45348</v>
      </c>
      <c r="D190" t="inlineStr">
        <is>
          <t>VÄSTERNORRLANDS LÄN</t>
        </is>
      </c>
      <c r="E190" t="inlineStr">
        <is>
          <t>SUNDSVALL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59575-2018</t>
        </is>
      </c>
      <c r="B191" s="1" t="n">
        <v>43419</v>
      </c>
      <c r="C191" s="1" t="n">
        <v>45348</v>
      </c>
      <c r="D191" t="inlineStr">
        <is>
          <t>VÄSTERNORRLANDS LÄN</t>
        </is>
      </c>
      <c r="E191" t="inlineStr">
        <is>
          <t>SUNDSVALL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64516-2018</t>
        </is>
      </c>
      <c r="B192" s="1" t="n">
        <v>43420</v>
      </c>
      <c r="C192" s="1" t="n">
        <v>45348</v>
      </c>
      <c r="D192" t="inlineStr">
        <is>
          <t>VÄSTERNORRLANDS LÄN</t>
        </is>
      </c>
      <c r="E192" t="inlineStr">
        <is>
          <t>SUNDSVALL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63627-2018</t>
        </is>
      </c>
      <c r="B193" s="1" t="n">
        <v>43427</v>
      </c>
      <c r="C193" s="1" t="n">
        <v>45348</v>
      </c>
      <c r="D193" t="inlineStr">
        <is>
          <t>VÄSTERNORRLANDS LÄN</t>
        </is>
      </c>
      <c r="E193" t="inlineStr">
        <is>
          <t>SUNDSVALL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64419-2018</t>
        </is>
      </c>
      <c r="B194" s="1" t="n">
        <v>43430</v>
      </c>
      <c r="C194" s="1" t="n">
        <v>45348</v>
      </c>
      <c r="D194" t="inlineStr">
        <is>
          <t>VÄSTERNORRLANDS LÄN</t>
        </is>
      </c>
      <c r="E194" t="inlineStr">
        <is>
          <t>SUNDSVALL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64420-2018</t>
        </is>
      </c>
      <c r="B195" s="1" t="n">
        <v>43430</v>
      </c>
      <c r="C195" s="1" t="n">
        <v>45348</v>
      </c>
      <c r="D195" t="inlineStr">
        <is>
          <t>VÄSTERNORRLANDS LÄN</t>
        </is>
      </c>
      <c r="E195" t="inlineStr">
        <is>
          <t>SUNDSVALL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64934-2018</t>
        </is>
      </c>
      <c r="B196" s="1" t="n">
        <v>43431</v>
      </c>
      <c r="C196" s="1" t="n">
        <v>45348</v>
      </c>
      <c r="D196" t="inlineStr">
        <is>
          <t>VÄSTERNORRLANDS LÄN</t>
        </is>
      </c>
      <c r="E196" t="inlineStr">
        <is>
          <t>SUNDSVALL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65328-2018</t>
        </is>
      </c>
      <c r="B197" s="1" t="n">
        <v>43432</v>
      </c>
      <c r="C197" s="1" t="n">
        <v>45348</v>
      </c>
      <c r="D197" t="inlineStr">
        <is>
          <t>VÄSTERNORRLANDS LÄN</t>
        </is>
      </c>
      <c r="E197" t="inlineStr">
        <is>
          <t>SUNDSVALL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65313-2018</t>
        </is>
      </c>
      <c r="B198" s="1" t="n">
        <v>43432</v>
      </c>
      <c r="C198" s="1" t="n">
        <v>45348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65329-2018</t>
        </is>
      </c>
      <c r="B199" s="1" t="n">
        <v>43432</v>
      </c>
      <c r="C199" s="1" t="n">
        <v>45348</v>
      </c>
      <c r="D199" t="inlineStr">
        <is>
          <t>VÄSTERNORRLANDS LÄN</t>
        </is>
      </c>
      <c r="E199" t="inlineStr">
        <is>
          <t>SUNDSVALL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65842-2018</t>
        </is>
      </c>
      <c r="B200" s="1" t="n">
        <v>43433</v>
      </c>
      <c r="C200" s="1" t="n">
        <v>45348</v>
      </c>
      <c r="D200" t="inlineStr">
        <is>
          <t>VÄSTERNORRLANDS LÄN</t>
        </is>
      </c>
      <c r="E200" t="inlineStr">
        <is>
          <t>SUNDSVALL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66197-2018</t>
        </is>
      </c>
      <c r="B201" s="1" t="n">
        <v>43434</v>
      </c>
      <c r="C201" s="1" t="n">
        <v>45348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66587-2018</t>
        </is>
      </c>
      <c r="B202" s="1" t="n">
        <v>43437</v>
      </c>
      <c r="C202" s="1" t="n">
        <v>45348</v>
      </c>
      <c r="D202" t="inlineStr">
        <is>
          <t>VÄSTERNORRLANDS LÄN</t>
        </is>
      </c>
      <c r="E202" t="inlineStr">
        <is>
          <t>SUNDSVALL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66577-2018</t>
        </is>
      </c>
      <c r="B203" s="1" t="n">
        <v>43437</v>
      </c>
      <c r="C203" s="1" t="n">
        <v>45348</v>
      </c>
      <c r="D203" t="inlineStr">
        <is>
          <t>VÄSTERNORRLANDS LÄN</t>
        </is>
      </c>
      <c r="E203" t="inlineStr">
        <is>
          <t>SUNDSVALL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66824-2018</t>
        </is>
      </c>
      <c r="B204" s="1" t="n">
        <v>43437</v>
      </c>
      <c r="C204" s="1" t="n">
        <v>45348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67171-2018</t>
        </is>
      </c>
      <c r="B205" s="1" t="n">
        <v>43438</v>
      </c>
      <c r="C205" s="1" t="n">
        <v>45348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67172-2018</t>
        </is>
      </c>
      <c r="B206" s="1" t="n">
        <v>43438</v>
      </c>
      <c r="C206" s="1" t="n">
        <v>45348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69370-2018</t>
        </is>
      </c>
      <c r="B207" s="1" t="n">
        <v>43446</v>
      </c>
      <c r="C207" s="1" t="n">
        <v>45348</v>
      </c>
      <c r="D207" t="inlineStr">
        <is>
          <t>VÄSTERNORRLANDS LÄN</t>
        </is>
      </c>
      <c r="E207" t="inlineStr">
        <is>
          <t>SUNDSVALL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70253-2018</t>
        </is>
      </c>
      <c r="B208" s="1" t="n">
        <v>43448</v>
      </c>
      <c r="C208" s="1" t="n">
        <v>45348</v>
      </c>
      <c r="D208" t="inlineStr">
        <is>
          <t>VÄSTERNORRLANDS LÄN</t>
        </is>
      </c>
      <c r="E208" t="inlineStr">
        <is>
          <t>SUNDSVALL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70950-2018</t>
        </is>
      </c>
      <c r="B209" s="1" t="n">
        <v>43452</v>
      </c>
      <c r="C209" s="1" t="n">
        <v>45348</v>
      </c>
      <c r="D209" t="inlineStr">
        <is>
          <t>VÄSTERNORRLANDS LÄN</t>
        </is>
      </c>
      <c r="E209" t="inlineStr">
        <is>
          <t>SUNDSVALL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71474-2018</t>
        </is>
      </c>
      <c r="B210" s="1" t="n">
        <v>43453</v>
      </c>
      <c r="C210" s="1" t="n">
        <v>45348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71869-2018</t>
        </is>
      </c>
      <c r="B211" s="1" t="n">
        <v>43454</v>
      </c>
      <c r="C211" s="1" t="n">
        <v>45348</v>
      </c>
      <c r="D211" t="inlineStr">
        <is>
          <t>VÄSTERNORRLANDS LÄN</t>
        </is>
      </c>
      <c r="E211" t="inlineStr">
        <is>
          <t>SUNDSVALL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71883-2018</t>
        </is>
      </c>
      <c r="B212" s="1" t="n">
        <v>43454</v>
      </c>
      <c r="C212" s="1" t="n">
        <v>45348</v>
      </c>
      <c r="D212" t="inlineStr">
        <is>
          <t>VÄSTERNORRLANDS LÄN</t>
        </is>
      </c>
      <c r="E212" t="inlineStr">
        <is>
          <t>SUNDSVALL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71867-2018</t>
        </is>
      </c>
      <c r="B213" s="1" t="n">
        <v>43454</v>
      </c>
      <c r="C213" s="1" t="n">
        <v>45348</v>
      </c>
      <c r="D213" t="inlineStr">
        <is>
          <t>VÄSTERNORRLANDS LÄN</t>
        </is>
      </c>
      <c r="E213" t="inlineStr">
        <is>
          <t>SUNDSVALL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72090-2018</t>
        </is>
      </c>
      <c r="B214" s="1" t="n">
        <v>43455</v>
      </c>
      <c r="C214" s="1" t="n">
        <v>45348</v>
      </c>
      <c r="D214" t="inlineStr">
        <is>
          <t>VÄSTERNORRLANDS LÄN</t>
        </is>
      </c>
      <c r="E214" t="inlineStr">
        <is>
          <t>SUNDSVALL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238-2019</t>
        </is>
      </c>
      <c r="B215" s="1" t="n">
        <v>43467</v>
      </c>
      <c r="C215" s="1" t="n">
        <v>45348</v>
      </c>
      <c r="D215" t="inlineStr">
        <is>
          <t>VÄSTERNORRLANDS LÄN</t>
        </is>
      </c>
      <c r="E215" t="inlineStr">
        <is>
          <t>SUNDSVALL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705-2019</t>
        </is>
      </c>
      <c r="B216" s="1" t="n">
        <v>43469</v>
      </c>
      <c r="C216" s="1" t="n">
        <v>45348</v>
      </c>
      <c r="D216" t="inlineStr">
        <is>
          <t>VÄSTERNORRLANDS LÄN</t>
        </is>
      </c>
      <c r="E216" t="inlineStr">
        <is>
          <t>SUNDSVALL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578-2019</t>
        </is>
      </c>
      <c r="B217" s="1" t="n">
        <v>43469</v>
      </c>
      <c r="C217" s="1" t="n">
        <v>45348</v>
      </c>
      <c r="D217" t="inlineStr">
        <is>
          <t>VÄSTERNORRLANDS LÄN</t>
        </is>
      </c>
      <c r="E217" t="inlineStr">
        <is>
          <t>SUNDSVALL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1275-2019</t>
        </is>
      </c>
      <c r="B218" s="1" t="n">
        <v>43473</v>
      </c>
      <c r="C218" s="1" t="n">
        <v>45348</v>
      </c>
      <c r="D218" t="inlineStr">
        <is>
          <t>VÄSTERNORRLANDS LÄN</t>
        </is>
      </c>
      <c r="E218" t="inlineStr">
        <is>
          <t>SUNDSVALL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1259-2019</t>
        </is>
      </c>
      <c r="B219" s="1" t="n">
        <v>43473</v>
      </c>
      <c r="C219" s="1" t="n">
        <v>45348</v>
      </c>
      <c r="D219" t="inlineStr">
        <is>
          <t>VÄSTERNORRLANDS LÄN</t>
        </is>
      </c>
      <c r="E219" t="inlineStr">
        <is>
          <t>SUNDSVALL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1193-2019</t>
        </is>
      </c>
      <c r="B220" s="1" t="n">
        <v>43473</v>
      </c>
      <c r="C220" s="1" t="n">
        <v>45348</v>
      </c>
      <c r="D220" t="inlineStr">
        <is>
          <t>VÄSTERNORRLANDS LÄN</t>
        </is>
      </c>
      <c r="E220" t="inlineStr">
        <is>
          <t>SUNDSVALL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4953-2019</t>
        </is>
      </c>
      <c r="B221" s="1" t="n">
        <v>43479</v>
      </c>
      <c r="C221" s="1" t="n">
        <v>45348</v>
      </c>
      <c r="D221" t="inlineStr">
        <is>
          <t>VÄSTERNORRLANDS LÄN</t>
        </is>
      </c>
      <c r="E221" t="inlineStr">
        <is>
          <t>SUNDSVALL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5344-2019</t>
        </is>
      </c>
      <c r="B222" s="1" t="n">
        <v>43481</v>
      </c>
      <c r="C222" s="1" t="n">
        <v>45348</v>
      </c>
      <c r="D222" t="inlineStr">
        <is>
          <t>VÄSTERNORRLANDS LÄN</t>
        </is>
      </c>
      <c r="E222" t="inlineStr">
        <is>
          <t>SUNDSVALL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4831-2019</t>
        </is>
      </c>
      <c r="B223" s="1" t="n">
        <v>43486</v>
      </c>
      <c r="C223" s="1" t="n">
        <v>45348</v>
      </c>
      <c r="D223" t="inlineStr">
        <is>
          <t>VÄSTERNORRLANDS LÄN</t>
        </is>
      </c>
      <c r="E223" t="inlineStr">
        <is>
          <t>SUNDSVALL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4749-2019</t>
        </is>
      </c>
      <c r="B224" s="1" t="n">
        <v>43486</v>
      </c>
      <c r="C224" s="1" t="n">
        <v>45348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6623-2019</t>
        </is>
      </c>
      <c r="B225" s="1" t="n">
        <v>43488</v>
      </c>
      <c r="C225" s="1" t="n">
        <v>45348</v>
      </c>
      <c r="D225" t="inlineStr">
        <is>
          <t>VÄSTERNORRLANDS LÄN</t>
        </is>
      </c>
      <c r="E225" t="inlineStr">
        <is>
          <t>SUNDSVALL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5419-2019</t>
        </is>
      </c>
      <c r="B226" s="1" t="n">
        <v>43488</v>
      </c>
      <c r="C226" s="1" t="n">
        <v>45348</v>
      </c>
      <c r="D226" t="inlineStr">
        <is>
          <t>VÄSTERNORRLANDS LÄN</t>
        </is>
      </c>
      <c r="E226" t="inlineStr">
        <is>
          <t>SUNDSVALL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5934-2019</t>
        </is>
      </c>
      <c r="B227" s="1" t="n">
        <v>43490</v>
      </c>
      <c r="C227" s="1" t="n">
        <v>45348</v>
      </c>
      <c r="D227" t="inlineStr">
        <is>
          <t>VÄSTERNORRLANDS LÄN</t>
        </is>
      </c>
      <c r="E227" t="inlineStr">
        <is>
          <t>SUNDSVALL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6767-2019</t>
        </is>
      </c>
      <c r="B228" s="1" t="n">
        <v>43494</v>
      </c>
      <c r="C228" s="1" t="n">
        <v>45348</v>
      </c>
      <c r="D228" t="inlineStr">
        <is>
          <t>VÄSTERNORRLANDS LÄN</t>
        </is>
      </c>
      <c r="E228" t="inlineStr">
        <is>
          <t>SUNDSVALL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6768-2019</t>
        </is>
      </c>
      <c r="B229" s="1" t="n">
        <v>43494</v>
      </c>
      <c r="C229" s="1" t="n">
        <v>45348</v>
      </c>
      <c r="D229" t="inlineStr">
        <is>
          <t>VÄSTERNORRLANDS LÄN</t>
        </is>
      </c>
      <c r="E229" t="inlineStr">
        <is>
          <t>SUNDSVALL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6766-2019</t>
        </is>
      </c>
      <c r="B230" s="1" t="n">
        <v>43494</v>
      </c>
      <c r="C230" s="1" t="n">
        <v>45348</v>
      </c>
      <c r="D230" t="inlineStr">
        <is>
          <t>VÄSTERNORRLANDS LÄN</t>
        </is>
      </c>
      <c r="E230" t="inlineStr">
        <is>
          <t>SUNDSVALL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6931-2019</t>
        </is>
      </c>
      <c r="B231" s="1" t="n">
        <v>43495</v>
      </c>
      <c r="C231" s="1" t="n">
        <v>45348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Kommuner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7125-2019</t>
        </is>
      </c>
      <c r="B232" s="1" t="n">
        <v>43496</v>
      </c>
      <c r="C232" s="1" t="n">
        <v>45348</v>
      </c>
      <c r="D232" t="inlineStr">
        <is>
          <t>VÄSTERNORRLANDS LÄN</t>
        </is>
      </c>
      <c r="E232" t="inlineStr">
        <is>
          <t>SUNDSVALL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8448-2019</t>
        </is>
      </c>
      <c r="B233" s="1" t="n">
        <v>43497</v>
      </c>
      <c r="C233" s="1" t="n">
        <v>45348</v>
      </c>
      <c r="D233" t="inlineStr">
        <is>
          <t>VÄSTERNORRLANDS LÄN</t>
        </is>
      </c>
      <c r="E233" t="inlineStr">
        <is>
          <t>SUNDSVALL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8870-2019</t>
        </is>
      </c>
      <c r="B234" s="1" t="n">
        <v>43503</v>
      </c>
      <c r="C234" s="1" t="n">
        <v>45348</v>
      </c>
      <c r="D234" t="inlineStr">
        <is>
          <t>VÄSTERNORRLANDS LÄN</t>
        </is>
      </c>
      <c r="E234" t="inlineStr">
        <is>
          <t>SUNDSVALL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8876-2019</t>
        </is>
      </c>
      <c r="B235" s="1" t="n">
        <v>43503</v>
      </c>
      <c r="C235" s="1" t="n">
        <v>45348</v>
      </c>
      <c r="D235" t="inlineStr">
        <is>
          <t>VÄSTERNORRLANDS LÄN</t>
        </is>
      </c>
      <c r="E235" t="inlineStr">
        <is>
          <t>SUNDSVALL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9528-2019</t>
        </is>
      </c>
      <c r="B236" s="1" t="n">
        <v>43507</v>
      </c>
      <c r="C236" s="1" t="n">
        <v>45348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9517-2019</t>
        </is>
      </c>
      <c r="B237" s="1" t="n">
        <v>43507</v>
      </c>
      <c r="C237" s="1" t="n">
        <v>45348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10249-2019</t>
        </is>
      </c>
      <c r="B238" s="1" t="n">
        <v>43510</v>
      </c>
      <c r="C238" s="1" t="n">
        <v>45348</v>
      </c>
      <c r="D238" t="inlineStr">
        <is>
          <t>VÄSTERNORRLANDS LÄN</t>
        </is>
      </c>
      <c r="E238" t="inlineStr">
        <is>
          <t>SUNDSVALL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10400-2019</t>
        </is>
      </c>
      <c r="B239" s="1" t="n">
        <v>43511</v>
      </c>
      <c r="C239" s="1" t="n">
        <v>45348</v>
      </c>
      <c r="D239" t="inlineStr">
        <is>
          <t>VÄSTERNORRLANDS LÄN</t>
        </is>
      </c>
      <c r="E239" t="inlineStr">
        <is>
          <t>SUNDSVALL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11078-2019</t>
        </is>
      </c>
      <c r="B240" s="1" t="n">
        <v>43515</v>
      </c>
      <c r="C240" s="1" t="n">
        <v>45348</v>
      </c>
      <c r="D240" t="inlineStr">
        <is>
          <t>VÄSTERNORRLANDS LÄN</t>
        </is>
      </c>
      <c r="E240" t="inlineStr">
        <is>
          <t>SUNDSVALL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11178-2019</t>
        </is>
      </c>
      <c r="B241" s="1" t="n">
        <v>43516</v>
      </c>
      <c r="C241" s="1" t="n">
        <v>45348</v>
      </c>
      <c r="D241" t="inlineStr">
        <is>
          <t>VÄSTERNORRLANDS LÄN</t>
        </is>
      </c>
      <c r="E241" t="inlineStr">
        <is>
          <t>SUNDSVALL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11196-2019</t>
        </is>
      </c>
      <c r="B242" s="1" t="n">
        <v>43516</v>
      </c>
      <c r="C242" s="1" t="n">
        <v>45348</v>
      </c>
      <c r="D242" t="inlineStr">
        <is>
          <t>VÄSTERNORRLANDS LÄN</t>
        </is>
      </c>
      <c r="E242" t="inlineStr">
        <is>
          <t>SUNDSVALL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11282-2019</t>
        </is>
      </c>
      <c r="B243" s="1" t="n">
        <v>43516</v>
      </c>
      <c r="C243" s="1" t="n">
        <v>45348</v>
      </c>
      <c r="D243" t="inlineStr">
        <is>
          <t>VÄSTERNORRLANDS LÄN</t>
        </is>
      </c>
      <c r="E243" t="inlineStr">
        <is>
          <t>SUNDSVALL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11194-2019</t>
        </is>
      </c>
      <c r="B244" s="1" t="n">
        <v>43516</v>
      </c>
      <c r="C244" s="1" t="n">
        <v>45348</v>
      </c>
      <c r="D244" t="inlineStr">
        <is>
          <t>VÄSTERNORRLANDS LÄN</t>
        </is>
      </c>
      <c r="E244" t="inlineStr">
        <is>
          <t>SUNDSVALL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11131-2019</t>
        </is>
      </c>
      <c r="B245" s="1" t="n">
        <v>43516</v>
      </c>
      <c r="C245" s="1" t="n">
        <v>45348</v>
      </c>
      <c r="D245" t="inlineStr">
        <is>
          <t>VÄSTERNORRLANDS LÄN</t>
        </is>
      </c>
      <c r="E245" t="inlineStr">
        <is>
          <t>SUNDSVALL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11384-2019</t>
        </is>
      </c>
      <c r="B246" s="1" t="n">
        <v>43517</v>
      </c>
      <c r="C246" s="1" t="n">
        <v>45348</v>
      </c>
      <c r="D246" t="inlineStr">
        <is>
          <t>VÄSTERNORRLANDS LÄN</t>
        </is>
      </c>
      <c r="E246" t="inlineStr">
        <is>
          <t>SUNDSVALL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12015-2019</t>
        </is>
      </c>
      <c r="B247" s="1" t="n">
        <v>43521</v>
      </c>
      <c r="C247" s="1" t="n">
        <v>45348</v>
      </c>
      <c r="D247" t="inlineStr">
        <is>
          <t>VÄSTERNORRLANDS LÄN</t>
        </is>
      </c>
      <c r="E247" t="inlineStr">
        <is>
          <t>SUNDSVALL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12009-2019</t>
        </is>
      </c>
      <c r="B248" s="1" t="n">
        <v>43521</v>
      </c>
      <c r="C248" s="1" t="n">
        <v>45348</v>
      </c>
      <c r="D248" t="inlineStr">
        <is>
          <t>VÄSTERNORRLANDS LÄN</t>
        </is>
      </c>
      <c r="E248" t="inlineStr">
        <is>
          <t>SUNDSVALL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12016-2019</t>
        </is>
      </c>
      <c r="B249" s="1" t="n">
        <v>43521</v>
      </c>
      <c r="C249" s="1" t="n">
        <v>45348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12253-2019</t>
        </is>
      </c>
      <c r="B250" s="1" t="n">
        <v>43522</v>
      </c>
      <c r="C250" s="1" t="n">
        <v>45348</v>
      </c>
      <c r="D250" t="inlineStr">
        <is>
          <t>VÄSTERNORRLANDS LÄN</t>
        </is>
      </c>
      <c r="E250" t="inlineStr">
        <is>
          <t>SUNDSVALL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12024-2019</t>
        </is>
      </c>
      <c r="B251" s="1" t="n">
        <v>43522</v>
      </c>
      <c r="C251" s="1" t="n">
        <v>45348</v>
      </c>
      <c r="D251" t="inlineStr">
        <is>
          <t>VÄSTERNORRLANDS LÄN</t>
        </is>
      </c>
      <c r="E251" t="inlineStr">
        <is>
          <t>SUNDSVALL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12249-2019</t>
        </is>
      </c>
      <c r="B252" s="1" t="n">
        <v>43522</v>
      </c>
      <c r="C252" s="1" t="n">
        <v>45348</v>
      </c>
      <c r="D252" t="inlineStr">
        <is>
          <t>VÄSTERNORRLANDS LÄN</t>
        </is>
      </c>
      <c r="E252" t="inlineStr">
        <is>
          <t>SUNDSVALL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12501-2019</t>
        </is>
      </c>
      <c r="B253" s="1" t="n">
        <v>43523</v>
      </c>
      <c r="C253" s="1" t="n">
        <v>45348</v>
      </c>
      <c r="D253" t="inlineStr">
        <is>
          <t>VÄSTERNORRLANDS LÄN</t>
        </is>
      </c>
      <c r="E253" t="inlineStr">
        <is>
          <t>SUNDSVALL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12331-2019</t>
        </is>
      </c>
      <c r="B254" s="1" t="n">
        <v>43523</v>
      </c>
      <c r="C254" s="1" t="n">
        <v>45348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Holmen skog AB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13679-2019</t>
        </is>
      </c>
      <c r="B255" s="1" t="n">
        <v>43530</v>
      </c>
      <c r="C255" s="1" t="n">
        <v>45348</v>
      </c>
      <c r="D255" t="inlineStr">
        <is>
          <t>VÄSTERNORRLANDS LÄN</t>
        </is>
      </c>
      <c r="E255" t="inlineStr">
        <is>
          <t>SUNDSVALL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14720-2019</t>
        </is>
      </c>
      <c r="B256" s="1" t="n">
        <v>43535</v>
      </c>
      <c r="C256" s="1" t="n">
        <v>45348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14886-2019</t>
        </is>
      </c>
      <c r="B257" s="1" t="n">
        <v>43538</v>
      </c>
      <c r="C257" s="1" t="n">
        <v>45348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14954-2019</t>
        </is>
      </c>
      <c r="B258" s="1" t="n">
        <v>43538</v>
      </c>
      <c r="C258" s="1" t="n">
        <v>45348</v>
      </c>
      <c r="D258" t="inlineStr">
        <is>
          <t>VÄSTERNORRLANDS LÄN</t>
        </is>
      </c>
      <c r="E258" t="inlineStr">
        <is>
          <t>SUNDSVALL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14893-2019</t>
        </is>
      </c>
      <c r="B259" s="1" t="n">
        <v>43538</v>
      </c>
      <c r="C259" s="1" t="n">
        <v>45348</v>
      </c>
      <c r="D259" t="inlineStr">
        <is>
          <t>VÄSTERNORRLANDS LÄN</t>
        </is>
      </c>
      <c r="E259" t="inlineStr">
        <is>
          <t>SUNDSVALL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14814-2019</t>
        </is>
      </c>
      <c r="B260" s="1" t="n">
        <v>43539</v>
      </c>
      <c r="C260" s="1" t="n">
        <v>45348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15305-2019</t>
        </is>
      </c>
      <c r="B261" s="1" t="n">
        <v>43542</v>
      </c>
      <c r="C261" s="1" t="n">
        <v>45348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Holmen skog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15880-2019</t>
        </is>
      </c>
      <c r="B262" s="1" t="n">
        <v>43543</v>
      </c>
      <c r="C262" s="1" t="n">
        <v>45348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16563-2019</t>
        </is>
      </c>
      <c r="B263" s="1" t="n">
        <v>43546</v>
      </c>
      <c r="C263" s="1" t="n">
        <v>45348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16543-2019</t>
        </is>
      </c>
      <c r="B264" s="1" t="n">
        <v>43546</v>
      </c>
      <c r="C264" s="1" t="n">
        <v>45348</v>
      </c>
      <c r="D264" t="inlineStr">
        <is>
          <t>VÄSTERNORRLANDS LÄN</t>
        </is>
      </c>
      <c r="E264" t="inlineStr">
        <is>
          <t>SUNDSVALL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16845-2019</t>
        </is>
      </c>
      <c r="B265" s="1" t="n">
        <v>43549</v>
      </c>
      <c r="C265" s="1" t="n">
        <v>45348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17195-2019</t>
        </is>
      </c>
      <c r="B266" s="1" t="n">
        <v>43552</v>
      </c>
      <c r="C266" s="1" t="n">
        <v>45348</v>
      </c>
      <c r="D266" t="inlineStr">
        <is>
          <t>VÄSTERNORRLANDS LÄN</t>
        </is>
      </c>
      <c r="E266" t="inlineStr">
        <is>
          <t>SUNDSVALL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17192-2019</t>
        </is>
      </c>
      <c r="B267" s="1" t="n">
        <v>43552</v>
      </c>
      <c r="C267" s="1" t="n">
        <v>45348</v>
      </c>
      <c r="D267" t="inlineStr">
        <is>
          <t>VÄSTERNORRLANDS LÄN</t>
        </is>
      </c>
      <c r="E267" t="inlineStr">
        <is>
          <t>SUNDSVALL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17537-2019</t>
        </is>
      </c>
      <c r="B268" s="1" t="n">
        <v>43553</v>
      </c>
      <c r="C268" s="1" t="n">
        <v>45348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Kommuner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18070-2019</t>
        </is>
      </c>
      <c r="B269" s="1" t="n">
        <v>43557</v>
      </c>
      <c r="C269" s="1" t="n">
        <v>45348</v>
      </c>
      <c r="D269" t="inlineStr">
        <is>
          <t>VÄSTERNORRLANDS LÄN</t>
        </is>
      </c>
      <c r="E269" t="inlineStr">
        <is>
          <t>SUNDSVALL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18198-2019</t>
        </is>
      </c>
      <c r="B270" s="1" t="n">
        <v>43558</v>
      </c>
      <c r="C270" s="1" t="n">
        <v>45348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Holmen skog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18745-2019</t>
        </is>
      </c>
      <c r="B271" s="1" t="n">
        <v>43560</v>
      </c>
      <c r="C271" s="1" t="n">
        <v>45348</v>
      </c>
      <c r="D271" t="inlineStr">
        <is>
          <t>VÄSTERNORRLANDS LÄN</t>
        </is>
      </c>
      <c r="E271" t="inlineStr">
        <is>
          <t>SUNDSVALL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19544-2019</t>
        </is>
      </c>
      <c r="B272" s="1" t="n">
        <v>43565</v>
      </c>
      <c r="C272" s="1" t="n">
        <v>45348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21.4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19551-2019</t>
        </is>
      </c>
      <c r="B273" s="1" t="n">
        <v>43565</v>
      </c>
      <c r="C273" s="1" t="n">
        <v>45348</v>
      </c>
      <c r="D273" t="inlineStr">
        <is>
          <t>VÄSTERNORRLANDS LÄN</t>
        </is>
      </c>
      <c r="E273" t="inlineStr">
        <is>
          <t>SUNDSVALL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19547-2019</t>
        </is>
      </c>
      <c r="B274" s="1" t="n">
        <v>43565</v>
      </c>
      <c r="C274" s="1" t="n">
        <v>45348</v>
      </c>
      <c r="D274" t="inlineStr">
        <is>
          <t>VÄSTERNORRLANDS LÄN</t>
        </is>
      </c>
      <c r="E274" t="inlineStr">
        <is>
          <t>SUNDSVALL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19545-2019</t>
        </is>
      </c>
      <c r="B275" s="1" t="n">
        <v>43565</v>
      </c>
      <c r="C275" s="1" t="n">
        <v>45348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28.6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19548-2019</t>
        </is>
      </c>
      <c r="B276" s="1" t="n">
        <v>43565</v>
      </c>
      <c r="C276" s="1" t="n">
        <v>45348</v>
      </c>
      <c r="D276" t="inlineStr">
        <is>
          <t>VÄSTERNORRLANDS LÄN</t>
        </is>
      </c>
      <c r="E276" t="inlineStr">
        <is>
          <t>SUNDSVALL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20563-2019</t>
        </is>
      </c>
      <c r="B277" s="1" t="n">
        <v>43572</v>
      </c>
      <c r="C277" s="1" t="n">
        <v>45348</v>
      </c>
      <c r="D277" t="inlineStr">
        <is>
          <t>VÄSTERNORRLANDS LÄN</t>
        </is>
      </c>
      <c r="E277" t="inlineStr">
        <is>
          <t>SUNDSVALL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20651-2019</t>
        </is>
      </c>
      <c r="B278" s="1" t="n">
        <v>43572</v>
      </c>
      <c r="C278" s="1" t="n">
        <v>45348</v>
      </c>
      <c r="D278" t="inlineStr">
        <is>
          <t>VÄSTERNORRLANDS LÄN</t>
        </is>
      </c>
      <c r="E278" t="inlineStr">
        <is>
          <t>SUNDSVALL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21698-2019</t>
        </is>
      </c>
      <c r="B279" s="1" t="n">
        <v>43581</v>
      </c>
      <c r="C279" s="1" t="n">
        <v>45348</v>
      </c>
      <c r="D279" t="inlineStr">
        <is>
          <t>VÄSTERNORRLANDS LÄN</t>
        </is>
      </c>
      <c r="E279" t="inlineStr">
        <is>
          <t>SUNDSVALL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22089-2019</t>
        </is>
      </c>
      <c r="B280" s="1" t="n">
        <v>43584</v>
      </c>
      <c r="C280" s="1" t="n">
        <v>45348</v>
      </c>
      <c r="D280" t="inlineStr">
        <is>
          <t>VÄSTERNORRLANDS LÄN</t>
        </is>
      </c>
      <c r="E280" t="inlineStr">
        <is>
          <t>SUNDSVALL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22603-2019</t>
        </is>
      </c>
      <c r="B281" s="1" t="n">
        <v>43588</v>
      </c>
      <c r="C281" s="1" t="n">
        <v>45348</v>
      </c>
      <c r="D281" t="inlineStr">
        <is>
          <t>VÄSTERNORRLANDS LÄN</t>
        </is>
      </c>
      <c r="E281" t="inlineStr">
        <is>
          <t>SUNDSVALL</t>
        </is>
      </c>
      <c r="G281" t="n">
        <v>23.7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22782-2019</t>
        </is>
      </c>
      <c r="B282" s="1" t="n">
        <v>43589</v>
      </c>
      <c r="C282" s="1" t="n">
        <v>45348</v>
      </c>
      <c r="D282" t="inlineStr">
        <is>
          <t>VÄSTERNORRLANDS LÄN</t>
        </is>
      </c>
      <c r="E282" t="inlineStr">
        <is>
          <t>SUNDSVALL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23077-2019</t>
        </is>
      </c>
      <c r="B283" s="1" t="n">
        <v>43591</v>
      </c>
      <c r="C283" s="1" t="n">
        <v>45348</v>
      </c>
      <c r="D283" t="inlineStr">
        <is>
          <t>VÄSTERNORRLANDS LÄN</t>
        </is>
      </c>
      <c r="E283" t="inlineStr">
        <is>
          <t>SUNDSVALL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23073-2019</t>
        </is>
      </c>
      <c r="B284" s="1" t="n">
        <v>43591</v>
      </c>
      <c r="C284" s="1" t="n">
        <v>45348</v>
      </c>
      <c r="D284" t="inlineStr">
        <is>
          <t>VÄSTERNORRLANDS LÄN</t>
        </is>
      </c>
      <c r="E284" t="inlineStr">
        <is>
          <t>SUNDSVALL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23078-2019</t>
        </is>
      </c>
      <c r="B285" s="1" t="n">
        <v>43591</v>
      </c>
      <c r="C285" s="1" t="n">
        <v>45348</v>
      </c>
      <c r="D285" t="inlineStr">
        <is>
          <t>VÄSTERNORRLANDS LÄN</t>
        </is>
      </c>
      <c r="E285" t="inlineStr">
        <is>
          <t>SUNDSVALL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23455-2019</t>
        </is>
      </c>
      <c r="B286" s="1" t="n">
        <v>43593</v>
      </c>
      <c r="C286" s="1" t="n">
        <v>45348</v>
      </c>
      <c r="D286" t="inlineStr">
        <is>
          <t>VÄSTERNORRLANDS LÄN</t>
        </is>
      </c>
      <c r="E286" t="inlineStr">
        <is>
          <t>SUNDSVALL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23790-2019</t>
        </is>
      </c>
      <c r="B287" s="1" t="n">
        <v>43595</v>
      </c>
      <c r="C287" s="1" t="n">
        <v>45348</v>
      </c>
      <c r="D287" t="inlineStr">
        <is>
          <t>VÄSTERNORRLANDS LÄN</t>
        </is>
      </c>
      <c r="E287" t="inlineStr">
        <is>
          <t>SUNDSVALL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23929-2019</t>
        </is>
      </c>
      <c r="B288" s="1" t="n">
        <v>43595</v>
      </c>
      <c r="C288" s="1" t="n">
        <v>45348</v>
      </c>
      <c r="D288" t="inlineStr">
        <is>
          <t>VÄSTERNORRLANDS LÄN</t>
        </is>
      </c>
      <c r="E288" t="inlineStr">
        <is>
          <t>SUNDSVALL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23931-2019</t>
        </is>
      </c>
      <c r="B289" s="1" t="n">
        <v>43595</v>
      </c>
      <c r="C289" s="1" t="n">
        <v>45348</v>
      </c>
      <c r="D289" t="inlineStr">
        <is>
          <t>VÄSTERNORRLANDS LÄN</t>
        </is>
      </c>
      <c r="E289" t="inlineStr">
        <is>
          <t>SUNDSVALL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24271-2019</t>
        </is>
      </c>
      <c r="B290" s="1" t="n">
        <v>43599</v>
      </c>
      <c r="C290" s="1" t="n">
        <v>45348</v>
      </c>
      <c r="D290" t="inlineStr">
        <is>
          <t>VÄSTERNORRLANDS LÄN</t>
        </is>
      </c>
      <c r="E290" t="inlineStr">
        <is>
          <t>SUNDSVALL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24583-2019</t>
        </is>
      </c>
      <c r="B291" s="1" t="n">
        <v>43600</v>
      </c>
      <c r="C291" s="1" t="n">
        <v>45348</v>
      </c>
      <c r="D291" t="inlineStr">
        <is>
          <t>VÄSTERNORRLANDS LÄN</t>
        </is>
      </c>
      <c r="E291" t="inlineStr">
        <is>
          <t>SUNDSVALL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24585-2019</t>
        </is>
      </c>
      <c r="B292" s="1" t="n">
        <v>43600</v>
      </c>
      <c r="C292" s="1" t="n">
        <v>45348</v>
      </c>
      <c r="D292" t="inlineStr">
        <is>
          <t>VÄSTERNORRLANDS LÄN</t>
        </is>
      </c>
      <c r="E292" t="inlineStr">
        <is>
          <t>SUNDSVALL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24783-2019</t>
        </is>
      </c>
      <c r="B293" s="1" t="n">
        <v>43601</v>
      </c>
      <c r="C293" s="1" t="n">
        <v>45348</v>
      </c>
      <c r="D293" t="inlineStr">
        <is>
          <t>VÄSTERNORRLANDS LÄN</t>
        </is>
      </c>
      <c r="E293" t="inlineStr">
        <is>
          <t>SUNDSVALL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24771-2019</t>
        </is>
      </c>
      <c r="B294" s="1" t="n">
        <v>43601</v>
      </c>
      <c r="C294" s="1" t="n">
        <v>45348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SCA</t>
        </is>
      </c>
      <c r="G294" t="n">
        <v>17.9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24848-2019</t>
        </is>
      </c>
      <c r="B295" s="1" t="n">
        <v>43602</v>
      </c>
      <c r="C295" s="1" t="n">
        <v>45348</v>
      </c>
      <c r="D295" t="inlineStr">
        <is>
          <t>VÄSTERNORRLANDS LÄN</t>
        </is>
      </c>
      <c r="E295" t="inlineStr">
        <is>
          <t>SUNDSVALL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25044-2019</t>
        </is>
      </c>
      <c r="B296" s="1" t="n">
        <v>43603</v>
      </c>
      <c r="C296" s="1" t="n">
        <v>45348</v>
      </c>
      <c r="D296" t="inlineStr">
        <is>
          <t>VÄSTERNORRLANDS LÄN</t>
        </is>
      </c>
      <c r="E296" t="inlineStr">
        <is>
          <t>SUNDSVALL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25712-2019</t>
        </is>
      </c>
      <c r="B297" s="1" t="n">
        <v>43607</v>
      </c>
      <c r="C297" s="1" t="n">
        <v>45348</v>
      </c>
      <c r="D297" t="inlineStr">
        <is>
          <t>VÄSTERNORRLANDS LÄN</t>
        </is>
      </c>
      <c r="E297" t="inlineStr">
        <is>
          <t>SUNDSVALL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25962-2019</t>
        </is>
      </c>
      <c r="B298" s="1" t="n">
        <v>43608</v>
      </c>
      <c r="C298" s="1" t="n">
        <v>45348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26014-2019</t>
        </is>
      </c>
      <c r="B299" s="1" t="n">
        <v>43608</v>
      </c>
      <c r="C299" s="1" t="n">
        <v>45348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27032-2019</t>
        </is>
      </c>
      <c r="B300" s="1" t="n">
        <v>43609</v>
      </c>
      <c r="C300" s="1" t="n">
        <v>45348</v>
      </c>
      <c r="D300" t="inlineStr">
        <is>
          <t>VÄSTERNORRLANDS LÄN</t>
        </is>
      </c>
      <c r="E300" t="inlineStr">
        <is>
          <t>SUNDSVALL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28066-2019</t>
        </is>
      </c>
      <c r="B301" s="1" t="n">
        <v>43613</v>
      </c>
      <c r="C301" s="1" t="n">
        <v>45348</v>
      </c>
      <c r="D301" t="inlineStr">
        <is>
          <t>VÄSTERNORRLANDS LÄN</t>
        </is>
      </c>
      <c r="E301" t="inlineStr">
        <is>
          <t>SUNDSVALL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27419-2019</t>
        </is>
      </c>
      <c r="B302" s="1" t="n">
        <v>43616</v>
      </c>
      <c r="C302" s="1" t="n">
        <v>45348</v>
      </c>
      <c r="D302" t="inlineStr">
        <is>
          <t>VÄSTERNORRLANDS LÄN</t>
        </is>
      </c>
      <c r="E302" t="inlineStr">
        <is>
          <t>SUNDSVALL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27775-2019</t>
        </is>
      </c>
      <c r="B303" s="1" t="n">
        <v>43619</v>
      </c>
      <c r="C303" s="1" t="n">
        <v>45348</v>
      </c>
      <c r="D303" t="inlineStr">
        <is>
          <t>VÄSTERNORRLANDS LÄN</t>
        </is>
      </c>
      <c r="E303" t="inlineStr">
        <is>
          <t>SUNDSVALL</t>
        </is>
      </c>
      <c r="F303" t="inlineStr">
        <is>
          <t>SCA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27981-2019</t>
        </is>
      </c>
      <c r="B304" s="1" t="n">
        <v>43620</v>
      </c>
      <c r="C304" s="1" t="n">
        <v>45348</v>
      </c>
      <c r="D304" t="inlineStr">
        <is>
          <t>VÄSTERNORRLANDS LÄN</t>
        </is>
      </c>
      <c r="E304" t="inlineStr">
        <is>
          <t>SUNDSVALL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27983-2019</t>
        </is>
      </c>
      <c r="B305" s="1" t="n">
        <v>43620</v>
      </c>
      <c r="C305" s="1" t="n">
        <v>45348</v>
      </c>
      <c r="D305" t="inlineStr">
        <is>
          <t>VÄSTERNORRLANDS LÄN</t>
        </is>
      </c>
      <c r="E305" t="inlineStr">
        <is>
          <t>SUNDSVALL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27982-2019</t>
        </is>
      </c>
      <c r="B306" s="1" t="n">
        <v>43620</v>
      </c>
      <c r="C306" s="1" t="n">
        <v>45348</v>
      </c>
      <c r="D306" t="inlineStr">
        <is>
          <t>VÄSTERNORRLANDS LÄN</t>
        </is>
      </c>
      <c r="E306" t="inlineStr">
        <is>
          <t>SUNDSVALL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27986-2019</t>
        </is>
      </c>
      <c r="B307" s="1" t="n">
        <v>43620</v>
      </c>
      <c r="C307" s="1" t="n">
        <v>45348</v>
      </c>
      <c r="D307" t="inlineStr">
        <is>
          <t>VÄSTERNORRLANDS LÄN</t>
        </is>
      </c>
      <c r="E307" t="inlineStr">
        <is>
          <t>SUNDSVALL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29168-2019</t>
        </is>
      </c>
      <c r="B308" s="1" t="n">
        <v>43628</v>
      </c>
      <c r="C308" s="1" t="n">
        <v>45348</v>
      </c>
      <c r="D308" t="inlineStr">
        <is>
          <t>VÄSTERNORRLANDS LÄN</t>
        </is>
      </c>
      <c r="E308" t="inlineStr">
        <is>
          <t>SUNDSVALL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29978-2019</t>
        </is>
      </c>
      <c r="B309" s="1" t="n">
        <v>43630</v>
      </c>
      <c r="C309" s="1" t="n">
        <v>45348</v>
      </c>
      <c r="D309" t="inlineStr">
        <is>
          <t>VÄSTERNORRLANDS LÄN</t>
        </is>
      </c>
      <c r="E309" t="inlineStr">
        <is>
          <t>SUNDSVALL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29985-2019</t>
        </is>
      </c>
      <c r="B310" s="1" t="n">
        <v>43630</v>
      </c>
      <c r="C310" s="1" t="n">
        <v>45348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29813-2019</t>
        </is>
      </c>
      <c r="B311" s="1" t="n">
        <v>43633</v>
      </c>
      <c r="C311" s="1" t="n">
        <v>45348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30253-2019</t>
        </is>
      </c>
      <c r="B312" s="1" t="n">
        <v>43634</v>
      </c>
      <c r="C312" s="1" t="n">
        <v>45348</v>
      </c>
      <c r="D312" t="inlineStr">
        <is>
          <t>VÄSTERNORRLANDS LÄN</t>
        </is>
      </c>
      <c r="E312" t="inlineStr">
        <is>
          <t>SUNDSVALL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30608-2019</t>
        </is>
      </c>
      <c r="B313" s="1" t="n">
        <v>43635</v>
      </c>
      <c r="C313" s="1" t="n">
        <v>45348</v>
      </c>
      <c r="D313" t="inlineStr">
        <is>
          <t>VÄSTERNORRLANDS LÄN</t>
        </is>
      </c>
      <c r="E313" t="inlineStr">
        <is>
          <t>SUNDSVALL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31064-2019</t>
        </is>
      </c>
      <c r="B314" s="1" t="n">
        <v>43636</v>
      </c>
      <c r="C314" s="1" t="n">
        <v>45348</v>
      </c>
      <c r="D314" t="inlineStr">
        <is>
          <t>VÄSTERNORRLANDS LÄN</t>
        </is>
      </c>
      <c r="E314" t="inlineStr">
        <is>
          <t>SUNDSVALL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31285-2019</t>
        </is>
      </c>
      <c r="B315" s="1" t="n">
        <v>43640</v>
      </c>
      <c r="C315" s="1" t="n">
        <v>45348</v>
      </c>
      <c r="D315" t="inlineStr">
        <is>
          <t>VÄSTERNORRLANDS LÄN</t>
        </is>
      </c>
      <c r="E315" t="inlineStr">
        <is>
          <t>SUNDSVALL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31578-2019</t>
        </is>
      </c>
      <c r="B316" s="1" t="n">
        <v>43641</v>
      </c>
      <c r="C316" s="1" t="n">
        <v>45348</v>
      </c>
      <c r="D316" t="inlineStr">
        <is>
          <t>VÄSTERNORRLANDS LÄN</t>
        </is>
      </c>
      <c r="E316" t="inlineStr">
        <is>
          <t>SUNDSVALL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31572-2019</t>
        </is>
      </c>
      <c r="B317" s="1" t="n">
        <v>43641</v>
      </c>
      <c r="C317" s="1" t="n">
        <v>45348</v>
      </c>
      <c r="D317" t="inlineStr">
        <is>
          <t>VÄSTERNORRLANDS LÄN</t>
        </is>
      </c>
      <c r="E317" t="inlineStr">
        <is>
          <t>SUNDSVALL</t>
        </is>
      </c>
      <c r="F317" t="inlineStr">
        <is>
          <t>SCA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32207-2019</t>
        </is>
      </c>
      <c r="B318" s="1" t="n">
        <v>43643</v>
      </c>
      <c r="C318" s="1" t="n">
        <v>45348</v>
      </c>
      <c r="D318" t="inlineStr">
        <is>
          <t>VÄSTERNORRLANDS LÄN</t>
        </is>
      </c>
      <c r="E318" t="inlineStr">
        <is>
          <t>SUNDSVALL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32259-2019</t>
        </is>
      </c>
      <c r="B319" s="1" t="n">
        <v>43644</v>
      </c>
      <c r="C319" s="1" t="n">
        <v>45348</v>
      </c>
      <c r="D319" t="inlineStr">
        <is>
          <t>VÄSTERNORRLANDS LÄN</t>
        </is>
      </c>
      <c r="E319" t="inlineStr">
        <is>
          <t>SUNDSVALL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32268-2019</t>
        </is>
      </c>
      <c r="B320" s="1" t="n">
        <v>43644</v>
      </c>
      <c r="C320" s="1" t="n">
        <v>45348</v>
      </c>
      <c r="D320" t="inlineStr">
        <is>
          <t>VÄSTERNORRLANDS LÄN</t>
        </is>
      </c>
      <c r="E320" t="inlineStr">
        <is>
          <t>SUNDSVALL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34006-2019</t>
        </is>
      </c>
      <c r="B321" s="1" t="n">
        <v>43647</v>
      </c>
      <c r="C321" s="1" t="n">
        <v>45348</v>
      </c>
      <c r="D321" t="inlineStr">
        <is>
          <t>VÄSTERNORRLANDS LÄN</t>
        </is>
      </c>
      <c r="E321" t="inlineStr">
        <is>
          <t>SUNDSVALL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33993-2019</t>
        </is>
      </c>
      <c r="B322" s="1" t="n">
        <v>43647</v>
      </c>
      <c r="C322" s="1" t="n">
        <v>45348</v>
      </c>
      <c r="D322" t="inlineStr">
        <is>
          <t>VÄSTERNORRLANDS LÄN</t>
        </is>
      </c>
      <c r="E322" t="inlineStr">
        <is>
          <t>SUNDSVALL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33486-2019</t>
        </is>
      </c>
      <c r="B323" s="1" t="n">
        <v>43650</v>
      </c>
      <c r="C323" s="1" t="n">
        <v>45348</v>
      </c>
      <c r="D323" t="inlineStr">
        <is>
          <t>VÄSTERNORRLANDS LÄN</t>
        </is>
      </c>
      <c r="E323" t="inlineStr">
        <is>
          <t>SUNDSVALL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34136-2019</t>
        </is>
      </c>
      <c r="B324" s="1" t="n">
        <v>43654</v>
      </c>
      <c r="C324" s="1" t="n">
        <v>45348</v>
      </c>
      <c r="D324" t="inlineStr">
        <is>
          <t>VÄSTERNORRLANDS LÄN</t>
        </is>
      </c>
      <c r="E324" t="inlineStr">
        <is>
          <t>SUNDSVALL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36074-2019</t>
        </is>
      </c>
      <c r="B325" s="1" t="n">
        <v>43657</v>
      </c>
      <c r="C325" s="1" t="n">
        <v>45348</v>
      </c>
      <c r="D325" t="inlineStr">
        <is>
          <t>VÄSTERNORRLANDS LÄN</t>
        </is>
      </c>
      <c r="E325" t="inlineStr">
        <is>
          <t>SUNDSVALL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36077-2019</t>
        </is>
      </c>
      <c r="B326" s="1" t="n">
        <v>43657</v>
      </c>
      <c r="C326" s="1" t="n">
        <v>45348</v>
      </c>
      <c r="D326" t="inlineStr">
        <is>
          <t>VÄSTERNORRLANDS LÄN</t>
        </is>
      </c>
      <c r="E326" t="inlineStr">
        <is>
          <t>SUNDSVALL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35171-2019</t>
        </is>
      </c>
      <c r="B327" s="1" t="n">
        <v>43661</v>
      </c>
      <c r="C327" s="1" t="n">
        <v>45348</v>
      </c>
      <c r="D327" t="inlineStr">
        <is>
          <t>VÄSTERNORRLANDS LÄN</t>
        </is>
      </c>
      <c r="E327" t="inlineStr">
        <is>
          <t>SUNDSVALL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35170-2019</t>
        </is>
      </c>
      <c r="B328" s="1" t="n">
        <v>43661</v>
      </c>
      <c r="C328" s="1" t="n">
        <v>45348</v>
      </c>
      <c r="D328" t="inlineStr">
        <is>
          <t>VÄSTERNORRLANDS LÄN</t>
        </is>
      </c>
      <c r="E328" t="inlineStr">
        <is>
          <t>SUNDSVALL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35966-2019</t>
        </is>
      </c>
      <c r="B329" s="1" t="n">
        <v>43665</v>
      </c>
      <c r="C329" s="1" t="n">
        <v>45348</v>
      </c>
      <c r="D329" t="inlineStr">
        <is>
          <t>VÄSTERNORRLANDS LÄN</t>
        </is>
      </c>
      <c r="E329" t="inlineStr">
        <is>
          <t>SUNDSVALL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36026-2019</t>
        </is>
      </c>
      <c r="B330" s="1" t="n">
        <v>43668</v>
      </c>
      <c r="C330" s="1" t="n">
        <v>45348</v>
      </c>
      <c r="D330" t="inlineStr">
        <is>
          <t>VÄSTERNORRLANDS LÄN</t>
        </is>
      </c>
      <c r="E330" t="inlineStr">
        <is>
          <t>SUNDSVALL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37069-2019</t>
        </is>
      </c>
      <c r="B331" s="1" t="n">
        <v>43676</v>
      </c>
      <c r="C331" s="1" t="n">
        <v>45348</v>
      </c>
      <c r="D331" t="inlineStr">
        <is>
          <t>VÄSTERNORRLANDS LÄN</t>
        </is>
      </c>
      <c r="E331" t="inlineStr">
        <is>
          <t>SUNDSVALL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37378-2019</t>
        </is>
      </c>
      <c r="B332" s="1" t="n">
        <v>43678</v>
      </c>
      <c r="C332" s="1" t="n">
        <v>45348</v>
      </c>
      <c r="D332" t="inlineStr">
        <is>
          <t>VÄSTERNORRLANDS LÄN</t>
        </is>
      </c>
      <c r="E332" t="inlineStr">
        <is>
          <t>SUNDSVALL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37891-2019</t>
        </is>
      </c>
      <c r="B333" s="1" t="n">
        <v>43682</v>
      </c>
      <c r="C333" s="1" t="n">
        <v>45348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40.1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37907-2019</t>
        </is>
      </c>
      <c r="B334" s="1" t="n">
        <v>43683</v>
      </c>
      <c r="C334" s="1" t="n">
        <v>45348</v>
      </c>
      <c r="D334" t="inlineStr">
        <is>
          <t>VÄSTERNORRLANDS LÄN</t>
        </is>
      </c>
      <c r="E334" t="inlineStr">
        <is>
          <t>SUNDSVALL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38290-2019</t>
        </is>
      </c>
      <c r="B335" s="1" t="n">
        <v>43684</v>
      </c>
      <c r="C335" s="1" t="n">
        <v>45348</v>
      </c>
      <c r="D335" t="inlineStr">
        <is>
          <t>VÄSTERNORRLANDS LÄN</t>
        </is>
      </c>
      <c r="E335" t="inlineStr">
        <is>
          <t>SUNDSVALL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40526-2019</t>
        </is>
      </c>
      <c r="B336" s="1" t="n">
        <v>43696</v>
      </c>
      <c r="C336" s="1" t="n">
        <v>45348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SCA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40549-2019</t>
        </is>
      </c>
      <c r="B337" s="1" t="n">
        <v>43696</v>
      </c>
      <c r="C337" s="1" t="n">
        <v>45348</v>
      </c>
      <c r="D337" t="inlineStr">
        <is>
          <t>VÄSTERNORRLANDS LÄN</t>
        </is>
      </c>
      <c r="E337" t="inlineStr">
        <is>
          <t>SUNDSVALL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40487-2019</t>
        </is>
      </c>
      <c r="B338" s="1" t="n">
        <v>43696</v>
      </c>
      <c r="C338" s="1" t="n">
        <v>45348</v>
      </c>
      <c r="D338" t="inlineStr">
        <is>
          <t>VÄSTERNORRLANDS LÄN</t>
        </is>
      </c>
      <c r="E338" t="inlineStr">
        <is>
          <t>SUNDSVALL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41895-2019</t>
        </is>
      </c>
      <c r="B339" s="1" t="n">
        <v>43697</v>
      </c>
      <c r="C339" s="1" t="n">
        <v>45348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Kyrkan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42217-2019</t>
        </is>
      </c>
      <c r="B340" s="1" t="n">
        <v>43699</v>
      </c>
      <c r="C340" s="1" t="n">
        <v>45348</v>
      </c>
      <c r="D340" t="inlineStr">
        <is>
          <t>VÄSTERNORRLANDS LÄN</t>
        </is>
      </c>
      <c r="E340" t="inlineStr">
        <is>
          <t>SUNDSVALL</t>
        </is>
      </c>
      <c r="G340" t="n">
        <v>10.7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42361-2019</t>
        </is>
      </c>
      <c r="B341" s="1" t="n">
        <v>43703</v>
      </c>
      <c r="C341" s="1" t="n">
        <v>45348</v>
      </c>
      <c r="D341" t="inlineStr">
        <is>
          <t>VÄSTERNORRLANDS LÄN</t>
        </is>
      </c>
      <c r="E341" t="inlineStr">
        <is>
          <t>SUNDSVALL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42305-2019</t>
        </is>
      </c>
      <c r="B342" s="1" t="n">
        <v>43703</v>
      </c>
      <c r="C342" s="1" t="n">
        <v>45348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42375-2019</t>
        </is>
      </c>
      <c r="B343" s="1" t="n">
        <v>43703</v>
      </c>
      <c r="C343" s="1" t="n">
        <v>45348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42372-2019</t>
        </is>
      </c>
      <c r="B344" s="1" t="n">
        <v>43703</v>
      </c>
      <c r="C344" s="1" t="n">
        <v>45348</v>
      </c>
      <c r="D344" t="inlineStr">
        <is>
          <t>VÄSTERNORRLANDS LÄN</t>
        </is>
      </c>
      <c r="E344" t="inlineStr">
        <is>
          <t>SUNDSVALL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43193-2019</t>
        </is>
      </c>
      <c r="B345" s="1" t="n">
        <v>43705</v>
      </c>
      <c r="C345" s="1" t="n">
        <v>45348</v>
      </c>
      <c r="D345" t="inlineStr">
        <is>
          <t>VÄSTERNORRLANDS LÄN</t>
        </is>
      </c>
      <c r="E345" t="inlineStr">
        <is>
          <t>SUNDSVALL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43880-2019</t>
        </is>
      </c>
      <c r="B346" s="1" t="n">
        <v>43707</v>
      </c>
      <c r="C346" s="1" t="n">
        <v>45348</v>
      </c>
      <c r="D346" t="inlineStr">
        <is>
          <t>VÄSTERNORRLANDS LÄN</t>
        </is>
      </c>
      <c r="E346" t="inlineStr">
        <is>
          <t>SUNDSVALL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43796-2019</t>
        </is>
      </c>
      <c r="B347" s="1" t="n">
        <v>43707</v>
      </c>
      <c r="C347" s="1" t="n">
        <v>45348</v>
      </c>
      <c r="D347" t="inlineStr">
        <is>
          <t>VÄSTERNORRLANDS LÄN</t>
        </is>
      </c>
      <c r="E347" t="inlineStr">
        <is>
          <t>SUNDSVALL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44321-2019</t>
        </is>
      </c>
      <c r="B348" s="1" t="n">
        <v>43710</v>
      </c>
      <c r="C348" s="1" t="n">
        <v>45348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44325-2019</t>
        </is>
      </c>
      <c r="B349" s="1" t="n">
        <v>43710</v>
      </c>
      <c r="C349" s="1" t="n">
        <v>45348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44416-2019</t>
        </is>
      </c>
      <c r="B350" s="1" t="n">
        <v>43711</v>
      </c>
      <c r="C350" s="1" t="n">
        <v>45348</v>
      </c>
      <c r="D350" t="inlineStr">
        <is>
          <t>VÄSTERNORRLANDS LÄN</t>
        </is>
      </c>
      <c r="E350" t="inlineStr">
        <is>
          <t>SUNDSVALL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44608-2019</t>
        </is>
      </c>
      <c r="B351" s="1" t="n">
        <v>43711</v>
      </c>
      <c r="C351" s="1" t="n">
        <v>45348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44610-2019</t>
        </is>
      </c>
      <c r="B352" s="1" t="n">
        <v>43711</v>
      </c>
      <c r="C352" s="1" t="n">
        <v>45348</v>
      </c>
      <c r="D352" t="inlineStr">
        <is>
          <t>VÄSTERNORRLANDS LÄN</t>
        </is>
      </c>
      <c r="E352" t="inlineStr">
        <is>
          <t>SUNDSVALL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44609-2019</t>
        </is>
      </c>
      <c r="B353" s="1" t="n">
        <v>43711</v>
      </c>
      <c r="C353" s="1" t="n">
        <v>45348</v>
      </c>
      <c r="D353" t="inlineStr">
        <is>
          <t>VÄSTERNORRLANDS LÄN</t>
        </is>
      </c>
      <c r="E353" t="inlineStr">
        <is>
          <t>SUNDSVALL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45960-2019</t>
        </is>
      </c>
      <c r="B354" s="1" t="n">
        <v>43712</v>
      </c>
      <c r="C354" s="1" t="n">
        <v>45348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Kyrkan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45964-2019</t>
        </is>
      </c>
      <c r="B355" s="1" t="n">
        <v>43712</v>
      </c>
      <c r="C355" s="1" t="n">
        <v>45348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44967-2019</t>
        </is>
      </c>
      <c r="B356" s="1" t="n">
        <v>43713</v>
      </c>
      <c r="C356" s="1" t="n">
        <v>45348</v>
      </c>
      <c r="D356" t="inlineStr">
        <is>
          <t>VÄSTERNORRLANDS LÄN</t>
        </is>
      </c>
      <c r="E356" t="inlineStr">
        <is>
          <t>SUNDSVALL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44971-2019</t>
        </is>
      </c>
      <c r="B357" s="1" t="n">
        <v>43713</v>
      </c>
      <c r="C357" s="1" t="n">
        <v>45348</v>
      </c>
      <c r="D357" t="inlineStr">
        <is>
          <t>VÄSTERNORRLANDS LÄN</t>
        </is>
      </c>
      <c r="E357" t="inlineStr">
        <is>
          <t>SUNDSVALL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44922-2019</t>
        </is>
      </c>
      <c r="B358" s="1" t="n">
        <v>43713</v>
      </c>
      <c r="C358" s="1" t="n">
        <v>45348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47076-2019</t>
        </is>
      </c>
      <c r="B359" s="1" t="n">
        <v>43720</v>
      </c>
      <c r="C359" s="1" t="n">
        <v>45348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47807-2019</t>
        </is>
      </c>
      <c r="B360" s="1" t="n">
        <v>43724</v>
      </c>
      <c r="C360" s="1" t="n">
        <v>45348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47809-2019</t>
        </is>
      </c>
      <c r="B361" s="1" t="n">
        <v>43724</v>
      </c>
      <c r="C361" s="1" t="n">
        <v>45348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48715-2019</t>
        </is>
      </c>
      <c r="B362" s="1" t="n">
        <v>43727</v>
      </c>
      <c r="C362" s="1" t="n">
        <v>45348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76.40000000000001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49676-2019</t>
        </is>
      </c>
      <c r="B363" s="1" t="n">
        <v>43732</v>
      </c>
      <c r="C363" s="1" t="n">
        <v>45348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49978-2019</t>
        </is>
      </c>
      <c r="B364" s="1" t="n">
        <v>43733</v>
      </c>
      <c r="C364" s="1" t="n">
        <v>45348</v>
      </c>
      <c r="D364" t="inlineStr">
        <is>
          <t>VÄSTERNORRLANDS LÄN</t>
        </is>
      </c>
      <c r="E364" t="inlineStr">
        <is>
          <t>SUNDSVALL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49990-2019</t>
        </is>
      </c>
      <c r="B365" s="1" t="n">
        <v>43733</v>
      </c>
      <c r="C365" s="1" t="n">
        <v>45348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49984-2019</t>
        </is>
      </c>
      <c r="B366" s="1" t="n">
        <v>43733</v>
      </c>
      <c r="C366" s="1" t="n">
        <v>45348</v>
      </c>
      <c r="D366" t="inlineStr">
        <is>
          <t>VÄSTERNORRLANDS LÄN</t>
        </is>
      </c>
      <c r="E366" t="inlineStr">
        <is>
          <t>SUNDSVALL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50118-2019</t>
        </is>
      </c>
      <c r="B367" s="1" t="n">
        <v>43734</v>
      </c>
      <c r="C367" s="1" t="n">
        <v>45348</v>
      </c>
      <c r="D367" t="inlineStr">
        <is>
          <t>VÄSTERNORRLANDS LÄN</t>
        </is>
      </c>
      <c r="E367" t="inlineStr">
        <is>
          <t>SUNDSVALL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50530-2019</t>
        </is>
      </c>
      <c r="B368" s="1" t="n">
        <v>43735</v>
      </c>
      <c r="C368" s="1" t="n">
        <v>45348</v>
      </c>
      <c r="D368" t="inlineStr">
        <is>
          <t>VÄSTERNORRLANDS LÄN</t>
        </is>
      </c>
      <c r="E368" t="inlineStr">
        <is>
          <t>SUNDSVALL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50605-2019</t>
        </is>
      </c>
      <c r="B369" s="1" t="n">
        <v>43735</v>
      </c>
      <c r="C369" s="1" t="n">
        <v>45348</v>
      </c>
      <c r="D369" t="inlineStr">
        <is>
          <t>VÄSTERNORRLANDS LÄN</t>
        </is>
      </c>
      <c r="E369" t="inlineStr">
        <is>
          <t>SUNDSVALL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50965-2019</t>
        </is>
      </c>
      <c r="B370" s="1" t="n">
        <v>43738</v>
      </c>
      <c r="C370" s="1" t="n">
        <v>45348</v>
      </c>
      <c r="D370" t="inlineStr">
        <is>
          <t>VÄSTERNORRLANDS LÄN</t>
        </is>
      </c>
      <c r="E370" t="inlineStr">
        <is>
          <t>SUNDSVALL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50992-2019</t>
        </is>
      </c>
      <c r="B371" s="1" t="n">
        <v>43738</v>
      </c>
      <c r="C371" s="1" t="n">
        <v>45348</v>
      </c>
      <c r="D371" t="inlineStr">
        <is>
          <t>VÄSTERNORRLANDS LÄN</t>
        </is>
      </c>
      <c r="E371" t="inlineStr">
        <is>
          <t>SUNDSVALL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51072-2019</t>
        </is>
      </c>
      <c r="B372" s="1" t="n">
        <v>43738</v>
      </c>
      <c r="C372" s="1" t="n">
        <v>45348</v>
      </c>
      <c r="D372" t="inlineStr">
        <is>
          <t>VÄSTERNORRLANDS LÄN</t>
        </is>
      </c>
      <c r="E372" t="inlineStr">
        <is>
          <t>SUNDSVALL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51685-2019</t>
        </is>
      </c>
      <c r="B373" s="1" t="n">
        <v>43740</v>
      </c>
      <c r="C373" s="1" t="n">
        <v>45348</v>
      </c>
      <c r="D373" t="inlineStr">
        <is>
          <t>VÄSTERNORRLANDS LÄN</t>
        </is>
      </c>
      <c r="E373" t="inlineStr">
        <is>
          <t>SUNDSVALL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52576-2019</t>
        </is>
      </c>
      <c r="B374" s="1" t="n">
        <v>43745</v>
      </c>
      <c r="C374" s="1" t="n">
        <v>45348</v>
      </c>
      <c r="D374" t="inlineStr">
        <is>
          <t>VÄSTERNORRLANDS LÄN</t>
        </is>
      </c>
      <c r="E374" t="inlineStr">
        <is>
          <t>SUNDSVALL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53087-2019</t>
        </is>
      </c>
      <c r="B375" s="1" t="n">
        <v>43747</v>
      </c>
      <c r="C375" s="1" t="n">
        <v>45348</v>
      </c>
      <c r="D375" t="inlineStr">
        <is>
          <t>VÄSTERNORRLANDS LÄN</t>
        </is>
      </c>
      <c r="E375" t="inlineStr">
        <is>
          <t>SUNDSVALL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52952-2019</t>
        </is>
      </c>
      <c r="B376" s="1" t="n">
        <v>43747</v>
      </c>
      <c r="C376" s="1" t="n">
        <v>45348</v>
      </c>
      <c r="D376" t="inlineStr">
        <is>
          <t>VÄSTERNORRLANDS LÄN</t>
        </is>
      </c>
      <c r="E376" t="inlineStr">
        <is>
          <t>SUNDSVALL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54030-2019</t>
        </is>
      </c>
      <c r="B377" s="1" t="n">
        <v>43752</v>
      </c>
      <c r="C377" s="1" t="n">
        <v>45348</v>
      </c>
      <c r="D377" t="inlineStr">
        <is>
          <t>VÄSTERNORRLANDS LÄN</t>
        </is>
      </c>
      <c r="E377" t="inlineStr">
        <is>
          <t>SUNDSVALL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55268-2019</t>
        </is>
      </c>
      <c r="B378" s="1" t="n">
        <v>43753</v>
      </c>
      <c r="C378" s="1" t="n">
        <v>45348</v>
      </c>
      <c r="D378" t="inlineStr">
        <is>
          <t>VÄSTERNORRLANDS LÄN</t>
        </is>
      </c>
      <c r="E378" t="inlineStr">
        <is>
          <t>SUNDSVALL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55420-2019</t>
        </is>
      </c>
      <c r="B379" s="1" t="n">
        <v>43758</v>
      </c>
      <c r="C379" s="1" t="n">
        <v>45348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56751-2019</t>
        </is>
      </c>
      <c r="B380" s="1" t="n">
        <v>43759</v>
      </c>
      <c r="C380" s="1" t="n">
        <v>45348</v>
      </c>
      <c r="D380" t="inlineStr">
        <is>
          <t>VÄSTERNORRLANDS LÄN</t>
        </is>
      </c>
      <c r="E380" t="inlineStr">
        <is>
          <t>SUNDSVALL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56701-2019</t>
        </is>
      </c>
      <c r="B381" s="1" t="n">
        <v>43759</v>
      </c>
      <c r="C381" s="1" t="n">
        <v>45348</v>
      </c>
      <c r="D381" t="inlineStr">
        <is>
          <t>VÄSTERNORRLANDS LÄN</t>
        </is>
      </c>
      <c r="E381" t="inlineStr">
        <is>
          <t>SUNDSVALL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55600-2019</t>
        </is>
      </c>
      <c r="B382" s="1" t="n">
        <v>43760</v>
      </c>
      <c r="C382" s="1" t="n">
        <v>45348</v>
      </c>
      <c r="D382" t="inlineStr">
        <is>
          <t>VÄSTERNORRLANDS LÄN</t>
        </is>
      </c>
      <c r="E382" t="inlineStr">
        <is>
          <t>SUNDSVALL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55603-2019</t>
        </is>
      </c>
      <c r="B383" s="1" t="n">
        <v>43760</v>
      </c>
      <c r="C383" s="1" t="n">
        <v>45348</v>
      </c>
      <c r="D383" t="inlineStr">
        <is>
          <t>VÄSTERNORRLANDS LÄN</t>
        </is>
      </c>
      <c r="E383" t="inlineStr">
        <is>
          <t>SUNDSVALL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56016-2019</t>
        </is>
      </c>
      <c r="B384" s="1" t="n">
        <v>43761</v>
      </c>
      <c r="C384" s="1" t="n">
        <v>45348</v>
      </c>
      <c r="D384" t="inlineStr">
        <is>
          <t>VÄSTERNORRLANDS LÄN</t>
        </is>
      </c>
      <c r="E384" t="inlineStr">
        <is>
          <t>SUNDSVALL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56071-2019</t>
        </is>
      </c>
      <c r="B385" s="1" t="n">
        <v>43761</v>
      </c>
      <c r="C385" s="1" t="n">
        <v>45348</v>
      </c>
      <c r="D385" t="inlineStr">
        <is>
          <t>VÄSTERNORRLANDS LÄN</t>
        </is>
      </c>
      <c r="E385" t="inlineStr">
        <is>
          <t>SUNDSVALL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56180-2019</t>
        </is>
      </c>
      <c r="B386" s="1" t="n">
        <v>43761</v>
      </c>
      <c r="C386" s="1" t="n">
        <v>45348</v>
      </c>
      <c r="D386" t="inlineStr">
        <is>
          <t>VÄSTERNORRLANDS LÄN</t>
        </is>
      </c>
      <c r="E386" t="inlineStr">
        <is>
          <t>SUNDSVALL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56185-2019</t>
        </is>
      </c>
      <c r="B387" s="1" t="n">
        <v>43761</v>
      </c>
      <c r="C387" s="1" t="n">
        <v>45348</v>
      </c>
      <c r="D387" t="inlineStr">
        <is>
          <t>VÄSTERNORRLANDS LÄN</t>
        </is>
      </c>
      <c r="E387" t="inlineStr">
        <is>
          <t>SUNDSVALL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56024-2019</t>
        </is>
      </c>
      <c r="B388" s="1" t="n">
        <v>43761</v>
      </c>
      <c r="C388" s="1" t="n">
        <v>45348</v>
      </c>
      <c r="D388" t="inlineStr">
        <is>
          <t>VÄSTERNORRLANDS LÄN</t>
        </is>
      </c>
      <c r="E388" t="inlineStr">
        <is>
          <t>SUNDSVALL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56274-2019</t>
        </is>
      </c>
      <c r="B389" s="1" t="n">
        <v>43762</v>
      </c>
      <c r="C389" s="1" t="n">
        <v>45348</v>
      </c>
      <c r="D389" t="inlineStr">
        <is>
          <t>VÄSTERNORRLANDS LÄN</t>
        </is>
      </c>
      <c r="E389" t="inlineStr">
        <is>
          <t>SUNDSVALL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57797-2019</t>
        </is>
      </c>
      <c r="B390" s="1" t="n">
        <v>43762</v>
      </c>
      <c r="C390" s="1" t="n">
        <v>45348</v>
      </c>
      <c r="D390" t="inlineStr">
        <is>
          <t>VÄSTERNORRLANDS LÄN</t>
        </is>
      </c>
      <c r="E390" t="inlineStr">
        <is>
          <t>SUNDSVALL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57758-2019</t>
        </is>
      </c>
      <c r="B391" s="1" t="n">
        <v>43762</v>
      </c>
      <c r="C391" s="1" t="n">
        <v>45348</v>
      </c>
      <c r="D391" t="inlineStr">
        <is>
          <t>VÄSTERNORRLANDS LÄN</t>
        </is>
      </c>
      <c r="E391" t="inlineStr">
        <is>
          <t>SUNDSVALL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56534-2019</t>
        </is>
      </c>
      <c r="B392" s="1" t="n">
        <v>43763</v>
      </c>
      <c r="C392" s="1" t="n">
        <v>45348</v>
      </c>
      <c r="D392" t="inlineStr">
        <is>
          <t>VÄSTERNORRLANDS LÄN</t>
        </is>
      </c>
      <c r="E392" t="inlineStr">
        <is>
          <t>SUNDSVALL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57177-2019</t>
        </is>
      </c>
      <c r="B393" s="1" t="n">
        <v>43766</v>
      </c>
      <c r="C393" s="1" t="n">
        <v>45348</v>
      </c>
      <c r="D393" t="inlineStr">
        <is>
          <t>VÄSTERNORRLANDS LÄN</t>
        </is>
      </c>
      <c r="E393" t="inlineStr">
        <is>
          <t>SUNDSVALL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57175-2019</t>
        </is>
      </c>
      <c r="B394" s="1" t="n">
        <v>43766</v>
      </c>
      <c r="C394" s="1" t="n">
        <v>45348</v>
      </c>
      <c r="D394" t="inlineStr">
        <is>
          <t>VÄSTERNORRLANDS LÄN</t>
        </is>
      </c>
      <c r="E394" t="inlineStr">
        <is>
          <t>SUNDSVALL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57180-2019</t>
        </is>
      </c>
      <c r="B395" s="1" t="n">
        <v>43766</v>
      </c>
      <c r="C395" s="1" t="n">
        <v>45348</v>
      </c>
      <c r="D395" t="inlineStr">
        <is>
          <t>VÄSTERNORRLANDS LÄN</t>
        </is>
      </c>
      <c r="E395" t="inlineStr">
        <is>
          <t>SUNDSVALL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57866-2019</t>
        </is>
      </c>
      <c r="B396" s="1" t="n">
        <v>43768</v>
      </c>
      <c r="C396" s="1" t="n">
        <v>45348</v>
      </c>
      <c r="D396" t="inlineStr">
        <is>
          <t>VÄSTERNORRLANDS LÄN</t>
        </is>
      </c>
      <c r="E396" t="inlineStr">
        <is>
          <t>SUNDSVALL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58171-2019</t>
        </is>
      </c>
      <c r="B397" s="1" t="n">
        <v>43769</v>
      </c>
      <c r="C397" s="1" t="n">
        <v>45348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59523-2019</t>
        </is>
      </c>
      <c r="B398" s="1" t="n">
        <v>43773</v>
      </c>
      <c r="C398" s="1" t="n">
        <v>45348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Kyrkan</t>
        </is>
      </c>
      <c r="G398" t="n">
        <v>16.6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58866-2019</t>
        </is>
      </c>
      <c r="B399" s="1" t="n">
        <v>43774</v>
      </c>
      <c r="C399" s="1" t="n">
        <v>45348</v>
      </c>
      <c r="D399" t="inlineStr">
        <is>
          <t>VÄSTERNORRLANDS LÄN</t>
        </is>
      </c>
      <c r="E399" t="inlineStr">
        <is>
          <t>SUNDSVALL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59770-2019</t>
        </is>
      </c>
      <c r="B400" s="1" t="n">
        <v>43776</v>
      </c>
      <c r="C400" s="1" t="n">
        <v>45348</v>
      </c>
      <c r="D400" t="inlineStr">
        <is>
          <t>VÄSTERNORRLANDS LÄN</t>
        </is>
      </c>
      <c r="E400" t="inlineStr">
        <is>
          <t>SUNDSVALL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59771-2019</t>
        </is>
      </c>
      <c r="B401" s="1" t="n">
        <v>43776</v>
      </c>
      <c r="C401" s="1" t="n">
        <v>45348</v>
      </c>
      <c r="D401" t="inlineStr">
        <is>
          <t>VÄSTERNORRLANDS LÄN</t>
        </is>
      </c>
      <c r="E401" t="inlineStr">
        <is>
          <t>SUNDSVALL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59772-2019</t>
        </is>
      </c>
      <c r="B402" s="1" t="n">
        <v>43776</v>
      </c>
      <c r="C402" s="1" t="n">
        <v>45348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60115-2019</t>
        </is>
      </c>
      <c r="B403" s="1" t="n">
        <v>43777</v>
      </c>
      <c r="C403" s="1" t="n">
        <v>45348</v>
      </c>
      <c r="D403" t="inlineStr">
        <is>
          <t>VÄSTERNORRLANDS LÄN</t>
        </is>
      </c>
      <c r="E403" t="inlineStr">
        <is>
          <t>SUNDSVALL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60341-2019</t>
        </is>
      </c>
      <c r="B404" s="1" t="n">
        <v>43780</v>
      </c>
      <c r="C404" s="1" t="n">
        <v>45348</v>
      </c>
      <c r="D404" t="inlineStr">
        <is>
          <t>VÄSTERNORRLANDS LÄN</t>
        </is>
      </c>
      <c r="E404" t="inlineStr">
        <is>
          <t>SUNDSVALL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60588-2019</t>
        </is>
      </c>
      <c r="B405" s="1" t="n">
        <v>43781</v>
      </c>
      <c r="C405" s="1" t="n">
        <v>45348</v>
      </c>
      <c r="D405" t="inlineStr">
        <is>
          <t>VÄSTERNORRLANDS LÄN</t>
        </is>
      </c>
      <c r="E405" t="inlineStr">
        <is>
          <t>SUNDSVALL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61197-2019</t>
        </is>
      </c>
      <c r="B406" s="1" t="n">
        <v>43782</v>
      </c>
      <c r="C406" s="1" t="n">
        <v>45348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61966-2019</t>
        </is>
      </c>
      <c r="B407" s="1" t="n">
        <v>43787</v>
      </c>
      <c r="C407" s="1" t="n">
        <v>45348</v>
      </c>
      <c r="D407" t="inlineStr">
        <is>
          <t>VÄSTERNORRLANDS LÄN</t>
        </is>
      </c>
      <c r="E407" t="inlineStr">
        <is>
          <t>SUNDSVALL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62715-2019</t>
        </is>
      </c>
      <c r="B408" s="1" t="n">
        <v>43789</v>
      </c>
      <c r="C408" s="1" t="n">
        <v>45348</v>
      </c>
      <c r="D408" t="inlineStr">
        <is>
          <t>VÄSTERNORRLANDS LÄN</t>
        </is>
      </c>
      <c r="E408" t="inlineStr">
        <is>
          <t>SUNDSVALL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62833-2019</t>
        </is>
      </c>
      <c r="B409" s="1" t="n">
        <v>43790</v>
      </c>
      <c r="C409" s="1" t="n">
        <v>45348</v>
      </c>
      <c r="D409" t="inlineStr">
        <is>
          <t>VÄSTERNORRLANDS LÄN</t>
        </is>
      </c>
      <c r="E409" t="inlineStr">
        <is>
          <t>SUNDSVALL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62826-2019</t>
        </is>
      </c>
      <c r="B410" s="1" t="n">
        <v>43790</v>
      </c>
      <c r="C410" s="1" t="n">
        <v>45348</v>
      </c>
      <c r="D410" t="inlineStr">
        <is>
          <t>VÄSTERNORRLANDS LÄN</t>
        </is>
      </c>
      <c r="E410" t="inlineStr">
        <is>
          <t>SUNDSVALL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63007-2019</t>
        </is>
      </c>
      <c r="B411" s="1" t="n">
        <v>43790</v>
      </c>
      <c r="C411" s="1" t="n">
        <v>45348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Naturvårdsverket</t>
        </is>
      </c>
      <c r="G411" t="n">
        <v>23.6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63175-2019</t>
        </is>
      </c>
      <c r="B412" s="1" t="n">
        <v>43791</v>
      </c>
      <c r="C412" s="1" t="n">
        <v>45348</v>
      </c>
      <c r="D412" t="inlineStr">
        <is>
          <t>VÄSTERNORRLANDS LÄN</t>
        </is>
      </c>
      <c r="E412" t="inlineStr">
        <is>
          <t>SUNDSVALL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63111-2019</t>
        </is>
      </c>
      <c r="B413" s="1" t="n">
        <v>43791</v>
      </c>
      <c r="C413" s="1" t="n">
        <v>45348</v>
      </c>
      <c r="D413" t="inlineStr">
        <is>
          <t>VÄSTERNORRLANDS LÄN</t>
        </is>
      </c>
      <c r="E413" t="inlineStr">
        <is>
          <t>SUNDSVALL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63315-2019</t>
        </is>
      </c>
      <c r="B414" s="1" t="n">
        <v>43794</v>
      </c>
      <c r="C414" s="1" t="n">
        <v>45348</v>
      </c>
      <c r="D414" t="inlineStr">
        <is>
          <t>VÄSTERNORRLANDS LÄN</t>
        </is>
      </c>
      <c r="E414" t="inlineStr">
        <is>
          <t>SUNDSVALL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63427-2019</t>
        </is>
      </c>
      <c r="B415" s="1" t="n">
        <v>43794</v>
      </c>
      <c r="C415" s="1" t="n">
        <v>45348</v>
      </c>
      <c r="D415" t="inlineStr">
        <is>
          <t>VÄSTERNORRLANDS LÄN</t>
        </is>
      </c>
      <c r="E415" t="inlineStr">
        <is>
          <t>SUNDSVALL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64130-2019</t>
        </is>
      </c>
      <c r="B416" s="1" t="n">
        <v>43796</v>
      </c>
      <c r="C416" s="1" t="n">
        <v>45348</v>
      </c>
      <c r="D416" t="inlineStr">
        <is>
          <t>VÄSTERNORRLANDS LÄN</t>
        </is>
      </c>
      <c r="E416" t="inlineStr">
        <is>
          <t>SUNDSVALL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64245-2019</t>
        </is>
      </c>
      <c r="B417" s="1" t="n">
        <v>43797</v>
      </c>
      <c r="C417" s="1" t="n">
        <v>45348</v>
      </c>
      <c r="D417" t="inlineStr">
        <is>
          <t>VÄSTERNORRLANDS LÄN</t>
        </is>
      </c>
      <c r="E417" t="inlineStr">
        <is>
          <t>SUNDSVALL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64405-2019</t>
        </is>
      </c>
      <c r="B418" s="1" t="n">
        <v>43797</v>
      </c>
      <c r="C418" s="1" t="n">
        <v>45348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Holmen skog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64473-2019</t>
        </is>
      </c>
      <c r="B419" s="1" t="n">
        <v>43797</v>
      </c>
      <c r="C419" s="1" t="n">
        <v>45348</v>
      </c>
      <c r="D419" t="inlineStr">
        <is>
          <t>VÄSTERNORRLANDS LÄN</t>
        </is>
      </c>
      <c r="E419" t="inlineStr">
        <is>
          <t>SUNDSVALL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64474-2019</t>
        </is>
      </c>
      <c r="B420" s="1" t="n">
        <v>43797</v>
      </c>
      <c r="C420" s="1" t="n">
        <v>45348</v>
      </c>
      <c r="D420" t="inlineStr">
        <is>
          <t>VÄSTERNORRLANDS LÄN</t>
        </is>
      </c>
      <c r="E420" t="inlineStr">
        <is>
          <t>SUNDSVALL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64558-2019</t>
        </is>
      </c>
      <c r="B421" s="1" t="n">
        <v>43798</v>
      </c>
      <c r="C421" s="1" t="n">
        <v>45348</v>
      </c>
      <c r="D421" t="inlineStr">
        <is>
          <t>VÄSTERNORRLANDS LÄN</t>
        </is>
      </c>
      <c r="E421" t="inlineStr">
        <is>
          <t>SUNDSVALL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65039-2019</t>
        </is>
      </c>
      <c r="B422" s="1" t="n">
        <v>43801</v>
      </c>
      <c r="C422" s="1" t="n">
        <v>45348</v>
      </c>
      <c r="D422" t="inlineStr">
        <is>
          <t>VÄSTERNORRLANDS LÄN</t>
        </is>
      </c>
      <c r="E422" t="inlineStr">
        <is>
          <t>SUNDSVALL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65030-2019</t>
        </is>
      </c>
      <c r="B423" s="1" t="n">
        <v>43801</v>
      </c>
      <c r="C423" s="1" t="n">
        <v>45348</v>
      </c>
      <c r="D423" t="inlineStr">
        <is>
          <t>VÄSTERNORRLANDS LÄN</t>
        </is>
      </c>
      <c r="E423" t="inlineStr">
        <is>
          <t>SUNDSVALL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66000-2019</t>
        </is>
      </c>
      <c r="B424" s="1" t="n">
        <v>43801</v>
      </c>
      <c r="C424" s="1" t="n">
        <v>45348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Övriga statliga verk och myndigheter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65458-2019</t>
        </is>
      </c>
      <c r="B425" s="1" t="n">
        <v>43803</v>
      </c>
      <c r="C425" s="1" t="n">
        <v>45348</v>
      </c>
      <c r="D425" t="inlineStr">
        <is>
          <t>VÄSTERNORRLANDS LÄN</t>
        </is>
      </c>
      <c r="E425" t="inlineStr">
        <is>
          <t>SUNDSVALL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65919-2019</t>
        </is>
      </c>
      <c r="B426" s="1" t="n">
        <v>43804</v>
      </c>
      <c r="C426" s="1" t="n">
        <v>45348</v>
      </c>
      <c r="D426" t="inlineStr">
        <is>
          <t>VÄSTERNORRLANDS LÄN</t>
        </is>
      </c>
      <c r="E426" t="inlineStr">
        <is>
          <t>SUNDSVALL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66374-2019</t>
        </is>
      </c>
      <c r="B427" s="1" t="n">
        <v>43808</v>
      </c>
      <c r="C427" s="1" t="n">
        <v>45348</v>
      </c>
      <c r="D427" t="inlineStr">
        <is>
          <t>VÄSTERNORRLANDS LÄN</t>
        </is>
      </c>
      <c r="E427" t="inlineStr">
        <is>
          <t>SUNDSVALL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66704-2019</t>
        </is>
      </c>
      <c r="B428" s="1" t="n">
        <v>43809</v>
      </c>
      <c r="C428" s="1" t="n">
        <v>45348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Naturvårdsverket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66699-2019</t>
        </is>
      </c>
      <c r="B429" s="1" t="n">
        <v>43809</v>
      </c>
      <c r="C429" s="1" t="n">
        <v>45348</v>
      </c>
      <c r="D429" t="inlineStr">
        <is>
          <t>VÄSTERNORRLANDS LÄN</t>
        </is>
      </c>
      <c r="E429" t="inlineStr">
        <is>
          <t>SUNDSVALL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66707-2019</t>
        </is>
      </c>
      <c r="B430" s="1" t="n">
        <v>43809</v>
      </c>
      <c r="C430" s="1" t="n">
        <v>45348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66706-2019</t>
        </is>
      </c>
      <c r="B431" s="1" t="n">
        <v>43809</v>
      </c>
      <c r="C431" s="1" t="n">
        <v>45348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66708-2019</t>
        </is>
      </c>
      <c r="B432" s="1" t="n">
        <v>43809</v>
      </c>
      <c r="C432" s="1" t="n">
        <v>45348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66705-2019</t>
        </is>
      </c>
      <c r="B433" s="1" t="n">
        <v>43809</v>
      </c>
      <c r="C433" s="1" t="n">
        <v>45348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66969-2019</t>
        </is>
      </c>
      <c r="B434" s="1" t="n">
        <v>43810</v>
      </c>
      <c r="C434" s="1" t="n">
        <v>45348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66998-2019</t>
        </is>
      </c>
      <c r="B435" s="1" t="n">
        <v>43811</v>
      </c>
      <c r="C435" s="1" t="n">
        <v>45348</v>
      </c>
      <c r="D435" t="inlineStr">
        <is>
          <t>VÄSTERNORRLANDS LÄN</t>
        </is>
      </c>
      <c r="E435" t="inlineStr">
        <is>
          <t>SUNDSVALL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68788-2019</t>
        </is>
      </c>
      <c r="B436" s="1" t="n">
        <v>43815</v>
      </c>
      <c r="C436" s="1" t="n">
        <v>45348</v>
      </c>
      <c r="D436" t="inlineStr">
        <is>
          <t>VÄSTERNORRLANDS LÄN</t>
        </is>
      </c>
      <c r="E436" t="inlineStr">
        <is>
          <t>SUNDSVALL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69043-2019</t>
        </is>
      </c>
      <c r="B437" s="1" t="n">
        <v>43826</v>
      </c>
      <c r="C437" s="1" t="n">
        <v>45348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Kommuner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69040-2019</t>
        </is>
      </c>
      <c r="B438" s="1" t="n">
        <v>43826</v>
      </c>
      <c r="C438" s="1" t="n">
        <v>45348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69042-2019</t>
        </is>
      </c>
      <c r="B439" s="1" t="n">
        <v>43826</v>
      </c>
      <c r="C439" s="1" t="n">
        <v>45348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113-2020</t>
        </is>
      </c>
      <c r="B440" s="1" t="n">
        <v>43832</v>
      </c>
      <c r="C440" s="1" t="n">
        <v>45348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SCA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503-2020</t>
        </is>
      </c>
      <c r="B441" s="1" t="n">
        <v>43837</v>
      </c>
      <c r="C441" s="1" t="n">
        <v>45348</v>
      </c>
      <c r="D441" t="inlineStr">
        <is>
          <t>VÄSTERNORRLANDS LÄN</t>
        </is>
      </c>
      <c r="E441" t="inlineStr">
        <is>
          <t>SUNDSVALL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473-2020</t>
        </is>
      </c>
      <c r="B442" s="1" t="n">
        <v>43837</v>
      </c>
      <c r="C442" s="1" t="n">
        <v>45348</v>
      </c>
      <c r="D442" t="inlineStr">
        <is>
          <t>VÄSTERNORRLANDS LÄN</t>
        </is>
      </c>
      <c r="E442" t="inlineStr">
        <is>
          <t>SUNDSVALL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803-2020</t>
        </is>
      </c>
      <c r="B443" s="1" t="n">
        <v>43838</v>
      </c>
      <c r="C443" s="1" t="n">
        <v>45348</v>
      </c>
      <c r="D443" t="inlineStr">
        <is>
          <t>VÄSTERNORRLANDS LÄN</t>
        </is>
      </c>
      <c r="E443" t="inlineStr">
        <is>
          <t>SUNDSVALL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805-2020</t>
        </is>
      </c>
      <c r="B444" s="1" t="n">
        <v>43838</v>
      </c>
      <c r="C444" s="1" t="n">
        <v>45348</v>
      </c>
      <c r="D444" t="inlineStr">
        <is>
          <t>VÄSTERNORRLANDS LÄN</t>
        </is>
      </c>
      <c r="E444" t="inlineStr">
        <is>
          <t>SUNDSVALL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1280-2020</t>
        </is>
      </c>
      <c r="B445" s="1" t="n">
        <v>43842</v>
      </c>
      <c r="C445" s="1" t="n">
        <v>45348</v>
      </c>
      <c r="D445" t="inlineStr">
        <is>
          <t>VÄSTERNORRLANDS LÄN</t>
        </is>
      </c>
      <c r="E445" t="inlineStr">
        <is>
          <t>SUNDSVALL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1856-2020</t>
        </is>
      </c>
      <c r="B446" s="1" t="n">
        <v>43844</v>
      </c>
      <c r="C446" s="1" t="n">
        <v>45348</v>
      </c>
      <c r="D446" t="inlineStr">
        <is>
          <t>VÄSTERNORRLANDS LÄN</t>
        </is>
      </c>
      <c r="E446" t="inlineStr">
        <is>
          <t>SUNDSVALL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1655-2020</t>
        </is>
      </c>
      <c r="B447" s="1" t="n">
        <v>43844</v>
      </c>
      <c r="C447" s="1" t="n">
        <v>45348</v>
      </c>
      <c r="D447" t="inlineStr">
        <is>
          <t>VÄSTERNORRLANDS LÄN</t>
        </is>
      </c>
      <c r="E447" t="inlineStr">
        <is>
          <t>SUNDSVALL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1639-2020</t>
        </is>
      </c>
      <c r="B448" s="1" t="n">
        <v>43844</v>
      </c>
      <c r="C448" s="1" t="n">
        <v>45348</v>
      </c>
      <c r="D448" t="inlineStr">
        <is>
          <t>VÄSTERNORRLANDS LÄN</t>
        </is>
      </c>
      <c r="E448" t="inlineStr">
        <is>
          <t>SUNDSVALL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1946-2020</t>
        </is>
      </c>
      <c r="B449" s="1" t="n">
        <v>43845</v>
      </c>
      <c r="C449" s="1" t="n">
        <v>45348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2052-2020</t>
        </is>
      </c>
      <c r="B450" s="1" t="n">
        <v>43845</v>
      </c>
      <c r="C450" s="1" t="n">
        <v>45348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2100-2020</t>
        </is>
      </c>
      <c r="B451" s="1" t="n">
        <v>43845</v>
      </c>
      <c r="C451" s="1" t="n">
        <v>45348</v>
      </c>
      <c r="D451" t="inlineStr">
        <is>
          <t>VÄSTERNORRLANDS LÄN</t>
        </is>
      </c>
      <c r="E451" t="inlineStr">
        <is>
          <t>SUNDSVALL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1919-2020</t>
        </is>
      </c>
      <c r="B452" s="1" t="n">
        <v>43845</v>
      </c>
      <c r="C452" s="1" t="n">
        <v>45348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1928-2020</t>
        </is>
      </c>
      <c r="B453" s="1" t="n">
        <v>43845</v>
      </c>
      <c r="C453" s="1" t="n">
        <v>45348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1937-2020</t>
        </is>
      </c>
      <c r="B454" s="1" t="n">
        <v>43845</v>
      </c>
      <c r="C454" s="1" t="n">
        <v>45348</v>
      </c>
      <c r="D454" t="inlineStr">
        <is>
          <t>VÄSTERNORRLANDS LÄN</t>
        </is>
      </c>
      <c r="E454" t="inlineStr">
        <is>
          <t>SUNDSVALL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2065-2020</t>
        </is>
      </c>
      <c r="B455" s="1" t="n">
        <v>43845</v>
      </c>
      <c r="C455" s="1" t="n">
        <v>45348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1979-2020</t>
        </is>
      </c>
      <c r="B456" s="1" t="n">
        <v>43845</v>
      </c>
      <c r="C456" s="1" t="n">
        <v>45348</v>
      </c>
      <c r="D456" t="inlineStr">
        <is>
          <t>VÄSTERNORRLANDS LÄN</t>
        </is>
      </c>
      <c r="E456" t="inlineStr">
        <is>
          <t>SUNDSVALL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3550-2020</t>
        </is>
      </c>
      <c r="B457" s="1" t="n">
        <v>43845</v>
      </c>
      <c r="C457" s="1" t="n">
        <v>45348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Övriga statliga verk och myndigheter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2106-2020</t>
        </is>
      </c>
      <c r="B458" s="1" t="n">
        <v>43845</v>
      </c>
      <c r="C458" s="1" t="n">
        <v>45348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Naturvårdsverket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2314-2020</t>
        </is>
      </c>
      <c r="B459" s="1" t="n">
        <v>43846</v>
      </c>
      <c r="C459" s="1" t="n">
        <v>45348</v>
      </c>
      <c r="D459" t="inlineStr">
        <is>
          <t>VÄSTERNORRLANDS LÄN</t>
        </is>
      </c>
      <c r="E459" t="inlineStr">
        <is>
          <t>SUNDSVALL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2631-2020</t>
        </is>
      </c>
      <c r="B460" s="1" t="n">
        <v>43847</v>
      </c>
      <c r="C460" s="1" t="n">
        <v>45348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2630-2020</t>
        </is>
      </c>
      <c r="B461" s="1" t="n">
        <v>43847</v>
      </c>
      <c r="C461" s="1" t="n">
        <v>45348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2478-2020</t>
        </is>
      </c>
      <c r="B462" s="1" t="n">
        <v>43847</v>
      </c>
      <c r="C462" s="1" t="n">
        <v>45348</v>
      </c>
      <c r="D462" t="inlineStr">
        <is>
          <t>VÄSTERNORRLANDS LÄN</t>
        </is>
      </c>
      <c r="E462" t="inlineStr">
        <is>
          <t>SUNDSVALL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3002-2020</t>
        </is>
      </c>
      <c r="B463" s="1" t="n">
        <v>43850</v>
      </c>
      <c r="C463" s="1" t="n">
        <v>45348</v>
      </c>
      <c r="D463" t="inlineStr">
        <is>
          <t>VÄSTERNORRLANDS LÄN</t>
        </is>
      </c>
      <c r="E463" t="inlineStr">
        <is>
          <t>SUNDSVALL</t>
        </is>
      </c>
      <c r="G463" t="n">
        <v>14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3003-2020</t>
        </is>
      </c>
      <c r="B464" s="1" t="n">
        <v>43850</v>
      </c>
      <c r="C464" s="1" t="n">
        <v>45348</v>
      </c>
      <c r="D464" t="inlineStr">
        <is>
          <t>VÄSTERNORRLANDS LÄN</t>
        </is>
      </c>
      <c r="E464" t="inlineStr">
        <is>
          <t>SUNDSVALL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3092-2020</t>
        </is>
      </c>
      <c r="B465" s="1" t="n">
        <v>43851</v>
      </c>
      <c r="C465" s="1" t="n">
        <v>45348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3415-2020</t>
        </is>
      </c>
      <c r="B466" s="1" t="n">
        <v>43852</v>
      </c>
      <c r="C466" s="1" t="n">
        <v>45348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Kommuner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3538-2020</t>
        </is>
      </c>
      <c r="B467" s="1" t="n">
        <v>43853</v>
      </c>
      <c r="C467" s="1" t="n">
        <v>45348</v>
      </c>
      <c r="D467" t="inlineStr">
        <is>
          <t>VÄSTERNORRLANDS LÄN</t>
        </is>
      </c>
      <c r="E467" t="inlineStr">
        <is>
          <t>SUNDSVALL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4528-2020</t>
        </is>
      </c>
      <c r="B468" s="1" t="n">
        <v>43858</v>
      </c>
      <c r="C468" s="1" t="n">
        <v>45348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5631-2020</t>
        </is>
      </c>
      <c r="B469" s="1" t="n">
        <v>43860</v>
      </c>
      <c r="C469" s="1" t="n">
        <v>45348</v>
      </c>
      <c r="D469" t="inlineStr">
        <is>
          <t>VÄSTERNORRLANDS LÄN</t>
        </is>
      </c>
      <c r="E469" t="inlineStr">
        <is>
          <t>SUNDSVALL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5528-2020</t>
        </is>
      </c>
      <c r="B470" s="1" t="n">
        <v>43861</v>
      </c>
      <c r="C470" s="1" t="n">
        <v>45348</v>
      </c>
      <c r="D470" t="inlineStr">
        <is>
          <t>VÄSTERNORRLANDS LÄN</t>
        </is>
      </c>
      <c r="E470" t="inlineStr">
        <is>
          <t>SUNDSVALL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5705-2020</t>
        </is>
      </c>
      <c r="B471" s="1" t="n">
        <v>43861</v>
      </c>
      <c r="C471" s="1" t="n">
        <v>45348</v>
      </c>
      <c r="D471" t="inlineStr">
        <is>
          <t>VÄSTERNORRLANDS LÄN</t>
        </is>
      </c>
      <c r="E471" t="inlineStr">
        <is>
          <t>SUNDSVALL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5711-2020</t>
        </is>
      </c>
      <c r="B472" s="1" t="n">
        <v>43861</v>
      </c>
      <c r="C472" s="1" t="n">
        <v>45348</v>
      </c>
      <c r="D472" t="inlineStr">
        <is>
          <t>VÄSTERNORRLANDS LÄN</t>
        </is>
      </c>
      <c r="E472" t="inlineStr">
        <is>
          <t>SUNDSVALL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5773-2020</t>
        </is>
      </c>
      <c r="B473" s="1" t="n">
        <v>43864</v>
      </c>
      <c r="C473" s="1" t="n">
        <v>45348</v>
      </c>
      <c r="D473" t="inlineStr">
        <is>
          <t>VÄSTERNORRLANDS LÄN</t>
        </is>
      </c>
      <c r="E473" t="inlineStr">
        <is>
          <t>SUNDSVALL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5815-2020</t>
        </is>
      </c>
      <c r="B474" s="1" t="n">
        <v>43864</v>
      </c>
      <c r="C474" s="1" t="n">
        <v>45348</v>
      </c>
      <c r="D474" t="inlineStr">
        <is>
          <t>VÄSTERNORRLANDS LÄN</t>
        </is>
      </c>
      <c r="E474" t="inlineStr">
        <is>
          <t>SUNDSVALL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5963-2020</t>
        </is>
      </c>
      <c r="B475" s="1" t="n">
        <v>43864</v>
      </c>
      <c r="C475" s="1" t="n">
        <v>45348</v>
      </c>
      <c r="D475" t="inlineStr">
        <is>
          <t>VÄSTERNORRLANDS LÄN</t>
        </is>
      </c>
      <c r="E475" t="inlineStr">
        <is>
          <t>SUNDSVALL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5966-2020</t>
        </is>
      </c>
      <c r="B476" s="1" t="n">
        <v>43864</v>
      </c>
      <c r="C476" s="1" t="n">
        <v>45348</v>
      </c>
      <c r="D476" t="inlineStr">
        <is>
          <t>VÄSTERNORRLANDS LÄN</t>
        </is>
      </c>
      <c r="E476" t="inlineStr">
        <is>
          <t>SUNDSVALL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6292-2020</t>
        </is>
      </c>
      <c r="B477" s="1" t="n">
        <v>43866</v>
      </c>
      <c r="C477" s="1" t="n">
        <v>45348</v>
      </c>
      <c r="D477" t="inlineStr">
        <is>
          <t>VÄSTERNORRLANDS LÄN</t>
        </is>
      </c>
      <c r="E477" t="inlineStr">
        <is>
          <t>SUNDSVALL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6807-2020</t>
        </is>
      </c>
      <c r="B478" s="1" t="n">
        <v>43867</v>
      </c>
      <c r="C478" s="1" t="n">
        <v>45348</v>
      </c>
      <c r="D478" t="inlineStr">
        <is>
          <t>VÄSTERNORRLANDS LÄN</t>
        </is>
      </c>
      <c r="E478" t="inlineStr">
        <is>
          <t>SUNDSVALL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7497-2020</t>
        </is>
      </c>
      <c r="B479" s="1" t="n">
        <v>43871</v>
      </c>
      <c r="C479" s="1" t="n">
        <v>45348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7502-2020</t>
        </is>
      </c>
      <c r="B480" s="1" t="n">
        <v>43871</v>
      </c>
      <c r="C480" s="1" t="n">
        <v>45348</v>
      </c>
      <c r="D480" t="inlineStr">
        <is>
          <t>VÄSTERNORRLANDS LÄN</t>
        </is>
      </c>
      <c r="E480" t="inlineStr">
        <is>
          <t>SUNDSVALL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7499-2020</t>
        </is>
      </c>
      <c r="B481" s="1" t="n">
        <v>43871</v>
      </c>
      <c r="C481" s="1" t="n">
        <v>45348</v>
      </c>
      <c r="D481" t="inlineStr">
        <is>
          <t>VÄSTERNORRLANDS LÄN</t>
        </is>
      </c>
      <c r="E481" t="inlineStr">
        <is>
          <t>SUNDSVALL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7505-2020</t>
        </is>
      </c>
      <c r="B482" s="1" t="n">
        <v>43871</v>
      </c>
      <c r="C482" s="1" t="n">
        <v>45348</v>
      </c>
      <c r="D482" t="inlineStr">
        <is>
          <t>VÄSTERNORRLANDS LÄN</t>
        </is>
      </c>
      <c r="E482" t="inlineStr">
        <is>
          <t>SUNDSVALL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7501-2020</t>
        </is>
      </c>
      <c r="B483" s="1" t="n">
        <v>43871</v>
      </c>
      <c r="C483" s="1" t="n">
        <v>45348</v>
      </c>
      <c r="D483" t="inlineStr">
        <is>
          <t>VÄSTERNORRLANDS LÄN</t>
        </is>
      </c>
      <c r="E483" t="inlineStr">
        <is>
          <t>SUNDSVALL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7498-2020</t>
        </is>
      </c>
      <c r="B484" s="1" t="n">
        <v>43871</v>
      </c>
      <c r="C484" s="1" t="n">
        <v>45348</v>
      </c>
      <c r="D484" t="inlineStr">
        <is>
          <t>VÄSTERNORRLANDS LÄN</t>
        </is>
      </c>
      <c r="E484" t="inlineStr">
        <is>
          <t>SUNDSVALL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7503-2020</t>
        </is>
      </c>
      <c r="B485" s="1" t="n">
        <v>43871</v>
      </c>
      <c r="C485" s="1" t="n">
        <v>45348</v>
      </c>
      <c r="D485" t="inlineStr">
        <is>
          <t>VÄSTERNORRLANDS LÄN</t>
        </is>
      </c>
      <c r="E485" t="inlineStr">
        <is>
          <t>SUNDSVALL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7961-2020</t>
        </is>
      </c>
      <c r="B486" s="1" t="n">
        <v>43873</v>
      </c>
      <c r="C486" s="1" t="n">
        <v>45348</v>
      </c>
      <c r="D486" t="inlineStr">
        <is>
          <t>VÄSTERNORRLANDS LÄN</t>
        </is>
      </c>
      <c r="E486" t="inlineStr">
        <is>
          <t>SUNDSVALL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7944-2020</t>
        </is>
      </c>
      <c r="B487" s="1" t="n">
        <v>43873</v>
      </c>
      <c r="C487" s="1" t="n">
        <v>45348</v>
      </c>
      <c r="D487" t="inlineStr">
        <is>
          <t>VÄSTERNORRLANDS LÄN</t>
        </is>
      </c>
      <c r="E487" t="inlineStr">
        <is>
          <t>SUNDSVALL</t>
        </is>
      </c>
      <c r="G487" t="n">
        <v>18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7956-2020</t>
        </is>
      </c>
      <c r="B488" s="1" t="n">
        <v>43873</v>
      </c>
      <c r="C488" s="1" t="n">
        <v>45348</v>
      </c>
      <c r="D488" t="inlineStr">
        <is>
          <t>VÄSTERNORRLANDS LÄN</t>
        </is>
      </c>
      <c r="E488" t="inlineStr">
        <is>
          <t>SUNDSVALL</t>
        </is>
      </c>
      <c r="G488" t="n">
        <v>15.3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8527-2020</t>
        </is>
      </c>
      <c r="B489" s="1" t="n">
        <v>43875</v>
      </c>
      <c r="C489" s="1" t="n">
        <v>45348</v>
      </c>
      <c r="D489" t="inlineStr">
        <is>
          <t>VÄSTERNORRLANDS LÄN</t>
        </is>
      </c>
      <c r="E489" t="inlineStr">
        <is>
          <t>SUNDSVALL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8531-2020</t>
        </is>
      </c>
      <c r="B490" s="1" t="n">
        <v>43875</v>
      </c>
      <c r="C490" s="1" t="n">
        <v>45348</v>
      </c>
      <c r="D490" t="inlineStr">
        <is>
          <t>VÄSTERNORRLANDS LÄN</t>
        </is>
      </c>
      <c r="E490" t="inlineStr">
        <is>
          <t>SUNDSVALL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8882-2020</t>
        </is>
      </c>
      <c r="B491" s="1" t="n">
        <v>43878</v>
      </c>
      <c r="C491" s="1" t="n">
        <v>45348</v>
      </c>
      <c r="D491" t="inlineStr">
        <is>
          <t>VÄSTERNORRLANDS LÄN</t>
        </is>
      </c>
      <c r="E491" t="inlineStr">
        <is>
          <t>SUNDSVALL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8924-2020</t>
        </is>
      </c>
      <c r="B492" s="1" t="n">
        <v>43878</v>
      </c>
      <c r="C492" s="1" t="n">
        <v>45348</v>
      </c>
      <c r="D492" t="inlineStr">
        <is>
          <t>VÄSTERNORRLANDS LÄN</t>
        </is>
      </c>
      <c r="E492" t="inlineStr">
        <is>
          <t>SUNDSVALL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8943-2020</t>
        </is>
      </c>
      <c r="B493" s="1" t="n">
        <v>43878</v>
      </c>
      <c r="C493" s="1" t="n">
        <v>45348</v>
      </c>
      <c r="D493" t="inlineStr">
        <is>
          <t>VÄSTERNORRLANDS LÄN</t>
        </is>
      </c>
      <c r="E493" t="inlineStr">
        <is>
          <t>SUNDSVALL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9486-2020</t>
        </is>
      </c>
      <c r="B494" s="1" t="n">
        <v>43880</v>
      </c>
      <c r="C494" s="1" t="n">
        <v>45348</v>
      </c>
      <c r="D494" t="inlineStr">
        <is>
          <t>VÄSTERNORRLANDS LÄN</t>
        </is>
      </c>
      <c r="E494" t="inlineStr">
        <is>
          <t>SUNDSVALL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9554-2020</t>
        </is>
      </c>
      <c r="B495" s="1" t="n">
        <v>43881</v>
      </c>
      <c r="C495" s="1" t="n">
        <v>45348</v>
      </c>
      <c r="D495" t="inlineStr">
        <is>
          <t>VÄSTERNORRLANDS LÄN</t>
        </is>
      </c>
      <c r="E495" t="inlineStr">
        <is>
          <t>SUNDSVALL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9837-2020</t>
        </is>
      </c>
      <c r="B496" s="1" t="n">
        <v>43881</v>
      </c>
      <c r="C496" s="1" t="n">
        <v>45348</v>
      </c>
      <c r="D496" t="inlineStr">
        <is>
          <t>VÄSTERNORRLANDS LÄN</t>
        </is>
      </c>
      <c r="E496" t="inlineStr">
        <is>
          <t>SUNDSVALL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9841-2020</t>
        </is>
      </c>
      <c r="B497" s="1" t="n">
        <v>43881</v>
      </c>
      <c r="C497" s="1" t="n">
        <v>45348</v>
      </c>
      <c r="D497" t="inlineStr">
        <is>
          <t>VÄSTERNORRLANDS LÄN</t>
        </is>
      </c>
      <c r="E497" t="inlineStr">
        <is>
          <t>SUNDSVALL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9915-2020</t>
        </is>
      </c>
      <c r="B498" s="1" t="n">
        <v>43882</v>
      </c>
      <c r="C498" s="1" t="n">
        <v>45348</v>
      </c>
      <c r="D498" t="inlineStr">
        <is>
          <t>VÄSTERNORRLANDS LÄN</t>
        </is>
      </c>
      <c r="E498" t="inlineStr">
        <is>
          <t>SUNDSVALL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10455-2020</t>
        </is>
      </c>
      <c r="B499" s="1" t="n">
        <v>43886</v>
      </c>
      <c r="C499" s="1" t="n">
        <v>45348</v>
      </c>
      <c r="D499" t="inlineStr">
        <is>
          <t>VÄSTERNORRLANDS LÄN</t>
        </is>
      </c>
      <c r="E499" t="inlineStr">
        <is>
          <t>SUNDSVALL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10456-2020</t>
        </is>
      </c>
      <c r="B500" s="1" t="n">
        <v>43886</v>
      </c>
      <c r="C500" s="1" t="n">
        <v>45348</v>
      </c>
      <c r="D500" t="inlineStr">
        <is>
          <t>VÄSTERNORRLANDS LÄN</t>
        </is>
      </c>
      <c r="E500" t="inlineStr">
        <is>
          <t>SUNDSVALL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10571-2020</t>
        </is>
      </c>
      <c r="B501" s="1" t="n">
        <v>43887</v>
      </c>
      <c r="C501" s="1" t="n">
        <v>45348</v>
      </c>
      <c r="D501" t="inlineStr">
        <is>
          <t>VÄSTERNORRLANDS LÄN</t>
        </is>
      </c>
      <c r="E501" t="inlineStr">
        <is>
          <t>SUNDSVALL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10649-2020</t>
        </is>
      </c>
      <c r="B502" s="1" t="n">
        <v>43887</v>
      </c>
      <c r="C502" s="1" t="n">
        <v>45348</v>
      </c>
      <c r="D502" t="inlineStr">
        <is>
          <t>VÄSTERNORRLANDS LÄN</t>
        </is>
      </c>
      <c r="E502" t="inlineStr">
        <is>
          <t>SUNDSVALL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10904-2020</t>
        </is>
      </c>
      <c r="B503" s="1" t="n">
        <v>43889</v>
      </c>
      <c r="C503" s="1" t="n">
        <v>45348</v>
      </c>
      <c r="D503" t="inlineStr">
        <is>
          <t>VÄSTERNORRLANDS LÄN</t>
        </is>
      </c>
      <c r="E503" t="inlineStr">
        <is>
          <t>SUNDSVALL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11426-2020</t>
        </is>
      </c>
      <c r="B504" s="1" t="n">
        <v>43892</v>
      </c>
      <c r="C504" s="1" t="n">
        <v>45348</v>
      </c>
      <c r="D504" t="inlineStr">
        <is>
          <t>VÄSTERNORRLANDS LÄN</t>
        </is>
      </c>
      <c r="E504" t="inlineStr">
        <is>
          <t>SUNDSVALL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11277-2020</t>
        </is>
      </c>
      <c r="B505" s="1" t="n">
        <v>43892</v>
      </c>
      <c r="C505" s="1" t="n">
        <v>45348</v>
      </c>
      <c r="D505" t="inlineStr">
        <is>
          <t>VÄSTERNORRLANDS LÄN</t>
        </is>
      </c>
      <c r="E505" t="inlineStr">
        <is>
          <t>SUNDSVALL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11413-2020</t>
        </is>
      </c>
      <c r="B506" s="1" t="n">
        <v>43892</v>
      </c>
      <c r="C506" s="1" t="n">
        <v>45348</v>
      </c>
      <c r="D506" t="inlineStr">
        <is>
          <t>VÄSTERNORRLANDS LÄN</t>
        </is>
      </c>
      <c r="E506" t="inlineStr">
        <is>
          <t>SUNDSVALL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11411-2020</t>
        </is>
      </c>
      <c r="B507" s="1" t="n">
        <v>43892</v>
      </c>
      <c r="C507" s="1" t="n">
        <v>45348</v>
      </c>
      <c r="D507" t="inlineStr">
        <is>
          <t>VÄSTERNORRLANDS LÄN</t>
        </is>
      </c>
      <c r="E507" t="inlineStr">
        <is>
          <t>SUNDSVALL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11427-2020</t>
        </is>
      </c>
      <c r="B508" s="1" t="n">
        <v>43892</v>
      </c>
      <c r="C508" s="1" t="n">
        <v>45348</v>
      </c>
      <c r="D508" t="inlineStr">
        <is>
          <t>VÄSTERNORRLANDS LÄN</t>
        </is>
      </c>
      <c r="E508" t="inlineStr">
        <is>
          <t>SUNDSVALL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11682-2020</t>
        </is>
      </c>
      <c r="B509" s="1" t="n">
        <v>43893</v>
      </c>
      <c r="C509" s="1" t="n">
        <v>45348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12065-2020</t>
        </is>
      </c>
      <c r="B510" s="1" t="n">
        <v>43894</v>
      </c>
      <c r="C510" s="1" t="n">
        <v>45348</v>
      </c>
      <c r="D510" t="inlineStr">
        <is>
          <t>VÄSTERNORRLANDS LÄN</t>
        </is>
      </c>
      <c r="E510" t="inlineStr">
        <is>
          <t>SUNDSVALL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12066-2020</t>
        </is>
      </c>
      <c r="B511" s="1" t="n">
        <v>43894</v>
      </c>
      <c r="C511" s="1" t="n">
        <v>45348</v>
      </c>
      <c r="D511" t="inlineStr">
        <is>
          <t>VÄSTERNORRLANDS LÄN</t>
        </is>
      </c>
      <c r="E511" t="inlineStr">
        <is>
          <t>SUNDSVALL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12336-2020</t>
        </is>
      </c>
      <c r="B512" s="1" t="n">
        <v>43895</v>
      </c>
      <c r="C512" s="1" t="n">
        <v>45348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13074-2020</t>
        </is>
      </c>
      <c r="B513" s="1" t="n">
        <v>43900</v>
      </c>
      <c r="C513" s="1" t="n">
        <v>45348</v>
      </c>
      <c r="D513" t="inlineStr">
        <is>
          <t>VÄSTERNORRLANDS LÄN</t>
        </is>
      </c>
      <c r="E513" t="inlineStr">
        <is>
          <t>SUNDSVALL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13073-2020</t>
        </is>
      </c>
      <c r="B514" s="1" t="n">
        <v>43900</v>
      </c>
      <c r="C514" s="1" t="n">
        <v>45348</v>
      </c>
      <c r="D514" t="inlineStr">
        <is>
          <t>VÄSTERNORRLANDS LÄN</t>
        </is>
      </c>
      <c r="E514" t="inlineStr">
        <is>
          <t>SUNDSVALL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13082-2020</t>
        </is>
      </c>
      <c r="B515" s="1" t="n">
        <v>43900</v>
      </c>
      <c r="C515" s="1" t="n">
        <v>45348</v>
      </c>
      <c r="D515" t="inlineStr">
        <is>
          <t>VÄSTERNORRLANDS LÄN</t>
        </is>
      </c>
      <c r="E515" t="inlineStr">
        <is>
          <t>SUNDSVALL</t>
        </is>
      </c>
      <c r="G515" t="n">
        <v>12.8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13068-2020</t>
        </is>
      </c>
      <c r="B516" s="1" t="n">
        <v>43900</v>
      </c>
      <c r="C516" s="1" t="n">
        <v>45348</v>
      </c>
      <c r="D516" t="inlineStr">
        <is>
          <t>VÄSTERNORRLANDS LÄN</t>
        </is>
      </c>
      <c r="E516" t="inlineStr">
        <is>
          <t>SUNDSVALL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13291-2020</t>
        </is>
      </c>
      <c r="B517" s="1" t="n">
        <v>43901</v>
      </c>
      <c r="C517" s="1" t="n">
        <v>45348</v>
      </c>
      <c r="D517" t="inlineStr">
        <is>
          <t>VÄSTERNORRLANDS LÄN</t>
        </is>
      </c>
      <c r="E517" t="inlineStr">
        <is>
          <t>SUNDSVALL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14330-2020</t>
        </is>
      </c>
      <c r="B518" s="1" t="n">
        <v>43907</v>
      </c>
      <c r="C518" s="1" t="n">
        <v>45348</v>
      </c>
      <c r="D518" t="inlineStr">
        <is>
          <t>VÄSTERNORRLANDS LÄN</t>
        </is>
      </c>
      <c r="E518" t="inlineStr">
        <is>
          <t>SUNDSVALL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14853-2020</t>
        </is>
      </c>
      <c r="B519" s="1" t="n">
        <v>43909</v>
      </c>
      <c r="C519" s="1" t="n">
        <v>45348</v>
      </c>
      <c r="D519" t="inlineStr">
        <is>
          <t>VÄSTERNORRLANDS LÄN</t>
        </is>
      </c>
      <c r="E519" t="inlineStr">
        <is>
          <t>SUNDSVALL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15098-2020</t>
        </is>
      </c>
      <c r="B520" s="1" t="n">
        <v>43910</v>
      </c>
      <c r="C520" s="1" t="n">
        <v>45348</v>
      </c>
      <c r="D520" t="inlineStr">
        <is>
          <t>VÄSTERNORRLANDS LÄN</t>
        </is>
      </c>
      <c r="E520" t="inlineStr">
        <is>
          <t>SUNDSVALL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15215-2020</t>
        </is>
      </c>
      <c r="B521" s="1" t="n">
        <v>43913</v>
      </c>
      <c r="C521" s="1" t="n">
        <v>45348</v>
      </c>
      <c r="D521" t="inlineStr">
        <is>
          <t>VÄSTERNORRLANDS LÄN</t>
        </is>
      </c>
      <c r="E521" t="inlineStr">
        <is>
          <t>SUNDSVALL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15267-2020</t>
        </is>
      </c>
      <c r="B522" s="1" t="n">
        <v>43913</v>
      </c>
      <c r="C522" s="1" t="n">
        <v>45348</v>
      </c>
      <c r="D522" t="inlineStr">
        <is>
          <t>VÄSTERNORRLANDS LÄN</t>
        </is>
      </c>
      <c r="E522" t="inlineStr">
        <is>
          <t>SUNDSVALL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15639-2020</t>
        </is>
      </c>
      <c r="B523" s="1" t="n">
        <v>43914</v>
      </c>
      <c r="C523" s="1" t="n">
        <v>45348</v>
      </c>
      <c r="D523" t="inlineStr">
        <is>
          <t>VÄSTERNORRLANDS LÄN</t>
        </is>
      </c>
      <c r="E523" t="inlineStr">
        <is>
          <t>SUNDSVALL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15640-2020</t>
        </is>
      </c>
      <c r="B524" s="1" t="n">
        <v>43914</v>
      </c>
      <c r="C524" s="1" t="n">
        <v>45348</v>
      </c>
      <c r="D524" t="inlineStr">
        <is>
          <t>VÄSTERNORRLANDS LÄN</t>
        </is>
      </c>
      <c r="E524" t="inlineStr">
        <is>
          <t>SUNDSVALL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15890-2020</t>
        </is>
      </c>
      <c r="B525" s="1" t="n">
        <v>43915</v>
      </c>
      <c r="C525" s="1" t="n">
        <v>45348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15892-2020</t>
        </is>
      </c>
      <c r="B526" s="1" t="n">
        <v>43915</v>
      </c>
      <c r="C526" s="1" t="n">
        <v>45348</v>
      </c>
      <c r="D526" t="inlineStr">
        <is>
          <t>VÄSTERNORRLANDS LÄN</t>
        </is>
      </c>
      <c r="E526" t="inlineStr">
        <is>
          <t>SUNDSVALL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15726-2020</t>
        </is>
      </c>
      <c r="B527" s="1" t="n">
        <v>43915</v>
      </c>
      <c r="C527" s="1" t="n">
        <v>45348</v>
      </c>
      <c r="D527" t="inlineStr">
        <is>
          <t>VÄSTERNORRLANDS LÄN</t>
        </is>
      </c>
      <c r="E527" t="inlineStr">
        <is>
          <t>SUNDSVALL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16166-2020</t>
        </is>
      </c>
      <c r="B528" s="1" t="n">
        <v>43916</v>
      </c>
      <c r="C528" s="1" t="n">
        <v>45348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16165-2020</t>
        </is>
      </c>
      <c r="B529" s="1" t="n">
        <v>43916</v>
      </c>
      <c r="C529" s="1" t="n">
        <v>45348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16167-2020</t>
        </is>
      </c>
      <c r="B530" s="1" t="n">
        <v>43916</v>
      </c>
      <c r="C530" s="1" t="n">
        <v>45348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16947-2020</t>
        </is>
      </c>
      <c r="B531" s="1" t="n">
        <v>43921</v>
      </c>
      <c r="C531" s="1" t="n">
        <v>45348</v>
      </c>
      <c r="D531" t="inlineStr">
        <is>
          <t>VÄSTERNORRLANDS LÄN</t>
        </is>
      </c>
      <c r="E531" t="inlineStr">
        <is>
          <t>SUNDSVALL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17691-2020</t>
        </is>
      </c>
      <c r="B532" s="1" t="n">
        <v>43923</v>
      </c>
      <c r="C532" s="1" t="n">
        <v>45348</v>
      </c>
      <c r="D532" t="inlineStr">
        <is>
          <t>VÄSTERNORRLANDS LÄN</t>
        </is>
      </c>
      <c r="E532" t="inlineStr">
        <is>
          <t>SUNDSVALL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19034-2020</t>
        </is>
      </c>
      <c r="B533" s="1" t="n">
        <v>43936</v>
      </c>
      <c r="C533" s="1" t="n">
        <v>45348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Kommuner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19074-2020</t>
        </is>
      </c>
      <c r="B534" s="1" t="n">
        <v>43936</v>
      </c>
      <c r="C534" s="1" t="n">
        <v>45348</v>
      </c>
      <c r="D534" t="inlineStr">
        <is>
          <t>VÄSTERNORRLANDS LÄN</t>
        </is>
      </c>
      <c r="E534" t="inlineStr">
        <is>
          <t>SUNDSVALL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19727-2020</t>
        </is>
      </c>
      <c r="B535" s="1" t="n">
        <v>43942</v>
      </c>
      <c r="C535" s="1" t="n">
        <v>45348</v>
      </c>
      <c r="D535" t="inlineStr">
        <is>
          <t>VÄSTERNORRLANDS LÄN</t>
        </is>
      </c>
      <c r="E535" t="inlineStr">
        <is>
          <t>SUNDSVALL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19726-2020</t>
        </is>
      </c>
      <c r="B536" s="1" t="n">
        <v>43941</v>
      </c>
      <c r="C536" s="1" t="n">
        <v>45348</v>
      </c>
      <c r="D536" t="inlineStr">
        <is>
          <t>VÄSTERNORRLANDS LÄN</t>
        </is>
      </c>
      <c r="E536" t="inlineStr">
        <is>
          <t>SUNDSVALL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19724-2020</t>
        </is>
      </c>
      <c r="B537" s="1" t="n">
        <v>43941</v>
      </c>
      <c r="C537" s="1" t="n">
        <v>45348</v>
      </c>
      <c r="D537" t="inlineStr">
        <is>
          <t>VÄSTERNORRLANDS LÄN</t>
        </is>
      </c>
      <c r="E537" t="inlineStr">
        <is>
          <t>SUNDSVALL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20082-2020</t>
        </is>
      </c>
      <c r="B538" s="1" t="n">
        <v>43943</v>
      </c>
      <c r="C538" s="1" t="n">
        <v>45348</v>
      </c>
      <c r="D538" t="inlineStr">
        <is>
          <t>VÄSTERNORRLANDS LÄN</t>
        </is>
      </c>
      <c r="E538" t="inlineStr">
        <is>
          <t>SUNDSVALL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20090-2020</t>
        </is>
      </c>
      <c r="B539" s="1" t="n">
        <v>43943</v>
      </c>
      <c r="C539" s="1" t="n">
        <v>45348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20623-2020</t>
        </is>
      </c>
      <c r="B540" s="1" t="n">
        <v>43948</v>
      </c>
      <c r="C540" s="1" t="n">
        <v>45348</v>
      </c>
      <c r="D540" t="inlineStr">
        <is>
          <t>VÄSTERNORRLANDS LÄN</t>
        </is>
      </c>
      <c r="E540" t="inlineStr">
        <is>
          <t>SUNDSVALL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21411-2020</t>
        </is>
      </c>
      <c r="B541" s="1" t="n">
        <v>43955</v>
      </c>
      <c r="C541" s="1" t="n">
        <v>45348</v>
      </c>
      <c r="D541" t="inlineStr">
        <is>
          <t>VÄSTERNORRLANDS LÄN</t>
        </is>
      </c>
      <c r="E541" t="inlineStr">
        <is>
          <t>SUNDSVALL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21358-2020</t>
        </is>
      </c>
      <c r="B542" s="1" t="n">
        <v>43955</v>
      </c>
      <c r="C542" s="1" t="n">
        <v>45348</v>
      </c>
      <c r="D542" t="inlineStr">
        <is>
          <t>VÄSTERNORRLANDS LÄN</t>
        </is>
      </c>
      <c r="E542" t="inlineStr">
        <is>
          <t>SUNDSVALL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21600-2020</t>
        </is>
      </c>
      <c r="B543" s="1" t="n">
        <v>43957</v>
      </c>
      <c r="C543" s="1" t="n">
        <v>45348</v>
      </c>
      <c r="D543" t="inlineStr">
        <is>
          <t>VÄSTERNORRLANDS LÄN</t>
        </is>
      </c>
      <c r="E543" t="inlineStr">
        <is>
          <t>SUNDSVALL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22101-2020</t>
        </is>
      </c>
      <c r="B544" s="1" t="n">
        <v>43959</v>
      </c>
      <c r="C544" s="1" t="n">
        <v>45348</v>
      </c>
      <c r="D544" t="inlineStr">
        <is>
          <t>VÄSTERNORRLANDS LÄN</t>
        </is>
      </c>
      <c r="E544" t="inlineStr">
        <is>
          <t>SUNDSVALL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22097-2020</t>
        </is>
      </c>
      <c r="B545" s="1" t="n">
        <v>43960</v>
      </c>
      <c r="C545" s="1" t="n">
        <v>45348</v>
      </c>
      <c r="D545" t="inlineStr">
        <is>
          <t>VÄSTERNORRLANDS LÄN</t>
        </is>
      </c>
      <c r="E545" t="inlineStr">
        <is>
          <t>SUNDSVALL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23283-2020</t>
        </is>
      </c>
      <c r="B546" s="1" t="n">
        <v>43965</v>
      </c>
      <c r="C546" s="1" t="n">
        <v>45348</v>
      </c>
      <c r="D546" t="inlineStr">
        <is>
          <t>VÄSTERNORRLANDS LÄN</t>
        </is>
      </c>
      <c r="E546" t="inlineStr">
        <is>
          <t>SUNDSVALL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23210-2020</t>
        </is>
      </c>
      <c r="B547" s="1" t="n">
        <v>43966</v>
      </c>
      <c r="C547" s="1" t="n">
        <v>45348</v>
      </c>
      <c r="D547" t="inlineStr">
        <is>
          <t>VÄSTERNORRLANDS LÄN</t>
        </is>
      </c>
      <c r="E547" t="inlineStr">
        <is>
          <t>SUNDSVALL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23587-2020</t>
        </is>
      </c>
      <c r="B548" s="1" t="n">
        <v>43969</v>
      </c>
      <c r="C548" s="1" t="n">
        <v>45348</v>
      </c>
      <c r="D548" t="inlineStr">
        <is>
          <t>VÄSTERNORRLANDS LÄN</t>
        </is>
      </c>
      <c r="E548" t="inlineStr">
        <is>
          <t>SUNDSVALL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23641-2020</t>
        </is>
      </c>
      <c r="B549" s="1" t="n">
        <v>43969</v>
      </c>
      <c r="C549" s="1" t="n">
        <v>45348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23642-2020</t>
        </is>
      </c>
      <c r="B550" s="1" t="n">
        <v>43969</v>
      </c>
      <c r="C550" s="1" t="n">
        <v>45348</v>
      </c>
      <c r="D550" t="inlineStr">
        <is>
          <t>VÄSTERNORRLANDS LÄN</t>
        </is>
      </c>
      <c r="E550" t="inlineStr">
        <is>
          <t>SUNDSVALL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24494-2020</t>
        </is>
      </c>
      <c r="B551" s="1" t="n">
        <v>43976</v>
      </c>
      <c r="C551" s="1" t="n">
        <v>45348</v>
      </c>
      <c r="D551" t="inlineStr">
        <is>
          <t>VÄSTERNORRLANDS LÄN</t>
        </is>
      </c>
      <c r="E551" t="inlineStr">
        <is>
          <t>SUNDSVALL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24662-2020</t>
        </is>
      </c>
      <c r="B552" s="1" t="n">
        <v>43977</v>
      </c>
      <c r="C552" s="1" t="n">
        <v>45348</v>
      </c>
      <c r="D552" t="inlineStr">
        <is>
          <t>VÄSTERNORRLANDS LÄN</t>
        </is>
      </c>
      <c r="E552" t="inlineStr">
        <is>
          <t>SUNDSVALL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25217-2020</t>
        </is>
      </c>
      <c r="B553" s="1" t="n">
        <v>43980</v>
      </c>
      <c r="C553" s="1" t="n">
        <v>45348</v>
      </c>
      <c r="D553" t="inlineStr">
        <is>
          <t>VÄSTERNORRLANDS LÄN</t>
        </is>
      </c>
      <c r="E553" t="inlineStr">
        <is>
          <t>SUNDSVALL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26613-2020</t>
        </is>
      </c>
      <c r="B554" s="1" t="n">
        <v>43987</v>
      </c>
      <c r="C554" s="1" t="n">
        <v>45348</v>
      </c>
      <c r="D554" t="inlineStr">
        <is>
          <t>VÄSTERNORRLANDS LÄN</t>
        </is>
      </c>
      <c r="E554" t="inlineStr">
        <is>
          <t>SUNDSVALL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26962-2020</t>
        </is>
      </c>
      <c r="B555" s="1" t="n">
        <v>43990</v>
      </c>
      <c r="C555" s="1" t="n">
        <v>45348</v>
      </c>
      <c r="D555" t="inlineStr">
        <is>
          <t>VÄSTERNORRLANDS LÄN</t>
        </is>
      </c>
      <c r="E555" t="inlineStr">
        <is>
          <t>SUNDSVALL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27195-2020</t>
        </is>
      </c>
      <c r="B556" s="1" t="n">
        <v>43991</v>
      </c>
      <c r="C556" s="1" t="n">
        <v>45348</v>
      </c>
      <c r="D556" t="inlineStr">
        <is>
          <t>VÄSTERNORRLANDS LÄN</t>
        </is>
      </c>
      <c r="E556" t="inlineStr">
        <is>
          <t>SUNDSVALL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27274-2020</t>
        </is>
      </c>
      <c r="B557" s="1" t="n">
        <v>43992</v>
      </c>
      <c r="C557" s="1" t="n">
        <v>45348</v>
      </c>
      <c r="D557" t="inlineStr">
        <is>
          <t>VÄSTERNORRLANDS LÄN</t>
        </is>
      </c>
      <c r="E557" t="inlineStr">
        <is>
          <t>SUNDSVALL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27551-2020</t>
        </is>
      </c>
      <c r="B558" s="1" t="n">
        <v>43993</v>
      </c>
      <c r="C558" s="1" t="n">
        <v>45348</v>
      </c>
      <c r="D558" t="inlineStr">
        <is>
          <t>VÄSTERNORRLANDS LÄN</t>
        </is>
      </c>
      <c r="E558" t="inlineStr">
        <is>
          <t>SUNDSVALL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27992-2020</t>
        </is>
      </c>
      <c r="B559" s="1" t="n">
        <v>43997</v>
      </c>
      <c r="C559" s="1" t="n">
        <v>45348</v>
      </c>
      <c r="D559" t="inlineStr">
        <is>
          <t>VÄSTERNORRLANDS LÄN</t>
        </is>
      </c>
      <c r="E559" t="inlineStr">
        <is>
          <t>SUNDSVALL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28220-2020</t>
        </is>
      </c>
      <c r="B560" s="1" t="n">
        <v>43997</v>
      </c>
      <c r="C560" s="1" t="n">
        <v>45348</v>
      </c>
      <c r="D560" t="inlineStr">
        <is>
          <t>VÄSTERNORRLANDS LÄN</t>
        </is>
      </c>
      <c r="E560" t="inlineStr">
        <is>
          <t>SUNDSVALL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28559-2020</t>
        </is>
      </c>
      <c r="B561" s="1" t="n">
        <v>43997</v>
      </c>
      <c r="C561" s="1" t="n">
        <v>45348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28222-2020</t>
        </is>
      </c>
      <c r="B562" s="1" t="n">
        <v>43997</v>
      </c>
      <c r="C562" s="1" t="n">
        <v>45348</v>
      </c>
      <c r="D562" t="inlineStr">
        <is>
          <t>VÄSTERNORRLANDS LÄN</t>
        </is>
      </c>
      <c r="E562" t="inlineStr">
        <is>
          <t>SUNDSVALL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28218-2020</t>
        </is>
      </c>
      <c r="B563" s="1" t="n">
        <v>43997</v>
      </c>
      <c r="C563" s="1" t="n">
        <v>45348</v>
      </c>
      <c r="D563" t="inlineStr">
        <is>
          <t>VÄSTERNORRLANDS LÄN</t>
        </is>
      </c>
      <c r="E563" t="inlineStr">
        <is>
          <t>SUNDSVALL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28655-2020</t>
        </is>
      </c>
      <c r="B564" s="1" t="n">
        <v>43999</v>
      </c>
      <c r="C564" s="1" t="n">
        <v>45348</v>
      </c>
      <c r="D564" t="inlineStr">
        <is>
          <t>VÄSTERNORRLANDS LÄN</t>
        </is>
      </c>
      <c r="E564" t="inlineStr">
        <is>
          <t>SUNDSVALL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28727-2020</t>
        </is>
      </c>
      <c r="B565" s="1" t="n">
        <v>43999</v>
      </c>
      <c r="C565" s="1" t="n">
        <v>45348</v>
      </c>
      <c r="D565" t="inlineStr">
        <is>
          <t>VÄSTERNORRLANDS LÄN</t>
        </is>
      </c>
      <c r="E565" t="inlineStr">
        <is>
          <t>SUNDSVALL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28724-2020</t>
        </is>
      </c>
      <c r="B566" s="1" t="n">
        <v>43999</v>
      </c>
      <c r="C566" s="1" t="n">
        <v>45348</v>
      </c>
      <c r="D566" t="inlineStr">
        <is>
          <t>VÄSTERNORRLANDS LÄN</t>
        </is>
      </c>
      <c r="E566" t="inlineStr">
        <is>
          <t>SUNDSVALL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29059-2020</t>
        </is>
      </c>
      <c r="B567" s="1" t="n">
        <v>44000</v>
      </c>
      <c r="C567" s="1" t="n">
        <v>45348</v>
      </c>
      <c r="D567" t="inlineStr">
        <is>
          <t>VÄSTERNORRLANDS LÄN</t>
        </is>
      </c>
      <c r="E567" t="inlineStr">
        <is>
          <t>SUNDSVALL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29189-2020</t>
        </is>
      </c>
      <c r="B568" s="1" t="n">
        <v>44004</v>
      </c>
      <c r="C568" s="1" t="n">
        <v>45348</v>
      </c>
      <c r="D568" t="inlineStr">
        <is>
          <t>VÄSTERNORRLANDS LÄN</t>
        </is>
      </c>
      <c r="E568" t="inlineStr">
        <is>
          <t>SUNDSVALL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29777-2020</t>
        </is>
      </c>
      <c r="B569" s="1" t="n">
        <v>44005</v>
      </c>
      <c r="C569" s="1" t="n">
        <v>45348</v>
      </c>
      <c r="D569" t="inlineStr">
        <is>
          <t>VÄSTERNORRLANDS LÄN</t>
        </is>
      </c>
      <c r="E569" t="inlineStr">
        <is>
          <t>SUNDSVALL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29784-2020</t>
        </is>
      </c>
      <c r="B570" s="1" t="n">
        <v>44005</v>
      </c>
      <c r="C570" s="1" t="n">
        <v>45348</v>
      </c>
      <c r="D570" t="inlineStr">
        <is>
          <t>VÄSTERNORRLANDS LÄN</t>
        </is>
      </c>
      <c r="E570" t="inlineStr">
        <is>
          <t>SUNDSVALL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29906-2020</t>
        </is>
      </c>
      <c r="B571" s="1" t="n">
        <v>44006</v>
      </c>
      <c r="C571" s="1" t="n">
        <v>45348</v>
      </c>
      <c r="D571" t="inlineStr">
        <is>
          <t>VÄSTERNORRLANDS LÄN</t>
        </is>
      </c>
      <c r="E571" t="inlineStr">
        <is>
          <t>SUNDSVALL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30685-2020</t>
        </is>
      </c>
      <c r="B572" s="1" t="n">
        <v>44008</v>
      </c>
      <c r="C572" s="1" t="n">
        <v>45348</v>
      </c>
      <c r="D572" t="inlineStr">
        <is>
          <t>VÄSTERNORRLANDS LÄN</t>
        </is>
      </c>
      <c r="E572" t="inlineStr">
        <is>
          <t>SUNDSVALL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31586-2020</t>
        </is>
      </c>
      <c r="B573" s="1" t="n">
        <v>44013</v>
      </c>
      <c r="C573" s="1" t="n">
        <v>45348</v>
      </c>
      <c r="D573" t="inlineStr">
        <is>
          <t>VÄSTERNORRLANDS LÄN</t>
        </is>
      </c>
      <c r="E573" t="inlineStr">
        <is>
          <t>SUNDSVALL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31965-2020</t>
        </is>
      </c>
      <c r="B574" s="1" t="n">
        <v>44014</v>
      </c>
      <c r="C574" s="1" t="n">
        <v>45348</v>
      </c>
      <c r="D574" t="inlineStr">
        <is>
          <t>VÄSTERNORRLANDS LÄN</t>
        </is>
      </c>
      <c r="E574" t="inlineStr">
        <is>
          <t>SUNDSVALL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31984-2020</t>
        </is>
      </c>
      <c r="B575" s="1" t="n">
        <v>44014</v>
      </c>
      <c r="C575" s="1" t="n">
        <v>45348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32425-2020</t>
        </is>
      </c>
      <c r="B576" s="1" t="n">
        <v>44018</v>
      </c>
      <c r="C576" s="1" t="n">
        <v>45348</v>
      </c>
      <c r="D576" t="inlineStr">
        <is>
          <t>VÄSTERNORRLANDS LÄN</t>
        </is>
      </c>
      <c r="E576" t="inlineStr">
        <is>
          <t>SUNDSVALL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32646-2020</t>
        </is>
      </c>
      <c r="B577" s="1" t="n">
        <v>44018</v>
      </c>
      <c r="C577" s="1" t="n">
        <v>45348</v>
      </c>
      <c r="D577" t="inlineStr">
        <is>
          <t>VÄSTERNORRLANDS LÄN</t>
        </is>
      </c>
      <c r="E577" t="inlineStr">
        <is>
          <t>SUNDSVALL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32998-2020</t>
        </is>
      </c>
      <c r="B578" s="1" t="n">
        <v>44020</v>
      </c>
      <c r="C578" s="1" t="n">
        <v>45348</v>
      </c>
      <c r="D578" t="inlineStr">
        <is>
          <t>VÄSTERNORRLANDS LÄN</t>
        </is>
      </c>
      <c r="E578" t="inlineStr">
        <is>
          <t>SUNDSVALL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32997-2020</t>
        </is>
      </c>
      <c r="B579" s="1" t="n">
        <v>44021</v>
      </c>
      <c r="C579" s="1" t="n">
        <v>45348</v>
      </c>
      <c r="D579" t="inlineStr">
        <is>
          <t>VÄSTERNORRLANDS LÄN</t>
        </is>
      </c>
      <c r="E579" t="inlineStr">
        <is>
          <t>SUNDSVALL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33877-2020</t>
        </is>
      </c>
      <c r="B580" s="1" t="n">
        <v>44025</v>
      </c>
      <c r="C580" s="1" t="n">
        <v>45348</v>
      </c>
      <c r="D580" t="inlineStr">
        <is>
          <t>VÄSTERNORRLANDS LÄN</t>
        </is>
      </c>
      <c r="E580" t="inlineStr">
        <is>
          <t>SUNDSVALL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33779-2020</t>
        </is>
      </c>
      <c r="B581" s="1" t="n">
        <v>44026</v>
      </c>
      <c r="C581" s="1" t="n">
        <v>45348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34568-2020</t>
        </is>
      </c>
      <c r="B582" s="1" t="n">
        <v>44033</v>
      </c>
      <c r="C582" s="1" t="n">
        <v>45348</v>
      </c>
      <c r="D582" t="inlineStr">
        <is>
          <t>VÄSTERNORRLANDS LÄN</t>
        </is>
      </c>
      <c r="E582" t="inlineStr">
        <is>
          <t>SUNDSVALL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34655-2020</t>
        </is>
      </c>
      <c r="B583" s="1" t="n">
        <v>44034</v>
      </c>
      <c r="C583" s="1" t="n">
        <v>45348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39.1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34656-2020</t>
        </is>
      </c>
      <c r="B584" s="1" t="n">
        <v>44034</v>
      </c>
      <c r="C584" s="1" t="n">
        <v>45348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34781-2020</t>
        </is>
      </c>
      <c r="B585" s="1" t="n">
        <v>44035</v>
      </c>
      <c r="C585" s="1" t="n">
        <v>45348</v>
      </c>
      <c r="D585" t="inlineStr">
        <is>
          <t>VÄSTERNORRLANDS LÄN</t>
        </is>
      </c>
      <c r="E585" t="inlineStr">
        <is>
          <t>SUNDSVALL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34779-2020</t>
        </is>
      </c>
      <c r="B586" s="1" t="n">
        <v>44035</v>
      </c>
      <c r="C586" s="1" t="n">
        <v>45348</v>
      </c>
      <c r="D586" t="inlineStr">
        <is>
          <t>VÄSTERNORRLANDS LÄN</t>
        </is>
      </c>
      <c r="E586" t="inlineStr">
        <is>
          <t>SUNDSVALL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34780-2020</t>
        </is>
      </c>
      <c r="B587" s="1" t="n">
        <v>44035</v>
      </c>
      <c r="C587" s="1" t="n">
        <v>45348</v>
      </c>
      <c r="D587" t="inlineStr">
        <is>
          <t>VÄSTERNORRLANDS LÄN</t>
        </is>
      </c>
      <c r="E587" t="inlineStr">
        <is>
          <t>SUNDSVALL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35211-2020</t>
        </is>
      </c>
      <c r="B588" s="1" t="n">
        <v>44040</v>
      </c>
      <c r="C588" s="1" t="n">
        <v>45348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35596-2020</t>
        </is>
      </c>
      <c r="B589" s="1" t="n">
        <v>44043</v>
      </c>
      <c r="C589" s="1" t="n">
        <v>45348</v>
      </c>
      <c r="D589" t="inlineStr">
        <is>
          <t>VÄSTERNORRLANDS LÄN</t>
        </is>
      </c>
      <c r="E589" t="inlineStr">
        <is>
          <t>SUNDSVALL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36020-2020</t>
        </is>
      </c>
      <c r="B590" s="1" t="n">
        <v>44047</v>
      </c>
      <c r="C590" s="1" t="n">
        <v>45348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36448-2020</t>
        </is>
      </c>
      <c r="B591" s="1" t="n">
        <v>44049</v>
      </c>
      <c r="C591" s="1" t="n">
        <v>45348</v>
      </c>
      <c r="D591" t="inlineStr">
        <is>
          <t>VÄSTERNORRLANDS LÄN</t>
        </is>
      </c>
      <c r="E591" t="inlineStr">
        <is>
          <t>SUNDSVALL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36645-2020</t>
        </is>
      </c>
      <c r="B592" s="1" t="n">
        <v>44050</v>
      </c>
      <c r="C592" s="1" t="n">
        <v>45348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36673-2020</t>
        </is>
      </c>
      <c r="B593" s="1" t="n">
        <v>44050</v>
      </c>
      <c r="C593" s="1" t="n">
        <v>45348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37233-2020</t>
        </is>
      </c>
      <c r="B594" s="1" t="n">
        <v>44054</v>
      </c>
      <c r="C594" s="1" t="n">
        <v>45348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38096-2020</t>
        </is>
      </c>
      <c r="B595" s="1" t="n">
        <v>44057</v>
      </c>
      <c r="C595" s="1" t="n">
        <v>45348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Naturvårdsverket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38091-2020</t>
        </is>
      </c>
      <c r="B596" s="1" t="n">
        <v>44057</v>
      </c>
      <c r="C596" s="1" t="n">
        <v>45348</v>
      </c>
      <c r="D596" t="inlineStr">
        <is>
          <t>VÄSTERNORRLANDS LÄN</t>
        </is>
      </c>
      <c r="E596" t="inlineStr">
        <is>
          <t>SUNDSVALL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38754-2020</t>
        </is>
      </c>
      <c r="B597" s="1" t="n">
        <v>44061</v>
      </c>
      <c r="C597" s="1" t="n">
        <v>45348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38852-2020</t>
        </is>
      </c>
      <c r="B598" s="1" t="n">
        <v>44062</v>
      </c>
      <c r="C598" s="1" t="n">
        <v>45348</v>
      </c>
      <c r="D598" t="inlineStr">
        <is>
          <t>VÄSTERNORRLANDS LÄN</t>
        </is>
      </c>
      <c r="E598" t="inlineStr">
        <is>
          <t>SUNDSVALL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38858-2020</t>
        </is>
      </c>
      <c r="B599" s="1" t="n">
        <v>44062</v>
      </c>
      <c r="C599" s="1" t="n">
        <v>45348</v>
      </c>
      <c r="D599" t="inlineStr">
        <is>
          <t>VÄSTERNORRLANDS LÄN</t>
        </is>
      </c>
      <c r="E599" t="inlineStr">
        <is>
          <t>SUNDSVALL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38863-2020</t>
        </is>
      </c>
      <c r="B600" s="1" t="n">
        <v>44062</v>
      </c>
      <c r="C600" s="1" t="n">
        <v>45348</v>
      </c>
      <c r="D600" t="inlineStr">
        <is>
          <t>VÄSTERNORRLANDS LÄN</t>
        </is>
      </c>
      <c r="E600" t="inlineStr">
        <is>
          <t>SUNDSVALL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39756-2020</t>
        </is>
      </c>
      <c r="B601" s="1" t="n">
        <v>44067</v>
      </c>
      <c r="C601" s="1" t="n">
        <v>45348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40554-2020</t>
        </is>
      </c>
      <c r="B602" s="1" t="n">
        <v>44069</v>
      </c>
      <c r="C602" s="1" t="n">
        <v>45348</v>
      </c>
      <c r="D602" t="inlineStr">
        <is>
          <t>VÄSTERNORRLANDS LÄN</t>
        </is>
      </c>
      <c r="E602" t="inlineStr">
        <is>
          <t>SUNDSVALL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41030-2020</t>
        </is>
      </c>
      <c r="B603" s="1" t="n">
        <v>44070</v>
      </c>
      <c r="C603" s="1" t="n">
        <v>45348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41335-2020</t>
        </is>
      </c>
      <c r="B604" s="1" t="n">
        <v>44071</v>
      </c>
      <c r="C604" s="1" t="n">
        <v>45348</v>
      </c>
      <c r="D604" t="inlineStr">
        <is>
          <t>VÄSTERNORRLANDS LÄN</t>
        </is>
      </c>
      <c r="E604" t="inlineStr">
        <is>
          <t>SUNDSVALL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41351-2020</t>
        </is>
      </c>
      <c r="B605" s="1" t="n">
        <v>44071</v>
      </c>
      <c r="C605" s="1" t="n">
        <v>45348</v>
      </c>
      <c r="D605" t="inlineStr">
        <is>
          <t>VÄSTERNORRLANDS LÄN</t>
        </is>
      </c>
      <c r="E605" t="inlineStr">
        <is>
          <t>SUNDSVALL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42099-2020</t>
        </is>
      </c>
      <c r="B606" s="1" t="n">
        <v>44074</v>
      </c>
      <c r="C606" s="1" t="n">
        <v>45348</v>
      </c>
      <c r="D606" t="inlineStr">
        <is>
          <t>VÄSTERNORRLANDS LÄN</t>
        </is>
      </c>
      <c r="E606" t="inlineStr">
        <is>
          <t>SUNDSVALL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42155-2020</t>
        </is>
      </c>
      <c r="B607" s="1" t="n">
        <v>44074</v>
      </c>
      <c r="C607" s="1" t="n">
        <v>45348</v>
      </c>
      <c r="D607" t="inlineStr">
        <is>
          <t>VÄSTERNORRLANDS LÄN</t>
        </is>
      </c>
      <c r="E607" t="inlineStr">
        <is>
          <t>SUNDSVALL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43299-2020</t>
        </is>
      </c>
      <c r="B608" s="1" t="n">
        <v>44081</v>
      </c>
      <c r="C608" s="1" t="n">
        <v>45348</v>
      </c>
      <c r="D608" t="inlineStr">
        <is>
          <t>VÄSTERNORRLANDS LÄN</t>
        </is>
      </c>
      <c r="E608" t="inlineStr">
        <is>
          <t>SUNDSVALL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44210-2020</t>
        </is>
      </c>
      <c r="B609" s="1" t="n">
        <v>44083</v>
      </c>
      <c r="C609" s="1" t="n">
        <v>45348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45053-2020</t>
        </is>
      </c>
      <c r="B610" s="1" t="n">
        <v>44084</v>
      </c>
      <c r="C610" s="1" t="n">
        <v>45348</v>
      </c>
      <c r="D610" t="inlineStr">
        <is>
          <t>VÄSTERNORRLANDS LÄN</t>
        </is>
      </c>
      <c r="E610" t="inlineStr">
        <is>
          <t>SUNDSVALL</t>
        </is>
      </c>
      <c r="G610" t="n">
        <v>16.6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44599-2020</t>
        </is>
      </c>
      <c r="B611" s="1" t="n">
        <v>44085</v>
      </c>
      <c r="C611" s="1" t="n">
        <v>45348</v>
      </c>
      <c r="D611" t="inlineStr">
        <is>
          <t>VÄSTERNORRLANDS LÄN</t>
        </is>
      </c>
      <c r="E611" t="inlineStr">
        <is>
          <t>SUNDSVALL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45337-2020</t>
        </is>
      </c>
      <c r="B612" s="1" t="n">
        <v>44085</v>
      </c>
      <c r="C612" s="1" t="n">
        <v>45348</v>
      </c>
      <c r="D612" t="inlineStr">
        <is>
          <t>VÄSTERNORRLANDS LÄN</t>
        </is>
      </c>
      <c r="E612" t="inlineStr">
        <is>
          <t>SUNDSVALL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45099-2020</t>
        </is>
      </c>
      <c r="B613" s="1" t="n">
        <v>44088</v>
      </c>
      <c r="C613" s="1" t="n">
        <v>45348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45005-2020</t>
        </is>
      </c>
      <c r="B614" s="1" t="n">
        <v>44088</v>
      </c>
      <c r="C614" s="1" t="n">
        <v>45348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45233-2020</t>
        </is>
      </c>
      <c r="B615" s="1" t="n">
        <v>44088</v>
      </c>
      <c r="C615" s="1" t="n">
        <v>45348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Naturvårdsverket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45596-2020</t>
        </is>
      </c>
      <c r="B616" s="1" t="n">
        <v>44090</v>
      </c>
      <c r="C616" s="1" t="n">
        <v>45348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45829-2020</t>
        </is>
      </c>
      <c r="B617" s="1" t="n">
        <v>44090</v>
      </c>
      <c r="C617" s="1" t="n">
        <v>45348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Naturvårdsverket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45852-2020</t>
        </is>
      </c>
      <c r="B618" s="1" t="n">
        <v>44090</v>
      </c>
      <c r="C618" s="1" t="n">
        <v>45348</v>
      </c>
      <c r="D618" t="inlineStr">
        <is>
          <t>VÄSTERNORRLANDS LÄN</t>
        </is>
      </c>
      <c r="E618" t="inlineStr">
        <is>
          <t>SUNDSVALL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49273-2020</t>
        </is>
      </c>
      <c r="B619" s="1" t="n">
        <v>44105</v>
      </c>
      <c r="C619" s="1" t="n">
        <v>45348</v>
      </c>
      <c r="D619" t="inlineStr">
        <is>
          <t>VÄSTERNORRLANDS LÄN</t>
        </is>
      </c>
      <c r="E619" t="inlineStr">
        <is>
          <t>SUNDSVALL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49497-2020</t>
        </is>
      </c>
      <c r="B620" s="1" t="n">
        <v>44105</v>
      </c>
      <c r="C620" s="1" t="n">
        <v>45348</v>
      </c>
      <c r="D620" t="inlineStr">
        <is>
          <t>VÄSTERNORRLANDS LÄN</t>
        </is>
      </c>
      <c r="E620" t="inlineStr">
        <is>
          <t>SUNDSVALL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49504-2020</t>
        </is>
      </c>
      <c r="B621" s="1" t="n">
        <v>44105</v>
      </c>
      <c r="C621" s="1" t="n">
        <v>45348</v>
      </c>
      <c r="D621" t="inlineStr">
        <is>
          <t>VÄSTERNORRLANDS LÄN</t>
        </is>
      </c>
      <c r="E621" t="inlineStr">
        <is>
          <t>SUNDSVALL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49496-2020</t>
        </is>
      </c>
      <c r="B622" s="1" t="n">
        <v>44105</v>
      </c>
      <c r="C622" s="1" t="n">
        <v>45348</v>
      </c>
      <c r="D622" t="inlineStr">
        <is>
          <t>VÄSTERNORRLANDS LÄN</t>
        </is>
      </c>
      <c r="E622" t="inlineStr">
        <is>
          <t>SUNDSVALL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49503-2020</t>
        </is>
      </c>
      <c r="B623" s="1" t="n">
        <v>44105</v>
      </c>
      <c r="C623" s="1" t="n">
        <v>45348</v>
      </c>
      <c r="D623" t="inlineStr">
        <is>
          <t>VÄSTERNORRLANDS LÄN</t>
        </is>
      </c>
      <c r="E623" t="inlineStr">
        <is>
          <t>SUNDSVALL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49499-2020</t>
        </is>
      </c>
      <c r="B624" s="1" t="n">
        <v>44105</v>
      </c>
      <c r="C624" s="1" t="n">
        <v>45348</v>
      </c>
      <c r="D624" t="inlineStr">
        <is>
          <t>VÄSTERNORRLANDS LÄN</t>
        </is>
      </c>
      <c r="E624" t="inlineStr">
        <is>
          <t>SUNDSVALL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49489-2020</t>
        </is>
      </c>
      <c r="B625" s="1" t="n">
        <v>44105</v>
      </c>
      <c r="C625" s="1" t="n">
        <v>45348</v>
      </c>
      <c r="D625" t="inlineStr">
        <is>
          <t>VÄSTERNORRLANDS LÄN</t>
        </is>
      </c>
      <c r="E625" t="inlineStr">
        <is>
          <t>SUNDSVALL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49501-2020</t>
        </is>
      </c>
      <c r="B626" s="1" t="n">
        <v>44106</v>
      </c>
      <c r="C626" s="1" t="n">
        <v>45348</v>
      </c>
      <c r="D626" t="inlineStr">
        <is>
          <t>VÄSTERNORRLANDS LÄN</t>
        </is>
      </c>
      <c r="E626" t="inlineStr">
        <is>
          <t>SUNDSVALL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50151-2020</t>
        </is>
      </c>
      <c r="B627" s="1" t="n">
        <v>44109</v>
      </c>
      <c r="C627" s="1" t="n">
        <v>45348</v>
      </c>
      <c r="D627" t="inlineStr">
        <is>
          <t>VÄSTERNORRLANDS LÄN</t>
        </is>
      </c>
      <c r="E627" t="inlineStr">
        <is>
          <t>SUNDSVALL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50169-2020</t>
        </is>
      </c>
      <c r="B628" s="1" t="n">
        <v>44109</v>
      </c>
      <c r="C628" s="1" t="n">
        <v>45348</v>
      </c>
      <c r="D628" t="inlineStr">
        <is>
          <t>VÄSTERNORRLANDS LÄN</t>
        </is>
      </c>
      <c r="E628" t="inlineStr">
        <is>
          <t>SUNDSVALL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50485-2020</t>
        </is>
      </c>
      <c r="B629" s="1" t="n">
        <v>44110</v>
      </c>
      <c r="C629" s="1" t="n">
        <v>45348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Kommuner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50500-2020</t>
        </is>
      </c>
      <c r="B630" s="1" t="n">
        <v>44110</v>
      </c>
      <c r="C630" s="1" t="n">
        <v>45348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51368-2020</t>
        </is>
      </c>
      <c r="B631" s="1" t="n">
        <v>44112</v>
      </c>
      <c r="C631" s="1" t="n">
        <v>45348</v>
      </c>
      <c r="D631" t="inlineStr">
        <is>
          <t>VÄSTERNORRLANDS LÄN</t>
        </is>
      </c>
      <c r="E631" t="inlineStr">
        <is>
          <t>SUNDSVALL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51712-2020</t>
        </is>
      </c>
      <c r="B632" s="1" t="n">
        <v>44113</v>
      </c>
      <c r="C632" s="1" t="n">
        <v>45348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51754-2020</t>
        </is>
      </c>
      <c r="B633" s="1" t="n">
        <v>44114</v>
      </c>
      <c r="C633" s="1" t="n">
        <v>45348</v>
      </c>
      <c r="D633" t="inlineStr">
        <is>
          <t>VÄSTERNORRLANDS LÄN</t>
        </is>
      </c>
      <c r="E633" t="inlineStr">
        <is>
          <t>SUNDSVALL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52036-2020</t>
        </is>
      </c>
      <c r="B634" s="1" t="n">
        <v>44116</v>
      </c>
      <c r="C634" s="1" t="n">
        <v>45348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53142-2020</t>
        </is>
      </c>
      <c r="B635" s="1" t="n">
        <v>44120</v>
      </c>
      <c r="C635" s="1" t="n">
        <v>45348</v>
      </c>
      <c r="D635" t="inlineStr">
        <is>
          <t>VÄSTERNORRLANDS LÄN</t>
        </is>
      </c>
      <c r="E635" t="inlineStr">
        <is>
          <t>SUNDSVALL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53503-2020</t>
        </is>
      </c>
      <c r="B636" s="1" t="n">
        <v>44123</v>
      </c>
      <c r="C636" s="1" t="n">
        <v>45348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54574-2020</t>
        </is>
      </c>
      <c r="B637" s="1" t="n">
        <v>44126</v>
      </c>
      <c r="C637" s="1" t="n">
        <v>45348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Naturvårdsverket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55313-2020</t>
        </is>
      </c>
      <c r="B638" s="1" t="n">
        <v>44130</v>
      </c>
      <c r="C638" s="1" t="n">
        <v>45348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55988-2020</t>
        </is>
      </c>
      <c r="B639" s="1" t="n">
        <v>44132</v>
      </c>
      <c r="C639" s="1" t="n">
        <v>45348</v>
      </c>
      <c r="D639" t="inlineStr">
        <is>
          <t>VÄSTERNORRLANDS LÄN</t>
        </is>
      </c>
      <c r="E639" t="inlineStr">
        <is>
          <t>SUNDSVALL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57405-2020</t>
        </is>
      </c>
      <c r="B640" s="1" t="n">
        <v>44139</v>
      </c>
      <c r="C640" s="1" t="n">
        <v>45348</v>
      </c>
      <c r="D640" t="inlineStr">
        <is>
          <t>VÄSTERNORRLANDS LÄN</t>
        </is>
      </c>
      <c r="E640" t="inlineStr">
        <is>
          <t>SUNDSVALL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57900-2020</t>
        </is>
      </c>
      <c r="B641" s="1" t="n">
        <v>44140</v>
      </c>
      <c r="C641" s="1" t="n">
        <v>45348</v>
      </c>
      <c r="D641" t="inlineStr">
        <is>
          <t>VÄSTERNORRLANDS LÄN</t>
        </is>
      </c>
      <c r="E641" t="inlineStr">
        <is>
          <t>SUNDSVALL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57890-2020</t>
        </is>
      </c>
      <c r="B642" s="1" t="n">
        <v>44140</v>
      </c>
      <c r="C642" s="1" t="n">
        <v>45348</v>
      </c>
      <c r="D642" t="inlineStr">
        <is>
          <t>VÄSTERNORRLANDS LÄN</t>
        </is>
      </c>
      <c r="E642" t="inlineStr">
        <is>
          <t>SUNDSVALL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57735-2020</t>
        </is>
      </c>
      <c r="B643" s="1" t="n">
        <v>44140</v>
      </c>
      <c r="C643" s="1" t="n">
        <v>45348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59013-2020</t>
        </is>
      </c>
      <c r="B644" s="1" t="n">
        <v>44146</v>
      </c>
      <c r="C644" s="1" t="n">
        <v>45348</v>
      </c>
      <c r="D644" t="inlineStr">
        <is>
          <t>VÄSTERNORRLANDS LÄN</t>
        </is>
      </c>
      <c r="E644" t="inlineStr">
        <is>
          <t>SUNDSVALL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59106-2020</t>
        </is>
      </c>
      <c r="B645" s="1" t="n">
        <v>44147</v>
      </c>
      <c r="C645" s="1" t="n">
        <v>45348</v>
      </c>
      <c r="D645" t="inlineStr">
        <is>
          <t>VÄSTERNORRLANDS LÄN</t>
        </is>
      </c>
      <c r="E645" t="inlineStr">
        <is>
          <t>SUNDSVALL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60178-2020</t>
        </is>
      </c>
      <c r="B646" s="1" t="n">
        <v>44152</v>
      </c>
      <c r="C646" s="1" t="n">
        <v>45348</v>
      </c>
      <c r="D646" t="inlineStr">
        <is>
          <t>VÄSTERNORRLANDS LÄN</t>
        </is>
      </c>
      <c r="E646" t="inlineStr">
        <is>
          <t>SUNDSVALL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60391-2020</t>
        </is>
      </c>
      <c r="B647" s="1" t="n">
        <v>44152</v>
      </c>
      <c r="C647" s="1" t="n">
        <v>45348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61568-2020</t>
        </is>
      </c>
      <c r="B648" s="1" t="n">
        <v>44154</v>
      </c>
      <c r="C648" s="1" t="n">
        <v>45348</v>
      </c>
      <c r="D648" t="inlineStr">
        <is>
          <t>VÄSTERNORRLANDS LÄN</t>
        </is>
      </c>
      <c r="E648" t="inlineStr">
        <is>
          <t>SUNDSVALL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61142-2020</t>
        </is>
      </c>
      <c r="B649" s="1" t="n">
        <v>44154</v>
      </c>
      <c r="C649" s="1" t="n">
        <v>45348</v>
      </c>
      <c r="D649" t="inlineStr">
        <is>
          <t>VÄSTERNORRLANDS LÄN</t>
        </is>
      </c>
      <c r="E649" t="inlineStr">
        <is>
          <t>SUNDSVALL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61719-2020</t>
        </is>
      </c>
      <c r="B650" s="1" t="n">
        <v>44158</v>
      </c>
      <c r="C650" s="1" t="n">
        <v>45348</v>
      </c>
      <c r="D650" t="inlineStr">
        <is>
          <t>VÄSTERNORRLANDS LÄN</t>
        </is>
      </c>
      <c r="E650" t="inlineStr">
        <is>
          <t>SUNDSVALL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61723-2020</t>
        </is>
      </c>
      <c r="B651" s="1" t="n">
        <v>44158</v>
      </c>
      <c r="C651" s="1" t="n">
        <v>45348</v>
      </c>
      <c r="D651" t="inlineStr">
        <is>
          <t>VÄSTERNORRLANDS LÄN</t>
        </is>
      </c>
      <c r="E651" t="inlineStr">
        <is>
          <t>SUNDSVALL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62294-2020</t>
        </is>
      </c>
      <c r="B652" s="1" t="n">
        <v>44160</v>
      </c>
      <c r="C652" s="1" t="n">
        <v>45348</v>
      </c>
      <c r="D652" t="inlineStr">
        <is>
          <t>VÄSTERNORRLANDS LÄN</t>
        </is>
      </c>
      <c r="E652" t="inlineStr">
        <is>
          <t>SUNDSVALL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63598-2020</t>
        </is>
      </c>
      <c r="B653" s="1" t="n">
        <v>44165</v>
      </c>
      <c r="C653" s="1" t="n">
        <v>45348</v>
      </c>
      <c r="D653" t="inlineStr">
        <is>
          <t>VÄSTERNORRLANDS LÄN</t>
        </is>
      </c>
      <c r="E653" t="inlineStr">
        <is>
          <t>SUNDSVALL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63681-2020</t>
        </is>
      </c>
      <c r="B654" s="1" t="n">
        <v>44166</v>
      </c>
      <c r="C654" s="1" t="n">
        <v>45348</v>
      </c>
      <c r="D654" t="inlineStr">
        <is>
          <t>VÄSTERNORRLANDS LÄN</t>
        </is>
      </c>
      <c r="E654" t="inlineStr">
        <is>
          <t>SUNDSVALL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63786-2020</t>
        </is>
      </c>
      <c r="B655" s="1" t="n">
        <v>44166</v>
      </c>
      <c r="C655" s="1" t="n">
        <v>45348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Kommuner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63774-2020</t>
        </is>
      </c>
      <c r="B656" s="1" t="n">
        <v>44166</v>
      </c>
      <c r="C656" s="1" t="n">
        <v>45348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63817-2020</t>
        </is>
      </c>
      <c r="B657" s="1" t="n">
        <v>44166</v>
      </c>
      <c r="C657" s="1" t="n">
        <v>45348</v>
      </c>
      <c r="D657" t="inlineStr">
        <is>
          <t>VÄSTERNORRLANDS LÄN</t>
        </is>
      </c>
      <c r="E657" t="inlineStr">
        <is>
          <t>SUNDSVALL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63840-2020</t>
        </is>
      </c>
      <c r="B658" s="1" t="n">
        <v>44166</v>
      </c>
      <c r="C658" s="1" t="n">
        <v>45348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63862-2020</t>
        </is>
      </c>
      <c r="B659" s="1" t="n">
        <v>44166</v>
      </c>
      <c r="C659" s="1" t="n">
        <v>45348</v>
      </c>
      <c r="D659" t="inlineStr">
        <is>
          <t>VÄSTERNORRLANDS LÄN</t>
        </is>
      </c>
      <c r="E659" t="inlineStr">
        <is>
          <t>SUNDSVALL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64394-2020</t>
        </is>
      </c>
      <c r="B660" s="1" t="n">
        <v>44168</v>
      </c>
      <c r="C660" s="1" t="n">
        <v>45348</v>
      </c>
      <c r="D660" t="inlineStr">
        <is>
          <t>VÄSTERNORRLANDS LÄN</t>
        </is>
      </c>
      <c r="E660" t="inlineStr">
        <is>
          <t>SUNDSVALL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64479-2020</t>
        </is>
      </c>
      <c r="B661" s="1" t="n">
        <v>44168</v>
      </c>
      <c r="C661" s="1" t="n">
        <v>45348</v>
      </c>
      <c r="D661" t="inlineStr">
        <is>
          <t>VÄSTERNORRLANDS LÄN</t>
        </is>
      </c>
      <c r="E661" t="inlineStr">
        <is>
          <t>SUNDSVALL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65465-2020</t>
        </is>
      </c>
      <c r="B662" s="1" t="n">
        <v>44173</v>
      </c>
      <c r="C662" s="1" t="n">
        <v>45348</v>
      </c>
      <c r="D662" t="inlineStr">
        <is>
          <t>VÄSTERNORRLANDS LÄN</t>
        </is>
      </c>
      <c r="E662" t="inlineStr">
        <is>
          <t>SUNDSVALL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66016-2020</t>
        </is>
      </c>
      <c r="B663" s="1" t="n">
        <v>44175</v>
      </c>
      <c r="C663" s="1" t="n">
        <v>45348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66236-2020</t>
        </is>
      </c>
      <c r="B664" s="1" t="n">
        <v>44175</v>
      </c>
      <c r="C664" s="1" t="n">
        <v>45348</v>
      </c>
      <c r="D664" t="inlineStr">
        <is>
          <t>VÄSTERNORRLANDS LÄN</t>
        </is>
      </c>
      <c r="E664" t="inlineStr">
        <is>
          <t>SUNDSVALL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67233-2020</t>
        </is>
      </c>
      <c r="B665" s="1" t="n">
        <v>44180</v>
      </c>
      <c r="C665" s="1" t="n">
        <v>45348</v>
      </c>
      <c r="D665" t="inlineStr">
        <is>
          <t>VÄSTERNORRLANDS LÄN</t>
        </is>
      </c>
      <c r="E665" t="inlineStr">
        <is>
          <t>SUNDSVALL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67987-2020</t>
        </is>
      </c>
      <c r="B666" s="1" t="n">
        <v>44182</v>
      </c>
      <c r="C666" s="1" t="n">
        <v>45348</v>
      </c>
      <c r="D666" t="inlineStr">
        <is>
          <t>VÄSTERNORRLANDS LÄN</t>
        </is>
      </c>
      <c r="E666" t="inlineStr">
        <is>
          <t>SUNDSVALL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68286-2020</t>
        </is>
      </c>
      <c r="B667" s="1" t="n">
        <v>44183</v>
      </c>
      <c r="C667" s="1" t="n">
        <v>45348</v>
      </c>
      <c r="D667" t="inlineStr">
        <is>
          <t>VÄSTERNORRLANDS LÄN</t>
        </is>
      </c>
      <c r="E667" t="inlineStr">
        <is>
          <t>SUNDSVALL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68285-2020</t>
        </is>
      </c>
      <c r="B668" s="1" t="n">
        <v>44183</v>
      </c>
      <c r="C668" s="1" t="n">
        <v>45348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69172-2020</t>
        </is>
      </c>
      <c r="B669" s="1" t="n">
        <v>44188</v>
      </c>
      <c r="C669" s="1" t="n">
        <v>45348</v>
      </c>
      <c r="D669" t="inlineStr">
        <is>
          <t>VÄSTERNORRLANDS LÄN</t>
        </is>
      </c>
      <c r="E669" t="inlineStr">
        <is>
          <t>SUNDSVALL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444-2021</t>
        </is>
      </c>
      <c r="B670" s="1" t="n">
        <v>44201</v>
      </c>
      <c r="C670" s="1" t="n">
        <v>45348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695-2021</t>
        </is>
      </c>
      <c r="B671" s="1" t="n">
        <v>44203</v>
      </c>
      <c r="C671" s="1" t="n">
        <v>45348</v>
      </c>
      <c r="D671" t="inlineStr">
        <is>
          <t>VÄSTERNORRLANDS LÄN</t>
        </is>
      </c>
      <c r="E671" t="inlineStr">
        <is>
          <t>SUNDSVALL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1174-2021</t>
        </is>
      </c>
      <c r="B672" s="1" t="n">
        <v>44207</v>
      </c>
      <c r="C672" s="1" t="n">
        <v>45348</v>
      </c>
      <c r="D672" t="inlineStr">
        <is>
          <t>VÄSTERNORRLANDS LÄN</t>
        </is>
      </c>
      <c r="E672" t="inlineStr">
        <is>
          <t>SUNDSVALL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1480-2021</t>
        </is>
      </c>
      <c r="B673" s="1" t="n">
        <v>44208</v>
      </c>
      <c r="C673" s="1" t="n">
        <v>45348</v>
      </c>
      <c r="D673" t="inlineStr">
        <is>
          <t>VÄSTERNORRLANDS LÄN</t>
        </is>
      </c>
      <c r="E673" t="inlineStr">
        <is>
          <t>SUNDSVALL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1473-2021</t>
        </is>
      </c>
      <c r="B674" s="1" t="n">
        <v>44208</v>
      </c>
      <c r="C674" s="1" t="n">
        <v>45348</v>
      </c>
      <c r="D674" t="inlineStr">
        <is>
          <t>VÄSTERNORRLANDS LÄN</t>
        </is>
      </c>
      <c r="E674" t="inlineStr">
        <is>
          <t>SUNDSVALL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1561-2021</t>
        </is>
      </c>
      <c r="B675" s="1" t="n">
        <v>44209</v>
      </c>
      <c r="C675" s="1" t="n">
        <v>45348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2233-2021</t>
        </is>
      </c>
      <c r="B676" s="1" t="n">
        <v>44211</v>
      </c>
      <c r="C676" s="1" t="n">
        <v>45348</v>
      </c>
      <c r="D676" t="inlineStr">
        <is>
          <t>VÄSTERNORRLANDS LÄN</t>
        </is>
      </c>
      <c r="E676" t="inlineStr">
        <is>
          <t>SUNDSVALL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2835-2021</t>
        </is>
      </c>
      <c r="B677" s="1" t="n">
        <v>44215</v>
      </c>
      <c r="C677" s="1" t="n">
        <v>45348</v>
      </c>
      <c r="D677" t="inlineStr">
        <is>
          <t>VÄSTERNORRLANDS LÄN</t>
        </is>
      </c>
      <c r="E677" t="inlineStr">
        <is>
          <t>SUNDSVALL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2836-2021</t>
        </is>
      </c>
      <c r="B678" s="1" t="n">
        <v>44215</v>
      </c>
      <c r="C678" s="1" t="n">
        <v>45348</v>
      </c>
      <c r="D678" t="inlineStr">
        <is>
          <t>VÄSTERNORRLANDS LÄN</t>
        </is>
      </c>
      <c r="E678" t="inlineStr">
        <is>
          <t>SUNDSVALL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3351-2021</t>
        </is>
      </c>
      <c r="B679" s="1" t="n">
        <v>44217</v>
      </c>
      <c r="C679" s="1" t="n">
        <v>45348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3811-2021</t>
        </is>
      </c>
      <c r="B680" s="1" t="n">
        <v>44221</v>
      </c>
      <c r="C680" s="1" t="n">
        <v>45348</v>
      </c>
      <c r="D680" t="inlineStr">
        <is>
          <t>VÄSTERNORRLANDS LÄN</t>
        </is>
      </c>
      <c r="E680" t="inlineStr">
        <is>
          <t>SUNDSVALL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4365-2021</t>
        </is>
      </c>
      <c r="B681" s="1" t="n">
        <v>44221</v>
      </c>
      <c r="C681" s="1" t="n">
        <v>45348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3821-2021</t>
        </is>
      </c>
      <c r="B682" s="1" t="n">
        <v>44222</v>
      </c>
      <c r="C682" s="1" t="n">
        <v>45348</v>
      </c>
      <c r="D682" t="inlineStr">
        <is>
          <t>VÄSTERNORRLANDS LÄN</t>
        </is>
      </c>
      <c r="E682" t="inlineStr">
        <is>
          <t>SUNDSVALL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3824-2021</t>
        </is>
      </c>
      <c r="B683" s="1" t="n">
        <v>44222</v>
      </c>
      <c r="C683" s="1" t="n">
        <v>45348</v>
      </c>
      <c r="D683" t="inlineStr">
        <is>
          <t>VÄSTERNORRLANDS LÄN</t>
        </is>
      </c>
      <c r="E683" t="inlineStr">
        <is>
          <t>SUNDSVALL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4123-2021</t>
        </is>
      </c>
      <c r="B684" s="1" t="n">
        <v>44222</v>
      </c>
      <c r="C684" s="1" t="n">
        <v>45348</v>
      </c>
      <c r="D684" t="inlineStr">
        <is>
          <t>VÄSTERNORRLANDS LÄN</t>
        </is>
      </c>
      <c r="E684" t="inlineStr">
        <is>
          <t>SUNDSVALL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3822-2021</t>
        </is>
      </c>
      <c r="B685" s="1" t="n">
        <v>44222</v>
      </c>
      <c r="C685" s="1" t="n">
        <v>45348</v>
      </c>
      <c r="D685" t="inlineStr">
        <is>
          <t>VÄSTERNORRLANDS LÄN</t>
        </is>
      </c>
      <c r="E685" t="inlineStr">
        <is>
          <t>SUNDSVALL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4659-2021</t>
        </is>
      </c>
      <c r="B686" s="1" t="n">
        <v>44224</v>
      </c>
      <c r="C686" s="1" t="n">
        <v>45348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4760-2021</t>
        </is>
      </c>
      <c r="B687" s="1" t="n">
        <v>44225</v>
      </c>
      <c r="C687" s="1" t="n">
        <v>45348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Kommuner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5799-2021</t>
        </is>
      </c>
      <c r="B688" s="1" t="n">
        <v>44230</v>
      </c>
      <c r="C688" s="1" t="n">
        <v>45348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5798-2021</t>
        </is>
      </c>
      <c r="B689" s="1" t="n">
        <v>44230</v>
      </c>
      <c r="C689" s="1" t="n">
        <v>45348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5797-2021</t>
        </is>
      </c>
      <c r="B690" s="1" t="n">
        <v>44230</v>
      </c>
      <c r="C690" s="1" t="n">
        <v>45348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6009-2021</t>
        </is>
      </c>
      <c r="B691" s="1" t="n">
        <v>44231</v>
      </c>
      <c r="C691" s="1" t="n">
        <v>45348</v>
      </c>
      <c r="D691" t="inlineStr">
        <is>
          <t>VÄSTERNORRLANDS LÄN</t>
        </is>
      </c>
      <c r="E691" t="inlineStr">
        <is>
          <t>SUNDSVALL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6220-2021</t>
        </is>
      </c>
      <c r="B692" s="1" t="n">
        <v>44232</v>
      </c>
      <c r="C692" s="1" t="n">
        <v>45348</v>
      </c>
      <c r="D692" t="inlineStr">
        <is>
          <t>VÄSTERNORRLANDS LÄN</t>
        </is>
      </c>
      <c r="E692" t="inlineStr">
        <is>
          <t>SUNDSVALL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6708-2021</t>
        </is>
      </c>
      <c r="B693" s="1" t="n">
        <v>44236</v>
      </c>
      <c r="C693" s="1" t="n">
        <v>45348</v>
      </c>
      <c r="D693" t="inlineStr">
        <is>
          <t>VÄSTERNORRLANDS LÄN</t>
        </is>
      </c>
      <c r="E693" t="inlineStr">
        <is>
          <t>SUNDSVALL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7637-2021</t>
        </is>
      </c>
      <c r="B694" s="1" t="n">
        <v>44242</v>
      </c>
      <c r="C694" s="1" t="n">
        <v>45348</v>
      </c>
      <c r="D694" t="inlineStr">
        <is>
          <t>VÄSTERNORRLANDS LÄN</t>
        </is>
      </c>
      <c r="E694" t="inlineStr">
        <is>
          <t>SUNDSVALL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45348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45348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45348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45348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45348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45348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45348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45348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45348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45348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45348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45348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45348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45348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45348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45348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45348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45348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45348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45348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45348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45348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45348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45348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45348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45348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45348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45348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45348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45348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45348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45348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45348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45348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45348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45348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45348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45348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45348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45348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45348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45348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45348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45348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45348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45348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45348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45348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45348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45348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45348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45348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45348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45348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45348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45348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45348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45348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45348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45348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45348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45348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45348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45348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45348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45348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45348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45348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45348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45348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45348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45348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45348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45348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45348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45348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45348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45348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45348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45348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45348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45348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45348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45348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45348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45348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45348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45348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45348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45348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45348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45348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45348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45348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45348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45348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45348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45348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45348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45348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45348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45348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45348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45348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45348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45348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45348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45348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45348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45348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45348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45348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45348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45348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45348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45348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45348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45348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45348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45348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45348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45348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45348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45348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45348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45348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45348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45348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45348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45348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45348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45348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45348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45348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45348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45348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45348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45348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45348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45348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45348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45348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45348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45348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45348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45348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45348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45348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45348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45348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45348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45348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45348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45348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45348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45348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45348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45348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45348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45348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45348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45348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45348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45348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45348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45348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45348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45348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45348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45348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45348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45348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45348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45348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45348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45348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45348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45348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45348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45348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45348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45348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45348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45348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45348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45348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45348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45348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45348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45348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45348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45348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45348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45348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45348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45348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45348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45348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45348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45348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45348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45348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45348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45348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45348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45348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45348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45348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45348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45348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45348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45348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45348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45348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45348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45348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45348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45348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45348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45348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45348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45348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45348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45348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45348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45348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45348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45348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45348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45348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45348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45348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45348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45348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45348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45348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45348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45348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45348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45348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45348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45348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45348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45348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45348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45348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45348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45348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45348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45348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45348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45348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45348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45348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45348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45348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45348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45348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45348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45348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45348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45348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45348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45348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45348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45348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45348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45348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45348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45348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45348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45348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45348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45348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45348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45348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45348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45348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45348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45348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45348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45348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45348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45348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45348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45348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45348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45348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45348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45348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45348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45348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45348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45348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45348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45348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45348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45348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45348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45348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45348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45348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45348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45348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45348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45348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45348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45348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45348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45348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45348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45348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45348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45348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45348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45348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45348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45348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45348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45348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45348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45348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45348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45348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45348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45348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45348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45348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45348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45348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45348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45348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45348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45348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45348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45348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45348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45348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45348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45348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45348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45348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45348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45348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45348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45348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45348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45348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45348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45348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45348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45348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45348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45348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45348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45348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45348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45348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45348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45348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45348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45348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45348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45348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45348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45348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45348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45348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45348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45348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45348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45348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45348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45348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45348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45348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45348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45348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45348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45348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45348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45348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45348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45348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45348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45348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45348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45348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45348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45348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45348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45348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45348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45348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45348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45348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45348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45348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45348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45348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45348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45348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45348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45348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45348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45348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45348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45348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45348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45348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45348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45348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45348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45348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45348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45348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45348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45348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45348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45348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45348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45348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45348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45348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45348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45348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45348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45348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45348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45348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45348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45348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45348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45348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45348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45348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45348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45348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45348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45348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45348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45348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45348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45348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45348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45348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45348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45348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45348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45348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45348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45348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45348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45348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45348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45348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45348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45348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45348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45348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45348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45348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45348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45348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45348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45348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45348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45348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45348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45348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45348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45348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45348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45348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45348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45348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45348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45348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45348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45348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45348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45348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45348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45348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45348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45348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45348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45348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45348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45348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45348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45348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45348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45348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45348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45348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45348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45348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45348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45348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45348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45348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45348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45348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45348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45348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45348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45348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45348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45348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45348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45348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45348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45348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45348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45348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45348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45348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45348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45348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45348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45348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45348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45348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45348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45348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45348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45348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45348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45348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45348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45348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45348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45348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45348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45348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45348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45348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45348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45348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45348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45348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45348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45348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45348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45348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45348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45348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45348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45348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45348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45348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45348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45348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45348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45348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45348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45348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45348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45348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45348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45348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45348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45348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45348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45348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45348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45348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45348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45348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45348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45348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45348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45348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45348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45348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45348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45348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45348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45348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45348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45348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45348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45348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45348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45348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45348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45348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45348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45348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45348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45348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45348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45348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45348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45348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45348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45348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45348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45348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45348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45348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45348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45348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45348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45348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45348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45348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45348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45348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45348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45348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45348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45348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45348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45348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45348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45348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45348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45348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45348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45348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45348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45348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45348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45348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45348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45348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45348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45348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45348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45348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45348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45348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45348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45348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45348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45348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45348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45348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45348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45348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45348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45348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45348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45348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45348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45348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45348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45348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45348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45348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45348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45348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45348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45348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45348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45348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45348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45348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45348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45348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45348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45348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45348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45348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45348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45348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45348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45348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45348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45348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45348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45348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45348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45348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45348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45348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45348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45348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45348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45348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45348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45348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45348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45348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45348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45348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45348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45348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45348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45348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45348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45348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45348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45348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45348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45348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45348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45348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45348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45348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45348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45348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45348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45348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45348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45348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45348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45348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45348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45348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45348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45348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45348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45348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45348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45348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45348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45348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45348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45348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45348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45348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45348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45348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45348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45348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45348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45348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45348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45348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45348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45348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45348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45348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45348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45348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45348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45348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45348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45348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45348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45348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45348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45348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45348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45348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45348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45348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45348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45348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45348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45348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45348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45348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45348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45348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45348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45348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45348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45348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45348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45348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45348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45348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45348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45348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45348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45348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45348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45348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45348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45348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45348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45348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45348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45348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45348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45348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45348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45348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45348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45348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45348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45348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45348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45348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45348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45348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45348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45348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45348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45348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45348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45348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45348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45348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45348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45348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45348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45348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45348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45348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45348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45348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45348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45348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45348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45348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45348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45348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45348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45348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45348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45348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45348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45348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45348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45348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45348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45348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45348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45348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45348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45348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45348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45348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45348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45348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45348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45348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45348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45348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45348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45348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45348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45348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45348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45348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45348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45348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45348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45348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45348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45348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45348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45348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45348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45348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45348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45348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45348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45348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45348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45348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45348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45348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45348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45348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45348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45348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45348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45348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45348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45348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45348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45348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45348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45348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45348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45348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45348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45348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45348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45348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45348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45348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45348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45348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45348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45348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45348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45348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45348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45348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45348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45348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45348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45348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45348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45348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45348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45348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45348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45348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45348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45348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45348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45348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45348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45348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45348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45348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45348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45348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45348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45348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45348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45348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45348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45348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45348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45348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45348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45348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45348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45348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45348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45348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45348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45348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45348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45348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45348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45348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45348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45348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45348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45348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45348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45348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45348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45348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45348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45348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45348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45348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45348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45348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45348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45348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45348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45348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45348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45348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45348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45348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45348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45348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45348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45348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45348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45348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45348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45348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45348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45348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45348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45348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45348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45348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45348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45348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45348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45348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45348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45348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45348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45348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45348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45348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45348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45348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45348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45348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45348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45348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45348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45348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45348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45348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45348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45348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45348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45348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45348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45348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45348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45348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45348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45348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45348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45348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45348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45348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45348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45348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45348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45348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45348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45348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45348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45348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45348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45348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45348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45348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45348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45348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45348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45348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45348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45348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45348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45348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45348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45348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45348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45348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45348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45348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45348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45348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45348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45348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45348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45348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45348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45348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45348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45348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45348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45348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45348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45348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45348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45348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45348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45348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45348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45348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45348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45348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45348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45348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45348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45348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45348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45348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45348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45348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45348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45348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45348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45348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45348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45348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45348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45348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45348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45348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45348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45348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45348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45348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45348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45348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45348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45348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45348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45348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45348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45348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45348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45348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45348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45348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45348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45348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45348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45348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45348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45348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45348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45348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45348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45348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45348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45348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45348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45348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45348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45348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45348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45348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45348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45348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45348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45348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45348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45348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45348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45348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45348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45348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45348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45348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45348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45348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45348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45348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45348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45348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45348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45348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45348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45348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45348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45348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45348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45348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45348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45348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45348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45348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45348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45348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45348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45348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45348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45348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45348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45348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45348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45348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45348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45348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45348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45348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45348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45348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45348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45348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45348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45348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45348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45348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45348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45348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45348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45348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45348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45348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45348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45348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45348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45348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45348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45348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45348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45348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45348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45348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45348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45348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45348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45348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45348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45348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45348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45348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45348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45348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45348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45348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45348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45348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45348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45348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45348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45348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45348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45348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45348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45348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45348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45348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45348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45348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45348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45348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45348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45348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45348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45348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45348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45348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45348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45348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45348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45348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45348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45348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45348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45348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45348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45348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45348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45348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45348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45348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45348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45348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45348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45348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45348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45348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45348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45348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45348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45348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45348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45348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45348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45348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45348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45348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45348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45348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45348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45348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45348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45348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45348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45348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45348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45348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45348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45348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45348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45348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45348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45348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45348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45348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45348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45348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45348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45348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45348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45348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45348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45348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45348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45348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45348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45348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45348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45348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45348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45348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45348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45348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45348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45348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45348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45348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45348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45348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45348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45348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45348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45348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45348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45348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45348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45348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45348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45348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45348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45348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45348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45348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45348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45348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45348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45348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45348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45348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45348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45348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45348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45348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45348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45348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45348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45348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45348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45348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45348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45348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45348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45348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45348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45348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45348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45348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45348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45348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45348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45348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45348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45348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45348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45348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45348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45348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45348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45348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45348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45348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45348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45348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45348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45348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45348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45348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45348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45348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45348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45348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45348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45348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45348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45348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45348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45348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45348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45348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45348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45348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45348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45348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45348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45348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45348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45348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45348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45348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45348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45348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45348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45348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45348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45348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45348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45348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45348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45348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45348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45348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45348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45348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45348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45348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45348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45348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45348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45348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45348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45348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45348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45348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45348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45348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45348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45348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45348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45348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45348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45348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45348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45348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45348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45348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45348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45348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45348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45348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45348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45348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45348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45348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45348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45348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45348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45348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45348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45348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45348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45348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45348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45348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45348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45348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45348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45348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45348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45348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45348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45348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45348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45348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45348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45348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45348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45348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45348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45348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45348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45348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45348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45348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45348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45348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45348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45348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45348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45348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45348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45348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45348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45348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45348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45348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45348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45348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45348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45348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45348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45348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45348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45348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45348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45348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45348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45348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45348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45348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45348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45348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45348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45348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45348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45348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45348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45348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45348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45348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45348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45348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45348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45348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45348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45348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45348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45348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45348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45348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45348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45348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45348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45348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45348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45348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45348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45348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45348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45348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45348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45348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45348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45348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45348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45348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45348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45348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45348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45348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45348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45348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45348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45348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45348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45348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45348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45348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45348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45348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45348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45348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45348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45348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45348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45348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45348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45348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45348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45348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45348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45348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45348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45348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45348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45348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45348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45348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45348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45348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45348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45348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45348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45348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45348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45348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45348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45348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45348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45348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45348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45348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45348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45348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45348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45348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45348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45348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45348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45348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45348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45348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45348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45348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45348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45348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45348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45348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45348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45348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45348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45348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45348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45348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45348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45348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45348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45348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45348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45348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45348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45348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45348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45348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45348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45348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45348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45348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45348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45348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45348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45348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45348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45348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45348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45348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45348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45348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45348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45348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45348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45348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45348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45348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45348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45348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45348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45348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45348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45348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45348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45348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45348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45348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45348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45348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45348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45348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45348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45348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45348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45348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45348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45348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45348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45348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45348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45348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45348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45348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45348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45348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45348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45348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45348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45348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45348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45348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45348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45348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45348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3619-2024</t>
        </is>
      </c>
      <c r="B2316" s="1" t="n">
        <v>45320</v>
      </c>
      <c r="C2316" s="1" t="n">
        <v>45348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3617-2024</t>
        </is>
      </c>
      <c r="B2317" s="1" t="n">
        <v>45320</v>
      </c>
      <c r="C2317" s="1" t="n">
        <v>45348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3627-2024</t>
        </is>
      </c>
      <c r="B2318" s="1" t="n">
        <v>45320</v>
      </c>
      <c r="C2318" s="1" t="n">
        <v>45348</v>
      </c>
      <c r="D2318" t="inlineStr">
        <is>
          <t>VÄSTERNORRLANDS LÄN</t>
        </is>
      </c>
      <c r="E2318" t="inlineStr">
        <is>
          <t>SUNDSVALL</t>
        </is>
      </c>
      <c r="G2318" t="n">
        <v>12.3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3618-2024</t>
        </is>
      </c>
      <c r="B2319" s="1" t="n">
        <v>45320</v>
      </c>
      <c r="C2319" s="1" t="n">
        <v>45348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Kyrkan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3837-2024</t>
        </is>
      </c>
      <c r="B2320" s="1" t="n">
        <v>45321</v>
      </c>
      <c r="C2320" s="1" t="n">
        <v>45348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3836-2024</t>
        </is>
      </c>
      <c r="B2321" s="1" t="n">
        <v>45321</v>
      </c>
      <c r="C2321" s="1" t="n">
        <v>45348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9.199999999999999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3950-2024</t>
        </is>
      </c>
      <c r="B2322" s="1" t="n">
        <v>45322</v>
      </c>
      <c r="C2322" s="1" t="n">
        <v>45348</v>
      </c>
      <c r="D2322" t="inlineStr">
        <is>
          <t>VÄSTERNORRLANDS LÄN</t>
        </is>
      </c>
      <c r="E2322" t="inlineStr">
        <is>
          <t>SUNDSVALL</t>
        </is>
      </c>
      <c r="G2322" t="n">
        <v>5.5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3958-2024</t>
        </is>
      </c>
      <c r="B2323" s="1" t="n">
        <v>45322</v>
      </c>
      <c r="C2323" s="1" t="n">
        <v>45348</v>
      </c>
      <c r="D2323" t="inlineStr">
        <is>
          <t>VÄSTERNORRLANDS LÄN</t>
        </is>
      </c>
      <c r="E2323" t="inlineStr">
        <is>
          <t>SUNDSVALL</t>
        </is>
      </c>
      <c r="G2323" t="n">
        <v>7.2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3928-2024</t>
        </is>
      </c>
      <c r="B2324" s="1" t="n">
        <v>45322</v>
      </c>
      <c r="C2324" s="1" t="n">
        <v>45348</v>
      </c>
      <c r="D2324" t="inlineStr">
        <is>
          <t>VÄSTERNORRLANDS LÄN</t>
        </is>
      </c>
      <c r="E2324" t="inlineStr">
        <is>
          <t>SUNDSVALL</t>
        </is>
      </c>
      <c r="G2324" t="n">
        <v>9.6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3936-2024</t>
        </is>
      </c>
      <c r="B2325" s="1" t="n">
        <v>45322</v>
      </c>
      <c r="C2325" s="1" t="n">
        <v>45348</v>
      </c>
      <c r="D2325" t="inlineStr">
        <is>
          <t>VÄSTERNORRLANDS LÄN</t>
        </is>
      </c>
      <c r="E2325" t="inlineStr">
        <is>
          <t>SUNDSVALL</t>
        </is>
      </c>
      <c r="G2325" t="n">
        <v>8.5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45348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3956-2024</t>
        </is>
      </c>
      <c r="B2327" s="1" t="n">
        <v>45322</v>
      </c>
      <c r="C2327" s="1" t="n">
        <v>45348</v>
      </c>
      <c r="D2327" t="inlineStr">
        <is>
          <t>VÄSTERNORRLANDS LÄN</t>
        </is>
      </c>
      <c r="E2327" t="inlineStr">
        <is>
          <t>SUNDSVALL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3944-2024</t>
        </is>
      </c>
      <c r="B2328" s="1" t="n">
        <v>45322</v>
      </c>
      <c r="C2328" s="1" t="n">
        <v>45348</v>
      </c>
      <c r="D2328" t="inlineStr">
        <is>
          <t>VÄSTERNORRLANDS LÄN</t>
        </is>
      </c>
      <c r="E2328" t="inlineStr">
        <is>
          <t>SUNDSVALL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3999-2024</t>
        </is>
      </c>
      <c r="B2329" s="1" t="n">
        <v>45322</v>
      </c>
      <c r="C2329" s="1" t="n">
        <v>45348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3941-2024</t>
        </is>
      </c>
      <c r="B2330" s="1" t="n">
        <v>45322</v>
      </c>
      <c r="C2330" s="1" t="n">
        <v>45348</v>
      </c>
      <c r="D2330" t="inlineStr">
        <is>
          <t>VÄSTERNORRLANDS LÄN</t>
        </is>
      </c>
      <c r="E2330" t="inlineStr">
        <is>
          <t>SUNDSVALL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3993-2024</t>
        </is>
      </c>
      <c r="B2331" s="1" t="n">
        <v>45322</v>
      </c>
      <c r="C2331" s="1" t="n">
        <v>45348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4054-2024</t>
        </is>
      </c>
      <c r="B2332" s="1" t="n">
        <v>45323</v>
      </c>
      <c r="C2332" s="1" t="n">
        <v>45348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4098-2024</t>
        </is>
      </c>
      <c r="B2333" s="1" t="n">
        <v>45323</v>
      </c>
      <c r="C2333" s="1" t="n">
        <v>45348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4116-2024</t>
        </is>
      </c>
      <c r="B2334" s="1" t="n">
        <v>45323</v>
      </c>
      <c r="C2334" s="1" t="n">
        <v>45348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4045-2024</t>
        </is>
      </c>
      <c r="B2335" s="1" t="n">
        <v>45323</v>
      </c>
      <c r="C2335" s="1" t="n">
        <v>45348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6.9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4052-2024</t>
        </is>
      </c>
      <c r="B2336" s="1" t="n">
        <v>45323</v>
      </c>
      <c r="C2336" s="1" t="n">
        <v>45348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4056-2024</t>
        </is>
      </c>
      <c r="B2337" s="1" t="n">
        <v>45323</v>
      </c>
      <c r="C2337" s="1" t="n">
        <v>45348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45348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45348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45348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45348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4584-2024</t>
        </is>
      </c>
      <c r="B2342" s="1" t="n">
        <v>45327</v>
      </c>
      <c r="C2342" s="1" t="n">
        <v>45348</v>
      </c>
      <c r="D2342" t="inlineStr">
        <is>
          <t>VÄSTERNORRLANDS LÄN</t>
        </is>
      </c>
      <c r="E2342" t="inlineStr">
        <is>
          <t>SUNDSVALL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45348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4593-2024</t>
        </is>
      </c>
      <c r="B2344" s="1" t="n">
        <v>45327</v>
      </c>
      <c r="C2344" s="1" t="n">
        <v>45348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Naturvårdsverket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45348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4942-2024</t>
        </is>
      </c>
      <c r="B2346" s="1" t="n">
        <v>45329</v>
      </c>
      <c r="C2346" s="1" t="n">
        <v>45348</v>
      </c>
      <c r="D2346" t="inlineStr">
        <is>
          <t>VÄSTERNORRLANDS LÄN</t>
        </is>
      </c>
      <c r="E2346" t="inlineStr">
        <is>
          <t>SUNDSVALL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4979-2024</t>
        </is>
      </c>
      <c r="B2347" s="1" t="n">
        <v>45329</v>
      </c>
      <c r="C2347" s="1" t="n">
        <v>45348</v>
      </c>
      <c r="D2347" t="inlineStr">
        <is>
          <t>VÄSTERNORRLANDS LÄN</t>
        </is>
      </c>
      <c r="E2347" t="inlineStr">
        <is>
          <t>SUNDSVALL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5065-2024</t>
        </is>
      </c>
      <c r="B2348" s="1" t="n">
        <v>45329</v>
      </c>
      <c r="C2348" s="1" t="n">
        <v>45348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31.2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4891-2024</t>
        </is>
      </c>
      <c r="B2349" s="1" t="n">
        <v>45329</v>
      </c>
      <c r="C2349" s="1" t="n">
        <v>45348</v>
      </c>
      <c r="D2349" t="inlineStr">
        <is>
          <t>VÄSTERNORRLANDS LÄN</t>
        </is>
      </c>
      <c r="E2349" t="inlineStr">
        <is>
          <t>SUNDSVALL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5066-2024</t>
        </is>
      </c>
      <c r="B2350" s="1" t="n">
        <v>45329</v>
      </c>
      <c r="C2350" s="1" t="n">
        <v>45348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42.3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5421-2024</t>
        </is>
      </c>
      <c r="B2351" s="1" t="n">
        <v>45331</v>
      </c>
      <c r="C2351" s="1" t="n">
        <v>45348</v>
      </c>
      <c r="D2351" t="inlineStr">
        <is>
          <t>VÄSTERNORRLANDS LÄN</t>
        </is>
      </c>
      <c r="E2351" t="inlineStr">
        <is>
          <t>SUNDSVALL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5381-2024</t>
        </is>
      </c>
      <c r="B2352" s="1" t="n">
        <v>45331</v>
      </c>
      <c r="C2352" s="1" t="n">
        <v>45348</v>
      </c>
      <c r="D2352" t="inlineStr">
        <is>
          <t>VÄSTERNORRLANDS LÄN</t>
        </is>
      </c>
      <c r="E2352" t="inlineStr">
        <is>
          <t>SUNDSVALL</t>
        </is>
      </c>
      <c r="G2352" t="n">
        <v>6.1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5418-2024</t>
        </is>
      </c>
      <c r="B2353" s="1" t="n">
        <v>45331</v>
      </c>
      <c r="C2353" s="1" t="n">
        <v>45348</v>
      </c>
      <c r="D2353" t="inlineStr">
        <is>
          <t>VÄSTERNORRLANDS LÄN</t>
        </is>
      </c>
      <c r="E2353" t="inlineStr">
        <is>
          <t>SUNDSVALL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45348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5316-2024</t>
        </is>
      </c>
      <c r="B2355" s="1" t="n">
        <v>45331</v>
      </c>
      <c r="C2355" s="1" t="n">
        <v>45348</v>
      </c>
      <c r="D2355" t="inlineStr">
        <is>
          <t>VÄSTERNORRLANDS LÄN</t>
        </is>
      </c>
      <c r="E2355" t="inlineStr">
        <is>
          <t>SUNDSVALL</t>
        </is>
      </c>
      <c r="G2355" t="n">
        <v>12.9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45348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5728-2024</t>
        </is>
      </c>
      <c r="B2357" s="1" t="n">
        <v>45334</v>
      </c>
      <c r="C2357" s="1" t="n">
        <v>45348</v>
      </c>
      <c r="D2357" t="inlineStr">
        <is>
          <t>VÄSTERNORRLANDS LÄN</t>
        </is>
      </c>
      <c r="E2357" t="inlineStr">
        <is>
          <t>SUNDSVALL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5738-2024</t>
        </is>
      </c>
      <c r="B2358" s="1" t="n">
        <v>45334</v>
      </c>
      <c r="C2358" s="1" t="n">
        <v>45348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Naturvårdsverket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5754-2024</t>
        </is>
      </c>
      <c r="B2359" s="1" t="n">
        <v>45335</v>
      </c>
      <c r="C2359" s="1" t="n">
        <v>45348</v>
      </c>
      <c r="D2359" t="inlineStr">
        <is>
          <t>VÄSTERNORRLANDS LÄN</t>
        </is>
      </c>
      <c r="E2359" t="inlineStr">
        <is>
          <t>SUNDSVALL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5765-2024</t>
        </is>
      </c>
      <c r="B2360" s="1" t="n">
        <v>45335</v>
      </c>
      <c r="C2360" s="1" t="n">
        <v>45348</v>
      </c>
      <c r="D2360" t="inlineStr">
        <is>
          <t>VÄSTERNORRLANDS LÄN</t>
        </is>
      </c>
      <c r="E2360" t="inlineStr">
        <is>
          <t>SUNDSVALL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45348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45348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45348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45348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45348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45348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45348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45348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6996-2024</t>
        </is>
      </c>
      <c r="B2369" s="1" t="n">
        <v>45343</v>
      </c>
      <c r="C2369" s="1" t="n">
        <v>45348</v>
      </c>
      <c r="D2369" t="inlineStr">
        <is>
          <t>VÄSTERNORRLANDS LÄN</t>
        </is>
      </c>
      <c r="E2369" t="inlineStr">
        <is>
          <t>SUNDSVALL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6922-2024</t>
        </is>
      </c>
      <c r="B2370" s="1" t="n">
        <v>45343</v>
      </c>
      <c r="C2370" s="1" t="n">
        <v>45348</v>
      </c>
      <c r="D2370" t="inlineStr">
        <is>
          <t>VÄSTERNORRLANDS LÄN</t>
        </is>
      </c>
      <c r="E2370" t="inlineStr">
        <is>
          <t>SUNDSVALL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45348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45348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7220-2024</t>
        </is>
      </c>
      <c r="B2373" s="1" t="n">
        <v>45344</v>
      </c>
      <c r="C2373" s="1" t="n">
        <v>45348</v>
      </c>
      <c r="D2373" t="inlineStr">
        <is>
          <t>VÄSTERNORRLANDS LÄN</t>
        </is>
      </c>
      <c r="E2373" t="inlineStr">
        <is>
          <t>SUNDSVALL</t>
        </is>
      </c>
      <c r="G2373" t="n">
        <v>2.9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7290-2024</t>
        </is>
      </c>
      <c r="B2374" s="1" t="n">
        <v>45344</v>
      </c>
      <c r="C2374" s="1" t="n">
        <v>45348</v>
      </c>
      <c r="D2374" t="inlineStr">
        <is>
          <t>VÄSTERNORRLANDS LÄN</t>
        </is>
      </c>
      <c r="E2374" t="inlineStr">
        <is>
          <t>SUNDSVALL</t>
        </is>
      </c>
      <c r="F2374" t="inlineStr">
        <is>
          <t>SCA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45348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7240-2024</t>
        </is>
      </c>
      <c r="B2376" s="1" t="n">
        <v>45344</v>
      </c>
      <c r="C2376" s="1" t="n">
        <v>45348</v>
      </c>
      <c r="D2376" t="inlineStr">
        <is>
          <t>VÄSTERNORRLANDS LÄN</t>
        </is>
      </c>
      <c r="E2376" t="inlineStr">
        <is>
          <t>SUNDSVALL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7470-2024</t>
        </is>
      </c>
      <c r="B2377" s="1" t="n">
        <v>45345</v>
      </c>
      <c r="C2377" s="1" t="n">
        <v>45348</v>
      </c>
      <c r="D2377" t="inlineStr">
        <is>
          <t>VÄSTERNORRLANDS LÄN</t>
        </is>
      </c>
      <c r="E2377" t="inlineStr">
        <is>
          <t>SUNDSVALL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7404-2024</t>
        </is>
      </c>
      <c r="B2378" s="1" t="n">
        <v>45345</v>
      </c>
      <c r="C2378" s="1" t="n">
        <v>45348</v>
      </c>
      <c r="D2378" t="inlineStr">
        <is>
          <t>VÄSTERNORRLANDS LÄN</t>
        </is>
      </c>
      <c r="E2378" t="inlineStr">
        <is>
          <t>SUNDSVALL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7472-2024</t>
        </is>
      </c>
      <c r="B2379" s="1" t="n">
        <v>45345</v>
      </c>
      <c r="C2379" s="1" t="n">
        <v>45348</v>
      </c>
      <c r="D2379" t="inlineStr">
        <is>
          <t>VÄSTERNORRLANDS LÄN</t>
        </is>
      </c>
      <c r="E2379" t="inlineStr">
        <is>
          <t>SUNDSVALL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7412-2024</t>
        </is>
      </c>
      <c r="B2380" s="1" t="n">
        <v>45345</v>
      </c>
      <c r="C2380" s="1" t="n">
        <v>45348</v>
      </c>
      <c r="D2380" t="inlineStr">
        <is>
          <t>VÄSTERNORRLANDS LÄN</t>
        </is>
      </c>
      <c r="E2380" t="inlineStr">
        <is>
          <t>SUNDSVALL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7471-2024</t>
        </is>
      </c>
      <c r="B2381" s="1" t="n">
        <v>45345</v>
      </c>
      <c r="C2381" s="1" t="n">
        <v>45348</v>
      </c>
      <c r="D2381" t="inlineStr">
        <is>
          <t>VÄSTERNORRLANDS LÄN</t>
        </is>
      </c>
      <c r="E2381" t="inlineStr">
        <is>
          <t>SUNDSVALL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7365-2024</t>
        </is>
      </c>
      <c r="B2382" s="1" t="n">
        <v>45345</v>
      </c>
      <c r="C2382" s="1" t="n">
        <v>45348</v>
      </c>
      <c r="D2382" t="inlineStr">
        <is>
          <t>VÄSTERNORRLANDS LÄN</t>
        </is>
      </c>
      <c r="E2382" t="inlineStr">
        <is>
          <t>SUNDSVALL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>
      <c r="A2383" t="inlineStr">
        <is>
          <t>A 7469-2024</t>
        </is>
      </c>
      <c r="B2383" s="1" t="n">
        <v>45345</v>
      </c>
      <c r="C2383" s="1" t="n">
        <v>45348</v>
      </c>
      <c r="D2383" t="inlineStr">
        <is>
          <t>VÄSTERNORRLANDS LÄN</t>
        </is>
      </c>
      <c r="E2383" t="inlineStr">
        <is>
          <t>SUNDSVALL</t>
        </is>
      </c>
      <c r="G2383" t="n">
        <v>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2024-02-26T12:58:08Z</dcterms:created>
  <dcterms:modified xmlns:dcterms="http://purl.org/dc/terms/" xmlns:xsi="http://www.w3.org/2001/XMLSchema-instance" xsi:type="dcterms:W3CDTF">2024-02-26T12:58:10Z</dcterms:modified>
</cp:coreProperties>
</file>