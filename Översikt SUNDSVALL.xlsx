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45705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45705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45705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45705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45705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45705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45705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45705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45705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45705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45705</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45705</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45705</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45705</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45705</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45705</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45705</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45705</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45705</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45705</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45705</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45705</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45705</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45705</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45705</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45705</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45705</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45705</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45705</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45705</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45705</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45705</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45705</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45705</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45705</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45705</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45705</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45705</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45705</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45705</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45705</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45705</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45705</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45705</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45705</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45705</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45705</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45705</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45705</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45705</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45705</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45705</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45705</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45705</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45705</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45705</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45705</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45705</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45705</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45705</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45705</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45705</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45705</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45705</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45705</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45705</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45705</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45705</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45705</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45705</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45705</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45705</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45705</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45705</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45705</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45705</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45705</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45705</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45705</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45705</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45705</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45705</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45705</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45705</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45705</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45705</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45705</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45705</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45705</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45705</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45705</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45705</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45705</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45705</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45705</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45705</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45705</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45705</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45705</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45705</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45705</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45705</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45705</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45705</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45705</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45705</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45705</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45705</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45705</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45705</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45705</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45705</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45705</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45705</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45705</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45705</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45705</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45705</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45705</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45705</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45705</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45705</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45705</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45705</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45705</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45705</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45705</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45705</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45705</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45705</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45705</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45705</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45705</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45705</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45705</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45705</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45705</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45705</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45705</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45705</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45705</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45705</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45705</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45705</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45705</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45705</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45705</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45705</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45705</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45705</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45705</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45705</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45705</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45705</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45705</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45705</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45705</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45705</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45705</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45705</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45705</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45705</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45705</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45705</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45705</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45705</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45705</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45705</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45705</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45705</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45705</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45705</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45705</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45705</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45705</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45705</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45705</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45705</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45705</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45705</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45705</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45705</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45705</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45705</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45705</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45705</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45705</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45705</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45705</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45705</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45705</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45705</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45705</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45705</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45705</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4896-2025</t>
        </is>
      </c>
      <c r="B197" s="1" t="n">
        <v>45688</v>
      </c>
      <c r="C197" s="1" t="n">
        <v>45705</v>
      </c>
      <c r="D197" t="inlineStr">
        <is>
          <t>VÄSTERNORRLANDS LÄN</t>
        </is>
      </c>
      <c r="E197" t="inlineStr">
        <is>
          <t>SUNDSVALL</t>
        </is>
      </c>
      <c r="F197" t="inlineStr">
        <is>
          <t>SCA</t>
        </is>
      </c>
      <c r="G197" t="n">
        <v>6.9</v>
      </c>
      <c r="H197" t="n">
        <v>0</v>
      </c>
      <c r="I197" t="n">
        <v>1</v>
      </c>
      <c r="J197" t="n">
        <v>0</v>
      </c>
      <c r="K197" t="n">
        <v>0</v>
      </c>
      <c r="L197" t="n">
        <v>0</v>
      </c>
      <c r="M197" t="n">
        <v>0</v>
      </c>
      <c r="N197" t="n">
        <v>0</v>
      </c>
      <c r="O197" t="n">
        <v>0</v>
      </c>
      <c r="P197" t="n">
        <v>0</v>
      </c>
      <c r="Q197" t="n">
        <v>1</v>
      </c>
      <c r="R197" s="2" t="inlineStr">
        <is>
          <t>Tibast</t>
        </is>
      </c>
      <c r="S197">
        <f>HYPERLINK("https://klasma.github.io/Logging_2281/artfynd/A 4896-2025 artfynd.xlsx", "A 4896-2025")</f>
        <v/>
      </c>
      <c r="T197">
        <f>HYPERLINK("https://klasma.github.io/Logging_2281/kartor/A 4896-2025 karta.png", "A 4896-2025")</f>
        <v/>
      </c>
      <c r="U197">
        <f>HYPERLINK("https://klasma.github.io/Logging_2281/knärot/A 4896-2025 karta knärot.png", "A 4896-2025")</f>
        <v/>
      </c>
      <c r="V197">
        <f>HYPERLINK("https://klasma.github.io/Logging_2281/klagomål/A 4896-2025 FSC-klagomål.docx", "A 4896-2025")</f>
        <v/>
      </c>
      <c r="W197">
        <f>HYPERLINK("https://klasma.github.io/Logging_2281/klagomålsmail/A 4896-2025 FSC-klagomål mail.docx", "A 4896-2025")</f>
        <v/>
      </c>
      <c r="X197">
        <f>HYPERLINK("https://klasma.github.io/Logging_2281/tillsyn/A 4896-2025 tillsynsbegäran.docx", "A 4896-2025")</f>
        <v/>
      </c>
      <c r="Y197">
        <f>HYPERLINK("https://klasma.github.io/Logging_2281/tillsynsmail/A 4896-2025 tillsynsbegäran mail.docx", "A 4896-2025")</f>
        <v/>
      </c>
    </row>
    <row r="198" ht="15" customHeight="1">
      <c r="A198" t="inlineStr">
        <is>
          <t>A 4878-2025</t>
        </is>
      </c>
      <c r="B198" s="1" t="n">
        <v>45688</v>
      </c>
      <c r="C198" s="1" t="n">
        <v>45705</v>
      </c>
      <c r="D198" t="inlineStr">
        <is>
          <t>VÄSTERNORRLANDS LÄN</t>
        </is>
      </c>
      <c r="E198" t="inlineStr">
        <is>
          <t>SUNDSVALL</t>
        </is>
      </c>
      <c r="F198" t="inlineStr">
        <is>
          <t>SCA</t>
        </is>
      </c>
      <c r="G198" t="n">
        <v>4.2</v>
      </c>
      <c r="H198" t="n">
        <v>1</v>
      </c>
      <c r="I198" t="n">
        <v>0</v>
      </c>
      <c r="J198" t="n">
        <v>0</v>
      </c>
      <c r="K198" t="n">
        <v>1</v>
      </c>
      <c r="L198" t="n">
        <v>0</v>
      </c>
      <c r="M198" t="n">
        <v>0</v>
      </c>
      <c r="N198" t="n">
        <v>0</v>
      </c>
      <c r="O198" t="n">
        <v>1</v>
      </c>
      <c r="P198" t="n">
        <v>1</v>
      </c>
      <c r="Q198" t="n">
        <v>1</v>
      </c>
      <c r="R198" s="2" t="inlineStr">
        <is>
          <t>Knärot</t>
        </is>
      </c>
      <c r="S198">
        <f>HYPERLINK("https://klasma.github.io/Logging_2281/artfynd/A 4878-2025 artfynd.xlsx", "A 4878-2025")</f>
        <v/>
      </c>
      <c r="T198">
        <f>HYPERLINK("https://klasma.github.io/Logging_2281/kartor/A 4878-2025 karta.png", "A 4878-2025")</f>
        <v/>
      </c>
      <c r="U198">
        <f>HYPERLINK("https://klasma.github.io/Logging_2281/knärot/A 4878-2025 karta knärot.png", "A 4878-2025")</f>
        <v/>
      </c>
      <c r="V198">
        <f>HYPERLINK("https://klasma.github.io/Logging_2281/klagomål/A 4878-2025 FSC-klagomål.docx", "A 4878-2025")</f>
        <v/>
      </c>
      <c r="W198">
        <f>HYPERLINK("https://klasma.github.io/Logging_2281/klagomålsmail/A 4878-2025 FSC-klagomål mail.docx", "A 4878-2025")</f>
        <v/>
      </c>
      <c r="X198">
        <f>HYPERLINK("https://klasma.github.io/Logging_2281/tillsyn/A 4878-2025 tillsynsbegäran.docx", "A 4878-2025")</f>
        <v/>
      </c>
      <c r="Y198">
        <f>HYPERLINK("https://klasma.github.io/Logging_2281/tillsynsmail/A 4878-2025 tillsynsbegäran mail.docx", "A 4878-2025")</f>
        <v/>
      </c>
    </row>
    <row r="199" ht="15" customHeight="1">
      <c r="A199" t="inlineStr">
        <is>
          <t>A 4856-2025</t>
        </is>
      </c>
      <c r="B199" s="1" t="n">
        <v>45688</v>
      </c>
      <c r="C199" s="1" t="n">
        <v>45705</v>
      </c>
      <c r="D199" t="inlineStr">
        <is>
          <t>VÄSTERNORRLANDS LÄN</t>
        </is>
      </c>
      <c r="E199" t="inlineStr">
        <is>
          <t>SUNDSVALL</t>
        </is>
      </c>
      <c r="F199" t="inlineStr">
        <is>
          <t>SCA</t>
        </is>
      </c>
      <c r="G199" t="n">
        <v>3.5</v>
      </c>
      <c r="H199" t="n">
        <v>0</v>
      </c>
      <c r="I199" t="n">
        <v>1</v>
      </c>
      <c r="J199" t="n">
        <v>0</v>
      </c>
      <c r="K199" t="n">
        <v>0</v>
      </c>
      <c r="L199" t="n">
        <v>0</v>
      </c>
      <c r="M199" t="n">
        <v>0</v>
      </c>
      <c r="N199" t="n">
        <v>0</v>
      </c>
      <c r="O199" t="n">
        <v>0</v>
      </c>
      <c r="P199" t="n">
        <v>0</v>
      </c>
      <c r="Q199" t="n">
        <v>1</v>
      </c>
      <c r="R199" s="2" t="inlineStr">
        <is>
          <t>Grönpyrola</t>
        </is>
      </c>
      <c r="S199">
        <f>HYPERLINK("https://klasma.github.io/Logging_2281/artfynd/A 4856-2025 artfynd.xlsx", "A 4856-2025")</f>
        <v/>
      </c>
      <c r="T199">
        <f>HYPERLINK("https://klasma.github.io/Logging_2281/kartor/A 4856-2025 karta.png", "A 4856-2025")</f>
        <v/>
      </c>
      <c r="V199">
        <f>HYPERLINK("https://klasma.github.io/Logging_2281/klagomål/A 4856-2025 FSC-klagomål.docx", "A 4856-2025")</f>
        <v/>
      </c>
      <c r="W199">
        <f>HYPERLINK("https://klasma.github.io/Logging_2281/klagomålsmail/A 4856-2025 FSC-klagomål mail.docx", "A 4856-2025")</f>
        <v/>
      </c>
      <c r="X199">
        <f>HYPERLINK("https://klasma.github.io/Logging_2281/tillsyn/A 4856-2025 tillsynsbegäran.docx", "A 4856-2025")</f>
        <v/>
      </c>
      <c r="Y199">
        <f>HYPERLINK("https://klasma.github.io/Logging_2281/tillsynsmail/A 4856-2025 tillsynsbegäran mail.docx", "A 4856-2025")</f>
        <v/>
      </c>
    </row>
    <row r="200" ht="15" customHeight="1">
      <c r="A200" t="inlineStr">
        <is>
          <t>A 18070-2019</t>
        </is>
      </c>
      <c r="B200" s="1" t="n">
        <v>43557</v>
      </c>
      <c r="C200" s="1" t="n">
        <v>45705</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45705</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45705</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45705</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45705</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45705</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45705</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45705</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45705</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45705</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45705</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45705</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45705</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45705</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45705</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45705</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45705</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45705</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45705</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45705</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45705</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45705</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45705</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45705</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45705</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45705</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45705</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45705</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45705</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45705</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45705</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45705</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45705</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45705</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45705</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45705</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45705</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45705</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45705</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45705</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45705</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45705</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45705</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45705</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45705</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45705</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45705</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45705</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45705</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45705</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45705</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45705</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45705</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45705</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45705</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45705</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45705</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45705</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45705</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45705</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45705</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45705</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45705</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45705</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45705</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45705</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45705</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45705</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45705</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45705</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45705</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45705</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45705</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45705</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45705</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45705</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45705</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45705</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45705</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45705</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45705</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45705</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45705</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45705</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45705</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45705</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45705</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45705</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45705</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45705</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45705</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45705</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45705</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45705</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45705</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45705</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45705</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45705</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45705</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45705</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45705</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45705</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45705</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45705</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45705</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45705</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45705</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45705</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45705</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45705</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45705</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45705</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45705</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45705</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45705</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45705</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45705</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45705</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45705</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45705</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45705</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45705</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45705</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45705</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45705</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45705</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45705</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45705</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45705</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45705</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45705</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45705</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45705</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45705</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45705</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45705</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45705</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45705</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45705</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45705</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45705</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45705</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45705</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45705</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45705</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45705</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45705</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45705</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45705</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45705</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45705</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45705</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45705</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45705</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45705</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45705</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45705</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45705</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45705</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45705</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45705</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45705</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45705</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45705</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45705</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45705</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45705</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45705</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45705</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45705</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45705</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45705</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45705</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45705</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45705</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45705</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45705</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45705</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45705</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45705</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45705</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45705</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45705</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45705</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45705</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45705</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45705</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45705</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45705</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45705</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45705</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45705</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45705</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45705</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45705</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45705</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45705</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45705</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45705</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45705</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45705</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45705</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45705</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45705</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45705</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45705</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45705</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45705</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45705</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45705</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45705</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45705</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45705</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45705</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45705</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45705</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45705</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45705</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45705</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45705</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45705</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45705</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45705</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45705</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45705</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45705</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45705</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45705</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45705</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45705</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45705</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45705</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45705</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45705</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45705</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45705</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45705</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45705</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45705</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45705</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45705</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45705</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45705</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45705</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45705</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45705</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45705</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45705</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45705</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45705</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45705</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45705</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45705</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45705</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45705</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45705</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45705</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45705</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45705</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45705</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45705</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45705</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45705</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45705</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45705</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45705</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45705</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45705</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45705</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45705</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45705</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45705</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45705</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45705</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45705</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45705</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45705</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45705</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45705</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45705</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45705</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45705</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45705</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45705</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45705</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45705</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45705</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45705</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45705</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45705</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45705</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45705</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45705</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45705</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45705</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45705</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45705</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45705</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45705</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45705</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45705</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45705</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45705</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45705</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45705</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45705</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45705</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45705</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45705</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45705</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45705</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45705</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45705</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45705</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45705</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45705</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45705</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45705</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45705</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45705</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45705</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45705</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45705</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45705</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45705</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45705</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45705</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45705</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45705</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45705</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45705</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45705</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45705</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45705</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45705</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45705</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45705</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45705</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45705</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45705</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45705</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45705</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45705</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45705</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45705</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45705</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45705</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45705</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45705</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45705</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45705</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45705</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45705</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45705</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45705</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45705</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45705</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45705</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45705</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45705</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45705</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45705</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45705</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45705</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45705</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45705</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45705</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45705</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45705</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45705</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45705</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45705</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45705</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45705</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45705</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45705</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45705</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45705</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45705</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45705</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45705</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45705</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45705</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45705</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45705</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45705</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45705</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45705</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45705</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45705</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45705</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45705</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45705</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45705</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45705</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45705</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45705</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45705</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45705</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45705</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45705</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45705</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45705</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45705</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45705</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45705</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45705</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45705</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45705</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45705</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45705</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45705</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45705</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45705</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45705</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45705</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45705</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45705</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45705</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45705</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45705</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45705</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45705</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45705</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45705</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45705</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45705</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45705</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45705</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45705</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45705</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45705</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45705</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45705</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45705</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45705</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45705</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45705</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45705</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45705</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45705</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45705</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45705</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45705</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45705</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45705</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45705</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45705</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45705</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45705</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45705</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45705</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45705</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45705</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45705</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45705</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45705</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45705</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45705</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45705</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45705</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45705</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45705</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45705</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45705</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45705</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45705</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45705</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45705</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45705</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45705</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45705</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45705</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45705</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45705</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45705</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45705</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45705</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45705</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45705</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45705</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45705</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45705</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45705</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45705</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45705</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45705</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45705</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45705</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45705</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45705</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45705</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45705</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45705</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45705</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45705</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45705</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45705</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45705</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45705</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45705</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45705</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45705</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45705</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45705</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45705</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45705</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45705</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45705</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45705</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45705</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45705</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45705</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45705</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45705</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45705</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45705</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45705</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45705</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45705</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45705</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45705</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45705</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45705</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45705</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45705</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45705</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45705</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45705</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45705</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45705</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45705</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45705</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45705</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45705</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45705</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45705</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45705</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45705</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45705</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45705</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45705</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45705</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45705</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45705</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45705</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45705</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45705</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45705</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45705</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45705</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45705</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45705</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45705</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45705</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45705</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45705</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45705</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45705</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45705</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45705</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45705</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45705</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45705</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45705</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45705</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45705</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45705</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45705</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45705</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45705</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45705</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45705</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45705</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45705</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45705</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45705</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45705</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45705</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45705</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45705</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45705</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45705</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45705</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45705</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45705</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45705</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45705</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45705</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45705</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45705</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45705</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45705</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45705</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45705</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45705</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45705</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45705</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45705</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45705</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45705</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45705</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45705</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45705</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45705</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45705</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45705</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45705</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45705</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45705</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45705</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45705</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45705</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45705</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45705</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45705</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45705</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45705</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45705</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45705</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45705</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45705</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45705</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45705</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45705</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45705</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45705</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45705</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45705</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45705</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45705</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45705</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45705</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45705</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45705</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45705</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45705</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45705</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45705</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45705</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45705</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45705</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45705</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45705</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45705</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45705</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45705</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45705</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45705</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45705</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45705</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45705</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45705</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45705</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45705</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45705</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45705</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45705</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45705</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45705</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45705</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45705</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45705</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45705</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45705</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45705</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45705</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45705</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45705</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45705</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45705</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45705</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45705</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45705</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45705</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45705</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45705</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45705</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45705</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45705</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45705</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45705</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45705</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45705</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45705</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45705</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45705</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45705</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45705</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45705</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45705</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45705</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45705</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45705</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45705</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45705</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45705</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45705</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45705</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45705</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45705</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45705</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45705</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45705</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45705</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45705</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45705</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45705</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45705</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45705</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45705</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45705</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45705</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45705</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45705</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45705</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45705</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45705</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45705</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45705</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45705</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45705</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45705</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45705</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45705</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45705</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45705</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45705</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45705</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45705</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45705</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45705</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45705</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45705</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45705</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45705</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45705</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45705</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45705</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45705</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45705</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45705</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45705</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45705</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45705</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45705</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45705</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45705</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45705</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45705</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45705</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45705</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45705</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45705</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45705</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45705</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45705</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45705</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45705</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45705</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45705</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45705</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45705</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45705</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45705</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45705</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45705</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45705</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45705</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45705</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45705</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45705</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45705</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45705</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45705</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45705</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45705</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45705</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45705</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45705</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45705</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45705</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45705</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45705</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45705</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45705</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45705</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45705</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45705</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45705</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45705</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45705</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45705</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45705</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45705</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45705</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45705</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45705</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45705</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45705</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45705</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45705</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45705</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45705</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45705</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45705</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45705</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45705</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45705</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45705</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45705</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45705</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45705</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45705</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45705</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45705</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45705</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45705</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45705</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45705</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45705</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45705</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45705</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45705</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45705</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45705</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45705</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45705</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45705</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45705</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45705</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45705</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45705</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45705</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45705</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45705</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45705</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45705</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45705</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45705</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45705</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45705</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45705</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45705</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45705</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45705</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45705</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45705</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45705</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45705</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45705</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45705</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45705</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45705</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45705</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45705</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45705</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45705</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45705</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45705</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45705</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45705</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45705</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45705</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45705</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45705</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45705</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45705</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45705</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45705</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45705</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45705</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45705</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45705</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45705</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45705</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45705</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45705</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45705</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45705</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45705</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45705</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45705</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45705</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45705</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45705</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45705</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45705</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45705</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45705</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45705</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45705</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45705</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45705</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45705</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45705</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45705</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45705</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45705</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45705</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45705</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45705</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45705</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45705</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45705</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45705</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45705</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45705</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45705</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45705</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45705</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45705</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45705</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45705</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45705</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45705</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45705</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45705</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45705</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45705</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45705</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45705</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45705</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45705</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45705</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45705</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45705</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45705</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45705</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45705</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45705</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45705</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45705</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45705</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45705</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45705</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45705</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45705</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45705</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45705</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45705</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45705</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45705</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45705</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45705</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45705</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45705</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45705</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45705</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45705</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45705</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45705</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45705</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45705</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45705</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45705</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45705</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45705</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45705</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45705</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45705</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45705</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45705</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45705</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45705</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45705</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45705</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45705</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45705</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45705</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45705</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45705</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45705</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45705</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45705</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45705</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45705</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45705</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45705</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45705</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45705</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45705</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45705</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45705</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45705</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45705</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45705</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45705</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45705</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45705</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45705</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45705</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45705</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45705</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45705</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45705</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45705</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45705</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45705</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45705</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45705</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45705</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45705</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45705</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45705</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45705</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45705</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45705</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45705</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45705</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45705</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45705</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45705</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45705</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45705</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45705</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45705</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45705</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45705</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45705</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45705</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45705</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45705</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45705</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45705</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45705</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45705</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45705</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45705</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45705</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45705</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45705</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45705</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45705</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45705</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45705</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45705</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45705</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45705</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45705</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45705</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45705</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45705</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45705</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45705</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45705</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45705</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45705</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45705</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45705</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45705</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45705</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45705</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45705</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45705</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45705</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45705</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45705</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45705</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45705</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45705</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45705</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45705</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45705</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45705</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45705</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45705</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45705</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45705</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45705</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45705</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45705</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45705</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45705</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45705</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45705</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45705</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45705</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45705</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45705</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45705</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45705</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45705</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45705</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45705</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45705</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45705</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45705</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45705</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45705</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45705</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45705</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45705</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45705</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45705</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45705</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45705</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45705</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45705</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45705</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45705</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45705</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45705</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45705</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45705</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45705</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45705</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45705</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45705</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45705</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45705</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45705</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45705</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45705</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45705</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45705</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45705</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45705</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45705</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45705</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45705</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45705</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45705</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45705</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45705</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45705</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45705</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45705</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45705</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45705</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45705</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45705</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45705</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45705</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45705</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45705</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45705</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45705</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45705</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45705</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45705</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45705</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45705</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45705</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45705</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45705</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45705</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45705</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45705</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45705</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45705</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45705</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45705</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45705</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45705</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45705</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45705</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45705</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45705</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45705</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45705</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45705</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45705</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45705</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45705</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45705</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45705</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45705</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45705</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45705</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45705</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45705</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45705</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45705</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45705</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45705</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45705</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45705</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45705</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45705</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45705</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45705</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45705</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45705</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45705</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45705</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45705</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45705</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45705</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45705</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45705</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45705</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45705</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45705</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45705</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45705</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45705</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45705</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45705</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45705</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45705</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45705</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45705</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45705</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45705</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45705</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45705</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45705</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45705</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45705</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45705</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45705</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45705</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45705</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45705</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45705</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45705</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45705</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45705</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45705</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45705</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45705</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45705</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45705</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45705</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45705</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45705</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45705</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45705</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45705</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45705</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45705</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45705</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45705</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45705</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45705</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45705</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45705</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45705</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45705</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45705</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45705</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45705</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45705</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45705</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45705</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45705</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45705</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45705</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45705</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45705</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45705</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45705</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45705</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45705</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45705</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45705</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45705</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45705</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45705</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45705</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45705</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45705</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45705</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45705</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45705</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45705</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45705</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45705</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45705</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45705</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45705</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45705</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45705</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45705</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45705</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45705</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45705</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45705</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45705</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45705</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45705</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45705</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45705</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45705</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45705</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45705</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45705</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45705</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45705</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45705</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45705</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45705</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45705</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45705</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45705</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45705</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45705</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45705</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45705</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45705</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45705</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45705</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45705</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45705</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45705</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45705</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45705</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45705</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45705</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45705</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45705</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45705</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45705</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45705</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45705</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45705</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45705</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45705</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45705</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45705</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45705</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45705</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45705</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45705</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45705</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45705</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45705</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45705</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45705</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45705</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45705</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45705</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45705</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45705</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45705</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45705</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45705</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45705</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45705</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45705</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45705</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45705</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45705</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45705</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45705</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45705</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45705</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45705</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45705</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45705</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45705</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45705</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45705</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45705</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45705</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45705</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45705</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45705</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45705</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45705</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45705</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45705</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45705</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45705</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45705</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45705</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45705</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45705</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45705</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45705</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45705</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45705</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45705</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45705</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45705</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45705</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45705</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45705</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45705</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45705</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45705</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45705</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45705</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45705</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45705</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45705</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45705</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45705</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45705</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45705</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45705</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45705</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45705</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45705</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45705</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45705</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45705</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45705</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45705</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45705</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45705</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45705</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45705</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45705</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45705</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45705</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45705</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45705</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45705</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45705</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45705</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45705</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45705</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45705</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45705</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45705</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45705</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45705</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45705</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45705</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45705</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45705</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45705</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45705</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45705</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45705</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45705</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45705</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45705</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45705</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45705</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45705</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45705</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45705</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45705</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45705</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45705</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45705</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45705</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45705</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45705</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45705</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45705</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45705</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45705</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45705</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45705</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45705</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45705</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45705</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45705</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45705</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45705</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45705</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45705</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45705</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45705</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45705</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45705</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45705</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45705</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45705</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45705</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45705</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45705</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45705</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45705</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45705</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45705</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45705</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45705</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45705</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45705</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45705</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45705</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45705</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45705</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45705</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45705</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45705</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45705</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45705</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45705</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45705</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45705</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45705</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45705</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45705</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45705</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45705</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45705</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45705</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45705</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45705</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45705</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45705</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45705</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45705</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45705</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45705</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45705</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45705</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45705</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45705</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45705</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45705</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45705</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45705</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45705</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45705</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45705</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45705</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45705</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45705</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45705</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45705</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45705</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45705</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45705</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45705</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45705</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45705</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45705</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45705</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45705</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45705</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45705</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45705</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45705</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45705</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45705</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45705</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45705</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45705</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45705</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45705</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45705</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45705</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45705</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45705</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45705</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45705</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45705</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45705</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45705</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45705</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45705</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45705</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45705</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45705</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45705</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45705</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45705</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45705</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45705</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45705</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45705</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45705</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45705</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45705</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45705</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45705</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45705</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45705</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45705</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45705</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45705</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45705</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45705</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45705</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45705</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45705</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45705</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45705</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45705</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45705</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45705</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45705</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45705</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45705</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45705</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45705</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45705</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45705</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45705</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45705</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45705</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45705</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45705</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45705</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45705</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45705</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45705</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45705</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45705</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45705</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45705</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45705</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45705</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45705</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45705</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45705</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45705</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45705</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45705</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45705</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45705</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45705</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45705</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45705</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45705</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45705</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45705</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45705</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45705</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45705</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45705</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45705</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45705</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45705</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45705</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45705</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45705</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45705</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45705</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45705</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45705</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45705</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45705</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45705</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45705</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45705</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45705</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45705</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45705</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45705</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45705</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45705</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45705</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45705</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45705</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45705</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45705</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45705</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45705</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45705</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45705</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45705</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45705</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45705</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45705</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45705</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45705</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45705</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45705</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45705</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45705</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45705</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45705</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45705</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45705</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45705</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45705</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45705</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45705</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45705</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45705</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45705</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45705</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45705</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45705</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45705</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45705</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45705</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45705</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45705</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45705</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45705</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45705</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45705</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45705</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45705</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45705</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45705</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45705</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45705</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45705</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45705</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45705</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45705</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45705</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45705</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45705</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45705</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45705</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45705</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45705</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45705</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45705</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45705</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45705</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45705</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45705</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45705</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45705</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45705</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45705</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45705</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45705</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45705</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45705</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45705</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45705</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45705</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45705</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45705</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45705</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45705</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45705</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45705</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45705</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45705</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45705</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45705</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45705</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45705</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45705</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45705</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45705</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45705</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45705</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45705</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45705</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45705</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45705</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45705</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45705</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45705</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45705</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45705</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45705</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45705</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45705</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45705</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45705</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45705</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45705</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45705</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45705</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45705</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45705</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45705</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45705</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45705</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45705</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45705</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45705</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45705</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45705</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45705</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45705</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45705</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45705</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45705</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45705</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45705</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45705</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45705</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45705</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45705</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45705</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45705</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45705</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45705</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45705</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45705</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45705</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45705</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45705</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45705</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45705</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45705</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45705</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45705</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45705</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45705</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45705</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45705</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45705</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45705</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45705</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45705</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45705</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45705</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45705</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45705</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45705</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45705</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45705</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45705</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45705</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45705</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45705</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45705</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45705</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45705</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45705</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45705</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45705</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45705</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45705</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45705</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45705</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45705</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45705</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45705</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45705</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45705</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45705</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45705</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45705</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45705</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45705</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45705</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45705</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45705</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45705</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45705</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45705</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45705</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45705</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45705</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45705</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45705</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45705</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45705</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45705</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45705</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45705</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45705</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45705</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45705</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45705</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45705</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45705</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45705</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45705</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45705</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45705</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45705</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45705</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45705</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45705</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45705</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45705</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45705</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45705</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45705</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45705</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45705</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45705</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45705</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45705</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45705</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45705</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45705</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45705</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45705</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45705</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45705</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45705</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45705</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45705</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45705</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45705</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45705</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45705</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45705</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45705</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45705</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45705</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45705</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45705</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45705</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45705</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45705</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45705</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45705</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45705</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45705</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45705</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45705</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45705</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45705</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45705</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45705</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45705</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45705</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45705</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45705</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45705</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45705</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45705</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45705</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45705</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45705</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45705</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45705</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45705</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45705</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45705</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45705</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45705</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45705</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45705</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45705</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45705</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45705</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45705</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45705</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45705</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45705</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45705</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45705</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45705</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45705</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45705</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45705</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45705</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45705</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45705</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45705</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45705</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45705</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45705</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45705</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45705</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45705</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45705</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45705</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45705</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45705</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45705</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45705</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45705</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45705</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45705</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45705</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45705</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45705</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45705</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45705</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45705</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45705</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45705</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45705</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45705</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45705</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45705</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45705</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45705</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45705</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45705</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45705</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45705</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45705</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45705</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45705</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45705</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45705</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45705</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45705</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45705</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45705</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45705</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45705</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45705</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45705</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45705</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45705</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45705</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45705</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45705</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45705</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45705</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45705</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45705</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45705</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45705</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45705</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45705</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45705</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45705</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45705</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45705</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45705</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45705</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45705</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45705</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45705</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45705</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45705</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45705</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45705</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45705</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45705</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45705</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45705</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45705</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45705</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45705</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45705</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45705</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45705</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45705</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45705</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45705</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45705</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45705</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45705</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45705</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45705</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45705</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45705</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45705</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45705</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45705</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45705</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45705</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45705</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45705</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45705</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45705</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45705</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45705</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45705</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45705</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45705</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45705</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45705</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45705</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45705</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45705</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45705</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45705</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45705</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45705</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45705</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45705</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45705</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45705</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45705</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45705</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45705</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45705</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45705</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45705</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45705</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45705</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45705</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45705</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45705</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45705</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45705</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45705</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45705</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45705</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45705</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45705</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45705</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45705</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45705</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45705</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45705</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45705</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45705</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45705</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45705</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45705</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45705</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45705</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45705</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45705</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45705</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45705</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45705</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45705</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45705</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45705</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45705</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45705</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45705</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45705</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45705</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45705</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45705</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45705</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45705</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45705</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45705</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45705</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45705</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45705</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45705</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45705</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45705</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45705</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45705</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45705</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45705</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45705</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45705</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45705</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45705</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45705</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45705</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45705</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45705</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45705</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45705</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45705</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45705</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45705</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45705</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45705</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45705</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45705</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45705</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45705</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45705</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45705</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45705</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45705</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45705</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45705</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45705</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45705</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45705</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45705</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45705</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45705</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45705</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45705</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45705</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45705</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45705</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45705</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45705</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45705</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45705</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45705</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45705</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45705</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45705</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45705</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45705</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45705</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45705</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45705</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45705</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45705</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45705</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45705</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45705</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45705</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45705</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45705</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45705</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45705</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45705</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45705</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45705</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45705</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45705</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45705</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45705</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45705</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45705</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45705</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45705</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45705</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45705</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45705</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45705</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45705</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45705</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45705</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45705</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45705</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45705</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45705</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45705</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45705</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45705</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45705</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45705</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45705</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45705</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45705</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45705</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45705</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45705</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45705</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45705</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45705</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45705</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45705</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45705</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45705</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45705</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45705</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45705</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45705</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45705</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45705</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45705</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45705</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45705</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45705</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45705</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45705</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45705</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45705</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45705</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45705</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45705</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45705</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45705</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45705</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45705</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45705</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45705</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45705</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45705</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45705</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45705</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45705</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45705</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45705</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45705</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45705</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45705</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45705</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45705</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45705</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45705</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45705</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45705</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45705</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45705</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45705</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45705</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45705</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45705</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45705</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45705</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45705</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45705</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45705</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45705</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45705</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45705</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45705</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45705</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45705</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45705</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45705</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45705</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45705</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45705</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45705</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45705</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45705</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45705</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45705</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45705</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45705</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45705</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45705</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45705</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45705</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45705</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45705</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45705</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45705</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45705</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45705</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45705</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45705</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45705</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45705</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45705</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45705</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45705</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45705</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45705</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45705</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45705</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45705</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45705</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45705</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45705</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45705</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45705</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45705</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45705</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45705</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45705</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45705</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45705</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45705</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45705</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45705</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45705</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45705</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45705</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45705</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45705</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45705</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45705</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45705</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45705</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45705</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45705</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45705</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45705</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45705</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45705</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45705</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45705</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45705</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45705</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45705</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45705</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45705</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45705</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45705</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45705</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45705</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45705</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45705</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45705</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45705</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45705</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45705</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45705</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45705</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45705</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45705</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45705</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45705</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45705</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45705</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45705</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45705</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45705</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45705</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45705</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45705</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45705</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45705</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45705</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45705</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45705</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45705</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45705</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45705</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45705</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45705</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45705</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45705</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45705</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45705</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45705</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45705</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45705</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45705</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45705</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45705</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45705</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45705</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45705</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45705</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45705</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45705</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45705</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45705</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45705</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45705</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45705</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45705</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45705</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45705</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45705</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45705</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45705</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45705</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45705</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45705</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45705</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45705</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45705</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45705</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45705</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45705</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45705</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45705</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45705</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45705</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45705</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45705</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45705</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45705</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45705</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45705</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45705</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45705</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45705</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45705</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45705</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45705</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45705</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45705</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45705</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45705</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45705</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45705</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45705</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45705</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45705</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45705</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45705</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45705</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45705</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45705</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45705</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45705</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45705</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45705</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45705</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45705</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45705</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45705</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45705</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45705</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45705</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45705</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45705</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45705</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45705</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45705</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45705</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45705</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45705</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45705</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45705</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45705</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45705</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45705</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45705</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45705</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45705</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45705</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45705</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45705</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45705</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45705</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45705</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45705</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45705</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45705</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45705</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45705</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45705</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45705</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45705</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45705</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45705</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45705</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45705</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45705</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45705</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45705</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45705</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45705</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45705</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45705</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45705</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45705</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45705</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45705</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45705</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45705</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45705</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45705</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45705</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45705</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45705</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45705</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45705</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45705</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45705</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45705</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45705</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45705</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45705</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45705</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45705</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45705</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45705</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45705</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45705</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45705</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45705</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45705</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45705</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45705</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45705</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45705</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45705</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45705</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45705</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45705</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45705</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45705</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45705</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45705</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45705</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45705</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45705</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45705</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45705</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45705</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45705</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45705</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45705</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45705</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45705</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45705</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45705</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45705</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45705</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45705</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45705</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45705</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45705</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45705</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45705</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45705</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45705</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45705</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45705</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45705</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45705</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45705</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45705</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45705</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45705</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45705</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45705</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45705</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45705</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45705</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45705</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45705</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45705</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45705</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45705</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45705</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45705</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45705</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45705</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45705</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45705</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45705</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45705</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45705</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45705</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45705</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45705</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45705</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45705</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45705</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45705</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45705</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45705</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45705</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45705</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45705</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45705</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45705</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45705</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45705</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45705</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45705</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45705</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45705</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45705</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45705</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45705</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45705</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45705</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45705</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45705</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45705</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45705</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45705</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45705</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45705</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45705</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45705</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45705</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45705</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45705</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45705</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45705</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45705</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45705</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45705</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45705</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45705</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45705</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45705</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45705</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45705</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45705</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45705</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45705</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45705</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45705</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45705</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45705</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45705</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45705</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45705</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45705</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45705</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45705</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45705</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45705</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45705</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45705</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45705</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45705</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45705</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45705</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45705</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45705</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45705</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45705</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45705</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45705</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45705</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45705</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45705</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45705</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45705</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45705</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45705</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45705</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45705</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45705</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45705</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45705</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45705</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45705</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45705</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45705</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45705</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45705</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45705</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45705</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45705</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45705</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45705</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45705</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45705</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45705</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45705</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45705</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45705</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45705</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45705</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45705</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45705</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45705</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45705</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45705</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45705</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45705</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45705</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45705</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45705</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45705</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45705</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45705</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45705</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45705</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45705</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45705</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45705</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45705</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45705</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45705</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45705</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45705</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45705</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45705</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45705</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45705</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45705</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45705</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45705</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45705</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45705</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45705</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45705</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45705</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45705</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45705</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45705</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45705</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45705</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45705</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45705</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45705</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45705</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45705</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45705</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45705</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45705</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45705</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45705</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45705</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45705</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45705</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45705</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45705</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45705</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45705</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45705</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45705</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45705</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45705</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45705</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45705</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45705</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45705</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45705</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45705</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45705</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45705</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45705</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45705</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45705</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45705</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45705</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45705</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45705</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45705</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45705</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45705</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45705</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45705</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45705</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45705</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45705</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45705</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45705</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45705</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45705</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45705</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45705</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45705</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45705</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45705</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45705</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45705</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45705</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45705</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45705</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45705</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45705</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45705</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45705</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45705</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45705</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45705</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45705</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45705</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45705</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45705</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45705</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45705</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45705</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45705</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45705</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45705</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45705</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45705</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45705</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45705</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45705</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45705</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45705</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45705</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45705</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45705</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45705</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45705</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45705</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2831-2025</t>
        </is>
      </c>
      <c r="B3012" s="1" t="n">
        <v>45677</v>
      </c>
      <c r="C3012" s="1" t="n">
        <v>45705</v>
      </c>
      <c r="D3012" t="inlineStr">
        <is>
          <t>VÄSTERNORRLANDS LÄN</t>
        </is>
      </c>
      <c r="E3012" t="inlineStr">
        <is>
          <t>SUNDSVALL</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2834-2025</t>
        </is>
      </c>
      <c r="B3013" s="1" t="n">
        <v>45677</v>
      </c>
      <c r="C3013" s="1" t="n">
        <v>45705</v>
      </c>
      <c r="D3013" t="inlineStr">
        <is>
          <t>VÄSTERNORRLANDS LÄN</t>
        </is>
      </c>
      <c r="E3013" t="inlineStr">
        <is>
          <t>SUNDSVALL</t>
        </is>
      </c>
      <c r="F3013" t="inlineStr">
        <is>
          <t>SCA</t>
        </is>
      </c>
      <c r="G3013" t="n">
        <v>28.4</v>
      </c>
      <c r="H3013" t="n">
        <v>0</v>
      </c>
      <c r="I3013" t="n">
        <v>0</v>
      </c>
      <c r="J3013" t="n">
        <v>0</v>
      </c>
      <c r="K3013" t="n">
        <v>0</v>
      </c>
      <c r="L3013" t="n">
        <v>0</v>
      </c>
      <c r="M3013" t="n">
        <v>0</v>
      </c>
      <c r="N3013" t="n">
        <v>0</v>
      </c>
      <c r="O3013" t="n">
        <v>0</v>
      </c>
      <c r="P3013" t="n">
        <v>0</v>
      </c>
      <c r="Q3013" t="n">
        <v>0</v>
      </c>
      <c r="R3013" s="2" t="inlineStr"/>
    </row>
    <row r="3014" ht="15" customHeight="1">
      <c r="A3014" t="inlineStr">
        <is>
          <t>A 2881-2025</t>
        </is>
      </c>
      <c r="B3014" s="1" t="n">
        <v>45677</v>
      </c>
      <c r="C3014" s="1" t="n">
        <v>45705</v>
      </c>
      <c r="D3014" t="inlineStr">
        <is>
          <t>VÄSTERNORRLANDS LÄN</t>
        </is>
      </c>
      <c r="E3014" t="inlineStr">
        <is>
          <t>SUNDSVALL</t>
        </is>
      </c>
      <c r="F3014" t="inlineStr">
        <is>
          <t>SCA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45705</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45705</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45705</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3215-2025</t>
        </is>
      </c>
      <c r="B3018" s="1" t="n">
        <v>45679</v>
      </c>
      <c r="C3018" s="1" t="n">
        <v>45705</v>
      </c>
      <c r="D3018" t="inlineStr">
        <is>
          <t>VÄSTERNORRLANDS LÄN</t>
        </is>
      </c>
      <c r="E3018" t="inlineStr">
        <is>
          <t>SUNDSVALL</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3232-2025</t>
        </is>
      </c>
      <c r="B3019" s="1" t="n">
        <v>45679</v>
      </c>
      <c r="C3019" s="1" t="n">
        <v>45705</v>
      </c>
      <c r="D3019" t="inlineStr">
        <is>
          <t>VÄSTERNORRLANDS LÄN</t>
        </is>
      </c>
      <c r="E3019" t="inlineStr">
        <is>
          <t>SUNDSVALL</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3214-2025</t>
        </is>
      </c>
      <c r="B3020" s="1" t="n">
        <v>45679</v>
      </c>
      <c r="C3020" s="1" t="n">
        <v>45705</v>
      </c>
      <c r="D3020" t="inlineStr">
        <is>
          <t>VÄSTERNORRLANDS LÄN</t>
        </is>
      </c>
      <c r="E3020" t="inlineStr">
        <is>
          <t>SUNDSVALL</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3293-2025</t>
        </is>
      </c>
      <c r="B3021" s="1" t="n">
        <v>45679</v>
      </c>
      <c r="C3021" s="1" t="n">
        <v>45705</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3326-2025</t>
        </is>
      </c>
      <c r="B3022" s="1" t="n">
        <v>45679</v>
      </c>
      <c r="C3022" s="1" t="n">
        <v>45705</v>
      </c>
      <c r="D3022" t="inlineStr">
        <is>
          <t>VÄSTERNORRLANDS LÄN</t>
        </is>
      </c>
      <c r="E3022" t="inlineStr">
        <is>
          <t>SUNDSVALL</t>
        </is>
      </c>
      <c r="F3022" t="inlineStr">
        <is>
          <t>SCA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3217-2025</t>
        </is>
      </c>
      <c r="B3023" s="1" t="n">
        <v>45679</v>
      </c>
      <c r="C3023" s="1" t="n">
        <v>45705</v>
      </c>
      <c r="D3023" t="inlineStr">
        <is>
          <t>VÄSTERNORRLANDS LÄN</t>
        </is>
      </c>
      <c r="E3023" t="inlineStr">
        <is>
          <t>SUNDSVALL</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3188-2025</t>
        </is>
      </c>
      <c r="B3024" s="1" t="n">
        <v>45679</v>
      </c>
      <c r="C3024" s="1" t="n">
        <v>45705</v>
      </c>
      <c r="D3024" t="inlineStr">
        <is>
          <t>VÄSTERNORRLANDS LÄN</t>
        </is>
      </c>
      <c r="E3024" t="inlineStr">
        <is>
          <t>SUNDSVALL</t>
        </is>
      </c>
      <c r="F3024" t="inlineStr">
        <is>
          <t>SCA</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3216-2025</t>
        </is>
      </c>
      <c r="B3025" s="1" t="n">
        <v>45679</v>
      </c>
      <c r="C3025" s="1" t="n">
        <v>45705</v>
      </c>
      <c r="D3025" t="inlineStr">
        <is>
          <t>VÄSTERNORRLANDS LÄN</t>
        </is>
      </c>
      <c r="E3025" t="inlineStr">
        <is>
          <t>SUNDSVALL</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45705</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45705</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45705</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45705</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3696-2025</t>
        </is>
      </c>
      <c r="B3030" s="1" t="n">
        <v>45681</v>
      </c>
      <c r="C3030" s="1" t="n">
        <v>45705</v>
      </c>
      <c r="D3030" t="inlineStr">
        <is>
          <t>VÄSTERNORRLANDS LÄN</t>
        </is>
      </c>
      <c r="E3030" t="inlineStr">
        <is>
          <t>SUNDSVALL</t>
        </is>
      </c>
      <c r="F3030" t="inlineStr">
        <is>
          <t>SCA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45705</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3670-2025</t>
        </is>
      </c>
      <c r="B3032" s="1" t="n">
        <v>45681</v>
      </c>
      <c r="C3032" s="1" t="n">
        <v>45705</v>
      </c>
      <c r="D3032" t="inlineStr">
        <is>
          <t>VÄSTERNORRLANDS LÄN</t>
        </is>
      </c>
      <c r="E3032" t="inlineStr">
        <is>
          <t>SUNDSVALL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45705</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3772-2025</t>
        </is>
      </c>
      <c r="B3034" s="1" t="n">
        <v>45681</v>
      </c>
      <c r="C3034" s="1" t="n">
        <v>45705</v>
      </c>
      <c r="D3034" t="inlineStr">
        <is>
          <t>VÄSTERNORRLANDS LÄN</t>
        </is>
      </c>
      <c r="E3034" t="inlineStr">
        <is>
          <t>SUNDSVALL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45705</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3967-2025</t>
        </is>
      </c>
      <c r="B3036" s="1" t="n">
        <v>45684</v>
      </c>
      <c r="C3036" s="1" t="n">
        <v>45705</v>
      </c>
      <c r="D3036" t="inlineStr">
        <is>
          <t>VÄSTERNORRLANDS LÄN</t>
        </is>
      </c>
      <c r="E3036" t="inlineStr">
        <is>
          <t>SUNDSVALL</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3962-2025</t>
        </is>
      </c>
      <c r="B3037" s="1" t="n">
        <v>45684</v>
      </c>
      <c r="C3037" s="1" t="n">
        <v>45705</v>
      </c>
      <c r="D3037" t="inlineStr">
        <is>
          <t>VÄSTERNORRLANDS LÄN</t>
        </is>
      </c>
      <c r="E3037" t="inlineStr">
        <is>
          <t>SUNDSVALL</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3924-2025</t>
        </is>
      </c>
      <c r="B3038" s="1" t="n">
        <v>45684</v>
      </c>
      <c r="C3038" s="1" t="n">
        <v>45705</v>
      </c>
      <c r="D3038" t="inlineStr">
        <is>
          <t>VÄSTERNORRLANDS LÄN</t>
        </is>
      </c>
      <c r="E3038" t="inlineStr">
        <is>
          <t>SUNDSVALL</t>
        </is>
      </c>
      <c r="F3038" t="inlineStr">
        <is>
          <t>SCA</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3948-2025</t>
        </is>
      </c>
      <c r="B3039" s="1" t="n">
        <v>45684</v>
      </c>
      <c r="C3039" s="1" t="n">
        <v>45705</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45705</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4813-2025</t>
        </is>
      </c>
      <c r="B3041" s="1" t="n">
        <v>45688</v>
      </c>
      <c r="C3041" s="1" t="n">
        <v>45705</v>
      </c>
      <c r="D3041" t="inlineStr">
        <is>
          <t>VÄSTERNORRLANDS LÄN</t>
        </is>
      </c>
      <c r="E3041" t="inlineStr">
        <is>
          <t>SUNDSVALL</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4900-2025</t>
        </is>
      </c>
      <c r="B3042" s="1" t="n">
        <v>45688</v>
      </c>
      <c r="C3042" s="1" t="n">
        <v>45705</v>
      </c>
      <c r="D3042" t="inlineStr">
        <is>
          <t>VÄSTERNORRLANDS LÄN</t>
        </is>
      </c>
      <c r="E3042" t="inlineStr">
        <is>
          <t>SUNDSVALL</t>
        </is>
      </c>
      <c r="F3042" t="inlineStr">
        <is>
          <t>SCA</t>
        </is>
      </c>
      <c r="G3042" t="n">
        <v>10.4</v>
      </c>
      <c r="H3042" t="n">
        <v>0</v>
      </c>
      <c r="I3042" t="n">
        <v>0</v>
      </c>
      <c r="J3042" t="n">
        <v>0</v>
      </c>
      <c r="K3042" t="n">
        <v>0</v>
      </c>
      <c r="L3042" t="n">
        <v>0</v>
      </c>
      <c r="M3042" t="n">
        <v>0</v>
      </c>
      <c r="N3042" t="n">
        <v>0</v>
      </c>
      <c r="O3042" t="n">
        <v>0</v>
      </c>
      <c r="P3042" t="n">
        <v>0</v>
      </c>
      <c r="Q3042" t="n">
        <v>0</v>
      </c>
      <c r="R3042" s="2" t="inlineStr"/>
    </row>
    <row r="3043" ht="15" customHeight="1">
      <c r="A3043" t="inlineStr">
        <is>
          <t>A 4853-2025</t>
        </is>
      </c>
      <c r="B3043" s="1" t="n">
        <v>45688</v>
      </c>
      <c r="C3043" s="1" t="n">
        <v>45705</v>
      </c>
      <c r="D3043" t="inlineStr">
        <is>
          <t>VÄSTERNORRLANDS LÄN</t>
        </is>
      </c>
      <c r="E3043" t="inlineStr">
        <is>
          <t>SUNDSVALL</t>
        </is>
      </c>
      <c r="F3043" t="inlineStr">
        <is>
          <t>SCA</t>
        </is>
      </c>
      <c r="G3043" t="n">
        <v>18.3</v>
      </c>
      <c r="H3043" t="n">
        <v>0</v>
      </c>
      <c r="I3043" t="n">
        <v>0</v>
      </c>
      <c r="J3043" t="n">
        <v>0</v>
      </c>
      <c r="K3043" t="n">
        <v>0</v>
      </c>
      <c r="L3043" t="n">
        <v>0</v>
      </c>
      <c r="M3043" t="n">
        <v>0</v>
      </c>
      <c r="N3043" t="n">
        <v>0</v>
      </c>
      <c r="O3043" t="n">
        <v>0</v>
      </c>
      <c r="P3043" t="n">
        <v>0</v>
      </c>
      <c r="Q3043" t="n">
        <v>0</v>
      </c>
      <c r="R3043" s="2" t="inlineStr"/>
    </row>
    <row r="3044" ht="15" customHeight="1">
      <c r="A3044" t="inlineStr">
        <is>
          <t>A 4865-2025</t>
        </is>
      </c>
      <c r="B3044" s="1" t="n">
        <v>45688</v>
      </c>
      <c r="C3044" s="1" t="n">
        <v>45705</v>
      </c>
      <c r="D3044" t="inlineStr">
        <is>
          <t>VÄSTERNORRLANDS LÄN</t>
        </is>
      </c>
      <c r="E3044" t="inlineStr">
        <is>
          <t>SUNDSVALL</t>
        </is>
      </c>
      <c r="F3044" t="inlineStr">
        <is>
          <t>SCA</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4890-2025</t>
        </is>
      </c>
      <c r="B3045" s="1" t="n">
        <v>45688</v>
      </c>
      <c r="C3045" s="1" t="n">
        <v>45705</v>
      </c>
      <c r="D3045" t="inlineStr">
        <is>
          <t>VÄSTERNORRLANDS LÄN</t>
        </is>
      </c>
      <c r="E3045" t="inlineStr">
        <is>
          <t>SUNDSVALL</t>
        </is>
      </c>
      <c r="F3045" t="inlineStr">
        <is>
          <t>SCA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45705</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4932-2025</t>
        </is>
      </c>
      <c r="B3047" s="1" t="n">
        <v>45688</v>
      </c>
      <c r="C3047" s="1" t="n">
        <v>45705</v>
      </c>
      <c r="D3047" t="inlineStr">
        <is>
          <t>VÄSTERNORRLANDS LÄN</t>
        </is>
      </c>
      <c r="E3047" t="inlineStr">
        <is>
          <t>SUNDSVALL</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4888-2025</t>
        </is>
      </c>
      <c r="B3048" s="1" t="n">
        <v>45688</v>
      </c>
      <c r="C3048" s="1" t="n">
        <v>45705</v>
      </c>
      <c r="D3048" t="inlineStr">
        <is>
          <t>VÄSTERNORRLANDS LÄN</t>
        </is>
      </c>
      <c r="E3048" t="inlineStr">
        <is>
          <t>SUNDSVALL</t>
        </is>
      </c>
      <c r="F3048" t="inlineStr">
        <is>
          <t>SCA</t>
        </is>
      </c>
      <c r="G3048" t="n">
        <v>8.6</v>
      </c>
      <c r="H3048" t="n">
        <v>0</v>
      </c>
      <c r="I3048" t="n">
        <v>0</v>
      </c>
      <c r="J3048" t="n">
        <v>0</v>
      </c>
      <c r="K3048" t="n">
        <v>0</v>
      </c>
      <c r="L3048" t="n">
        <v>0</v>
      </c>
      <c r="M3048" t="n">
        <v>0</v>
      </c>
      <c r="N3048" t="n">
        <v>0</v>
      </c>
      <c r="O3048" t="n">
        <v>0</v>
      </c>
      <c r="P3048" t="n">
        <v>0</v>
      </c>
      <c r="Q3048" t="n">
        <v>0</v>
      </c>
      <c r="R3048" s="2" t="inlineStr"/>
    </row>
    <row r="3049" ht="15" customHeight="1">
      <c r="A3049" t="inlineStr">
        <is>
          <t>A 4871-2025</t>
        </is>
      </c>
      <c r="B3049" s="1" t="n">
        <v>45688</v>
      </c>
      <c r="C3049" s="1" t="n">
        <v>45705</v>
      </c>
      <c r="D3049" t="inlineStr">
        <is>
          <t>VÄSTERNORRLANDS LÄN</t>
        </is>
      </c>
      <c r="E3049" t="inlineStr">
        <is>
          <t>SUNDSVALL</t>
        </is>
      </c>
      <c r="F3049" t="inlineStr">
        <is>
          <t>SCA</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4810-2025</t>
        </is>
      </c>
      <c r="B3050" s="1" t="n">
        <v>45688</v>
      </c>
      <c r="C3050" s="1" t="n">
        <v>45705</v>
      </c>
      <c r="D3050" t="inlineStr">
        <is>
          <t>VÄSTERNORRLANDS LÄN</t>
        </is>
      </c>
      <c r="E3050" t="inlineStr">
        <is>
          <t>SUNDSVALL</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4784-2025</t>
        </is>
      </c>
      <c r="B3051" s="1" t="n">
        <v>45688</v>
      </c>
      <c r="C3051" s="1" t="n">
        <v>45705</v>
      </c>
      <c r="D3051" t="inlineStr">
        <is>
          <t>VÄSTERNORRLANDS LÄN</t>
        </is>
      </c>
      <c r="E3051" t="inlineStr">
        <is>
          <t>SUNDSVALL</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4815-2025</t>
        </is>
      </c>
      <c r="B3052" s="1" t="n">
        <v>45688</v>
      </c>
      <c r="C3052" s="1" t="n">
        <v>45705</v>
      </c>
      <c r="D3052" t="inlineStr">
        <is>
          <t>VÄSTERNORRLANDS LÄN</t>
        </is>
      </c>
      <c r="E3052" t="inlineStr">
        <is>
          <t>SUNDSVALL</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4917-2025</t>
        </is>
      </c>
      <c r="B3053" s="1" t="n">
        <v>45688</v>
      </c>
      <c r="C3053" s="1" t="n">
        <v>45705</v>
      </c>
      <c r="D3053" t="inlineStr">
        <is>
          <t>VÄSTERNORRLANDS LÄN</t>
        </is>
      </c>
      <c r="E3053" t="inlineStr">
        <is>
          <t>SUNDSVALL</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4933-2025</t>
        </is>
      </c>
      <c r="B3054" s="1" t="n">
        <v>45688</v>
      </c>
      <c r="C3054" s="1" t="n">
        <v>45705</v>
      </c>
      <c r="D3054" t="inlineStr">
        <is>
          <t>VÄSTERNORRLANDS LÄN</t>
        </is>
      </c>
      <c r="E3054" t="inlineStr">
        <is>
          <t>SUNDSVALL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5023-2025</t>
        </is>
      </c>
      <c r="B3055" s="1" t="n">
        <v>45691</v>
      </c>
      <c r="C3055" s="1" t="n">
        <v>45705</v>
      </c>
      <c r="D3055" t="inlineStr">
        <is>
          <t>VÄSTERNORRLANDS LÄN</t>
        </is>
      </c>
      <c r="E3055" t="inlineStr">
        <is>
          <t>SUNDSVALL</t>
        </is>
      </c>
      <c r="F3055" t="inlineStr">
        <is>
          <t>SCA</t>
        </is>
      </c>
      <c r="G3055" t="n">
        <v>15.7</v>
      </c>
      <c r="H3055" t="n">
        <v>0</v>
      </c>
      <c r="I3055" t="n">
        <v>0</v>
      </c>
      <c r="J3055" t="n">
        <v>0</v>
      </c>
      <c r="K3055" t="n">
        <v>0</v>
      </c>
      <c r="L3055" t="n">
        <v>0</v>
      </c>
      <c r="M3055" t="n">
        <v>0</v>
      </c>
      <c r="N3055" t="n">
        <v>0</v>
      </c>
      <c r="O3055" t="n">
        <v>0</v>
      </c>
      <c r="P3055" t="n">
        <v>0</v>
      </c>
      <c r="Q3055" t="n">
        <v>0</v>
      </c>
      <c r="R3055" s="2" t="inlineStr"/>
    </row>
    <row r="3056" ht="15" customHeight="1">
      <c r="A3056" t="inlineStr">
        <is>
          <t>A 5022-2025</t>
        </is>
      </c>
      <c r="B3056" s="1" t="n">
        <v>45691</v>
      </c>
      <c r="C3056" s="1" t="n">
        <v>45705</v>
      </c>
      <c r="D3056" t="inlineStr">
        <is>
          <t>VÄSTERNORRLANDS LÄN</t>
        </is>
      </c>
      <c r="E3056" t="inlineStr">
        <is>
          <t>SUNDSVALL</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45705</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5049-2025</t>
        </is>
      </c>
      <c r="B3058" s="1" t="n">
        <v>45691</v>
      </c>
      <c r="C3058" s="1" t="n">
        <v>45705</v>
      </c>
      <c r="D3058" t="inlineStr">
        <is>
          <t>VÄSTERNORRLANDS LÄN</t>
        </is>
      </c>
      <c r="E3058" t="inlineStr">
        <is>
          <t>SUNDSVALL</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5314-2025</t>
        </is>
      </c>
      <c r="B3059" s="1" t="n">
        <v>45692</v>
      </c>
      <c r="C3059" s="1" t="n">
        <v>45705</v>
      </c>
      <c r="D3059" t="inlineStr">
        <is>
          <t>VÄSTERNORRLANDS LÄN</t>
        </is>
      </c>
      <c r="E3059" t="inlineStr">
        <is>
          <t>SUNDSVALL</t>
        </is>
      </c>
      <c r="F3059" t="inlineStr">
        <is>
          <t>SCA</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45705</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45705</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45705</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45705</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5569-2025</t>
        </is>
      </c>
      <c r="B3064" s="1" t="n">
        <v>45693</v>
      </c>
      <c r="C3064" s="1" t="n">
        <v>45705</v>
      </c>
      <c r="D3064" t="inlineStr">
        <is>
          <t>VÄSTERNORRLANDS LÄN</t>
        </is>
      </c>
      <c r="E3064" t="inlineStr">
        <is>
          <t>SUNDSVALL</t>
        </is>
      </c>
      <c r="F3064" t="inlineStr">
        <is>
          <t>SCA</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5488-2025</t>
        </is>
      </c>
      <c r="B3065" s="1" t="n">
        <v>45693</v>
      </c>
      <c r="C3065" s="1" t="n">
        <v>45705</v>
      </c>
      <c r="D3065" t="inlineStr">
        <is>
          <t>VÄSTERNORRLANDS LÄN</t>
        </is>
      </c>
      <c r="E3065" t="inlineStr">
        <is>
          <t>SUNDSVALL</t>
        </is>
      </c>
      <c r="F3065" t="inlineStr">
        <is>
          <t>SCA</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45705</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5646-2025</t>
        </is>
      </c>
      <c r="B3067" s="1" t="n">
        <v>45693</v>
      </c>
      <c r="C3067" s="1" t="n">
        <v>45705</v>
      </c>
      <c r="D3067" t="inlineStr">
        <is>
          <t>VÄSTERNORRLANDS LÄN</t>
        </is>
      </c>
      <c r="E3067" t="inlineStr">
        <is>
          <t>SUNDSVALL</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45705</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45705</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6702-2025</t>
        </is>
      </c>
      <c r="B3070" s="1" t="n">
        <v>45700</v>
      </c>
      <c r="C3070" s="1" t="n">
        <v>45705</v>
      </c>
      <c r="D3070" t="inlineStr">
        <is>
          <t>VÄSTERNORRLANDS LÄN</t>
        </is>
      </c>
      <c r="E3070" t="inlineStr">
        <is>
          <t>SUNDSVALL</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6656-2025</t>
        </is>
      </c>
      <c r="B3071" s="1" t="n">
        <v>45700</v>
      </c>
      <c r="C3071" s="1" t="n">
        <v>45705</v>
      </c>
      <c r="D3071" t="inlineStr">
        <is>
          <t>VÄSTERNORRLANDS LÄN</t>
        </is>
      </c>
      <c r="E3071" t="inlineStr">
        <is>
          <t>SUNDSVALL</t>
        </is>
      </c>
      <c r="F3071" t="inlineStr">
        <is>
          <t>SCA</t>
        </is>
      </c>
      <c r="G3071" t="n">
        <v>13.5</v>
      </c>
      <c r="H3071" t="n">
        <v>0</v>
      </c>
      <c r="I3071" t="n">
        <v>0</v>
      </c>
      <c r="J3071" t="n">
        <v>0</v>
      </c>
      <c r="K3071" t="n">
        <v>0</v>
      </c>
      <c r="L3071" t="n">
        <v>0</v>
      </c>
      <c r="M3071" t="n">
        <v>0</v>
      </c>
      <c r="N3071" t="n">
        <v>0</v>
      </c>
      <c r="O3071" t="n">
        <v>0</v>
      </c>
      <c r="P3071" t="n">
        <v>0</v>
      </c>
      <c r="Q3071" t="n">
        <v>0</v>
      </c>
      <c r="R3071" s="2" t="inlineStr"/>
    </row>
    <row r="3072" ht="15" customHeight="1">
      <c r="A3072" t="inlineStr">
        <is>
          <t>A 6673-2025</t>
        </is>
      </c>
      <c r="B3072" s="1" t="n">
        <v>45700</v>
      </c>
      <c r="C3072" s="1" t="n">
        <v>45705</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6672-2025</t>
        </is>
      </c>
      <c r="B3073" s="1" t="n">
        <v>45700</v>
      </c>
      <c r="C3073" s="1" t="n">
        <v>45705</v>
      </c>
      <c r="D3073" t="inlineStr">
        <is>
          <t>VÄSTERNORRLANDS LÄN</t>
        </is>
      </c>
      <c r="E3073" t="inlineStr">
        <is>
          <t>SUNDSVALL</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6704-2025</t>
        </is>
      </c>
      <c r="B3074" s="1" t="n">
        <v>45700</v>
      </c>
      <c r="C3074" s="1" t="n">
        <v>45705</v>
      </c>
      <c r="D3074" t="inlineStr">
        <is>
          <t>VÄSTERNORRLANDS LÄN</t>
        </is>
      </c>
      <c r="E3074" t="inlineStr">
        <is>
          <t>SUNDSVALL</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6708-2025</t>
        </is>
      </c>
      <c r="B3075" s="1" t="n">
        <v>45700</v>
      </c>
      <c r="C3075" s="1" t="n">
        <v>45705</v>
      </c>
      <c r="D3075" t="inlineStr">
        <is>
          <t>VÄSTERNORRLANDS LÄN</t>
        </is>
      </c>
      <c r="E3075" t="inlineStr">
        <is>
          <t>SUNDSVALL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6654-2025</t>
        </is>
      </c>
      <c r="B3076" s="1" t="n">
        <v>45700</v>
      </c>
      <c r="C3076" s="1" t="n">
        <v>45705</v>
      </c>
      <c r="D3076" t="inlineStr">
        <is>
          <t>VÄSTERNORRLANDS LÄN</t>
        </is>
      </c>
      <c r="E3076" t="inlineStr">
        <is>
          <t>SUNDSVALL</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6670-2025</t>
        </is>
      </c>
      <c r="B3077" s="1" t="n">
        <v>45700</v>
      </c>
      <c r="C3077" s="1" t="n">
        <v>45705</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6709-2025</t>
        </is>
      </c>
      <c r="B3078" s="1" t="n">
        <v>45700</v>
      </c>
      <c r="C3078" s="1" t="n">
        <v>45705</v>
      </c>
      <c r="D3078" t="inlineStr">
        <is>
          <t>VÄSTERNORRLANDS LÄN</t>
        </is>
      </c>
      <c r="E3078" t="inlineStr">
        <is>
          <t>SUNDSVALL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45705</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6880-2025</t>
        </is>
      </c>
      <c r="B3080" s="1" t="n">
        <v>45701</v>
      </c>
      <c r="C3080" s="1" t="n">
        <v>45705</v>
      </c>
      <c r="D3080" t="inlineStr">
        <is>
          <t>VÄSTERNORRLANDS LÄN</t>
        </is>
      </c>
      <c r="E3080" t="inlineStr">
        <is>
          <t>SUNDSVALL</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6969-2025</t>
        </is>
      </c>
      <c r="B3081" s="1" t="n">
        <v>45701</v>
      </c>
      <c r="C3081" s="1" t="n">
        <v>45705</v>
      </c>
      <c r="D3081" t="inlineStr">
        <is>
          <t>VÄSTERNORRLANDS LÄN</t>
        </is>
      </c>
      <c r="E3081" t="inlineStr">
        <is>
          <t>SUNDSVALL</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6882-2025</t>
        </is>
      </c>
      <c r="B3082" s="1" t="n">
        <v>45701</v>
      </c>
      <c r="C3082" s="1" t="n">
        <v>45705</v>
      </c>
      <c r="D3082" t="inlineStr">
        <is>
          <t>VÄSTERNORRLANDS LÄN</t>
        </is>
      </c>
      <c r="E3082" t="inlineStr">
        <is>
          <t>SUNDSVALL</t>
        </is>
      </c>
      <c r="F3082" t="inlineStr">
        <is>
          <t>SCA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7090-2025</t>
        </is>
      </c>
      <c r="B3083" s="1" t="n">
        <v>45701</v>
      </c>
      <c r="C3083" s="1" t="n">
        <v>45705</v>
      </c>
      <c r="D3083" t="inlineStr">
        <is>
          <t>VÄSTERNORRLANDS LÄN</t>
        </is>
      </c>
      <c r="E3083" t="inlineStr">
        <is>
          <t>SUNDSVALL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7091-2025</t>
        </is>
      </c>
      <c r="B3084" s="1" t="n">
        <v>45701</v>
      </c>
      <c r="C3084" s="1" t="n">
        <v>45705</v>
      </c>
      <c r="D3084" t="inlineStr">
        <is>
          <t>VÄSTERNORRLANDS LÄN</t>
        </is>
      </c>
      <c r="E3084" t="inlineStr">
        <is>
          <t>SUNDSVALL</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6955-2025</t>
        </is>
      </c>
      <c r="B3085" s="1" t="n">
        <v>45701</v>
      </c>
      <c r="C3085" s="1" t="n">
        <v>45705</v>
      </c>
      <c r="D3085" t="inlineStr">
        <is>
          <t>VÄSTERNORRLANDS LÄN</t>
        </is>
      </c>
      <c r="E3085" t="inlineStr">
        <is>
          <t>SUNDSVALL</t>
        </is>
      </c>
      <c r="F3085" t="inlineStr">
        <is>
          <t>SCA</t>
        </is>
      </c>
      <c r="G3085" t="n">
        <v>24.7</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45705</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7265-2025</t>
        </is>
      </c>
      <c r="B3087" s="1" t="n">
        <v>45702</v>
      </c>
      <c r="C3087" s="1" t="n">
        <v>45705</v>
      </c>
      <c r="D3087" t="inlineStr">
        <is>
          <t>VÄSTERNORRLANDS LÄN</t>
        </is>
      </c>
      <c r="E3087" t="inlineStr">
        <is>
          <t>SUNDSVALL</t>
        </is>
      </c>
      <c r="F3087" t="inlineStr">
        <is>
          <t>SCA</t>
        </is>
      </c>
      <c r="G3087" t="n">
        <v>6.2</v>
      </c>
      <c r="H3087" t="n">
        <v>0</v>
      </c>
      <c r="I3087" t="n">
        <v>0</v>
      </c>
      <c r="J3087" t="n">
        <v>0</v>
      </c>
      <c r="K3087" t="n">
        <v>0</v>
      </c>
      <c r="L3087" t="n">
        <v>0</v>
      </c>
      <c r="M3087" t="n">
        <v>0</v>
      </c>
      <c r="N3087" t="n">
        <v>0</v>
      </c>
      <c r="O3087" t="n">
        <v>0</v>
      </c>
      <c r="P3087" t="n">
        <v>0</v>
      </c>
      <c r="Q3087" t="n">
        <v>0</v>
      </c>
      <c r="R3087" s="2" t="inlineStr"/>
      <c r="U3087">
        <f>HYPERLINK("https://klasma.github.io/Logging_2281/knärot/A 7265-2025 karta knärot.png", "A 7265-2025")</f>
        <v/>
      </c>
      <c r="V3087">
        <f>HYPERLINK("https://klasma.github.io/Logging_2281/klagomål/A 7265-2025 FSC-klagomål.docx", "A 7265-2025")</f>
        <v/>
      </c>
      <c r="W3087">
        <f>HYPERLINK("https://klasma.github.io/Logging_2281/klagomålsmail/A 7265-2025 FSC-klagomål mail.docx", "A 7265-2025")</f>
        <v/>
      </c>
      <c r="X3087">
        <f>HYPERLINK("https://klasma.github.io/Logging_2281/tillsyn/A 7265-2025 tillsynsbegäran.docx", "A 7265-2025")</f>
        <v/>
      </c>
      <c r="Y3087">
        <f>HYPERLINK("https://klasma.github.io/Logging_2281/tillsynsmail/A 7265-2025 tillsynsbegäran mail.docx", "A 7265-2025")</f>
        <v/>
      </c>
    </row>
    <row r="3088" ht="15" customHeight="1">
      <c r="A3088" t="inlineStr">
        <is>
          <t>A 7155-2025</t>
        </is>
      </c>
      <c r="B3088" s="1" t="n">
        <v>45702</v>
      </c>
      <c r="C3088" s="1" t="n">
        <v>45705</v>
      </c>
      <c r="D3088" t="inlineStr">
        <is>
          <t>VÄSTERNORRLANDS LÄN</t>
        </is>
      </c>
      <c r="E3088" t="inlineStr">
        <is>
          <t>SUNDSVALL</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7292-2025</t>
        </is>
      </c>
      <c r="B3089" s="1" t="n">
        <v>45702</v>
      </c>
      <c r="C3089" s="1" t="n">
        <v>45705</v>
      </c>
      <c r="D3089" t="inlineStr">
        <is>
          <t>VÄSTERNORRLANDS LÄN</t>
        </is>
      </c>
      <c r="E3089" t="inlineStr">
        <is>
          <t>SUNDSVALL</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7264-2025</t>
        </is>
      </c>
      <c r="B3090" s="1" t="n">
        <v>45702</v>
      </c>
      <c r="C3090" s="1" t="n">
        <v>45705</v>
      </c>
      <c r="D3090" t="inlineStr">
        <is>
          <t>VÄSTERNORRLANDS LÄN</t>
        </is>
      </c>
      <c r="E3090" t="inlineStr">
        <is>
          <t>SUNDSVALL</t>
        </is>
      </c>
      <c r="F3090" t="inlineStr">
        <is>
          <t>SCA</t>
        </is>
      </c>
      <c r="G3090" t="n">
        <v>2.1</v>
      </c>
      <c r="H3090" t="n">
        <v>0</v>
      </c>
      <c r="I3090" t="n">
        <v>0</v>
      </c>
      <c r="J3090" t="n">
        <v>0</v>
      </c>
      <c r="K3090" t="n">
        <v>0</v>
      </c>
      <c r="L3090" t="n">
        <v>0</v>
      </c>
      <c r="M3090" t="n">
        <v>0</v>
      </c>
      <c r="N3090" t="n">
        <v>0</v>
      </c>
      <c r="O3090" t="n">
        <v>0</v>
      </c>
      <c r="P3090" t="n">
        <v>0</v>
      </c>
      <c r="Q3090" t="n">
        <v>0</v>
      </c>
      <c r="R3090" s="2" t="inlineStr"/>
    </row>
    <row r="3091">
      <c r="A3091" t="inlineStr">
        <is>
          <t>A 7293-2025</t>
        </is>
      </c>
      <c r="B3091" s="1" t="n">
        <v>45702</v>
      </c>
      <c r="C3091" s="1" t="n">
        <v>45705</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2025-02-17T16:45:02Z</dcterms:created>
  <dcterms:modified xmlns:dcterms="http://purl.org/dc/terms/" xmlns:xsi="http://www.w3.org/2001/XMLSchema-instance" xsi:type="dcterms:W3CDTF">2025-02-17T16:45:05Z</dcterms:modified>
</cp:coreProperties>
</file>