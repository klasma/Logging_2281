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45756</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45756</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45756</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45756</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45756</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45756</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45756</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45756</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45756</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45756</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45756</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45756</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45756</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45756</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45756</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45756</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45756</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45756</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45756</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45756</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45756</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45756</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45756</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45756</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45756</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45756</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45756</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45756</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45756</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45756</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45756</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45756</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45756</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45756</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45756</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45756</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45756</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45756</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45756</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45756</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45756</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45756</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45756</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45756</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45756</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45756</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45756</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45756</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45756</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45756</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45756</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45756</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45756</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45756</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45756</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45756</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45756</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45756</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45756</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45756</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45756</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45756</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45756</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45756</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16656-2025</t>
        </is>
      </c>
      <c r="B76" s="1" t="n">
        <v>45754</v>
      </c>
      <c r="C76" s="1" t="n">
        <v>45756</v>
      </c>
      <c r="D76" t="inlineStr">
        <is>
          <t>VÄSTERNORRLANDS LÄN</t>
        </is>
      </c>
      <c r="E76" t="inlineStr">
        <is>
          <t>SUNDSVALL</t>
        </is>
      </c>
      <c r="F76" t="inlineStr">
        <is>
          <t>SCA</t>
        </is>
      </c>
      <c r="G76" t="n">
        <v>3.5</v>
      </c>
      <c r="H76" t="n">
        <v>2</v>
      </c>
      <c r="I76" t="n">
        <v>0</v>
      </c>
      <c r="J76" t="n">
        <v>2</v>
      </c>
      <c r="K76" t="n">
        <v>0</v>
      </c>
      <c r="L76" t="n">
        <v>0</v>
      </c>
      <c r="M76" t="n">
        <v>0</v>
      </c>
      <c r="N76" t="n">
        <v>0</v>
      </c>
      <c r="O76" t="n">
        <v>2</v>
      </c>
      <c r="P76" t="n">
        <v>0</v>
      </c>
      <c r="Q76" t="n">
        <v>4</v>
      </c>
      <c r="R76" s="2" t="inlineStr">
        <is>
          <t>Garnlav
Lunglav
Fläcknycklar
Revlummer</t>
        </is>
      </c>
      <c r="S76">
        <f>HYPERLINK("https://klasma.github.io/Logging_222281/artfynd/A 16656-2025 artfynd.xlsx", "A 16656-2025")</f>
        <v/>
      </c>
      <c r="T76">
        <f>HYPERLINK("https://klasma.github.io/Logging_222281/kartor/A 16656-2025 karta.png", "A 16656-2025")</f>
        <v/>
      </c>
      <c r="V76">
        <f>HYPERLINK("https://klasma.github.io/Logging_222281/klagomål/A 16656-2025 FSC-klagomål.docx", "A 16656-2025")</f>
        <v/>
      </c>
      <c r="W76">
        <f>HYPERLINK("https://klasma.github.io/Logging_222281/klagomålsmail/A 16656-2025 FSC-klagomål mail.docx", "A 16656-2025")</f>
        <v/>
      </c>
      <c r="X76">
        <f>HYPERLINK("https://klasma.github.io/Logging_222281/tillsyn/A 16656-2025 tillsynsbegäran.docx", "A 16656-2025")</f>
        <v/>
      </c>
      <c r="Y76">
        <f>HYPERLINK("https://klasma.github.io/Logging_222281/tillsynsmail/A 16656-2025 tillsynsbegäran mail.docx", "A 16656-2025")</f>
        <v/>
      </c>
    </row>
    <row r="77" ht="15" customHeight="1">
      <c r="A77" t="inlineStr">
        <is>
          <t>A 44607-2019</t>
        </is>
      </c>
      <c r="B77" s="1" t="n">
        <v>43711</v>
      </c>
      <c r="C77" s="1" t="n">
        <v>45756</v>
      </c>
      <c r="D77" t="inlineStr">
        <is>
          <t>VÄSTERNORRLANDS LÄN</t>
        </is>
      </c>
      <c r="E77" t="inlineStr">
        <is>
          <t>SUNDSVALL</t>
        </is>
      </c>
      <c r="G77" t="n">
        <v>1.6</v>
      </c>
      <c r="H77" t="n">
        <v>3</v>
      </c>
      <c r="I77" t="n">
        <v>0</v>
      </c>
      <c r="J77" t="n">
        <v>2</v>
      </c>
      <c r="K77" t="n">
        <v>0</v>
      </c>
      <c r="L77" t="n">
        <v>0</v>
      </c>
      <c r="M77" t="n">
        <v>0</v>
      </c>
      <c r="N77" t="n">
        <v>0</v>
      </c>
      <c r="O77" t="n">
        <v>2</v>
      </c>
      <c r="P77" t="n">
        <v>0</v>
      </c>
      <c r="Q77" t="n">
        <v>3</v>
      </c>
      <c r="R77" s="2" t="inlineStr">
        <is>
          <t>Järpe
Talltita
Grönsiska</t>
        </is>
      </c>
      <c r="S77">
        <f>HYPERLINK("https://klasma.github.io/Logging_2281/artfynd/A 44607-2019 artfynd.xlsx", "A 44607-2019")</f>
        <v/>
      </c>
      <c r="T77">
        <f>HYPERLINK("https://klasma.github.io/Logging_2281/kartor/A 44607-2019 karta.png", "A 44607-2019")</f>
        <v/>
      </c>
      <c r="V77">
        <f>HYPERLINK("https://klasma.github.io/Logging_2281/klagomål/A 44607-2019 FSC-klagomål.docx", "A 44607-2019")</f>
        <v/>
      </c>
      <c r="W77">
        <f>HYPERLINK("https://klasma.github.io/Logging_2281/klagomålsmail/A 44607-2019 FSC-klagomål mail.docx", "A 44607-2019")</f>
        <v/>
      </c>
      <c r="X77">
        <f>HYPERLINK("https://klasma.github.io/Logging_2281/tillsyn/A 44607-2019 tillsynsbegäran.docx", "A 44607-2019")</f>
        <v/>
      </c>
      <c r="Y77">
        <f>HYPERLINK("https://klasma.github.io/Logging_2281/tillsynsmail/A 44607-2019 tillsynsbegäran mail.docx", "A 44607-2019")</f>
        <v/>
      </c>
      <c r="Z77">
        <f>HYPERLINK("https://klasma.github.io/Logging_2281/fåglar/A 44607-2019 prioriterade fågelarter.docx", "A 44607-2019")</f>
        <v/>
      </c>
    </row>
    <row r="78" ht="15" customHeight="1">
      <c r="A78" t="inlineStr">
        <is>
          <t>A 65041-2019</t>
        </is>
      </c>
      <c r="B78" s="1" t="n">
        <v>43801</v>
      </c>
      <c r="C78" s="1" t="n">
        <v>45756</v>
      </c>
      <c r="D78" t="inlineStr">
        <is>
          <t>VÄSTERNORRLANDS LÄN</t>
        </is>
      </c>
      <c r="E78" t="inlineStr">
        <is>
          <t>SUNDSVALL</t>
        </is>
      </c>
      <c r="F78" t="inlineStr">
        <is>
          <t>Naturvårdsverket</t>
        </is>
      </c>
      <c r="G78" t="n">
        <v>33.1</v>
      </c>
      <c r="H78" t="n">
        <v>2</v>
      </c>
      <c r="I78" t="n">
        <v>0</v>
      </c>
      <c r="J78" t="n">
        <v>3</v>
      </c>
      <c r="K78" t="n">
        <v>0</v>
      </c>
      <c r="L78" t="n">
        <v>0</v>
      </c>
      <c r="M78" t="n">
        <v>0</v>
      </c>
      <c r="N78" t="n">
        <v>0</v>
      </c>
      <c r="O78" t="n">
        <v>3</v>
      </c>
      <c r="P78" t="n">
        <v>0</v>
      </c>
      <c r="Q78" t="n">
        <v>3</v>
      </c>
      <c r="R78" s="2" t="inlineStr">
        <is>
          <t>Dvärgbägarlav
Spillkråka
Tretåig hackspett</t>
        </is>
      </c>
      <c r="S78">
        <f>HYPERLINK("https://klasma.github.io/Logging_2281/artfynd/A 65041-2019 artfynd.xlsx", "A 65041-2019")</f>
        <v/>
      </c>
      <c r="T78">
        <f>HYPERLINK("https://klasma.github.io/Logging_2281/kartor/A 65041-2019 karta.png", "A 65041-2019")</f>
        <v/>
      </c>
      <c r="V78">
        <f>HYPERLINK("https://klasma.github.io/Logging_2281/klagomål/A 65041-2019 FSC-klagomål.docx", "A 65041-2019")</f>
        <v/>
      </c>
      <c r="W78">
        <f>HYPERLINK("https://klasma.github.io/Logging_2281/klagomålsmail/A 65041-2019 FSC-klagomål mail.docx", "A 65041-2019")</f>
        <v/>
      </c>
      <c r="X78">
        <f>HYPERLINK("https://klasma.github.io/Logging_2281/tillsyn/A 65041-2019 tillsynsbegäran.docx", "A 65041-2019")</f>
        <v/>
      </c>
      <c r="Y78">
        <f>HYPERLINK("https://klasma.github.io/Logging_2281/tillsynsmail/A 65041-2019 tillsynsbegäran mail.docx", "A 65041-2019")</f>
        <v/>
      </c>
      <c r="Z78">
        <f>HYPERLINK("https://klasma.github.io/Logging_2281/fåglar/A 65041-2019 prioriterade fågelarter.docx", "A 65041-2019")</f>
        <v/>
      </c>
    </row>
    <row r="79" ht="15" customHeight="1">
      <c r="A79" t="inlineStr">
        <is>
          <t>A 22407-2020</t>
        </is>
      </c>
      <c r="B79" s="1" t="n">
        <v>43962</v>
      </c>
      <c r="C79" s="1" t="n">
        <v>45756</v>
      </c>
      <c r="D79" t="inlineStr">
        <is>
          <t>VÄSTERNORRLANDS LÄN</t>
        </is>
      </c>
      <c r="E79" t="inlineStr">
        <is>
          <t>SUNDSVALL</t>
        </is>
      </c>
      <c r="G79" t="n">
        <v>1</v>
      </c>
      <c r="H79" t="n">
        <v>0</v>
      </c>
      <c r="I79" t="n">
        <v>1</v>
      </c>
      <c r="J79" t="n">
        <v>2</v>
      </c>
      <c r="K79" t="n">
        <v>0</v>
      </c>
      <c r="L79" t="n">
        <v>0</v>
      </c>
      <c r="M79" t="n">
        <v>0</v>
      </c>
      <c r="N79" t="n">
        <v>0</v>
      </c>
      <c r="O79" t="n">
        <v>2</v>
      </c>
      <c r="P79" t="n">
        <v>0</v>
      </c>
      <c r="Q79" t="n">
        <v>3</v>
      </c>
      <c r="R79" s="2" t="inlineStr">
        <is>
          <t>Slåtterfibbla
Ullticka
Dropptaggsvamp</t>
        </is>
      </c>
      <c r="S79">
        <f>HYPERLINK("https://klasma.github.io/Logging_2281/artfynd/A 22407-2020 artfynd.xlsx", "A 22407-2020")</f>
        <v/>
      </c>
      <c r="T79">
        <f>HYPERLINK("https://klasma.github.io/Logging_2281/kartor/A 22407-2020 karta.png", "A 22407-2020")</f>
        <v/>
      </c>
      <c r="U79">
        <f>HYPERLINK("https://klasma.github.io/Logging_2281/knärot/A 22407-2020 karta knärot.png", "A 22407-2020")</f>
        <v/>
      </c>
      <c r="V79">
        <f>HYPERLINK("https://klasma.github.io/Logging_2281/klagomål/A 22407-2020 FSC-klagomål.docx", "A 22407-2020")</f>
        <v/>
      </c>
      <c r="W79">
        <f>HYPERLINK("https://klasma.github.io/Logging_2281/klagomålsmail/A 22407-2020 FSC-klagomål mail.docx", "A 22407-2020")</f>
        <v/>
      </c>
      <c r="X79">
        <f>HYPERLINK("https://klasma.github.io/Logging_2281/tillsyn/A 22407-2020 tillsynsbegäran.docx", "A 22407-2020")</f>
        <v/>
      </c>
      <c r="Y79">
        <f>HYPERLINK("https://klasma.github.io/Logging_2281/tillsynsmail/A 22407-2020 tillsynsbegäran mail.docx", "A 22407-2020")</f>
        <v/>
      </c>
    </row>
    <row r="80" ht="15" customHeight="1">
      <c r="A80" t="inlineStr">
        <is>
          <t>A 39080-2020</t>
        </is>
      </c>
      <c r="B80" s="1" t="n">
        <v>44062</v>
      </c>
      <c r="C80" s="1" t="n">
        <v>45756</v>
      </c>
      <c r="D80" t="inlineStr">
        <is>
          <t>VÄSTERNORRLANDS LÄN</t>
        </is>
      </c>
      <c r="E80" t="inlineStr">
        <is>
          <t>SUNDSVALL</t>
        </is>
      </c>
      <c r="F80" t="inlineStr">
        <is>
          <t>SCA</t>
        </is>
      </c>
      <c r="G80" t="n">
        <v>4.5</v>
      </c>
      <c r="H80" t="n">
        <v>2</v>
      </c>
      <c r="I80" t="n">
        <v>0</v>
      </c>
      <c r="J80" t="n">
        <v>1</v>
      </c>
      <c r="K80" t="n">
        <v>1</v>
      </c>
      <c r="L80" t="n">
        <v>0</v>
      </c>
      <c r="M80" t="n">
        <v>0</v>
      </c>
      <c r="N80" t="n">
        <v>0</v>
      </c>
      <c r="O80" t="n">
        <v>2</v>
      </c>
      <c r="P80" t="n">
        <v>1</v>
      </c>
      <c r="Q80" t="n">
        <v>3</v>
      </c>
      <c r="R80" s="2" t="inlineStr">
        <is>
          <t>Knärot
Skrovellav
Blåsippa</t>
        </is>
      </c>
      <c r="S80">
        <f>HYPERLINK("https://klasma.github.io/Logging_2281/artfynd/A 39080-2020 artfynd.xlsx", "A 39080-2020")</f>
        <v/>
      </c>
      <c r="T80">
        <f>HYPERLINK("https://klasma.github.io/Logging_2281/kartor/A 39080-2020 karta.png", "A 39080-2020")</f>
        <v/>
      </c>
      <c r="U80">
        <f>HYPERLINK("https://klasma.github.io/Logging_2281/knärot/A 39080-2020 karta knärot.png", "A 39080-2020")</f>
        <v/>
      </c>
      <c r="V80">
        <f>HYPERLINK("https://klasma.github.io/Logging_2281/klagomål/A 39080-2020 FSC-klagomål.docx", "A 39080-2020")</f>
        <v/>
      </c>
      <c r="W80">
        <f>HYPERLINK("https://klasma.github.io/Logging_2281/klagomålsmail/A 39080-2020 FSC-klagomål mail.docx", "A 39080-2020")</f>
        <v/>
      </c>
      <c r="X80">
        <f>HYPERLINK("https://klasma.github.io/Logging_2281/tillsyn/A 39080-2020 tillsynsbegäran.docx", "A 39080-2020")</f>
        <v/>
      </c>
      <c r="Y80">
        <f>HYPERLINK("https://klasma.github.io/Logging_2281/tillsynsmail/A 39080-2020 tillsynsbegäran mail.docx", "A 39080-2020")</f>
        <v/>
      </c>
    </row>
    <row r="81" ht="15" customHeight="1">
      <c r="A81" t="inlineStr">
        <is>
          <t>A 24268-2021</t>
        </is>
      </c>
      <c r="B81" s="1" t="n">
        <v>44336</v>
      </c>
      <c r="C81" s="1" t="n">
        <v>45756</v>
      </c>
      <c r="D81" t="inlineStr">
        <is>
          <t>VÄSTERNORRLANDS LÄN</t>
        </is>
      </c>
      <c r="E81" t="inlineStr">
        <is>
          <t>SUNDSVALL</t>
        </is>
      </c>
      <c r="F81" t="inlineStr">
        <is>
          <t>SCA</t>
        </is>
      </c>
      <c r="G81" t="n">
        <v>5.4</v>
      </c>
      <c r="H81" t="n">
        <v>2</v>
      </c>
      <c r="I81" t="n">
        <v>0</v>
      </c>
      <c r="J81" t="n">
        <v>1</v>
      </c>
      <c r="K81" t="n">
        <v>0</v>
      </c>
      <c r="L81" t="n">
        <v>0</v>
      </c>
      <c r="M81" t="n">
        <v>0</v>
      </c>
      <c r="N81" t="n">
        <v>0</v>
      </c>
      <c r="O81" t="n">
        <v>1</v>
      </c>
      <c r="P81" t="n">
        <v>0</v>
      </c>
      <c r="Q81" t="n">
        <v>3</v>
      </c>
      <c r="R81" s="2" t="inlineStr">
        <is>
          <t>Lunglav
Fläcknycklar
Revlummer</t>
        </is>
      </c>
      <c r="S81">
        <f>HYPERLINK("https://klasma.github.io/Logging_2281/artfynd/A 24268-2021 artfynd.xlsx", "A 24268-2021")</f>
        <v/>
      </c>
      <c r="T81">
        <f>HYPERLINK("https://klasma.github.io/Logging_2281/kartor/A 24268-2021 karta.png", "A 24268-2021")</f>
        <v/>
      </c>
      <c r="V81">
        <f>HYPERLINK("https://klasma.github.io/Logging_2281/klagomål/A 24268-2021 FSC-klagomål.docx", "A 24268-2021")</f>
        <v/>
      </c>
      <c r="W81">
        <f>HYPERLINK("https://klasma.github.io/Logging_2281/klagomålsmail/A 24268-2021 FSC-klagomål mail.docx", "A 24268-2021")</f>
        <v/>
      </c>
      <c r="X81">
        <f>HYPERLINK("https://klasma.github.io/Logging_2281/tillsyn/A 24268-2021 tillsynsbegäran.docx", "A 24268-2021")</f>
        <v/>
      </c>
      <c r="Y81">
        <f>HYPERLINK("https://klasma.github.io/Logging_2281/tillsynsmail/A 24268-2021 tillsynsbegäran mail.docx", "A 24268-2021")</f>
        <v/>
      </c>
    </row>
    <row r="82" ht="15" customHeight="1">
      <c r="A82" t="inlineStr">
        <is>
          <t>A 11351-2022</t>
        </is>
      </c>
      <c r="B82" s="1" t="n">
        <v>44630</v>
      </c>
      <c r="C82" s="1" t="n">
        <v>45756</v>
      </c>
      <c r="D82" t="inlineStr">
        <is>
          <t>VÄSTERNORRLANDS LÄN</t>
        </is>
      </c>
      <c r="E82" t="inlineStr">
        <is>
          <t>SUNDSVALL</t>
        </is>
      </c>
      <c r="G82" t="n">
        <v>12.1</v>
      </c>
      <c r="H82" t="n">
        <v>1</v>
      </c>
      <c r="I82" t="n">
        <v>1</v>
      </c>
      <c r="J82" t="n">
        <v>1</v>
      </c>
      <c r="K82" t="n">
        <v>1</v>
      </c>
      <c r="L82" t="n">
        <v>0</v>
      </c>
      <c r="M82" t="n">
        <v>0</v>
      </c>
      <c r="N82" t="n">
        <v>0</v>
      </c>
      <c r="O82" t="n">
        <v>2</v>
      </c>
      <c r="P82" t="n">
        <v>1</v>
      </c>
      <c r="Q82" t="n">
        <v>3</v>
      </c>
      <c r="R82" s="2" t="inlineStr">
        <is>
          <t>Knärot
Vedskivlav
Kornig nållav</t>
        </is>
      </c>
      <c r="S82">
        <f>HYPERLINK("https://klasma.github.io/Logging_2281/artfynd/A 11351-2022 artfynd.xlsx", "A 11351-2022")</f>
        <v/>
      </c>
      <c r="T82">
        <f>HYPERLINK("https://klasma.github.io/Logging_2281/kartor/A 11351-2022 karta.png", "A 11351-2022")</f>
        <v/>
      </c>
      <c r="U82">
        <f>HYPERLINK("https://klasma.github.io/Logging_2281/knärot/A 11351-2022 karta knärot.png", "A 11351-2022")</f>
        <v/>
      </c>
      <c r="V82">
        <f>HYPERLINK("https://klasma.github.io/Logging_2281/klagomål/A 11351-2022 FSC-klagomål.docx", "A 11351-2022")</f>
        <v/>
      </c>
      <c r="W82">
        <f>HYPERLINK("https://klasma.github.io/Logging_2281/klagomålsmail/A 11351-2022 FSC-klagomål mail.docx", "A 11351-2022")</f>
        <v/>
      </c>
      <c r="X82">
        <f>HYPERLINK("https://klasma.github.io/Logging_2281/tillsyn/A 11351-2022 tillsynsbegäran.docx", "A 11351-2022")</f>
        <v/>
      </c>
      <c r="Y82">
        <f>HYPERLINK("https://klasma.github.io/Logging_2281/tillsynsmail/A 11351-2022 tillsynsbegäran mail.docx", "A 11351-2022")</f>
        <v/>
      </c>
    </row>
    <row r="83" ht="15" customHeight="1">
      <c r="A83" t="inlineStr">
        <is>
          <t>A 14677-2022</t>
        </is>
      </c>
      <c r="B83" s="1" t="n">
        <v>44655</v>
      </c>
      <c r="C83" s="1" t="n">
        <v>45756</v>
      </c>
      <c r="D83" t="inlineStr">
        <is>
          <t>VÄSTERNORRLANDS LÄN</t>
        </is>
      </c>
      <c r="E83" t="inlineStr">
        <is>
          <t>SUNDSVALL</t>
        </is>
      </c>
      <c r="G83" t="n">
        <v>12.9</v>
      </c>
      <c r="H83" t="n">
        <v>2</v>
      </c>
      <c r="I83" t="n">
        <v>0</v>
      </c>
      <c r="J83" t="n">
        <v>2</v>
      </c>
      <c r="K83" t="n">
        <v>1</v>
      </c>
      <c r="L83" t="n">
        <v>0</v>
      </c>
      <c r="M83" t="n">
        <v>0</v>
      </c>
      <c r="N83" t="n">
        <v>0</v>
      </c>
      <c r="O83" t="n">
        <v>3</v>
      </c>
      <c r="P83" t="n">
        <v>1</v>
      </c>
      <c r="Q83" t="n">
        <v>3</v>
      </c>
      <c r="R83" s="2" t="inlineStr">
        <is>
          <t>Knärot
Gammelgransskål
Tretåig hackspett</t>
        </is>
      </c>
      <c r="S83">
        <f>HYPERLINK("https://klasma.github.io/Logging_2281/artfynd/A 14677-2022 artfynd.xlsx", "A 14677-2022")</f>
        <v/>
      </c>
      <c r="T83">
        <f>HYPERLINK("https://klasma.github.io/Logging_2281/kartor/A 14677-2022 karta.png", "A 14677-2022")</f>
        <v/>
      </c>
      <c r="U83">
        <f>HYPERLINK("https://klasma.github.io/Logging_2281/knärot/A 14677-2022 karta knärot.png", "A 14677-2022")</f>
        <v/>
      </c>
      <c r="V83">
        <f>HYPERLINK("https://klasma.github.io/Logging_2281/klagomål/A 14677-2022 FSC-klagomål.docx", "A 14677-2022")</f>
        <v/>
      </c>
      <c r="W83">
        <f>HYPERLINK("https://klasma.github.io/Logging_2281/klagomålsmail/A 14677-2022 FSC-klagomål mail.docx", "A 14677-2022")</f>
        <v/>
      </c>
      <c r="X83">
        <f>HYPERLINK("https://klasma.github.io/Logging_2281/tillsyn/A 14677-2022 tillsynsbegäran.docx", "A 14677-2022")</f>
        <v/>
      </c>
      <c r="Y83">
        <f>HYPERLINK("https://klasma.github.io/Logging_2281/tillsynsmail/A 14677-2022 tillsynsbegäran mail.docx", "A 14677-2022")</f>
        <v/>
      </c>
      <c r="Z83">
        <f>HYPERLINK("https://klasma.github.io/Logging_2281/fåglar/A 14677-2022 prioriterade fågelarter.docx", "A 14677-2022")</f>
        <v/>
      </c>
    </row>
    <row r="84" ht="15" customHeight="1">
      <c r="A84" t="inlineStr">
        <is>
          <t>A 21662-2022</t>
        </is>
      </c>
      <c r="B84" s="1" t="n">
        <v>44706</v>
      </c>
      <c r="C84" s="1" t="n">
        <v>45756</v>
      </c>
      <c r="D84" t="inlineStr">
        <is>
          <t>VÄSTERNORRLANDS LÄN</t>
        </is>
      </c>
      <c r="E84" t="inlineStr">
        <is>
          <t>SUNDSVALL</t>
        </is>
      </c>
      <c r="F84" t="inlineStr">
        <is>
          <t>SCA</t>
        </is>
      </c>
      <c r="G84" t="n">
        <v>3.2</v>
      </c>
      <c r="H84" t="n">
        <v>1</v>
      </c>
      <c r="I84" t="n">
        <v>0</v>
      </c>
      <c r="J84" t="n">
        <v>2</v>
      </c>
      <c r="K84" t="n">
        <v>0</v>
      </c>
      <c r="L84" t="n">
        <v>0</v>
      </c>
      <c r="M84" t="n">
        <v>0</v>
      </c>
      <c r="N84" t="n">
        <v>0</v>
      </c>
      <c r="O84" t="n">
        <v>2</v>
      </c>
      <c r="P84" t="n">
        <v>0</v>
      </c>
      <c r="Q84" t="n">
        <v>3</v>
      </c>
      <c r="R84" s="2" t="inlineStr">
        <is>
          <t>Garnlav
Vedtrappmossa
Revlummer</t>
        </is>
      </c>
      <c r="S84">
        <f>HYPERLINK("https://klasma.github.io/Logging_2281/artfynd/A 21662-2022 artfynd.xlsx", "A 21662-2022")</f>
        <v/>
      </c>
      <c r="T84">
        <f>HYPERLINK("https://klasma.github.io/Logging_2281/kartor/A 21662-2022 karta.png", "A 21662-2022")</f>
        <v/>
      </c>
      <c r="V84">
        <f>HYPERLINK("https://klasma.github.io/Logging_2281/klagomål/A 21662-2022 FSC-klagomål.docx", "A 21662-2022")</f>
        <v/>
      </c>
      <c r="W84">
        <f>HYPERLINK("https://klasma.github.io/Logging_2281/klagomålsmail/A 21662-2022 FSC-klagomål mail.docx", "A 21662-2022")</f>
        <v/>
      </c>
      <c r="X84">
        <f>HYPERLINK("https://klasma.github.io/Logging_2281/tillsyn/A 21662-2022 tillsynsbegäran.docx", "A 21662-2022")</f>
        <v/>
      </c>
      <c r="Y84">
        <f>HYPERLINK("https://klasma.github.io/Logging_2281/tillsynsmail/A 21662-2022 tillsynsbegäran mail.docx", "A 21662-2022")</f>
        <v/>
      </c>
    </row>
    <row r="85" ht="15" customHeight="1">
      <c r="A85" t="inlineStr">
        <is>
          <t>A 6795-2023</t>
        </is>
      </c>
      <c r="B85" s="1" t="n">
        <v>44966</v>
      </c>
      <c r="C85" s="1" t="n">
        <v>45756</v>
      </c>
      <c r="D85" t="inlineStr">
        <is>
          <t>VÄSTERNORRLANDS LÄN</t>
        </is>
      </c>
      <c r="E85" t="inlineStr">
        <is>
          <t>SUNDSVALL</t>
        </is>
      </c>
      <c r="F85" t="inlineStr">
        <is>
          <t>Naturvårdsverket</t>
        </is>
      </c>
      <c r="G85" t="n">
        <v>2.4</v>
      </c>
      <c r="H85" t="n">
        <v>1</v>
      </c>
      <c r="I85" t="n">
        <v>0</v>
      </c>
      <c r="J85" t="n">
        <v>2</v>
      </c>
      <c r="K85" t="n">
        <v>0</v>
      </c>
      <c r="L85" t="n">
        <v>0</v>
      </c>
      <c r="M85" t="n">
        <v>0</v>
      </c>
      <c r="N85" t="n">
        <v>0</v>
      </c>
      <c r="O85" t="n">
        <v>2</v>
      </c>
      <c r="P85" t="n">
        <v>0</v>
      </c>
      <c r="Q85" t="n">
        <v>3</v>
      </c>
      <c r="R85" s="2" t="inlineStr">
        <is>
          <t>Garnlav
Kolflarnlav
Vanlig groda</t>
        </is>
      </c>
      <c r="S85">
        <f>HYPERLINK("https://klasma.github.io/Logging_2281/artfynd/A 6795-2023 artfynd.xlsx", "A 6795-2023")</f>
        <v/>
      </c>
      <c r="T85">
        <f>HYPERLINK("https://klasma.github.io/Logging_2281/kartor/A 6795-2023 karta.png", "A 6795-2023")</f>
        <v/>
      </c>
      <c r="V85">
        <f>HYPERLINK("https://klasma.github.io/Logging_2281/klagomål/A 6795-2023 FSC-klagomål.docx", "A 6795-2023")</f>
        <v/>
      </c>
      <c r="W85">
        <f>HYPERLINK("https://klasma.github.io/Logging_2281/klagomålsmail/A 6795-2023 FSC-klagomål mail.docx", "A 6795-2023")</f>
        <v/>
      </c>
      <c r="X85">
        <f>HYPERLINK("https://klasma.github.io/Logging_2281/tillsyn/A 6795-2023 tillsynsbegäran.docx", "A 6795-2023")</f>
        <v/>
      </c>
      <c r="Y85">
        <f>HYPERLINK("https://klasma.github.io/Logging_2281/tillsynsmail/A 6795-2023 tillsynsbegäran mail.docx", "A 6795-2023")</f>
        <v/>
      </c>
    </row>
    <row r="86" ht="15" customHeight="1">
      <c r="A86" t="inlineStr">
        <is>
          <t>A 8680-2023</t>
        </is>
      </c>
      <c r="B86" s="1" t="n">
        <v>44977</v>
      </c>
      <c r="C86" s="1" t="n">
        <v>45756</v>
      </c>
      <c r="D86" t="inlineStr">
        <is>
          <t>VÄSTERNORRLANDS LÄN</t>
        </is>
      </c>
      <c r="E86" t="inlineStr">
        <is>
          <t>SUNDSVALL</t>
        </is>
      </c>
      <c r="F86" t="inlineStr">
        <is>
          <t>Naturvårdsverket</t>
        </is>
      </c>
      <c r="G86" t="n">
        <v>10.1</v>
      </c>
      <c r="H86" t="n">
        <v>0</v>
      </c>
      <c r="I86" t="n">
        <v>0</v>
      </c>
      <c r="J86" t="n">
        <v>3</v>
      </c>
      <c r="K86" t="n">
        <v>0</v>
      </c>
      <c r="L86" t="n">
        <v>0</v>
      </c>
      <c r="M86" t="n">
        <v>0</v>
      </c>
      <c r="N86" t="n">
        <v>0</v>
      </c>
      <c r="O86" t="n">
        <v>3</v>
      </c>
      <c r="P86" t="n">
        <v>0</v>
      </c>
      <c r="Q86" t="n">
        <v>3</v>
      </c>
      <c r="R86" s="2" t="inlineStr">
        <is>
          <t>Dvärgbägarlav
Kolflarnlav
Ullticka</t>
        </is>
      </c>
      <c r="S86">
        <f>HYPERLINK("https://klasma.github.io/Logging_2281/artfynd/A 8680-2023 artfynd.xlsx", "A 8680-2023")</f>
        <v/>
      </c>
      <c r="T86">
        <f>HYPERLINK("https://klasma.github.io/Logging_2281/kartor/A 8680-2023 karta.png", "A 8680-2023")</f>
        <v/>
      </c>
      <c r="V86">
        <f>HYPERLINK("https://klasma.github.io/Logging_2281/klagomål/A 8680-2023 FSC-klagomål.docx", "A 8680-2023")</f>
        <v/>
      </c>
      <c r="W86">
        <f>HYPERLINK("https://klasma.github.io/Logging_2281/klagomålsmail/A 8680-2023 FSC-klagomål mail.docx", "A 8680-2023")</f>
        <v/>
      </c>
      <c r="X86">
        <f>HYPERLINK("https://klasma.github.io/Logging_2281/tillsyn/A 8680-2023 tillsynsbegäran.docx", "A 8680-2023")</f>
        <v/>
      </c>
      <c r="Y86">
        <f>HYPERLINK("https://klasma.github.io/Logging_2281/tillsynsmail/A 8680-2023 tillsynsbegäran mail.docx", "A 8680-2023")</f>
        <v/>
      </c>
    </row>
    <row r="87" ht="15" customHeight="1">
      <c r="A87" t="inlineStr">
        <is>
          <t>A 16377-2023</t>
        </is>
      </c>
      <c r="B87" s="1" t="n">
        <v>45028</v>
      </c>
      <c r="C87" s="1" t="n">
        <v>45756</v>
      </c>
      <c r="D87" t="inlineStr">
        <is>
          <t>VÄSTERNORRLANDS LÄN</t>
        </is>
      </c>
      <c r="E87" t="inlineStr">
        <is>
          <t>SUNDSVALL</t>
        </is>
      </c>
      <c r="F87" t="inlineStr">
        <is>
          <t>SCA</t>
        </is>
      </c>
      <c r="G87" t="n">
        <v>4.9</v>
      </c>
      <c r="H87" t="n">
        <v>1</v>
      </c>
      <c r="I87" t="n">
        <v>2</v>
      </c>
      <c r="J87" t="n">
        <v>1</v>
      </c>
      <c r="K87" t="n">
        <v>0</v>
      </c>
      <c r="L87" t="n">
        <v>0</v>
      </c>
      <c r="M87" t="n">
        <v>0</v>
      </c>
      <c r="N87" t="n">
        <v>0</v>
      </c>
      <c r="O87" t="n">
        <v>1</v>
      </c>
      <c r="P87" t="n">
        <v>0</v>
      </c>
      <c r="Q87" t="n">
        <v>3</v>
      </c>
      <c r="R87" s="2" t="inlineStr">
        <is>
          <t>Lunglav
Plattlummer
Skinnlav</t>
        </is>
      </c>
      <c r="S87">
        <f>HYPERLINK("https://klasma.github.io/Logging_2281/artfynd/A 16377-2023 artfynd.xlsx", "A 16377-2023")</f>
        <v/>
      </c>
      <c r="T87">
        <f>HYPERLINK("https://klasma.github.io/Logging_2281/kartor/A 16377-2023 karta.png", "A 16377-2023")</f>
        <v/>
      </c>
      <c r="V87">
        <f>HYPERLINK("https://klasma.github.io/Logging_2281/klagomål/A 16377-2023 FSC-klagomål.docx", "A 16377-2023")</f>
        <v/>
      </c>
      <c r="W87">
        <f>HYPERLINK("https://klasma.github.io/Logging_2281/klagomålsmail/A 16377-2023 FSC-klagomål mail.docx", "A 16377-2023")</f>
        <v/>
      </c>
      <c r="X87">
        <f>HYPERLINK("https://klasma.github.io/Logging_2281/tillsyn/A 16377-2023 tillsynsbegäran.docx", "A 16377-2023")</f>
        <v/>
      </c>
      <c r="Y87">
        <f>HYPERLINK("https://klasma.github.io/Logging_2281/tillsynsmail/A 16377-2023 tillsynsbegäran mail.docx", "A 16377-2023")</f>
        <v/>
      </c>
    </row>
    <row r="88" ht="15" customHeight="1">
      <c r="A88" t="inlineStr">
        <is>
          <t>A 27390-2023</t>
        </is>
      </c>
      <c r="B88" s="1" t="n">
        <v>45096</v>
      </c>
      <c r="C88" s="1" t="n">
        <v>45756</v>
      </c>
      <c r="D88" t="inlineStr">
        <is>
          <t>VÄSTERNORRLANDS LÄN</t>
        </is>
      </c>
      <c r="E88" t="inlineStr">
        <is>
          <t>SUNDSVALL</t>
        </is>
      </c>
      <c r="F88" t="inlineStr">
        <is>
          <t>SCA</t>
        </is>
      </c>
      <c r="G88" t="n">
        <v>14.3</v>
      </c>
      <c r="H88" t="n">
        <v>1</v>
      </c>
      <c r="I88" t="n">
        <v>1</v>
      </c>
      <c r="J88" t="n">
        <v>1</v>
      </c>
      <c r="K88" t="n">
        <v>0</v>
      </c>
      <c r="L88" t="n">
        <v>0</v>
      </c>
      <c r="M88" t="n">
        <v>0</v>
      </c>
      <c r="N88" t="n">
        <v>0</v>
      </c>
      <c r="O88" t="n">
        <v>1</v>
      </c>
      <c r="P88" t="n">
        <v>0</v>
      </c>
      <c r="Q88" t="n">
        <v>3</v>
      </c>
      <c r="R88" s="2" t="inlineStr">
        <is>
          <t>Lunglav
Vedticka
Blåsippa</t>
        </is>
      </c>
      <c r="S88">
        <f>HYPERLINK("https://klasma.github.io/Logging_2281/artfynd/A 27390-2023 artfynd.xlsx", "A 27390-2023")</f>
        <v/>
      </c>
      <c r="T88">
        <f>HYPERLINK("https://klasma.github.io/Logging_2281/kartor/A 27390-2023 karta.png", "A 27390-2023")</f>
        <v/>
      </c>
      <c r="V88">
        <f>HYPERLINK("https://klasma.github.io/Logging_2281/klagomål/A 27390-2023 FSC-klagomål.docx", "A 27390-2023")</f>
        <v/>
      </c>
      <c r="W88">
        <f>HYPERLINK("https://klasma.github.io/Logging_2281/klagomålsmail/A 27390-2023 FSC-klagomål mail.docx", "A 27390-2023")</f>
        <v/>
      </c>
      <c r="X88">
        <f>HYPERLINK("https://klasma.github.io/Logging_2281/tillsyn/A 27390-2023 tillsynsbegäran.docx", "A 27390-2023")</f>
        <v/>
      </c>
      <c r="Y88">
        <f>HYPERLINK("https://klasma.github.io/Logging_2281/tillsynsmail/A 27390-2023 tillsynsbegäran mail.docx", "A 27390-2023")</f>
        <v/>
      </c>
    </row>
    <row r="89" ht="15" customHeight="1">
      <c r="A89" t="inlineStr">
        <is>
          <t>A 27734-2023</t>
        </is>
      </c>
      <c r="B89" s="1" t="n">
        <v>45098</v>
      </c>
      <c r="C89" s="1" t="n">
        <v>45756</v>
      </c>
      <c r="D89" t="inlineStr">
        <is>
          <t>VÄSTERNORRLANDS LÄN</t>
        </is>
      </c>
      <c r="E89" t="inlineStr">
        <is>
          <t>SUNDSVALL</t>
        </is>
      </c>
      <c r="G89" t="n">
        <v>0.8</v>
      </c>
      <c r="H89" t="n">
        <v>3</v>
      </c>
      <c r="I89" t="n">
        <v>0</v>
      </c>
      <c r="J89" t="n">
        <v>1</v>
      </c>
      <c r="K89" t="n">
        <v>0</v>
      </c>
      <c r="L89" t="n">
        <v>1</v>
      </c>
      <c r="M89" t="n">
        <v>0</v>
      </c>
      <c r="N89" t="n">
        <v>0</v>
      </c>
      <c r="O89" t="n">
        <v>2</v>
      </c>
      <c r="P89" t="n">
        <v>1</v>
      </c>
      <c r="Q89" t="n">
        <v>3</v>
      </c>
      <c r="R89" s="2" t="inlineStr">
        <is>
          <t>Grönfink
Björktrast
Skogsduva</t>
        </is>
      </c>
      <c r="S89">
        <f>HYPERLINK("https://klasma.github.io/Logging_2281/artfynd/A 27734-2023 artfynd.xlsx", "A 27734-2023")</f>
        <v/>
      </c>
      <c r="T89">
        <f>HYPERLINK("https://klasma.github.io/Logging_2281/kartor/A 27734-2023 karta.png", "A 27734-2023")</f>
        <v/>
      </c>
      <c r="V89">
        <f>HYPERLINK("https://klasma.github.io/Logging_2281/klagomål/A 27734-2023 FSC-klagomål.docx", "A 27734-2023")</f>
        <v/>
      </c>
      <c r="W89">
        <f>HYPERLINK("https://klasma.github.io/Logging_2281/klagomålsmail/A 27734-2023 FSC-klagomål mail.docx", "A 27734-2023")</f>
        <v/>
      </c>
      <c r="X89">
        <f>HYPERLINK("https://klasma.github.io/Logging_2281/tillsyn/A 27734-2023 tillsynsbegäran.docx", "A 27734-2023")</f>
        <v/>
      </c>
      <c r="Y89">
        <f>HYPERLINK("https://klasma.github.io/Logging_2281/tillsynsmail/A 27734-2023 tillsynsbegäran mail.docx", "A 27734-2023")</f>
        <v/>
      </c>
      <c r="Z89">
        <f>HYPERLINK("https://klasma.github.io/Logging_2281/fåglar/A 27734-2023 prioriterade fågelarter.docx", "A 27734-2023")</f>
        <v/>
      </c>
    </row>
    <row r="90" ht="15" customHeight="1">
      <c r="A90" t="inlineStr">
        <is>
          <t>A 30287-2023</t>
        </is>
      </c>
      <c r="B90" s="1" t="n">
        <v>45110</v>
      </c>
      <c r="C90" s="1" t="n">
        <v>45756</v>
      </c>
      <c r="D90" t="inlineStr">
        <is>
          <t>VÄSTERNORRLANDS LÄN</t>
        </is>
      </c>
      <c r="E90" t="inlineStr">
        <is>
          <t>SUNDSVALL</t>
        </is>
      </c>
      <c r="G90" t="n">
        <v>2.2</v>
      </c>
      <c r="H90" t="n">
        <v>3</v>
      </c>
      <c r="I90" t="n">
        <v>0</v>
      </c>
      <c r="J90" t="n">
        <v>1</v>
      </c>
      <c r="K90" t="n">
        <v>0</v>
      </c>
      <c r="L90" t="n">
        <v>1</v>
      </c>
      <c r="M90" t="n">
        <v>0</v>
      </c>
      <c r="N90" t="n">
        <v>0</v>
      </c>
      <c r="O90" t="n">
        <v>2</v>
      </c>
      <c r="P90" t="n">
        <v>1</v>
      </c>
      <c r="Q90" t="n">
        <v>3</v>
      </c>
      <c r="R90" s="2" t="inlineStr">
        <is>
          <t>Grönfink
Duvhök
Kungsfågel</t>
        </is>
      </c>
      <c r="S90">
        <f>HYPERLINK("https://klasma.github.io/Logging_2281/artfynd/A 30287-2023 artfynd.xlsx", "A 30287-2023")</f>
        <v/>
      </c>
      <c r="T90">
        <f>HYPERLINK("https://klasma.github.io/Logging_2281/kartor/A 30287-2023 karta.png", "A 30287-2023")</f>
        <v/>
      </c>
      <c r="V90">
        <f>HYPERLINK("https://klasma.github.io/Logging_2281/klagomål/A 30287-2023 FSC-klagomål.docx", "A 30287-2023")</f>
        <v/>
      </c>
      <c r="W90">
        <f>HYPERLINK("https://klasma.github.io/Logging_2281/klagomålsmail/A 30287-2023 FSC-klagomål mail.docx", "A 30287-2023")</f>
        <v/>
      </c>
      <c r="X90">
        <f>HYPERLINK("https://klasma.github.io/Logging_2281/tillsyn/A 30287-2023 tillsynsbegäran.docx", "A 30287-2023")</f>
        <v/>
      </c>
      <c r="Y90">
        <f>HYPERLINK("https://klasma.github.io/Logging_2281/tillsynsmail/A 30287-2023 tillsynsbegäran mail.docx", "A 30287-2023")</f>
        <v/>
      </c>
      <c r="Z90">
        <f>HYPERLINK("https://klasma.github.io/Logging_2281/fåglar/A 30287-2023 prioriterade fågelarter.docx", "A 30287-2023")</f>
        <v/>
      </c>
    </row>
    <row r="91" ht="15" customHeight="1">
      <c r="A91" t="inlineStr">
        <is>
          <t>A 38096-2023</t>
        </is>
      </c>
      <c r="B91" s="1" t="n">
        <v>45160</v>
      </c>
      <c r="C91" s="1" t="n">
        <v>45756</v>
      </c>
      <c r="D91" t="inlineStr">
        <is>
          <t>VÄSTERNORRLANDS LÄN</t>
        </is>
      </c>
      <c r="E91" t="inlineStr">
        <is>
          <t>SUNDSVALL</t>
        </is>
      </c>
      <c r="F91" t="inlineStr">
        <is>
          <t>SCA</t>
        </is>
      </c>
      <c r="G91" t="n">
        <v>3.6</v>
      </c>
      <c r="H91" t="n">
        <v>0</v>
      </c>
      <c r="I91" t="n">
        <v>1</v>
      </c>
      <c r="J91" t="n">
        <v>2</v>
      </c>
      <c r="K91" t="n">
        <v>0</v>
      </c>
      <c r="L91" t="n">
        <v>0</v>
      </c>
      <c r="M91" t="n">
        <v>0</v>
      </c>
      <c r="N91" t="n">
        <v>0</v>
      </c>
      <c r="O91" t="n">
        <v>2</v>
      </c>
      <c r="P91" t="n">
        <v>0</v>
      </c>
      <c r="Q91" t="n">
        <v>3</v>
      </c>
      <c r="R91" s="2" t="inlineStr">
        <is>
          <t>Blå taggsvamp
Lunglav
Dropptaggsvamp</t>
        </is>
      </c>
      <c r="S91">
        <f>HYPERLINK("https://klasma.github.io/Logging_2281/artfynd/A 38096-2023 artfynd.xlsx", "A 38096-2023")</f>
        <v/>
      </c>
      <c r="T91">
        <f>HYPERLINK("https://klasma.github.io/Logging_2281/kartor/A 38096-2023 karta.png", "A 38096-2023")</f>
        <v/>
      </c>
      <c r="V91">
        <f>HYPERLINK("https://klasma.github.io/Logging_2281/klagomål/A 38096-2023 FSC-klagomål.docx", "A 38096-2023")</f>
        <v/>
      </c>
      <c r="W91">
        <f>HYPERLINK("https://klasma.github.io/Logging_2281/klagomålsmail/A 38096-2023 FSC-klagomål mail.docx", "A 38096-2023")</f>
        <v/>
      </c>
      <c r="X91">
        <f>HYPERLINK("https://klasma.github.io/Logging_2281/tillsyn/A 38096-2023 tillsynsbegäran.docx", "A 38096-2023")</f>
        <v/>
      </c>
      <c r="Y91">
        <f>HYPERLINK("https://klasma.github.io/Logging_2281/tillsynsmail/A 38096-2023 tillsynsbegäran mail.docx", "A 38096-2023")</f>
        <v/>
      </c>
    </row>
    <row r="92" ht="15" customHeight="1">
      <c r="A92" t="inlineStr">
        <is>
          <t>A 54621-2023</t>
        </is>
      </c>
      <c r="B92" s="1" t="n">
        <v>45233</v>
      </c>
      <c r="C92" s="1" t="n">
        <v>45756</v>
      </c>
      <c r="D92" t="inlineStr">
        <is>
          <t>VÄSTERNORRLANDS LÄN</t>
        </is>
      </c>
      <c r="E92" t="inlineStr">
        <is>
          <t>SUNDSVALL</t>
        </is>
      </c>
      <c r="F92" t="inlineStr">
        <is>
          <t>Naturvårdsverket</t>
        </is>
      </c>
      <c r="G92" t="n">
        <v>3.9</v>
      </c>
      <c r="H92" t="n">
        <v>0</v>
      </c>
      <c r="I92" t="n">
        <v>0</v>
      </c>
      <c r="J92" t="n">
        <v>3</v>
      </c>
      <c r="K92" t="n">
        <v>0</v>
      </c>
      <c r="L92" t="n">
        <v>0</v>
      </c>
      <c r="M92" t="n">
        <v>0</v>
      </c>
      <c r="N92" t="n">
        <v>0</v>
      </c>
      <c r="O92" t="n">
        <v>3</v>
      </c>
      <c r="P92" t="n">
        <v>0</v>
      </c>
      <c r="Q92" t="n">
        <v>3</v>
      </c>
      <c r="R92" s="2" t="inlineStr">
        <is>
          <t>Kolflarnlav
Tallticka
Ullticka</t>
        </is>
      </c>
      <c r="S92">
        <f>HYPERLINK("https://klasma.github.io/Logging_2281/artfynd/A 54621-2023 artfynd.xlsx", "A 54621-2023")</f>
        <v/>
      </c>
      <c r="T92">
        <f>HYPERLINK("https://klasma.github.io/Logging_2281/kartor/A 54621-2023 karta.png", "A 54621-2023")</f>
        <v/>
      </c>
      <c r="V92">
        <f>HYPERLINK("https://klasma.github.io/Logging_2281/klagomål/A 54621-2023 FSC-klagomål.docx", "A 54621-2023")</f>
        <v/>
      </c>
      <c r="W92">
        <f>HYPERLINK("https://klasma.github.io/Logging_2281/klagomålsmail/A 54621-2023 FSC-klagomål mail.docx", "A 54621-2023")</f>
        <v/>
      </c>
      <c r="X92">
        <f>HYPERLINK("https://klasma.github.io/Logging_2281/tillsyn/A 54621-2023 tillsynsbegäran.docx", "A 54621-2023")</f>
        <v/>
      </c>
      <c r="Y92">
        <f>HYPERLINK("https://klasma.github.io/Logging_2281/tillsynsmail/A 54621-2023 tillsynsbegäran mail.docx", "A 54621-2023")</f>
        <v/>
      </c>
    </row>
    <row r="93" ht="15" customHeight="1">
      <c r="A93" t="inlineStr">
        <is>
          <t>A 60864-2023</t>
        </is>
      </c>
      <c r="B93" s="1" t="n">
        <v>45260</v>
      </c>
      <c r="C93" s="1" t="n">
        <v>45756</v>
      </c>
      <c r="D93" t="inlineStr">
        <is>
          <t>VÄSTERNORRLANDS LÄN</t>
        </is>
      </c>
      <c r="E93" t="inlineStr">
        <is>
          <t>SUNDSVALL</t>
        </is>
      </c>
      <c r="F93" t="inlineStr">
        <is>
          <t>SCA</t>
        </is>
      </c>
      <c r="G93" t="n">
        <v>0.9</v>
      </c>
      <c r="H93" t="n">
        <v>1</v>
      </c>
      <c r="I93" t="n">
        <v>2</v>
      </c>
      <c r="J93" t="n">
        <v>1</v>
      </c>
      <c r="K93" t="n">
        <v>0</v>
      </c>
      <c r="L93" t="n">
        <v>0</v>
      </c>
      <c r="M93" t="n">
        <v>0</v>
      </c>
      <c r="N93" t="n">
        <v>0</v>
      </c>
      <c r="O93" t="n">
        <v>1</v>
      </c>
      <c r="P93" t="n">
        <v>0</v>
      </c>
      <c r="Q93" t="n">
        <v>3</v>
      </c>
      <c r="R93" s="2" t="inlineStr">
        <is>
          <t>Tretåig hackspett
Dropptaggsvamp
Vedticka</t>
        </is>
      </c>
      <c r="S93">
        <f>HYPERLINK("https://klasma.github.io/Logging_2281/artfynd/A 60864-2023 artfynd.xlsx", "A 60864-2023")</f>
        <v/>
      </c>
      <c r="T93">
        <f>HYPERLINK("https://klasma.github.io/Logging_2281/kartor/A 60864-2023 karta.png", "A 60864-2023")</f>
        <v/>
      </c>
      <c r="V93">
        <f>HYPERLINK("https://klasma.github.io/Logging_2281/klagomål/A 60864-2023 FSC-klagomål.docx", "A 60864-2023")</f>
        <v/>
      </c>
      <c r="W93">
        <f>HYPERLINK("https://klasma.github.io/Logging_2281/klagomålsmail/A 60864-2023 FSC-klagomål mail.docx", "A 60864-2023")</f>
        <v/>
      </c>
      <c r="X93">
        <f>HYPERLINK("https://klasma.github.io/Logging_2281/tillsyn/A 60864-2023 tillsynsbegäran.docx", "A 60864-2023")</f>
        <v/>
      </c>
      <c r="Y93">
        <f>HYPERLINK("https://klasma.github.io/Logging_2281/tillsynsmail/A 60864-2023 tillsynsbegäran mail.docx", "A 60864-2023")</f>
        <v/>
      </c>
      <c r="Z93">
        <f>HYPERLINK("https://klasma.github.io/Logging_2281/fåglar/A 60864-2023 prioriterade fågelarter.docx", "A 60864-2023")</f>
        <v/>
      </c>
    </row>
    <row r="94" ht="15" customHeight="1">
      <c r="A94" t="inlineStr">
        <is>
          <t>A 14820-2024</t>
        </is>
      </c>
      <c r="B94" s="1" t="n">
        <v>45397</v>
      </c>
      <c r="C94" s="1" t="n">
        <v>45756</v>
      </c>
      <c r="D94" t="inlineStr">
        <is>
          <t>VÄSTERNORRLANDS LÄN</t>
        </is>
      </c>
      <c r="E94" t="inlineStr">
        <is>
          <t>SUNDSVALL</t>
        </is>
      </c>
      <c r="F94" t="inlineStr">
        <is>
          <t>SCA</t>
        </is>
      </c>
      <c r="G94" t="n">
        <v>13.1</v>
      </c>
      <c r="H94" t="n">
        <v>0</v>
      </c>
      <c r="I94" t="n">
        <v>1</v>
      </c>
      <c r="J94" t="n">
        <v>2</v>
      </c>
      <c r="K94" t="n">
        <v>0</v>
      </c>
      <c r="L94" t="n">
        <v>0</v>
      </c>
      <c r="M94" t="n">
        <v>0</v>
      </c>
      <c r="N94" t="n">
        <v>0</v>
      </c>
      <c r="O94" t="n">
        <v>2</v>
      </c>
      <c r="P94" t="n">
        <v>0</v>
      </c>
      <c r="Q94" t="n">
        <v>3</v>
      </c>
      <c r="R94" s="2" t="inlineStr">
        <is>
          <t>Garnlav
Lunglav
Luddlav</t>
        </is>
      </c>
      <c r="S94">
        <f>HYPERLINK("https://klasma.github.io/Logging_2281/artfynd/A 14820-2024 artfynd.xlsx", "A 14820-2024")</f>
        <v/>
      </c>
      <c r="T94">
        <f>HYPERLINK("https://klasma.github.io/Logging_2281/kartor/A 14820-2024 karta.png", "A 14820-2024")</f>
        <v/>
      </c>
      <c r="V94">
        <f>HYPERLINK("https://klasma.github.io/Logging_2281/klagomål/A 14820-2024 FSC-klagomål.docx", "A 14820-2024")</f>
        <v/>
      </c>
      <c r="W94">
        <f>HYPERLINK("https://klasma.github.io/Logging_2281/klagomålsmail/A 14820-2024 FSC-klagomål mail.docx", "A 14820-2024")</f>
        <v/>
      </c>
      <c r="X94">
        <f>HYPERLINK("https://klasma.github.io/Logging_2281/tillsyn/A 14820-2024 tillsynsbegäran.docx", "A 14820-2024")</f>
        <v/>
      </c>
      <c r="Y94">
        <f>HYPERLINK("https://klasma.github.io/Logging_2281/tillsynsmail/A 14820-2024 tillsynsbegäran mail.docx", "A 14820-2024")</f>
        <v/>
      </c>
    </row>
    <row r="95" ht="15" customHeight="1">
      <c r="A95" t="inlineStr">
        <is>
          <t>A 29076-2024</t>
        </is>
      </c>
      <c r="B95" s="1" t="n">
        <v>45481</v>
      </c>
      <c r="C95" s="1" t="n">
        <v>45756</v>
      </c>
      <c r="D95" t="inlineStr">
        <is>
          <t>VÄSTERNORRLANDS LÄN</t>
        </is>
      </c>
      <c r="E95" t="inlineStr">
        <is>
          <t>SUNDSVALL</t>
        </is>
      </c>
      <c r="G95" t="n">
        <v>5.6</v>
      </c>
      <c r="H95" t="n">
        <v>0</v>
      </c>
      <c r="I95" t="n">
        <v>2</v>
      </c>
      <c r="J95" t="n">
        <v>1</v>
      </c>
      <c r="K95" t="n">
        <v>0</v>
      </c>
      <c r="L95" t="n">
        <v>0</v>
      </c>
      <c r="M95" t="n">
        <v>0</v>
      </c>
      <c r="N95" t="n">
        <v>0</v>
      </c>
      <c r="O95" t="n">
        <v>1</v>
      </c>
      <c r="P95" t="n">
        <v>0</v>
      </c>
      <c r="Q95" t="n">
        <v>3</v>
      </c>
      <c r="R95" s="2" t="inlineStr">
        <is>
          <t>Lunglav
Bårdlav
Stuplav</t>
        </is>
      </c>
      <c r="S95">
        <f>HYPERLINK("https://klasma.github.io/Logging_2281/artfynd/A 29076-2024 artfynd.xlsx", "A 29076-2024")</f>
        <v/>
      </c>
      <c r="T95">
        <f>HYPERLINK("https://klasma.github.io/Logging_2281/kartor/A 29076-2024 karta.png", "A 29076-2024")</f>
        <v/>
      </c>
      <c r="V95">
        <f>HYPERLINK("https://klasma.github.io/Logging_2281/klagomål/A 29076-2024 FSC-klagomål.docx", "A 29076-2024")</f>
        <v/>
      </c>
      <c r="W95">
        <f>HYPERLINK("https://klasma.github.io/Logging_2281/klagomålsmail/A 29076-2024 FSC-klagomål mail.docx", "A 29076-2024")</f>
        <v/>
      </c>
      <c r="X95">
        <f>HYPERLINK("https://klasma.github.io/Logging_2281/tillsyn/A 29076-2024 tillsynsbegäran.docx", "A 29076-2024")</f>
        <v/>
      </c>
      <c r="Y95">
        <f>HYPERLINK("https://klasma.github.io/Logging_2281/tillsynsmail/A 29076-2024 tillsynsbegäran mail.docx", "A 29076-2024")</f>
        <v/>
      </c>
    </row>
    <row r="96" ht="15" customHeight="1">
      <c r="A96" t="inlineStr">
        <is>
          <t>A 31515-2024</t>
        </is>
      </c>
      <c r="B96" s="1" t="n">
        <v>45505</v>
      </c>
      <c r="C96" s="1" t="n">
        <v>45756</v>
      </c>
      <c r="D96" t="inlineStr">
        <is>
          <t>VÄSTERNORRLANDS LÄN</t>
        </is>
      </c>
      <c r="E96" t="inlineStr">
        <is>
          <t>SUNDSVALL</t>
        </is>
      </c>
      <c r="F96" t="inlineStr">
        <is>
          <t>SCA</t>
        </is>
      </c>
      <c r="G96" t="n">
        <v>2.7</v>
      </c>
      <c r="H96" t="n">
        <v>0</v>
      </c>
      <c r="I96" t="n">
        <v>0</v>
      </c>
      <c r="J96" t="n">
        <v>3</v>
      </c>
      <c r="K96" t="n">
        <v>0</v>
      </c>
      <c r="L96" t="n">
        <v>0</v>
      </c>
      <c r="M96" t="n">
        <v>0</v>
      </c>
      <c r="N96" t="n">
        <v>0</v>
      </c>
      <c r="O96" t="n">
        <v>3</v>
      </c>
      <c r="P96" t="n">
        <v>0</v>
      </c>
      <c r="Q96" t="n">
        <v>3</v>
      </c>
      <c r="R96" s="2" t="inlineStr">
        <is>
          <t>Garnlav
Lunglav
Violettgrå tagellav</t>
        </is>
      </c>
      <c r="S96">
        <f>HYPERLINK("https://klasma.github.io/Logging_2281/artfynd/A 31515-2024 artfynd.xlsx", "A 31515-2024")</f>
        <v/>
      </c>
      <c r="T96">
        <f>HYPERLINK("https://klasma.github.io/Logging_2281/kartor/A 31515-2024 karta.png", "A 31515-2024")</f>
        <v/>
      </c>
      <c r="V96">
        <f>HYPERLINK("https://klasma.github.io/Logging_2281/klagomål/A 31515-2024 FSC-klagomål.docx", "A 31515-2024")</f>
        <v/>
      </c>
      <c r="W96">
        <f>HYPERLINK("https://klasma.github.io/Logging_2281/klagomålsmail/A 31515-2024 FSC-klagomål mail.docx", "A 31515-2024")</f>
        <v/>
      </c>
      <c r="X96">
        <f>HYPERLINK("https://klasma.github.io/Logging_2281/tillsyn/A 31515-2024 tillsynsbegäran.docx", "A 31515-2024")</f>
        <v/>
      </c>
      <c r="Y96">
        <f>HYPERLINK("https://klasma.github.io/Logging_2281/tillsynsmail/A 31515-2024 tillsynsbegäran mail.docx", "A 31515-2024")</f>
        <v/>
      </c>
    </row>
    <row r="97" ht="15" customHeight="1">
      <c r="A97" t="inlineStr">
        <is>
          <t>A 55550-2024</t>
        </is>
      </c>
      <c r="B97" s="1" t="n">
        <v>45622</v>
      </c>
      <c r="C97" s="1" t="n">
        <v>45756</v>
      </c>
      <c r="D97" t="inlineStr">
        <is>
          <t>VÄSTERNORRLANDS LÄN</t>
        </is>
      </c>
      <c r="E97" t="inlineStr">
        <is>
          <t>SUNDSVALL</t>
        </is>
      </c>
      <c r="F97" t="inlineStr">
        <is>
          <t>SCA</t>
        </is>
      </c>
      <c r="G97" t="n">
        <v>4.4</v>
      </c>
      <c r="H97" t="n">
        <v>2</v>
      </c>
      <c r="I97" t="n">
        <v>1</v>
      </c>
      <c r="J97" t="n">
        <v>1</v>
      </c>
      <c r="K97" t="n">
        <v>1</v>
      </c>
      <c r="L97" t="n">
        <v>0</v>
      </c>
      <c r="M97" t="n">
        <v>0</v>
      </c>
      <c r="N97" t="n">
        <v>0</v>
      </c>
      <c r="O97" t="n">
        <v>2</v>
      </c>
      <c r="P97" t="n">
        <v>1</v>
      </c>
      <c r="Q97" t="n">
        <v>3</v>
      </c>
      <c r="R97" s="2" t="inlineStr">
        <is>
          <t>Knärot
Tretåig hackspett
Vedticka</t>
        </is>
      </c>
      <c r="S97">
        <f>HYPERLINK("https://klasma.github.io/Logging_2281/artfynd/A 55550-2024 artfynd.xlsx", "A 55550-2024")</f>
        <v/>
      </c>
      <c r="T97">
        <f>HYPERLINK("https://klasma.github.io/Logging_2281/kartor/A 55550-2024 karta.png", "A 55550-2024")</f>
        <v/>
      </c>
      <c r="U97">
        <f>HYPERLINK("https://klasma.github.io/Logging_2281/knärot/A 55550-2024 karta knärot.png", "A 55550-2024")</f>
        <v/>
      </c>
      <c r="V97">
        <f>HYPERLINK("https://klasma.github.io/Logging_2281/klagomål/A 55550-2024 FSC-klagomål.docx", "A 55550-2024")</f>
        <v/>
      </c>
      <c r="W97">
        <f>HYPERLINK("https://klasma.github.io/Logging_2281/klagomålsmail/A 55550-2024 FSC-klagomål mail.docx", "A 55550-2024")</f>
        <v/>
      </c>
      <c r="X97">
        <f>HYPERLINK("https://klasma.github.io/Logging_2281/tillsyn/A 55550-2024 tillsynsbegäran.docx", "A 55550-2024")</f>
        <v/>
      </c>
      <c r="Y97">
        <f>HYPERLINK("https://klasma.github.io/Logging_2281/tillsynsmail/A 55550-2024 tillsynsbegäran mail.docx", "A 55550-2024")</f>
        <v/>
      </c>
      <c r="Z97">
        <f>HYPERLINK("https://klasma.github.io/Logging_2281/fåglar/A 55550-2024 prioriterade fågelarter.docx", "A 55550-2024")</f>
        <v/>
      </c>
    </row>
    <row r="98" ht="15" customHeight="1">
      <c r="A98" t="inlineStr">
        <is>
          <t>A 9509-2025</t>
        </is>
      </c>
      <c r="B98" s="1" t="n">
        <v>45715</v>
      </c>
      <c r="C98" s="1" t="n">
        <v>45756</v>
      </c>
      <c r="D98" t="inlineStr">
        <is>
          <t>VÄSTERNORRLANDS LÄN</t>
        </is>
      </c>
      <c r="E98" t="inlineStr">
        <is>
          <t>SUNDSVALL</t>
        </is>
      </c>
      <c r="G98" t="n">
        <v>5.1</v>
      </c>
      <c r="H98" t="n">
        <v>3</v>
      </c>
      <c r="I98" t="n">
        <v>1</v>
      </c>
      <c r="J98" t="n">
        <v>1</v>
      </c>
      <c r="K98" t="n">
        <v>1</v>
      </c>
      <c r="L98" t="n">
        <v>0</v>
      </c>
      <c r="M98" t="n">
        <v>0</v>
      </c>
      <c r="N98" t="n">
        <v>0</v>
      </c>
      <c r="O98" t="n">
        <v>2</v>
      </c>
      <c r="P98" t="n">
        <v>1</v>
      </c>
      <c r="Q98" t="n">
        <v>3</v>
      </c>
      <c r="R98" s="2" t="inlineStr">
        <is>
          <t>Knärot
Spillkråka
Plattlummer</t>
        </is>
      </c>
      <c r="S98">
        <f>HYPERLINK("https://klasma.github.io/Logging_222281/artfynd/A 9509-2025 artfynd.xlsx", "A 9509-2025")</f>
        <v/>
      </c>
      <c r="T98">
        <f>HYPERLINK("https://klasma.github.io/Logging_222281/kartor/A 9509-2025 karta.png", "A 9509-2025")</f>
        <v/>
      </c>
      <c r="U98">
        <f>HYPERLINK("https://klasma.github.io/Logging_222281/knärot/A 9509-2025 karta knärot.png", "A 9509-2025")</f>
        <v/>
      </c>
      <c r="V98">
        <f>HYPERLINK("https://klasma.github.io/Logging_222281/klagomål/A 9509-2025 FSC-klagomål.docx", "A 9509-2025")</f>
        <v/>
      </c>
      <c r="W98">
        <f>HYPERLINK("https://klasma.github.io/Logging_222281/klagomålsmail/A 9509-2025 FSC-klagomål mail.docx", "A 9509-2025")</f>
        <v/>
      </c>
      <c r="X98">
        <f>HYPERLINK("https://klasma.github.io/Logging_222281/tillsyn/A 9509-2025 tillsynsbegäran.docx", "A 9509-2025")</f>
        <v/>
      </c>
      <c r="Y98">
        <f>HYPERLINK("https://klasma.github.io/Logging_222281/tillsynsmail/A 9509-2025 tillsynsbegäran mail.docx", "A 9509-2025")</f>
        <v/>
      </c>
      <c r="Z98">
        <f>HYPERLINK("https://klasma.github.io/Logging_222281/fåglar/A 9509-2025 prioriterade fågelarter.docx", "A 9509-2025")</f>
        <v/>
      </c>
    </row>
    <row r="99" ht="15" customHeight="1">
      <c r="A99" t="inlineStr">
        <is>
          <t>A 12894-2025</t>
        </is>
      </c>
      <c r="B99" s="1" t="n">
        <v>45733</v>
      </c>
      <c r="C99" s="1" t="n">
        <v>45756</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45756</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45756</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45756</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45756</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45756</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45756</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45756</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45756</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45756</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45756</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45756</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45756</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45756</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45756</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45756</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45756</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45756</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45756</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45756</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45756</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45756</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45756</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45756</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45756</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45756</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45756</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45756</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45756</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45756</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45756</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45756</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45756</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45756</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45756</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45756</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45756</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45756</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45756</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45756</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45756</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45756</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45756</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45756</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45756</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45756</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45756</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45756</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45756</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45756</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45756</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45756</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45756</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45756</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45756</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45756</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45756</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45756</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45756</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45756</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45756</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45756</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45756</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45756</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45756</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45756</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45756</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45756</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45756</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45756</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45756</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45756</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45756</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45756</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45756</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45756</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45756</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45756</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45756</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45756</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45756</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45756</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45756</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45756</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45756</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45756</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45756</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45756</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45756</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45756</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45756</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45756</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45756</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45756</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45756</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45756</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45756</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45756</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45756</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45756</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45756</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45756</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45756</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45756</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45756</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45756</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45756</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45756</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45756</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45756</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45756</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45756</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45756</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45756</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45756</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45756</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45756</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45756</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45756</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45756</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45756</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45756</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45756</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45756</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45756</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45756</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45756</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45756</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45756</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45756</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45756</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45756</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45756</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45756</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45756</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45756</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45756</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45756</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45756</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45756</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45756</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45756</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45756</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13154-2025</t>
        </is>
      </c>
      <c r="B242" s="1" t="n">
        <v>45735</v>
      </c>
      <c r="C242" s="1" t="n">
        <v>45756</v>
      </c>
      <c r="D242" t="inlineStr">
        <is>
          <t>VÄSTERNORRLANDS LÄN</t>
        </is>
      </c>
      <c r="E242" t="inlineStr">
        <is>
          <t>SUNDSVALL</t>
        </is>
      </c>
      <c r="G242" t="n">
        <v>2.6</v>
      </c>
      <c r="H242" t="n">
        <v>0</v>
      </c>
      <c r="I242" t="n">
        <v>0</v>
      </c>
      <c r="J242" t="n">
        <v>1</v>
      </c>
      <c r="K242" t="n">
        <v>0</v>
      </c>
      <c r="L242" t="n">
        <v>0</v>
      </c>
      <c r="M242" t="n">
        <v>0</v>
      </c>
      <c r="N242" t="n">
        <v>0</v>
      </c>
      <c r="O242" t="n">
        <v>1</v>
      </c>
      <c r="P242" t="n">
        <v>0</v>
      </c>
      <c r="Q242" t="n">
        <v>1</v>
      </c>
      <c r="R242" s="2" t="inlineStr">
        <is>
          <t>Tallticka</t>
        </is>
      </c>
      <c r="S242">
        <f>HYPERLINK("https://klasma.github.io/Logging_222281/artfynd/A 13154-2025 artfynd.xlsx", "A 13154-2025")</f>
        <v/>
      </c>
      <c r="T242">
        <f>HYPERLINK("https://klasma.github.io/Logging_222281/kartor/A 13154-2025 karta.png", "A 13154-2025")</f>
        <v/>
      </c>
      <c r="V242">
        <f>HYPERLINK("https://klasma.github.io/Logging_222281/klagomål/A 13154-2025 FSC-klagomål.docx", "A 13154-2025")</f>
        <v/>
      </c>
      <c r="W242">
        <f>HYPERLINK("https://klasma.github.io/Logging_222281/klagomålsmail/A 13154-2025 FSC-klagomål mail.docx", "A 13154-2025")</f>
        <v/>
      </c>
      <c r="X242">
        <f>HYPERLINK("https://klasma.github.io/Logging_222281/tillsyn/A 13154-2025 tillsynsbegäran.docx", "A 13154-2025")</f>
        <v/>
      </c>
      <c r="Y242">
        <f>HYPERLINK("https://klasma.github.io/Logging_222281/tillsynsmail/A 13154-2025 tillsynsbegäran mail.docx", "A 13154-2025")</f>
        <v/>
      </c>
    </row>
    <row r="243" ht="15" customHeight="1">
      <c r="A243" t="inlineStr">
        <is>
          <t>A 13301-2025</t>
        </is>
      </c>
      <c r="B243" s="1" t="n">
        <v>45735</v>
      </c>
      <c r="C243" s="1" t="n">
        <v>45756</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HYPERLINK("https://klasma.github.io/Logging_222281/artfynd/A 13301-2025 artfynd.xlsx", "A 13301-2025")</f>
        <v/>
      </c>
      <c r="T243">
        <f>HYPERLINK("https://klasma.github.io/Logging_222281/kartor/A 13301-2025 karta.png", "A 13301-2025")</f>
        <v/>
      </c>
      <c r="V243">
        <f>HYPERLINK("https://klasma.github.io/Logging_222281/klagomål/A 13301-2025 FSC-klagomål.docx", "A 13301-2025")</f>
        <v/>
      </c>
      <c r="W243">
        <f>HYPERLINK("https://klasma.github.io/Logging_222281/klagomålsmail/A 13301-2025 FSC-klagomål mail.docx", "A 13301-2025")</f>
        <v/>
      </c>
      <c r="X243">
        <f>HYPERLINK("https://klasma.github.io/Logging_222281/tillsyn/A 13301-2025 tillsynsbegäran.docx", "A 13301-2025")</f>
        <v/>
      </c>
      <c r="Y243">
        <f>HYPERLINK("https://klasma.github.io/Logging_222281/tillsynsmail/A 13301-2025 tillsynsbegäran mail.docx", "A 13301-2025")</f>
        <v/>
      </c>
    </row>
    <row r="244" ht="15" customHeight="1">
      <c r="A244" t="inlineStr">
        <is>
          <t>A 14545-2025</t>
        </is>
      </c>
      <c r="B244" s="1" t="n">
        <v>45741</v>
      </c>
      <c r="C244" s="1" t="n">
        <v>45756</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45756</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45756</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45756</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45756</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45756</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45756</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45756</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45756</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45756</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45756</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45756</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45756</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45756</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45756</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45756</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45756</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45756</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45756</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45756</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45756</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45756</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45756</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45756</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45756</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45756</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45756</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45756</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45756</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45756</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45756</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45756</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45756</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45756</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45756</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45756</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45756</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45756</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45756</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45756</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45756</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45756</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45756</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45756</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45756</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45756</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45756</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45756</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45756</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45756</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45756</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45756</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45756</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45756</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45756</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45756</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45756</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45756</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45756</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45756</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45756</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45756</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45756</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45756</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45756</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45756</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45756</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45756</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45756</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45756</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45756</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45756</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45756</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45756</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45756</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45756</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45756</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45756</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45756</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45756</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45756</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45756</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45756</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45756</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45756</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45756</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45756</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45756</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45756</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45756</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45756</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45756</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45756</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45756</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45756</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45756</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45756</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45756</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45756</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45756</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45756</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45756</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45756</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45756</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45756</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45756</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45756</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45756</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45756</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45756</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45756</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45756</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45756</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45756</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45756</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45756</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45756</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45756</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45756</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45756</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45756</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45756</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45756</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45756</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45756</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45756</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45756</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45756</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45756</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45756</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45756</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45756</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45756</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45756</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45756</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45756</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45756</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45756</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45756</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45756</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45756</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45756</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45756</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45756</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45756</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45756</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45756</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45756</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45756</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45756</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45756</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45756</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45756</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45756</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45756</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45756</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45756</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45756</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45756</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45756</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45756</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45756</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45756</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45756</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45756</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45756</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45756</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45756</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45756</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45756</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45756</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45756</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45756</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45756</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45756</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45756</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45756</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45756</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45756</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45756</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45756</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45756</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45756</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45756</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45756</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45756</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45756</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45756</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45756</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45756</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45756</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45756</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45756</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45756</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45756</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45756</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45756</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45756</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45756</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45756</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45756</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45756</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45756</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45756</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45756</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45756</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45756</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45756</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45756</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45756</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45756</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45756</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45756</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45756</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45756</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45756</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45756</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45756</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45756</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45756</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45756</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45756</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45756</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45756</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45756</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45756</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45756</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45756</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45756</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45756</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45756</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45756</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45756</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45756</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45756</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45756</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45756</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45756</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45756</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45756</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45756</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45756</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45756</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45756</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45756</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45756</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45756</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45756</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45756</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45756</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45756</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45756</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45756</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45756</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45756</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45756</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45756</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45756</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45756</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45756</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45756</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45756</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45756</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45756</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45756</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45756</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45756</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45756</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45756</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45756</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45756</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45756</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45756</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45756</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45756</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45756</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45756</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45756</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45756</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45756</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45756</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45756</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45756</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45756</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45756</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45756</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45756</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45756</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45756</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45756</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45756</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45756</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45756</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45756</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45756</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45756</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45756</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45756</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45756</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45756</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45756</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45756</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45756</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45756</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45756</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45756</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45756</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45756</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45756</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45756</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45756</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45756</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45756</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45756</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45756</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45756</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45756</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45756</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45756</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45756</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45756</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45756</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45756</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45756</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45756</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45756</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45756</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45756</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45756</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45756</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45756</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45756</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45756</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45756</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45756</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45756</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45756</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45756</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45756</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45756</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45756</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45756</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45756</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45756</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45756</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45756</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45756</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45756</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45756</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45756</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45756</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45756</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45756</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45756</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45756</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45756</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45756</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45756</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45756</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45756</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45756</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45756</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45756</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45756</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45756</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45756</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45756</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45756</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45756</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45756</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45756</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45756</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45756</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45756</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45756</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45756</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45756</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45756</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45756</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45756</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45756</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45756</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45756</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45756</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45756</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45756</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45756</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45756</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45756</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45756</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45756</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45756</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45756</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45756</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45756</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45756</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45756</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45756</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45756</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45756</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45756</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45756</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45756</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45756</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45756</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45756</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45756</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45756</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45756</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45756</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45756</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45756</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45756</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45756</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45756</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45756</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45756</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45756</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45756</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45756</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45756</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45756</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45756</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45756</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45756</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45756</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45756</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45756</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45756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45756</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45756</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45756</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45756</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45756</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45756</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45756</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45756</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45756</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45756</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45756</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45756</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45756</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45756</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45756</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45756</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45756</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45756</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45756</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45756</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45756</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45756</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45756</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45756</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45756</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45756</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45756</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45756</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45756</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45756</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45756</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45756</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45756</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45756</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45756</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45756</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45756</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45756</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45756</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45756</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45756</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45756</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45756</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45756</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45756</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45756</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45756</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45756</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45756</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45756</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45756</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45756</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45756</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45756</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45756</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45756</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45756</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45756</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45756</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45756</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45756</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45756</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45756</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45756</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45756</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45756</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45756</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45756</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45756</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45756</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45756</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45756</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45756</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45756</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45756</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45756</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45756</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45756</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45756</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45756</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45756</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45756</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45756</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45756</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45756</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45756</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45756</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45756</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45756</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45756</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45756</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45756</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45756</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45756</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45756</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45756</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45756</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45756</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45756</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45756</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45756</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45756</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45756</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45756</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45756</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45756</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45756</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45756</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45756</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45756</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45756</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45756</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45756</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45756</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45756</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45756</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45756</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45756</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45756</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45756</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45756</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45756</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45756</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45756</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45756</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45756</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45756</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45756</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45756</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45756</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45756</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45756</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45756</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45756</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45756</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45756</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45756</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45756</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45756</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45756</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45756</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45756</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45756</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45756</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45756</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45756</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45756</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45756</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45756</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45756</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45756</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45756</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45756</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45756</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45756</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45756</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45756</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45756</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45756</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45756</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45756</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45756</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45756</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45756</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45756</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45756</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45756</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45756</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45756</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45756</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45756</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45756</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45756</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45756</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45756</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45756</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45756</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45756</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45756</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45756</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45756</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45756</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45756</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45756</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45756</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45756</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45756</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45756</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45756</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45756</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45756</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45756</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45756</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45756</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45756</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45756</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45756</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45756</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45756</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45756</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45756</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45756</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45756</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45756</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45756</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45756</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45756</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45756</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45756</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45756</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45756</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45756</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45756</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45756</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45756</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45756</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45756</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45756</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45756</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45756</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45756</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45756</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45756</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45756</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45756</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45756</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45756</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45756</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45756</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45756</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45756</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45756</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45756</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45756</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45756</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45756</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45756</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45756</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45756</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45756</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45756</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45756</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45756</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45756</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45756</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45756</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45756</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45756</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45756</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45756</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45756</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45756</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45756</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45756</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45756</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45756</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45756</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45756</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45756</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45756</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45756</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45756</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45756</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45756</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45756</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45756</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45756</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45756</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45756</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45756</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45756</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45756</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45756</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45756</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45756</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45756</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45756</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45756</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45756</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45756</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45756</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45756</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45756</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45756</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45756</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45756</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45756</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45756</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45756</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45756</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45756</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45756</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45756</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45756</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45756</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45756</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45756</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45756</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45756</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45756</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45756</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45756</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45756</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45756</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45756</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45756</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45756</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45756</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45756</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45756</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45756</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45756</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45756</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45756</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45756</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45756</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45756</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45756</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45756</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45756</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45756</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45756</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45756</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45756</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45756</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45756</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45756</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45756</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45756</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45756</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45756</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45756</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45756</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45756</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45756</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45756</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45756</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45756</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45756</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45756</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45756</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45756</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45756</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45756</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45756</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45756</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45756</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45756</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45756</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45756</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45756</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45756</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45756</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45756</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45756</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45756</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45756</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45756</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45756</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45756</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45756</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45756</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45756</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45756</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45756</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45756</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45756</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45756</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45756</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45756</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45756</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45756</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45756</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45756</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45756</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45756</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45756</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45756</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45756</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45756</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45756</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45756</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45756</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45756</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45756</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45756</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45756</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45756</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45756</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45756</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45756</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45756</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45756</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45756</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45756</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45756</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45756</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45756</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45756</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45756</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45756</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45756</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45756</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45756</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45756</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45756</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45756</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45756</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45756</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45756</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45756</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45756</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45756</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45756</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45756</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45756</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45756</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45756</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45756</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45756</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45756</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45756</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45756</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45756</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45756</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45756</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45756</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45756</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45756</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45756</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45756</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45756</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45756</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45756</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45756</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45756</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45756</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45756</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45756</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45756</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45756</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45756</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45756</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45756</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45756</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45756</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45756</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45756</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45756</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45756</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45756</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45756</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45756</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45756</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45756</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45756</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45756</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45756</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45756</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45756</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45756</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45756</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45756</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45756</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45756</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45756</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45756</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45756</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45756</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45756</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45756</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45756</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45756</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45756</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45756</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45756</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45756</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45756</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45756</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45756</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45756</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45756</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45756</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45756</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45756</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45756</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45756</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45756</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45756</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45756</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45756</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45756</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45756</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45756</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45756</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45756</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45756</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45756</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45756</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45756</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45756</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45756</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45756</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45756</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45756</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45756</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45756</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45756</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45756</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45756</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45756</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45756</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45756</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45756</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45756</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45756</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45756</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45756</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45756</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45756</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45756</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45756</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45756</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45756</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45756</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45756</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45756</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45756</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45756</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45756</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45756</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45756</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45756</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45756</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45756</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45756</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45756</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45756</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45756</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45756</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45756</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45756</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45756</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45756</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45756</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45756</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45756</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45756</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45756</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45756</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45756</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45756</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45756</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45756</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45756</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45756</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45756</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45756</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45756</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45756</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45756</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45756</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45756</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45756</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45756</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45756</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45756</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45756</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45756</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45756</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45756</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45756</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45756</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45756</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45756</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45756</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45756</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45756</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45756</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45756</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45756</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45756</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45756</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45756</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45756</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45756</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45756</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45756</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45756</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45756</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45756</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45756</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45756</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45756</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45756</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45756</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45756</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45756</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45756</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45756</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45756</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45756</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45756</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45756</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45756</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45756</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45756</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45756</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45756</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45756</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45756</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45756</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45756</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45756</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45756</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45756</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45756</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45756</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45756</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45756</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45756</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45756</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45756</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45756</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45756</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45756</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45756</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45756</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45756</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45756</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45756</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45756</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45756</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45756</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45756</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45756</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45756</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45756</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45756</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45756</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45756</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45756</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45756</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45756</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45756</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45756</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45756</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45756</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45756</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45756</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45756</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45756</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45756</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45756</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45756</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45756</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45756</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45756</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45756</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45756</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45756</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45756</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45756</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45756</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45756</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45756</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45756</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45756</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45756</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45756</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45756</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45756</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45756</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45756</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45756</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45756</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45756</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45756</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45756</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45756</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45756</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45756</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45756</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45756</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45756</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45756</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45756</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45756</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45756</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45756</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45756</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45756</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45756</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45756</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45756</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45756</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45756</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45756</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45756</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45756</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45756</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45756</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45756</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45756</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45756</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45756</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45756</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45756</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45756</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45756</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45756</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45756</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45756</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45756</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45756</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45756</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45756</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45756</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45756</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45756</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45756</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45756</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45756</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45756</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45756</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45756</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45756</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45756</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45756</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45756</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45756</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45756</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45756</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45756</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45756</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45756</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45756</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45756</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45756</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45756</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45756</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45756</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45756</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45756</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45756</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45756</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45756</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45756</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45756</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45756</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45756</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45756</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45756</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45756</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45756</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45756</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45756</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45756</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45756</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45756</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45756</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45756</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45756</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45756</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45756</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45756</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45756</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45756</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45756</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45756</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45756</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45756</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45756</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45756</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45756</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45756</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45756</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45756</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45756</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45756</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45756</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45756</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45756</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45756</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45756</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45756</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45756</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45756</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45756</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45756</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45756</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45756</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45756</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45756</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45756</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45756</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45756</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45756</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45756</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45756</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45756</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45756</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45756</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45756</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45756</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45756</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45756</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45756</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45756</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45756</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45756</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45756</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45756</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45756</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45756</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45756</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45756</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45756</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45756</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45756</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45756</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45756</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45756</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45756</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45756</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45756</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45756</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45756</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45756</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45756</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45756</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45756</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45756</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45756</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45756</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45756</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45756</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45756</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45756</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45756</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45756</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45756</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45756</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45756</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45756</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45756</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45756</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45756</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45756</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45756</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45756</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45756</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45756</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45756</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45756</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45756</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45756</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45756</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45756</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45756</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45756</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45756</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45756</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45756</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45756</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45756</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45756</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45756</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45756</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45756</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45756</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45756</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45756</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45756</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45756</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45756</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45756</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45756</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45756</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45756</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45756</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45756</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45756</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45756</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45756</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45756</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45756</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45756</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45756</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45756</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45756</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45756</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45756</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45756</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45756</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45756</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45756</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45756</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45756</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45756</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45756</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45756</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45756</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45756</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45756</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45756</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45756</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45756</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45756</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45756</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45756</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45756</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45756</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45756</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45756</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45756</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45756</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45756</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45756</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45756</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45756</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45756</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45756</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45756</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45756</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45756</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45756</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45756</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45756</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45756</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45756</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45756</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45756</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45756</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45756</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45756</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45756</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45756</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45756</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45756</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45756</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45756</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45756</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45756</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45756</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45756</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45756</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45756</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45756</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45756</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45756</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45756</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45756</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45756</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45756</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45756</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45756</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45756</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45756</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45756</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45756</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45756</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45756</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45756</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45756</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45756</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45756</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45756</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45756</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45756</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45756</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45756</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45756</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45756</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45756</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45756</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45756</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45756</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45756</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45756</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45756</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45756</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45756</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45756</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45756</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45756</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45756</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45756</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45756</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45756</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45756</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45756</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45756</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45756</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45756</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45756</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45756</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45756</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45756</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45756</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45756</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45756</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45756</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45756</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45756</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45756</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45756</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45756</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45756</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45756</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45756</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45756</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45756</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45756</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45756</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45756</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45756</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45756</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45756</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45756</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45756</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45756</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45756</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45756</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45756</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45756</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45756</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45756</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45756</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45756</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45756</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45756</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45756</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45756</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45756</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45756</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45756</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45756</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45756</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45756</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45756</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45756</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45756</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45756</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45756</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45756</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45756</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45756</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45756</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45756</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45756</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45756</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45756</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45756</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45756</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45756</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45756</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45756</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45756</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45756</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45756</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45756</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45756</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45756</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45756</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45756</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45756</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45756</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45756</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45756</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45756</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45756</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45756</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45756</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45756</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45756</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45756</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45756</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45756</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45756</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45756</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45756</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45756</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45756</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45756</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45756</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45756</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45756</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45756</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45756</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45756</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45756</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45756</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45756</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45756</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45756</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45756</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45756</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45756</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45756</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45756</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45756</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45756</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45756</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45756</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45756</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45756</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45756</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45756</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45756</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45756</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45756</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45756</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45756</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45756</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45756</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45756</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45756</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45756</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45756</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45756</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45756</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45756</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45756</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45756</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45756</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45756</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45756</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45756</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45756</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45756</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45756</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45756</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45756</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45756</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45756</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45756</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45756</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45756</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45756</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45756</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45756</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45756</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45756</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45756</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45756</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45756</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45756</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45756</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45756</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45756</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45756</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45756</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45756</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45756</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45756</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45756</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45756</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45756</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45756</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45756</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45756</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45756</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45756</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45756</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45756</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45756</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45756</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45756</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45756</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45756</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45756</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45756</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45756</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45756</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45756</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45756</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45756</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45756</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45756</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45756</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45756</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45756</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45756</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45756</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45756</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45756</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45756</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45756</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45756</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45756</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45756</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45756</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45756</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45756</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45756</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45756</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45756</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45756</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45756</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45756</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45756</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45756</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45756</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45756</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45756</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45756</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45756</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45756</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45756</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45756</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45756</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45756</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45756</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45756</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45756</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45756</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45756</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45756</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45756</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45756</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45756</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45756</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45756</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45756</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45756</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45756</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45756</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45756</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45756</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45756</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45756</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45756</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45756</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45756</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45756</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45756</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45756</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45756</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45756</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45756</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45756</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45756</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45756</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45756</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45756</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45756</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45756</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45756</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45756</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45756</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45756</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45756</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45756</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45756</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45756</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45756</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45756</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45756</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45756</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45756</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45756</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45756</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45756</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45756</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45756</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45756</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45756</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45756</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45756</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45756</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45756</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45756</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45756</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45756</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45756</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45756</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45756</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45756</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45756</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45756</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45756</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45756</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45756</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45756</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45756</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45756</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45756</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45756</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45756</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45756</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45756</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45756</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45756</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45756</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45756</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45756</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45756</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45756</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45756</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45756</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45756</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45756</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45756</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45756</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45756</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45756</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45756</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45756</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45756</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45756</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45756</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45756</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45756</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45756</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45756</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45756</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45756</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45756</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45756</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45756</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45756</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45756</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45756</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45756</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45756</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45756</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45756</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45756</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45756</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45756</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45756</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45756</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45756</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45756</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45756</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45756</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45756</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45756</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45756</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45756</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45756</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45756</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45756</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45756</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45756</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45756</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45756</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45756</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45756</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45756</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45756</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45756</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45756</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45756</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45756</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45756</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45756</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45756</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45756</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45756</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45756</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45756</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45756</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45756</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45756</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45756</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45756</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45756</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45756</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45756</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45756</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45756</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45756</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45756</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45756</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45756</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45756</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45756</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45756</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45756</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45756</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45756</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45756</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45756</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45756</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45756</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45756</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45756</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45756</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45756</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45756</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45756</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45756</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45756</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45756</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45756</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45756</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45756</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45756</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45756</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45756</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45756</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45756</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45756</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45756</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45756</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45756</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45756</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45756</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45756</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45756</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45756</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45756</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45756</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45756</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45756</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45756</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45756</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45756</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45756</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45756</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45756</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45756</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45756</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45756</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45756</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45756</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45756</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45756</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45756</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45756</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45756</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45756</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45756</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45756</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45756</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45756</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45756</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45756</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45756</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45756</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45756</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45756</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45756</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45756</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45756</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45756</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45756</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45756</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45756</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45756</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45756</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45756</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45756</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45756</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45756</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45756</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45756</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45756</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45756</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45756</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45756</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45756</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45756</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45756</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45756</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45756</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45756</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45756</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45756</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45756</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45756</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45756</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45756</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45756</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45756</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45756</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45756</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45756</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45756</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45756</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45756</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45756</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45756</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45756</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45756</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45756</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45756</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45756</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45756</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45756</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45756</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45756</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45756</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45756</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45756</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45756</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45756</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45756</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45756</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45756</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45756</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45756</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45756</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45756</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45756</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45756</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45756</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45756</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45756</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45756</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45756</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45756</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45756</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45756</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45756</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45756</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45756</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45756</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45756</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45756</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45756</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45756</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45756</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45756</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45756</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45756</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45756</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45756</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45756</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45756</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45756</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45756</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45756</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45756</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45756</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45756</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45756</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45756</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45756</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45756</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45756</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45756</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45756</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45756</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45756</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45756</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45756</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45756</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45756</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45756</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45756</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45756</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45756</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45756</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45756</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45756</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45756</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45756</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45756</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45756</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45756</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45756</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45756</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45756</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45756</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45756</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45756</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45756</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45756</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45756</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45756</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45756</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45756</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45756</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45756</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45756</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45756</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45756</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45756</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45756</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45756</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45756</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45756</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45756</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45756</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45756</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45756</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45756</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45756</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45756</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45756</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45756</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45756</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45756</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45756</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45756</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45756</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45756</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45756</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45756</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45756</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45756</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45756</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45756</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45756</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45756</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45756</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45756</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45756</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45756</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45756</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45756</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45756</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45756</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45756</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45756</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45756</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45756</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45756</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45756</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45756</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45756</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45756</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45756</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45756</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45756</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45756</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45756</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45756</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45756</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45756</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45756</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45756</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45756</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45756</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45756</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45756</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45756</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45756</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45756</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45756</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45756</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45756</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45756</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45756</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45756</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45756</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45756</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45756</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45756</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45756</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45756</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45756</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45756</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45756</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45756</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45756</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45756</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45756</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45756</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45756</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45756</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45756</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45756</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45756</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45756</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45756</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45756</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45756</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45756</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45756</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45756</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45756</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45756</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45756</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45756</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45756</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45756</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45756</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45756</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45756</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45756</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45756</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45756</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45756</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45756</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45756</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45756</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45756</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45756</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45756</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45756</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45756</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45756</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45756</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45756</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45756</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45756</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45756</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45756</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45756</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45756</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45756</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45756</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45756</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45756</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45756</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45756</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45756</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45756</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45756</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45756</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45756</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45756</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45756</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45756</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45756</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45756</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45756</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45756</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45756</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45756</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45756</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45756</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45756</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45756</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45756</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45756</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45756</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45756</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45756</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45756</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45756</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45756</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45756</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45756</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45756</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45756</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45756</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45756</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45756</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45756</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45756</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45756</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45756</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45756</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45756</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45756</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45756</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45756</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45756</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45756</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45756</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45756</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45756</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45756</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45756</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45756</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45756</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45756</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45756</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45756</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45756</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45756</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45756</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45756</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45756</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45756</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45756</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45756</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45756</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45756</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45756</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45756</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45756</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45756</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45756</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45756</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45756</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45756</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45756</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45756</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45756</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45756</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45756</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45756</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45756</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45756</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45756</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45756</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45756</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45756</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45756</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45756</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45756</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45756</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45756</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45756</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45756</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45756</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45756</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45756</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45756</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45756</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45756</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45756</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45756</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45756</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45756</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45756</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45756</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45756</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45756</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45756</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45756</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45756</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45756</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45756</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45756</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45756</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45756</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45756</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45756</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45756</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45756</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45756</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45756</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45756</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45756</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45756</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45756</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45756</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45756</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45756</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45756</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45756</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45756</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45756</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45756</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45756</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45756</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45756</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45756</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45756</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45756</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45756</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45756</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45756</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45756</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45756</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45756</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45756</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45756</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45756</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45756</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45756</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45756</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45756</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45756</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45756</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45756</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45756</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45756</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45756</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45756</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45756</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45756</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45756</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45756</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45756</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45756</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45756</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45756</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45756</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45756</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45756</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45756</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45756</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45756</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45756</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45756</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45756</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45756</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45756</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45756</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45756</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45756</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45756</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45756</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45756</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45756</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45756</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45756</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45756</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45756</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45756</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45756</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45756</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45756</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45756</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45756</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45756</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45756</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45756</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45756</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45756</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45756</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45756</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45756</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45756</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45756</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45756</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45756</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45756</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45756</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45756</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45756</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45756</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45756</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45756</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45756</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45756</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45756</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45756</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45756</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45756</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45756</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45756</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45756</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45756</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45756</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45756</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45756</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45756</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45756</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45756</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45756</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45756</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45756</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45756</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45756</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45756</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45756</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45756</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45756</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45756</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45756</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45756</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45756</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45756</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45756</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45756</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45756</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45756</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45756</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45756</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45756</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45756</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45756</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45756</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45756</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45756</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45756</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45756</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45756</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45756</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45756</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45756</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45756</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45756</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45756</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45756</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45756</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45756</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45756</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45756</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45756</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45756</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45756</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45756</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45756</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45756</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45756</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45756</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45756</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45756</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45756</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45756</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45756</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45756</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45756</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45756</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45756</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45756</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45756</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45756</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45756</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45756</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45756</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45756</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45756</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45756</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45756</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45756</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45756</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45756</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45756</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45756</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45756</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45756</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45756</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45756</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45756</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45756</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45756</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45756</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45756</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45756</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45756</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45756</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45756</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45756</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45756</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45756</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45756</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45756</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45756</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45756</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45756</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45756</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45756</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45756</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45756</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45756</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45756</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45756</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45756</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45756</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45756</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45756</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45756</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45756</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45756</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45756</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45756</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45756</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45756</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45756</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45756</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45756</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45756</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45756</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45756</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45756</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45756</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45756</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45756</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45756</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45756</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45756</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45756</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45756</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45756</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45756</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45756</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45756</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45756</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45756</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45756</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45756</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45756</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45756</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45756</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45756</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45756</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45756</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45756</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45756</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45756</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45756</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45756</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45756</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45756</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45756</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45756</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45756</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45756</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45756</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45756</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45756</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45756</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45756</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45756</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45756</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45756</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45756</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45756</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45756</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45756</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45756</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45756</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45756</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45756</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45756</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45756</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45756</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45756</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45756</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45756</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45756</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45756</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45756</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45756</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45756</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45756</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45756</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45756</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45756</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45756</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45756</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45756</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45756</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45756</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45756</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45756</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45756</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45756</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45756</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45756</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45756</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45756</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45756</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45756</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45756</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45756</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45756</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45756</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45756</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45756</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45756</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45756</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45756</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45756</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45756</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45756</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45756</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45756</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45756</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45756</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45756</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45756</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45756</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45756</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45756</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45756</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45756</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45756</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45756</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45756</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45756</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45756</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45756</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45756</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45756</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45756</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45756</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45756</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45756</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45756</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45756</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45756</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45756</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45756</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45756</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45756</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45756</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45756</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45756</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45756</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45756</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45756</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45756</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45756</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45756</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45756</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45756</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45756</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45756</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45756</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45756</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45756</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45756</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45756</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45756</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45756</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45756</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45756</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45756</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45756</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45756</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45756</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45756</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45756</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45756</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45756</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45756</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45756</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45756</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45756</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45756</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45756</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45756</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45756</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45756</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45756</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45756</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45756</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45756</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45756</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45756</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45756</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45756</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45756</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45756</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45756</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45756</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45756</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45756</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45756</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45756</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45756</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45756</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45756</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45756</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45756</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45756</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45756</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45756</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45756</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45756</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45756</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45756</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45756</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45756</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45756</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45756</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45756</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45756</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45756</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45756</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45756</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45756</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45756</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45756</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45756</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45756</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45756</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45756</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45756</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45756</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45756</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45756</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45756</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45756</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45756</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45756</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45756</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45756</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45756</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45756</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45756</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45756</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45756</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45756</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45756</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45756</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45756</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45756</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45756</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45756</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45756</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45756</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45756</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45756</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45756</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45756</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45756</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45756</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45756</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45756</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45756</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45756</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45756</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45756</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45756</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45756</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45756</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45756</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45756</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45756</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45756</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45756</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45756</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45756</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45756</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45756</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45756</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45756</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45756</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45756</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45756</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45756</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45756</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45756</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45756</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45756</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45756</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45756</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45756</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45756</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45756</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45756</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45756</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45756</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45756</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45756</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45756</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45756</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45756</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45756</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45756</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45756</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45756</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45756</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45756</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45756</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45756</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45756</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45756</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45756</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45756</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45756</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45756</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45756</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45756</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45756</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45756</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45756</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45756</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45756</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45756</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45756</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45756</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45756</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45756</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45756</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45756</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45756</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45756</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45756</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45756</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45756</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45756</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45756</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45756</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45756</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45756</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45756</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45756</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45756</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45756</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45756</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45756</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45756</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45756</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45756</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45756</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45756</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45756</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45756</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45756</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45756</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45756</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45756</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45756</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45756</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45756</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45756</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45756</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45756</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45756</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45756</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45756</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45756</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45756</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45756</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45756</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45756</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45756</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45756</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45756</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45756</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45756</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45756</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45756</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45756</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45756</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45756</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45756</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45756</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45756</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45756</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45756</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45756</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45756</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45756</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45756</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45756</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45756</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45756</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45756</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45756</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45756</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45756</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45756</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45756</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45756</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45756</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45756</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45756</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45756</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45756</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45756</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45756</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45756</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45756</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45756</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45756</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45756</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45756</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45756</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45756</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45756</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45756</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45756</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45756</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45756</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45756</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45756</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45756</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45756</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45756</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45756</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45756</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45756</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45756</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45756</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45756</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45756</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45756</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45756</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45756</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45756</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45756</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45756</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45756</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45756</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45756</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45756</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45756</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45756</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45756</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45756</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45756</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45756</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45756</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45756</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45756</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45756</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45756</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45756</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45756</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45756</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45756</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45756</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45756</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45756</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45756</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45756</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45756</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45756</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45756</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45756</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45756</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45756</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45756</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45756</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45756</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45756</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45756</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45756</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45756</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45756</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12986-2025</t>
        </is>
      </c>
      <c r="B3178" s="1" t="n">
        <v>45734</v>
      </c>
      <c r="C3178" s="1" t="n">
        <v>45756</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45756</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45756</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13294-2025</t>
        </is>
      </c>
      <c r="B3181" s="1" t="n">
        <v>45735</v>
      </c>
      <c r="C3181" s="1" t="n">
        <v>45756</v>
      </c>
      <c r="D3181" t="inlineStr">
        <is>
          <t>VÄSTERNORRLANDS LÄN</t>
        </is>
      </c>
      <c r="E3181" t="inlineStr">
        <is>
          <t>SUNDSVALL</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13296-2025</t>
        </is>
      </c>
      <c r="B3182" s="1" t="n">
        <v>45735</v>
      </c>
      <c r="C3182" s="1" t="n">
        <v>45756</v>
      </c>
      <c r="D3182" t="inlineStr">
        <is>
          <t>VÄSTERNORRLANDS LÄN</t>
        </is>
      </c>
      <c r="E3182" t="inlineStr">
        <is>
          <t>SUNDSVALL</t>
        </is>
      </c>
      <c r="F3182" t="inlineStr">
        <is>
          <t>SCA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13299-2025</t>
        </is>
      </c>
      <c r="B3183" s="1" t="n">
        <v>45735</v>
      </c>
      <c r="C3183" s="1" t="n">
        <v>45756</v>
      </c>
      <c r="D3183" t="inlineStr">
        <is>
          <t>VÄSTERNORRLANDS LÄN</t>
        </is>
      </c>
      <c r="E3183" t="inlineStr">
        <is>
          <t>SUNDSVALL</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45756</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45756</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45756</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45756</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45756</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13441-2025</t>
        </is>
      </c>
      <c r="B3189" s="1" t="n">
        <v>45736</v>
      </c>
      <c r="C3189" s="1" t="n">
        <v>45756</v>
      </c>
      <c r="D3189" t="inlineStr">
        <is>
          <t>VÄSTERNORRLANDS LÄN</t>
        </is>
      </c>
      <c r="E3189" t="inlineStr">
        <is>
          <t>SUNDSVALL</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45756</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45756</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13440-2025</t>
        </is>
      </c>
      <c r="B3192" s="1" t="n">
        <v>45736</v>
      </c>
      <c r="C3192" s="1" t="n">
        <v>45756</v>
      </c>
      <c r="D3192" t="inlineStr">
        <is>
          <t>VÄSTERNORRLANDS LÄN</t>
        </is>
      </c>
      <c r="E3192" t="inlineStr">
        <is>
          <t>SUNDSVALL</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13443-2025</t>
        </is>
      </c>
      <c r="B3193" s="1" t="n">
        <v>45736</v>
      </c>
      <c r="C3193" s="1" t="n">
        <v>45756</v>
      </c>
      <c r="D3193" t="inlineStr">
        <is>
          <t>VÄSTERNORRLANDS LÄN</t>
        </is>
      </c>
      <c r="E3193" t="inlineStr">
        <is>
          <t>SUNDSVALL</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13488-2025</t>
        </is>
      </c>
      <c r="B3194" s="1" t="n">
        <v>45736</v>
      </c>
      <c r="C3194" s="1" t="n">
        <v>45756</v>
      </c>
      <c r="D3194" t="inlineStr">
        <is>
          <t>VÄSTERNORRLANDS LÄN</t>
        </is>
      </c>
      <c r="E3194" t="inlineStr">
        <is>
          <t>SUNDSVALL</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13881-2025</t>
        </is>
      </c>
      <c r="B3195" s="1" t="n">
        <v>45737</v>
      </c>
      <c r="C3195" s="1" t="n">
        <v>45756</v>
      </c>
      <c r="D3195" t="inlineStr">
        <is>
          <t>VÄSTERNORRLANDS LÄN</t>
        </is>
      </c>
      <c r="E3195" t="inlineStr">
        <is>
          <t>SUNDSVALL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13706-2025</t>
        </is>
      </c>
      <c r="B3196" s="1" t="n">
        <v>45737</v>
      </c>
      <c r="C3196" s="1" t="n">
        <v>45756</v>
      </c>
      <c r="D3196" t="inlineStr">
        <is>
          <t>VÄSTERNORRLANDS LÄN</t>
        </is>
      </c>
      <c r="E3196" t="inlineStr">
        <is>
          <t>SUNDSVALL</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13859-2025</t>
        </is>
      </c>
      <c r="B3197" s="1" t="n">
        <v>45737</v>
      </c>
      <c r="C3197" s="1" t="n">
        <v>45756</v>
      </c>
      <c r="D3197" t="inlineStr">
        <is>
          <t>VÄSTERNORRLANDS LÄN</t>
        </is>
      </c>
      <c r="E3197" t="inlineStr">
        <is>
          <t>SUNDSVALL</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13794-2025</t>
        </is>
      </c>
      <c r="B3198" s="1" t="n">
        <v>45737</v>
      </c>
      <c r="C3198" s="1" t="n">
        <v>45756</v>
      </c>
      <c r="D3198" t="inlineStr">
        <is>
          <t>VÄSTERNORRLANDS LÄN</t>
        </is>
      </c>
      <c r="E3198" t="inlineStr">
        <is>
          <t>SUNDSVALL</t>
        </is>
      </c>
      <c r="F3198" t="inlineStr">
        <is>
          <t>Kommuner</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45756</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45756</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45756</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45756</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45756</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45756</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45756</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15475-2025</t>
        </is>
      </c>
      <c r="B3206" s="1" t="n">
        <v>45747</v>
      </c>
      <c r="C3206" s="1" t="n">
        <v>45756</v>
      </c>
      <c r="D3206" t="inlineStr">
        <is>
          <t>VÄSTERNORRLANDS LÄN</t>
        </is>
      </c>
      <c r="E3206" t="inlineStr">
        <is>
          <t>SUNDSVALL</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15551-2025</t>
        </is>
      </c>
      <c r="B3207" s="1" t="n">
        <v>45747</v>
      </c>
      <c r="C3207" s="1" t="n">
        <v>45756</v>
      </c>
      <c r="D3207" t="inlineStr">
        <is>
          <t>VÄSTERNORRLANDS LÄN</t>
        </is>
      </c>
      <c r="E3207" t="inlineStr">
        <is>
          <t>SUNDSVALL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v>
      </c>
      <c r="C3208" s="1" t="n">
        <v>45756</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45756</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15735-2025</t>
        </is>
      </c>
      <c r="B3210" s="1" t="n">
        <v>45748</v>
      </c>
      <c r="C3210" s="1" t="n">
        <v>45756</v>
      </c>
      <c r="D3210" t="inlineStr">
        <is>
          <t>VÄSTERNORRLANDS LÄN</t>
        </is>
      </c>
      <c r="E3210" t="inlineStr">
        <is>
          <t>SUNDSVALL</t>
        </is>
      </c>
      <c r="F3210" t="inlineStr">
        <is>
          <t>SCA</t>
        </is>
      </c>
      <c r="G3210" t="n">
        <v>14.1</v>
      </c>
      <c r="H3210" t="n">
        <v>0</v>
      </c>
      <c r="I3210" t="n">
        <v>0</v>
      </c>
      <c r="J3210" t="n">
        <v>0</v>
      </c>
      <c r="K3210" t="n">
        <v>0</v>
      </c>
      <c r="L3210" t="n">
        <v>0</v>
      </c>
      <c r="M3210" t="n">
        <v>0</v>
      </c>
      <c r="N3210" t="n">
        <v>0</v>
      </c>
      <c r="O3210" t="n">
        <v>0</v>
      </c>
      <c r="P3210" t="n">
        <v>0</v>
      </c>
      <c r="Q3210" t="n">
        <v>0</v>
      </c>
      <c r="R3210" s="2" t="inlineStr"/>
    </row>
    <row r="3211" ht="15" customHeight="1">
      <c r="A3211" t="inlineStr">
        <is>
          <t>A 15667-2025</t>
        </is>
      </c>
      <c r="B3211" s="1" t="n">
        <v>45748</v>
      </c>
      <c r="C3211" s="1" t="n">
        <v>45756</v>
      </c>
      <c r="D3211" t="inlineStr">
        <is>
          <t>VÄSTERNORRLANDS LÄN</t>
        </is>
      </c>
      <c r="E3211" t="inlineStr">
        <is>
          <t>SUNDSVALL</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15734-2025</t>
        </is>
      </c>
      <c r="B3212" s="1" t="n">
        <v>45748</v>
      </c>
      <c r="C3212" s="1" t="n">
        <v>45756</v>
      </c>
      <c r="D3212" t="inlineStr">
        <is>
          <t>VÄSTERNORRLANDS LÄN</t>
        </is>
      </c>
      <c r="E3212" t="inlineStr">
        <is>
          <t>SUNDSVALL</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15609-2025</t>
        </is>
      </c>
      <c r="B3213" s="1" t="n">
        <v>45748</v>
      </c>
      <c r="C3213" s="1" t="n">
        <v>45756</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15632-2025</t>
        </is>
      </c>
      <c r="B3214" s="1" t="n">
        <v>45748</v>
      </c>
      <c r="C3214" s="1" t="n">
        <v>45756</v>
      </c>
      <c r="D3214" t="inlineStr">
        <is>
          <t>VÄSTERNORRLANDS LÄN</t>
        </is>
      </c>
      <c r="E3214" t="inlineStr">
        <is>
          <t>SUNDSVALL</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15617-2025</t>
        </is>
      </c>
      <c r="B3215" s="1" t="n">
        <v>45748</v>
      </c>
      <c r="C3215" s="1" t="n">
        <v>45756</v>
      </c>
      <c r="D3215" t="inlineStr">
        <is>
          <t>VÄSTERNORRLANDS LÄN</t>
        </is>
      </c>
      <c r="E3215" t="inlineStr">
        <is>
          <t>SUNDSVALL</t>
        </is>
      </c>
      <c r="F3215" t="inlineStr">
        <is>
          <t>SCA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15633-2025</t>
        </is>
      </c>
      <c r="B3216" s="1" t="n">
        <v>45748</v>
      </c>
      <c r="C3216" s="1" t="n">
        <v>45756</v>
      </c>
      <c r="D3216" t="inlineStr">
        <is>
          <t>VÄSTERNORRLANDS LÄN</t>
        </is>
      </c>
      <c r="E3216" t="inlineStr">
        <is>
          <t>SUNDSVALL</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45756</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15871-2025</t>
        </is>
      </c>
      <c r="B3218" s="1" t="n">
        <v>45749</v>
      </c>
      <c r="C3218" s="1" t="n">
        <v>45756</v>
      </c>
      <c r="D3218" t="inlineStr">
        <is>
          <t>VÄSTERNORRLANDS LÄN</t>
        </is>
      </c>
      <c r="E3218" t="inlineStr">
        <is>
          <t>SUNDSVALL</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15958-2025</t>
        </is>
      </c>
      <c r="B3219" s="1" t="n">
        <v>45749</v>
      </c>
      <c r="C3219" s="1" t="n">
        <v>45756</v>
      </c>
      <c r="D3219" t="inlineStr">
        <is>
          <t>VÄSTERNORRLANDS LÄN</t>
        </is>
      </c>
      <c r="E3219" t="inlineStr">
        <is>
          <t>SUNDSVALL</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15967-2025</t>
        </is>
      </c>
      <c r="B3220" s="1" t="n">
        <v>45749</v>
      </c>
      <c r="C3220" s="1" t="n">
        <v>45756</v>
      </c>
      <c r="D3220" t="inlineStr">
        <is>
          <t>VÄSTERNORRLANDS LÄN</t>
        </is>
      </c>
      <c r="E3220" t="inlineStr">
        <is>
          <t>SUNDSVALL</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45756</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45756</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16313-2025</t>
        </is>
      </c>
      <c r="B3223" s="1" t="n">
        <v>45751</v>
      </c>
      <c r="C3223" s="1" t="n">
        <v>45756</v>
      </c>
      <c r="D3223" t="inlineStr">
        <is>
          <t>VÄSTERNORRLANDS LÄN</t>
        </is>
      </c>
      <c r="E3223" t="inlineStr">
        <is>
          <t>SUNDSVALL</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45756</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16479-2025</t>
        </is>
      </c>
      <c r="B3225" s="1" t="n">
        <v>45751</v>
      </c>
      <c r="C3225" s="1" t="n">
        <v>45756</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16319-2025</t>
        </is>
      </c>
      <c r="B3226" s="1" t="n">
        <v>45751</v>
      </c>
      <c r="C3226" s="1" t="n">
        <v>45756</v>
      </c>
      <c r="D3226" t="inlineStr">
        <is>
          <t>VÄSTERNORRLANDS LÄN</t>
        </is>
      </c>
      <c r="E3226" t="inlineStr">
        <is>
          <t>SUNDSVALL</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17035-2025</t>
        </is>
      </c>
      <c r="B3227" s="1" t="n">
        <v>45755</v>
      </c>
      <c r="C3227" s="1" t="n">
        <v>45756</v>
      </c>
      <c r="D3227" t="inlineStr">
        <is>
          <t>VÄSTERNORRLANDS LÄN</t>
        </is>
      </c>
      <c r="E3227" t="inlineStr">
        <is>
          <t>SUNDSVALL</t>
        </is>
      </c>
      <c r="F3227" t="inlineStr">
        <is>
          <t>SCA</t>
        </is>
      </c>
      <c r="G3227" t="n">
        <v>7.2</v>
      </c>
      <c r="H3227" t="n">
        <v>0</v>
      </c>
      <c r="I3227" t="n">
        <v>0</v>
      </c>
      <c r="J3227" t="n">
        <v>0</v>
      </c>
      <c r="K3227" t="n">
        <v>0</v>
      </c>
      <c r="L3227" t="n">
        <v>0</v>
      </c>
      <c r="M3227" t="n">
        <v>0</v>
      </c>
      <c r="N3227" t="n">
        <v>0</v>
      </c>
      <c r="O3227" t="n">
        <v>0</v>
      </c>
      <c r="P3227" t="n">
        <v>0</v>
      </c>
      <c r="Q3227" t="n">
        <v>0</v>
      </c>
      <c r="R3227" s="2" t="inlineStr"/>
    </row>
    <row r="3228">
      <c r="A3228" t="inlineStr">
        <is>
          <t>A 16941-2025</t>
        </is>
      </c>
      <c r="B3228" s="1" t="n">
        <v>45755</v>
      </c>
      <c r="C3228" s="1" t="n">
        <v>45756</v>
      </c>
      <c r="D3228" t="inlineStr">
        <is>
          <t>VÄSTERNORRLANDS LÄN</t>
        </is>
      </c>
      <c r="E3228" t="inlineStr">
        <is>
          <t>SUNDSVALL</t>
        </is>
      </c>
      <c r="G3228" t="n">
        <v>6</v>
      </c>
      <c r="H3228" t="n">
        <v>0</v>
      </c>
      <c r="I3228" t="n">
        <v>0</v>
      </c>
      <c r="J3228" t="n">
        <v>0</v>
      </c>
      <c r="K3228" t="n">
        <v>0</v>
      </c>
      <c r="L3228" t="n">
        <v>0</v>
      </c>
      <c r="M3228" t="n">
        <v>0</v>
      </c>
      <c r="N3228" t="n">
        <v>0</v>
      </c>
      <c r="O3228" t="n">
        <v>0</v>
      </c>
      <c r="P3228" t="n">
        <v>0</v>
      </c>
      <c r="Q3228" t="n">
        <v>0</v>
      </c>
      <c r="R3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2025-04-09T17:12:48Z</dcterms:created>
  <dcterms:modified xmlns:dcterms="http://purl.org/dc/terms/" xmlns:xsi="http://www.w3.org/2001/XMLSchema-instance" xsi:type="dcterms:W3CDTF">2025-04-09T17:12:50Z</dcterms:modified>
</cp:coreProperties>
</file>