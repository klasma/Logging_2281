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45699</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45699</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45699</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45699</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45699</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45699</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45699</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45699</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45699</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45699</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45699</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45699</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45699</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45699</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45699</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45699</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45699</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45699</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45699</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45699</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45699</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45699</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45699</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45699</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45699</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45699</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45699</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45699</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45699</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45699</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45699</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45699</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45699</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45699</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45699</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45699</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45699</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45699</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45699</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45699</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45699</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45699</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45699</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45699</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45699</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45699</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45699</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45699</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45699</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45699</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45699</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45699</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45699</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45699</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45699</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45699</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45699</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45699</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45699</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45699</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45699</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45699</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45699</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45699</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45699</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45699</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45699</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45699</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45699</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45699</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45699</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45699</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45699</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45699</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45699</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45699</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45699</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45699</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45699</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26178-2024</t>
        </is>
      </c>
      <c r="B112" s="1" t="n">
        <v>45468</v>
      </c>
      <c r="C112" s="1" t="n">
        <v>45699</v>
      </c>
      <c r="D112" t="inlineStr">
        <is>
          <t>VÄSTERNORRLANDS LÄN</t>
        </is>
      </c>
      <c r="E112" t="inlineStr">
        <is>
          <t>SUNDSVALL</t>
        </is>
      </c>
      <c r="G112" t="n">
        <v>11.7</v>
      </c>
      <c r="H112" t="n">
        <v>2</v>
      </c>
      <c r="I112" t="n">
        <v>0</v>
      </c>
      <c r="J112" t="n">
        <v>1</v>
      </c>
      <c r="K112" t="n">
        <v>0</v>
      </c>
      <c r="L112" t="n">
        <v>0</v>
      </c>
      <c r="M112" t="n">
        <v>0</v>
      </c>
      <c r="N112" t="n">
        <v>0</v>
      </c>
      <c r="O112" t="n">
        <v>1</v>
      </c>
      <c r="P112" t="n">
        <v>0</v>
      </c>
      <c r="Q112" t="n">
        <v>2</v>
      </c>
      <c r="R112" s="2" t="inlineStr">
        <is>
          <t>Pilgrimsfalk
Sparvuggla</t>
        </is>
      </c>
      <c r="S112">
        <f>HYPERLINK("https://klasma.github.io/Logging_2281/artfynd/A 26178-2024 artfynd.xlsx", "A 26178-2024")</f>
        <v/>
      </c>
      <c r="T112">
        <f>HYPERLINK("https://klasma.github.io/Logging_2281/kartor/A 26178-2024 karta.png", "A 26178-2024")</f>
        <v/>
      </c>
      <c r="V112">
        <f>HYPERLINK("https://klasma.github.io/Logging_2281/klagomål/A 26178-2024 FSC-klagomål.docx", "A 26178-2024")</f>
        <v/>
      </c>
      <c r="W112">
        <f>HYPERLINK("https://klasma.github.io/Logging_2281/klagomålsmail/A 26178-2024 FSC-klagomål mail.docx", "A 26178-2024")</f>
        <v/>
      </c>
      <c r="X112">
        <f>HYPERLINK("https://klasma.github.io/Logging_2281/tillsyn/A 26178-2024 tillsynsbegäran.docx", "A 26178-2024")</f>
        <v/>
      </c>
      <c r="Y112">
        <f>HYPERLINK("https://klasma.github.io/Logging_2281/tillsynsmail/A 26178-2024 tillsynsbegäran mail.docx", "A 26178-2024")</f>
        <v/>
      </c>
      <c r="Z112">
        <f>HYPERLINK("https://klasma.github.io/Logging_2281/fåglar/A 26178-2024 prioriterade fågelarter.docx", "A 26178-2024")</f>
        <v/>
      </c>
    </row>
    <row r="113" ht="15" customHeight="1">
      <c r="A113" t="inlineStr">
        <is>
          <t>A 34766-2024</t>
        </is>
      </c>
      <c r="B113" s="1" t="n">
        <v>45526</v>
      </c>
      <c r="C113" s="1" t="n">
        <v>45699</v>
      </c>
      <c r="D113" t="inlineStr">
        <is>
          <t>VÄSTERNORRLANDS LÄN</t>
        </is>
      </c>
      <c r="E113" t="inlineStr">
        <is>
          <t>SUNDSVALL</t>
        </is>
      </c>
      <c r="F113" t="inlineStr">
        <is>
          <t>SCA</t>
        </is>
      </c>
      <c r="G113" t="n">
        <v>10</v>
      </c>
      <c r="H113" t="n">
        <v>1</v>
      </c>
      <c r="I113" t="n">
        <v>1</v>
      </c>
      <c r="J113" t="n">
        <v>0</v>
      </c>
      <c r="K113" t="n">
        <v>0</v>
      </c>
      <c r="L113" t="n">
        <v>0</v>
      </c>
      <c r="M113" t="n">
        <v>0</v>
      </c>
      <c r="N113" t="n">
        <v>0</v>
      </c>
      <c r="O113" t="n">
        <v>0</v>
      </c>
      <c r="P113" t="n">
        <v>0</v>
      </c>
      <c r="Q113" t="n">
        <v>2</v>
      </c>
      <c r="R113" s="2" t="inlineStr">
        <is>
          <t>Vårärt
Revlummer</t>
        </is>
      </c>
      <c r="S113">
        <f>HYPERLINK("https://klasma.github.io/Logging_2281/artfynd/A 34766-2024 artfynd.xlsx", "A 34766-2024")</f>
        <v/>
      </c>
      <c r="T113">
        <f>HYPERLINK("https://klasma.github.io/Logging_2281/kartor/A 34766-2024 karta.png", "A 34766-2024")</f>
        <v/>
      </c>
      <c r="V113">
        <f>HYPERLINK("https://klasma.github.io/Logging_2281/klagomål/A 34766-2024 FSC-klagomål.docx", "A 34766-2024")</f>
        <v/>
      </c>
      <c r="W113">
        <f>HYPERLINK("https://klasma.github.io/Logging_2281/klagomålsmail/A 34766-2024 FSC-klagomål mail.docx", "A 34766-2024")</f>
        <v/>
      </c>
      <c r="X113">
        <f>HYPERLINK("https://klasma.github.io/Logging_2281/tillsyn/A 34766-2024 tillsynsbegäran.docx", "A 34766-2024")</f>
        <v/>
      </c>
      <c r="Y113">
        <f>HYPERLINK("https://klasma.github.io/Logging_2281/tillsynsmail/A 34766-2024 tillsynsbegäran mail.docx", "A 34766-2024")</f>
        <v/>
      </c>
    </row>
    <row r="114" ht="15" customHeight="1">
      <c r="A114" t="inlineStr">
        <is>
          <t>A 41090-2024</t>
        </is>
      </c>
      <c r="B114" s="1" t="n">
        <v>45559</v>
      </c>
      <c r="C114" s="1" t="n">
        <v>45699</v>
      </c>
      <c r="D114" t="inlineStr">
        <is>
          <t>VÄSTERNORRLANDS LÄN</t>
        </is>
      </c>
      <c r="E114" t="inlineStr">
        <is>
          <t>SUNDSVALL</t>
        </is>
      </c>
      <c r="F114" t="inlineStr">
        <is>
          <t>SCA</t>
        </is>
      </c>
      <c r="G114" t="n">
        <v>1.7</v>
      </c>
      <c r="H114" t="n">
        <v>0</v>
      </c>
      <c r="I114" t="n">
        <v>1</v>
      </c>
      <c r="J114" t="n">
        <v>1</v>
      </c>
      <c r="K114" t="n">
        <v>0</v>
      </c>
      <c r="L114" t="n">
        <v>0</v>
      </c>
      <c r="M114" t="n">
        <v>0</v>
      </c>
      <c r="N114" t="n">
        <v>0</v>
      </c>
      <c r="O114" t="n">
        <v>1</v>
      </c>
      <c r="P114" t="n">
        <v>0</v>
      </c>
      <c r="Q114" t="n">
        <v>2</v>
      </c>
      <c r="R114" s="2" t="inlineStr">
        <is>
          <t>Lunglav
Stuplav</t>
        </is>
      </c>
      <c r="S114">
        <f>HYPERLINK("https://klasma.github.io/Logging_2281/artfynd/A 41090-2024 artfynd.xlsx", "A 41090-2024")</f>
        <v/>
      </c>
      <c r="T114">
        <f>HYPERLINK("https://klasma.github.io/Logging_2281/kartor/A 41090-2024 karta.png", "A 41090-2024")</f>
        <v/>
      </c>
      <c r="V114">
        <f>HYPERLINK("https://klasma.github.io/Logging_2281/klagomål/A 41090-2024 FSC-klagomål.docx", "A 41090-2024")</f>
        <v/>
      </c>
      <c r="W114">
        <f>HYPERLINK("https://klasma.github.io/Logging_2281/klagomålsmail/A 41090-2024 FSC-klagomål mail.docx", "A 41090-2024")</f>
        <v/>
      </c>
      <c r="X114">
        <f>HYPERLINK("https://klasma.github.io/Logging_2281/tillsyn/A 41090-2024 tillsynsbegäran.docx", "A 41090-2024")</f>
        <v/>
      </c>
      <c r="Y114">
        <f>HYPERLINK("https://klasma.github.io/Logging_2281/tillsynsmail/A 41090-2024 tillsynsbegäran mail.docx", "A 41090-2024")</f>
        <v/>
      </c>
    </row>
    <row r="115" ht="15" customHeight="1">
      <c r="A115" t="inlineStr">
        <is>
          <t>A 46087-2024</t>
        </is>
      </c>
      <c r="B115" s="1" t="n">
        <v>45581</v>
      </c>
      <c r="C115" s="1" t="n">
        <v>45699</v>
      </c>
      <c r="D115" t="inlineStr">
        <is>
          <t>VÄSTERNORRLANDS LÄN</t>
        </is>
      </c>
      <c r="E115" t="inlineStr">
        <is>
          <t>SUNDSVALL</t>
        </is>
      </c>
      <c r="F115" t="inlineStr">
        <is>
          <t>SCA</t>
        </is>
      </c>
      <c r="G115" t="n">
        <v>2.6</v>
      </c>
      <c r="H115" t="n">
        <v>1</v>
      </c>
      <c r="I115" t="n">
        <v>0</v>
      </c>
      <c r="J115" t="n">
        <v>2</v>
      </c>
      <c r="K115" t="n">
        <v>0</v>
      </c>
      <c r="L115" t="n">
        <v>0</v>
      </c>
      <c r="M115" t="n">
        <v>0</v>
      </c>
      <c r="N115" t="n">
        <v>0</v>
      </c>
      <c r="O115" t="n">
        <v>2</v>
      </c>
      <c r="P115" t="n">
        <v>0</v>
      </c>
      <c r="Q115" t="n">
        <v>2</v>
      </c>
      <c r="R115" s="2" t="inlineStr">
        <is>
          <t>Talltita
Violettgrå tagellav</t>
        </is>
      </c>
      <c r="S115">
        <f>HYPERLINK("https://klasma.github.io/Logging_2281/artfynd/A 46087-2024 artfynd.xlsx", "A 46087-2024")</f>
        <v/>
      </c>
      <c r="T115">
        <f>HYPERLINK("https://klasma.github.io/Logging_2281/kartor/A 46087-2024 karta.png", "A 46087-2024")</f>
        <v/>
      </c>
      <c r="V115">
        <f>HYPERLINK("https://klasma.github.io/Logging_2281/klagomål/A 46087-2024 FSC-klagomål.docx", "A 46087-2024")</f>
        <v/>
      </c>
      <c r="W115">
        <f>HYPERLINK("https://klasma.github.io/Logging_2281/klagomålsmail/A 46087-2024 FSC-klagomål mail.docx", "A 46087-2024")</f>
        <v/>
      </c>
      <c r="X115">
        <f>HYPERLINK("https://klasma.github.io/Logging_2281/tillsyn/A 46087-2024 tillsynsbegäran.docx", "A 46087-2024")</f>
        <v/>
      </c>
      <c r="Y115">
        <f>HYPERLINK("https://klasma.github.io/Logging_2281/tillsynsmail/A 46087-2024 tillsynsbegäran mail.docx", "A 46087-2024")</f>
        <v/>
      </c>
      <c r="Z115">
        <f>HYPERLINK("https://klasma.github.io/Logging_2281/fåglar/A 46087-2024 prioriterade fågelarter.docx", "A 46087-2024")</f>
        <v/>
      </c>
    </row>
    <row r="116" ht="15" customHeight="1">
      <c r="A116" t="inlineStr">
        <is>
          <t>A 59994-2024</t>
        </is>
      </c>
      <c r="B116" s="1" t="n">
        <v>45642</v>
      </c>
      <c r="C116" s="1" t="n">
        <v>45699</v>
      </c>
      <c r="D116" t="inlineStr">
        <is>
          <t>VÄSTERNORRLANDS LÄN</t>
        </is>
      </c>
      <c r="E116" t="inlineStr">
        <is>
          <t>SUNDSVALL</t>
        </is>
      </c>
      <c r="G116" t="n">
        <v>2.1</v>
      </c>
      <c r="H116" t="n">
        <v>0</v>
      </c>
      <c r="I116" t="n">
        <v>0</v>
      </c>
      <c r="J116" t="n">
        <v>2</v>
      </c>
      <c r="K116" t="n">
        <v>0</v>
      </c>
      <c r="L116" t="n">
        <v>0</v>
      </c>
      <c r="M116" t="n">
        <v>0</v>
      </c>
      <c r="N116" t="n">
        <v>0</v>
      </c>
      <c r="O116" t="n">
        <v>2</v>
      </c>
      <c r="P116" t="n">
        <v>0</v>
      </c>
      <c r="Q116" t="n">
        <v>2</v>
      </c>
      <c r="R116" s="2" t="inlineStr">
        <is>
          <t>Rosenticka
Ullticka</t>
        </is>
      </c>
      <c r="S116">
        <f>HYPERLINK("https://klasma.github.io/Logging_2281/artfynd/A 59994-2024 artfynd.xlsx", "A 59994-2024")</f>
        <v/>
      </c>
      <c r="T116">
        <f>HYPERLINK("https://klasma.github.io/Logging_2281/kartor/A 59994-2024 karta.png", "A 59994-2024")</f>
        <v/>
      </c>
      <c r="U116">
        <f>HYPERLINK("https://klasma.github.io/Logging_2281/knärot/A 59994-2024 karta knärot.png", "A 59994-2024")</f>
        <v/>
      </c>
      <c r="V116">
        <f>HYPERLINK("https://klasma.github.io/Logging_2281/klagomål/A 59994-2024 FSC-klagomål.docx", "A 59994-2024")</f>
        <v/>
      </c>
      <c r="W116">
        <f>HYPERLINK("https://klasma.github.io/Logging_2281/klagomålsmail/A 59994-2024 FSC-klagomål mail.docx", "A 59994-2024")</f>
        <v/>
      </c>
      <c r="X116">
        <f>HYPERLINK("https://klasma.github.io/Logging_2281/tillsyn/A 59994-2024 tillsynsbegäran.docx", "A 59994-2024")</f>
        <v/>
      </c>
      <c r="Y116">
        <f>HYPERLINK("https://klasma.github.io/Logging_2281/tillsynsmail/A 59994-2024 tillsynsbegäran mail.docx", "A 59994-2024")</f>
        <v/>
      </c>
    </row>
    <row r="117" ht="15" customHeight="1">
      <c r="A117" t="inlineStr">
        <is>
          <t>A 166-2025</t>
        </is>
      </c>
      <c r="B117" s="1" t="n">
        <v>45649</v>
      </c>
      <c r="C117" s="1" t="n">
        <v>45699</v>
      </c>
      <c r="D117" t="inlineStr">
        <is>
          <t>VÄSTERNORRLANDS LÄN</t>
        </is>
      </c>
      <c r="E117" t="inlineStr">
        <is>
          <t>SUNDSVALL</t>
        </is>
      </c>
      <c r="G117" t="n">
        <v>17.1</v>
      </c>
      <c r="H117" t="n">
        <v>1</v>
      </c>
      <c r="I117" t="n">
        <v>1</v>
      </c>
      <c r="J117" t="n">
        <v>0</v>
      </c>
      <c r="K117" t="n">
        <v>0</v>
      </c>
      <c r="L117" t="n">
        <v>0</v>
      </c>
      <c r="M117" t="n">
        <v>0</v>
      </c>
      <c r="N117" t="n">
        <v>0</v>
      </c>
      <c r="O117" t="n">
        <v>0</v>
      </c>
      <c r="P117" t="n">
        <v>0</v>
      </c>
      <c r="Q117" t="n">
        <v>2</v>
      </c>
      <c r="R117" s="2" t="inlineStr">
        <is>
          <t>Bårdlav
Revlummer</t>
        </is>
      </c>
      <c r="S117">
        <f>HYPERLINK("https://klasma.github.io/Logging_2281/artfynd/A 166-2025 artfynd.xlsx", "A 166-2025")</f>
        <v/>
      </c>
      <c r="T117">
        <f>HYPERLINK("https://klasma.github.io/Logging_2281/kartor/A 166-2025 karta.png", "A 166-2025")</f>
        <v/>
      </c>
      <c r="V117">
        <f>HYPERLINK("https://klasma.github.io/Logging_2281/klagomål/A 166-2025 FSC-klagomål.docx", "A 166-2025")</f>
        <v/>
      </c>
      <c r="W117">
        <f>HYPERLINK("https://klasma.github.io/Logging_2281/klagomålsmail/A 166-2025 FSC-klagomål mail.docx", "A 166-2025")</f>
        <v/>
      </c>
      <c r="X117">
        <f>HYPERLINK("https://klasma.github.io/Logging_2281/tillsyn/A 166-2025 tillsynsbegäran.docx", "A 166-2025")</f>
        <v/>
      </c>
      <c r="Y117">
        <f>HYPERLINK("https://klasma.github.io/Logging_2281/tillsynsmail/A 166-2025 tillsynsbegäran mail.docx", "A 166-2025")</f>
        <v/>
      </c>
    </row>
    <row r="118" ht="15" customHeight="1">
      <c r="A118" t="inlineStr">
        <is>
          <t>A 27216-2019</t>
        </is>
      </c>
      <c r="B118" s="1" t="n">
        <v>43614</v>
      </c>
      <c r="C118" s="1" t="n">
        <v>45699</v>
      </c>
      <c r="D118" t="inlineStr">
        <is>
          <t>VÄSTERNORRLANDS LÄN</t>
        </is>
      </c>
      <c r="E118" t="inlineStr">
        <is>
          <t>SUNDSVALL</t>
        </is>
      </c>
      <c r="G118" t="n">
        <v>3.7</v>
      </c>
      <c r="H118" t="n">
        <v>1</v>
      </c>
      <c r="I118" t="n">
        <v>0</v>
      </c>
      <c r="J118" t="n">
        <v>0</v>
      </c>
      <c r="K118" t="n">
        <v>0</v>
      </c>
      <c r="L118" t="n">
        <v>0</v>
      </c>
      <c r="M118" t="n">
        <v>0</v>
      </c>
      <c r="N118" t="n">
        <v>0</v>
      </c>
      <c r="O118" t="n">
        <v>0</v>
      </c>
      <c r="P118" t="n">
        <v>0</v>
      </c>
      <c r="Q118" t="n">
        <v>1</v>
      </c>
      <c r="R118" s="2" t="inlineStr">
        <is>
          <t>Blåsippa</t>
        </is>
      </c>
      <c r="S118">
        <f>HYPERLINK("https://klasma.github.io/Logging_2281/artfynd/A 27216-2019 artfynd.xlsx", "A 27216-2019")</f>
        <v/>
      </c>
      <c r="T118">
        <f>HYPERLINK("https://klasma.github.io/Logging_2281/kartor/A 27216-2019 karta.png", "A 27216-2019")</f>
        <v/>
      </c>
      <c r="V118">
        <f>HYPERLINK("https://klasma.github.io/Logging_2281/klagomål/A 27216-2019 FSC-klagomål.docx", "A 27216-2019")</f>
        <v/>
      </c>
      <c r="W118">
        <f>HYPERLINK("https://klasma.github.io/Logging_2281/klagomålsmail/A 27216-2019 FSC-klagomål mail.docx", "A 27216-2019")</f>
        <v/>
      </c>
      <c r="X118">
        <f>HYPERLINK("https://klasma.github.io/Logging_2281/tillsyn/A 27216-2019 tillsynsbegäran.docx", "A 27216-2019")</f>
        <v/>
      </c>
      <c r="Y118">
        <f>HYPERLINK("https://klasma.github.io/Logging_2281/tillsynsmail/A 27216-2019 tillsynsbegäran mail.docx", "A 27216-2019")</f>
        <v/>
      </c>
    </row>
    <row r="119" ht="15" customHeight="1">
      <c r="A119" t="inlineStr">
        <is>
          <t>A 44607-2019</t>
        </is>
      </c>
      <c r="B119" s="1" t="n">
        <v>43711</v>
      </c>
      <c r="C119" s="1" t="n">
        <v>45699</v>
      </c>
      <c r="D119" t="inlineStr">
        <is>
          <t>VÄSTERNORRLANDS LÄN</t>
        </is>
      </c>
      <c r="E119" t="inlineStr">
        <is>
          <t>SUNDSVALL</t>
        </is>
      </c>
      <c r="G119" t="n">
        <v>1.6</v>
      </c>
      <c r="H119" t="n">
        <v>1</v>
      </c>
      <c r="I119" t="n">
        <v>0</v>
      </c>
      <c r="J119" t="n">
        <v>1</v>
      </c>
      <c r="K119" t="n">
        <v>0</v>
      </c>
      <c r="L119" t="n">
        <v>0</v>
      </c>
      <c r="M119" t="n">
        <v>0</v>
      </c>
      <c r="N119" t="n">
        <v>0</v>
      </c>
      <c r="O119" t="n">
        <v>1</v>
      </c>
      <c r="P119" t="n">
        <v>0</v>
      </c>
      <c r="Q119" t="n">
        <v>1</v>
      </c>
      <c r="R119" s="2" t="inlineStr">
        <is>
          <t>Järpe</t>
        </is>
      </c>
      <c r="S119">
        <f>HYPERLINK("https://klasma.github.io/Logging_2281/artfynd/A 44607-2019 artfynd.xlsx", "A 44607-2019")</f>
        <v/>
      </c>
      <c r="T119">
        <f>HYPERLINK("https://klasma.github.io/Logging_2281/kartor/A 44607-2019 karta.png", "A 44607-2019")</f>
        <v/>
      </c>
      <c r="V119">
        <f>HYPERLINK("https://klasma.github.io/Logging_2281/klagomål/A 44607-2019 FSC-klagomål.docx", "A 44607-2019")</f>
        <v/>
      </c>
      <c r="W119">
        <f>HYPERLINK("https://klasma.github.io/Logging_2281/klagomålsmail/A 44607-2019 FSC-klagomål mail.docx", "A 44607-2019")</f>
        <v/>
      </c>
      <c r="X119">
        <f>HYPERLINK("https://klasma.github.io/Logging_2281/tillsyn/A 44607-2019 tillsynsbegäran.docx", "A 44607-2019")</f>
        <v/>
      </c>
      <c r="Y119">
        <f>HYPERLINK("https://klasma.github.io/Logging_2281/tillsynsmail/A 44607-2019 tillsynsbegäran mail.docx", "A 44607-2019")</f>
        <v/>
      </c>
      <c r="Z119">
        <f>HYPERLINK("https://klasma.github.io/Logging_2281/fåglar/A 44607-2019 prioriterade fågelarter.docx", "A 44607-2019")</f>
        <v/>
      </c>
    </row>
    <row r="120" ht="15" customHeight="1">
      <c r="A120" t="inlineStr">
        <is>
          <t>A 44609-2019</t>
        </is>
      </c>
      <c r="B120" s="1" t="n">
        <v>43711</v>
      </c>
      <c r="C120" s="1" t="n">
        <v>45699</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45699</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45699</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45699</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45699</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45699</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45699</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45699</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45699</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45699</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45699</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45699</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45699</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45699</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45699</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45699</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45699</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45699</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45699</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45699</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45699</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45699</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45699</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45699</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45699</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45699</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45699</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45699</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45699</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45699</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45699</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45699</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45699</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45699</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45699</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45699</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45699</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45699</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45699</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45699</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45699</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45699</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45699</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45699</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45699</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45699</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45699</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45699</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45699</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45699</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45699</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45699</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45699</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45699</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45699</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45699</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45699</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45699</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45699</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45699</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45699</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45699</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45699</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45699</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45699</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45699</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45699</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45699</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45699</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45699</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45699</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45699</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45699</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45699</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45699</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45699</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4878-2025</t>
        </is>
      </c>
      <c r="B196" s="1" t="n">
        <v>45688</v>
      </c>
      <c r="C196" s="1" t="n">
        <v>45699</v>
      </c>
      <c r="D196" t="inlineStr">
        <is>
          <t>VÄSTERNORRLANDS LÄN</t>
        </is>
      </c>
      <c r="E196" t="inlineStr">
        <is>
          <t>SUNDSVALL</t>
        </is>
      </c>
      <c r="F196" t="inlineStr">
        <is>
          <t>SCA</t>
        </is>
      </c>
      <c r="G196" t="n">
        <v>4.2</v>
      </c>
      <c r="H196" t="n">
        <v>1</v>
      </c>
      <c r="I196" t="n">
        <v>0</v>
      </c>
      <c r="J196" t="n">
        <v>0</v>
      </c>
      <c r="K196" t="n">
        <v>1</v>
      </c>
      <c r="L196" t="n">
        <v>0</v>
      </c>
      <c r="M196" t="n">
        <v>0</v>
      </c>
      <c r="N196" t="n">
        <v>0</v>
      </c>
      <c r="O196" t="n">
        <v>1</v>
      </c>
      <c r="P196" t="n">
        <v>1</v>
      </c>
      <c r="Q196" t="n">
        <v>1</v>
      </c>
      <c r="R196" s="2" t="inlineStr">
        <is>
          <t>Knärot</t>
        </is>
      </c>
      <c r="S196">
        <f>HYPERLINK("https://klasma.github.io/Logging_2281/artfynd/A 4878-2025 artfynd.xlsx", "A 4878-2025")</f>
        <v/>
      </c>
      <c r="T196">
        <f>HYPERLINK("https://klasma.github.io/Logging_2281/kartor/A 4878-2025 karta.png", "A 4878-2025")</f>
        <v/>
      </c>
      <c r="U196">
        <f>HYPERLINK("https://klasma.github.io/Logging_2281/knärot/A 4878-2025 karta knärot.png", "A 4878-2025")</f>
        <v/>
      </c>
      <c r="V196">
        <f>HYPERLINK("https://klasma.github.io/Logging_2281/klagomål/A 4878-2025 FSC-klagomål.docx", "A 4878-2025")</f>
        <v/>
      </c>
      <c r="W196">
        <f>HYPERLINK("https://klasma.github.io/Logging_2281/klagomålsmail/A 4878-2025 FSC-klagomål mail.docx", "A 4878-2025")</f>
        <v/>
      </c>
      <c r="X196">
        <f>HYPERLINK("https://klasma.github.io/Logging_2281/tillsyn/A 4878-2025 tillsynsbegäran.docx", "A 4878-2025")</f>
        <v/>
      </c>
      <c r="Y196">
        <f>HYPERLINK("https://klasma.github.io/Logging_2281/tillsynsmail/A 4878-2025 tillsynsbegäran mail.docx", "A 4878-2025")</f>
        <v/>
      </c>
    </row>
    <row r="197" ht="15" customHeight="1">
      <c r="A197" t="inlineStr">
        <is>
          <t>A 4896-2025</t>
        </is>
      </c>
      <c r="B197" s="1" t="n">
        <v>45688</v>
      </c>
      <c r="C197" s="1" t="n">
        <v>45699</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4856-2025</t>
        </is>
      </c>
      <c r="B198" s="1" t="n">
        <v>45688</v>
      </c>
      <c r="C198" s="1" t="n">
        <v>45699</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45699</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45699</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45699</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45699</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45699</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45699</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45699</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45699</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45699</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45699</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45699</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45699</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45699</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45699</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45699</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45699</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45699</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45699</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45699</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45699</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45699</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45699</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45699</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45699</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45699</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45699</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45699</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45699</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45699</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45699</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45699</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45699</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45699</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45699</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45699</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45699</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45699</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45699</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45699</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45699</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45699</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45699</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45699</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45699</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45699</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45699</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45699</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45699</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45699</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45699</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45699</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45699</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45699</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45699</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45699</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45699</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45699</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45699</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45699</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45699</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45699</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45699</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45699</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45699</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45699</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45699</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45699</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45699</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45699</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45699</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45699</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45699</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45699</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45699</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45699</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45699</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45699</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45699</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45699</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45699</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45699</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45699</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45699</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45699</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45699</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45699</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45699</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45699</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45699</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45699</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45699</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45699</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45699</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45699</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45699</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45699</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45699</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45699</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45699</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45699</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45699</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45699</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45699</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45699</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45699</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45699</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45699</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45699</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45699</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45699</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45699</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45699</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45699</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45699</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45699</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45699</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45699</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45699</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45699</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45699</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45699</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45699</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45699</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45699</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45699</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45699</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45699</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45699</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45699</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45699</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45699</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45699</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45699</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45699</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45699</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45699</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45699</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45699</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45699</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45699</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45699</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45699</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45699</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45699</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45699</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45699</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45699</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45699</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45699</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45699</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45699</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45699</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45699</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45699</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45699</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45699</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45699</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45699</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45699</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45699</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45699</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45699</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45699</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45699</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45699</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45699</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45699</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45699</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45699</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45699</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45699</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45699</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45699</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45699</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45699</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45699</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45699</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45699</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45699</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45699</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45699</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45699</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45699</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45699</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45699</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45699</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45699</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45699</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45699</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45699</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45699</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45699</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45699</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45699</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45699</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45699</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45699</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45699</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45699</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45699</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45699</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45699</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45699</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45699</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45699</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45699</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45699</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45699</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45699</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45699</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45699</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45699</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45699</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45699</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45699</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45699</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45699</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45699</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45699</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45699</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45699</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45699</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45699</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45699</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45699</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45699</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45699</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45699</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45699</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45699</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45699</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45699</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45699</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45699</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45699</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45699</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45699</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45699</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45699</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45699</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45699</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45699</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45699</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45699</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45699</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45699</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45699</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45699</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45699</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45699</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45699</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45699</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45699</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45699</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45699</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45699</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45699</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45699</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45699</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45699</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45699</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45699</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45699</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45699</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45699</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45699</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45699</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45699</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45699</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45699</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45699</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45699</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45699</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45699</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45699</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45699</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45699</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45699</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45699</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45699</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45699</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45699</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45699</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45699</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45699</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45699</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45699</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45699</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45699</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45699</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45699</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45699</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45699</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45699</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45699</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45699</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45699</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45699</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45699</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45699</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45699</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45699</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45699</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45699</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45699</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45699</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45699</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45699</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45699</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45699</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45699</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45699</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45699</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45699</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45699</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45699</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45699</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45699</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45699</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45699</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45699</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45699</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45699</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45699</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45699</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45699</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45699</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45699</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45699</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45699</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45699</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45699</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45699</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45699</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45699</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45699</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45699</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45699</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45699</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45699</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45699</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45699</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45699</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45699</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45699</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45699</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45699</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45699</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45699</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45699</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45699</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45699</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45699</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45699</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45699</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45699</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45699</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45699</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45699</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45699</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45699</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45699</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45699</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45699</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45699</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45699</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45699</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45699</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45699</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45699</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45699</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45699</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45699</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45699</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45699</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45699</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45699</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45699</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45699</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45699</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45699</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45699</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45699</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45699</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45699</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45699</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45699</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45699</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45699</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45699</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45699</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45699</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45699</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45699</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45699</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45699</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45699</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45699</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45699</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45699</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45699</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45699</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45699</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45699</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45699</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45699</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45699</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45699</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45699</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45699</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45699</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45699</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45699</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45699</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45699</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45699</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45699</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45699</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45699</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45699</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45699</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45699</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45699</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45699</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45699</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45699</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45699</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45699</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45699</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45699</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45699</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45699</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45699</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45699</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45699</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45699</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45699</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45699</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45699</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45699</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45699</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45699</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45699</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45699</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45699</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45699</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45699</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45699</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45699</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45699</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45699</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45699</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45699</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45699</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45699</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45699</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45699</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45699</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45699</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45699</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45699</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45699</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45699</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45699</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45699</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45699</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45699</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45699</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45699</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45699</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45699</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45699</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45699</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45699</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45699</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45699</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45699</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45699</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45699</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45699</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45699</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45699</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45699</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45699</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45699</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45699</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45699</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45699</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45699</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45699</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45699</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45699</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45699</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45699</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45699</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45699</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45699</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45699</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45699</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45699</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45699</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45699</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45699</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45699</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45699</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45699</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45699</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45699</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45699</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45699</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45699</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45699</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45699</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45699</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45699</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45699</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45699</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45699</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45699</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45699</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45699</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45699</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45699</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45699</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45699</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45699</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45699</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45699</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45699</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45699</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45699</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45699</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45699</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45699</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45699</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45699</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45699</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45699</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45699</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45699</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45699</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45699</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45699</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45699</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45699</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45699</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45699</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45699</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45699</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45699</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45699</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45699</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45699</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45699</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45699</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45699</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45699</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45699</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45699</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45699</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45699</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45699</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45699</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45699</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45699</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45699</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45699</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45699</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45699</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45699</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45699</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45699</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45699</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45699</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45699</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45699</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45699</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45699</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45699</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45699</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45699</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45699</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45699</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45699</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45699</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45699</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45699</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45699</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45699</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45699</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45699</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45699</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45699</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45699</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45699</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45699</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45699</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45699</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45699</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45699</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45699</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45699</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45699</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45699</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45699</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45699</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45699</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45699</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45699</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45699</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45699</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45699</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45699</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45699</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45699</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45699</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45699</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45699</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45699</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45699</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45699</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45699</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45699</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45699</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45699</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45699</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45699</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45699</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45699</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45699</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45699</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45699</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45699</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45699</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45699</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45699</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45699</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45699</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45699</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45699</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45699</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45699</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45699</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45699</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45699</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45699</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45699</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45699</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45699</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45699</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45699</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45699</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45699</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45699</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45699</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45699</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45699</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45699</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45699</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45699</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45699</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45699</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45699</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45699</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45699</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45699</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45699</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45699</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45699</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45699</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45699</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45699</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45699</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45699</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45699</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45699</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45699</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45699</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45699</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45699</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45699</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45699</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45699</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45699</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45699</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45699</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45699</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45699</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45699</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45699</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45699</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45699</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45699</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45699</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45699</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45699</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45699</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45699</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45699</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45699</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45699</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45699</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45699</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45699</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45699</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45699</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45699</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45699</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45699</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45699</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45699</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45699</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45699</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45699</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45699</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45699</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45699</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45699</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45699</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45699</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45699</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45699</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45699</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45699</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45699</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45699</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45699</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45699</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45699</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45699</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45699</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45699</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45699</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45699</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45699</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45699</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45699</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45699</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45699</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45699</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45699</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45699</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45699</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45699</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45699</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45699</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45699</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45699</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45699</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45699</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45699</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45699</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45699</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45699</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45699</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45699</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45699</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45699</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45699</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45699</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45699</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45699</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45699</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45699</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45699</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45699</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45699</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45699</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45699</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45699</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45699</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45699</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45699</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45699</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45699</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45699</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45699</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45699</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45699</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45699</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45699</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45699</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45699</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45699</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45699</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45699</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45699</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45699</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45699</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45699</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45699</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45699</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45699</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45699</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45699</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45699</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45699</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45699</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45699</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45699</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45699</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45699</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45699</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45699</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45699</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45699</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45699</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45699</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45699</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45699</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45699</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45699</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45699</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45699</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45699</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45699</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45699</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45699</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45699</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45699</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45699</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45699</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45699</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45699</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45699</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45699</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45699</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45699</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45699</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45699</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45699</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45699</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45699</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45699</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45699</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45699</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45699</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45699</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45699</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45699</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45699</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45699</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45699</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45699</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45699</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45699</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45699</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45699</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45699</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45699</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45699</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45699</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45699</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45699</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45699</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45699</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45699</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45699</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45699</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45699</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45699</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45699</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45699</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45699</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45699</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45699</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45699</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45699</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45699</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45699</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45699</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45699</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45699</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45699</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45699</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45699</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45699</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45699</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45699</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45699</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45699</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45699</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45699</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45699</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45699</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45699</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45699</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45699</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45699</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45699</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45699</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45699</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45699</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45699</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45699</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45699</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45699</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45699</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45699</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45699</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45699</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45699</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45699</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45699</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45699</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45699</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45699</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45699</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45699</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45699</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45699</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45699</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45699</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45699</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45699</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45699</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45699</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45699</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45699</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45699</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45699</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45699</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45699</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45699</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45699</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45699</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45699</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45699</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45699</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45699</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45699</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45699</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45699</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45699</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45699</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45699</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45699</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45699</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45699</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45699</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45699</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45699</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45699</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45699</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45699</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45699</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45699</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45699</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45699</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45699</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45699</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45699</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45699</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45699</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45699</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45699</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45699</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45699</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45699</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45699</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45699</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45699</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45699</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45699</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45699</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45699</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45699</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45699</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45699</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45699</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45699</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45699</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45699</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45699</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45699</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45699</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45699</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45699</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45699</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45699</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45699</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45699</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45699</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45699</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45699</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45699</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45699</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45699</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45699</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45699</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45699</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45699</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45699</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45699</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45699</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45699</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45699</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45699</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45699</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45699</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45699</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45699</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45699</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45699</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45699</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45699</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45699</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45699</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45699</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45699</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45699</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45699</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45699</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45699</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45699</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45699</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45699</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45699</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45699</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45699</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45699</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45699</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45699</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45699</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45699</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45699</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45699</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45699</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45699</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45699</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45699</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45699</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45699</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45699</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45699</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45699</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45699</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45699</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45699</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45699</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45699</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45699</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45699</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45699</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45699</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45699</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45699</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45699</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45699</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45699</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45699</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45699</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45699</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45699</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45699</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45699</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45699</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45699</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45699</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45699</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45699</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45699</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45699</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45699</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45699</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45699</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45699</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45699</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45699</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45699</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45699</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45699</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45699</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45699</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45699</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45699</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45699</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45699</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45699</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45699</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45699</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45699</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45699</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45699</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45699</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45699</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45699</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45699</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45699</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45699</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45699</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45699</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45699</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45699</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45699</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45699</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45699</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45699</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45699</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45699</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45699</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45699</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45699</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45699</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45699</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45699</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45699</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45699</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45699</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45699</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45699</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45699</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45699</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45699</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45699</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45699</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45699</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45699</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45699</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45699</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45699</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45699</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45699</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45699</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45699</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45699</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45699</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45699</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45699</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45699</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45699</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45699</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45699</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45699</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45699</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45699</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45699</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45699</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45699</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45699</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45699</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45699</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45699</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45699</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45699</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45699</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45699</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45699</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45699</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45699</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45699</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45699</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45699</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45699</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45699</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45699</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45699</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45699</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45699</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45699</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45699</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45699</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45699</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45699</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45699</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45699</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45699</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45699</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45699</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45699</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45699</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45699</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45699</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45699</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45699</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45699</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45699</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45699</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45699</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45699</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45699</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45699</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45699</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45699</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45699</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45699</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45699</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45699</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45699</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45699</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45699</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45699</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45699</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45699</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45699</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45699</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45699</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45699</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45699</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45699</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45699</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45699</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45699</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45699</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45699</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45699</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45699</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45699</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45699</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45699</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45699</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45699</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45699</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45699</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45699</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45699</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45699</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45699</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45699</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45699</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45699</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45699</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45699</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45699</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45699</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45699</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45699</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45699</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45699</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45699</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45699</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45699</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45699</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45699</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45699</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45699</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45699</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45699</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45699</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45699</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45699</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45699</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45699</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45699</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45699</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45699</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45699</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45699</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45699</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45699</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45699</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45699</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45699</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45699</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45699</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45699</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45699</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45699</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45699</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45699</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45699</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45699</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45699</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45699</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45699</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45699</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45699</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45699</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45699</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45699</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45699</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45699</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45699</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45699</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45699</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45699</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45699</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45699</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45699</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45699</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45699</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45699</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45699</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45699</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45699</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45699</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45699</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45699</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45699</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45699</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45699</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45699</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45699</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45699</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45699</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45699</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45699</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45699</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45699</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45699</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45699</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45699</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45699</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45699</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45699</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45699</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45699</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45699</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45699</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45699</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45699</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45699</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45699</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45699</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45699</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45699</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45699</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45699</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45699</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45699</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45699</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45699</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45699</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45699</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45699</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45699</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45699</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45699</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45699</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45699</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45699</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45699</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45699</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45699</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45699</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45699</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45699</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45699</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45699</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45699</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45699</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45699</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45699</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45699</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45699</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45699</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45699</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45699</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45699</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45699</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45699</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45699</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45699</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45699</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45699</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45699</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45699</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45699</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45699</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45699</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45699</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45699</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45699</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45699</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45699</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45699</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45699</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45699</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45699</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45699</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45699</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45699</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45699</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45699</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45699</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45699</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45699</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45699</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45699</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45699</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45699</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45699</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45699</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45699</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45699</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45699</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45699</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45699</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45699</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45699</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45699</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45699</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45699</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45699</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45699</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45699</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45699</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45699</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45699</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45699</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45699</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45699</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45699</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45699</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45699</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45699</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45699</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45699</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45699</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45699</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45699</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45699</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45699</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45699</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45699</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45699</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45699</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45699</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45699</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45699</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45699</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45699</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45699</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45699</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45699</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45699</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45699</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45699</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45699</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45699</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45699</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45699</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45699</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45699</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45699</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45699</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45699</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45699</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45699</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45699</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45699</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45699</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45699</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45699</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45699</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45699</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45699</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45699</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45699</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45699</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45699</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45699</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45699</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45699</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45699</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45699</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45699</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45699</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45699</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45699</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45699</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45699</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45699</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45699</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45699</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45699</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45699</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45699</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45699</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45699</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45699</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45699</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45699</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45699</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45699</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45699</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45699</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45699</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45699</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45699</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45699</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45699</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45699</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45699</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45699</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45699</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45699</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45699</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45699</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45699</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45699</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45699</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45699</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45699</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45699</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45699</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45699</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45699</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45699</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45699</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45699</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45699</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45699</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45699</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45699</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45699</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45699</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45699</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45699</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45699</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45699</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45699</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45699</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45699</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45699</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45699</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45699</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45699</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45699</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45699</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45699</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45699</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45699</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45699</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45699</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45699</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45699</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45699</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45699</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45699</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45699</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45699</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45699</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45699</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45699</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45699</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45699</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45699</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45699</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45699</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45699</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45699</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45699</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45699</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45699</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45699</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45699</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45699</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45699</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45699</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45699</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45699</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45699</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45699</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45699</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45699</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45699</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45699</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45699</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45699</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45699</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45699</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45699</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45699</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45699</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45699</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45699</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45699</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45699</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45699</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45699</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45699</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45699</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45699</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45699</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45699</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45699</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45699</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45699</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45699</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45699</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45699</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45699</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45699</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45699</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45699</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45699</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45699</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45699</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45699</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45699</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45699</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45699</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45699</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45699</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45699</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45699</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45699</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45699</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45699</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45699</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45699</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45699</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45699</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45699</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45699</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45699</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45699</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45699</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45699</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45699</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45699</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45699</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45699</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45699</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45699</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45699</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45699</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45699</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45699</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45699</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45699</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45699</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45699</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45699</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45699</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45699</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45699</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45699</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45699</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45699</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45699</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45699</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45699</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45699</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45699</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45699</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45699</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45699</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45699</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45699</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45699</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45699</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45699</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45699</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45699</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45699</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45699</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45699</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45699</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45699</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45699</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45699</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45699</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45699</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45699</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45699</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45699</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45699</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45699</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45699</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45699</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45699</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45699</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45699</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45699</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45699</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45699</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45699</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45699</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45699</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45699</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45699</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45699</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45699</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45699</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45699</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45699</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45699</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45699</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45699</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45699</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45699</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45699</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45699</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45699</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45699</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45699</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45699</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45699</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45699</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45699</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45699</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45699</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45699</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45699</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45699</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45699</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45699</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45699</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45699</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45699</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45699</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45699</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45699</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45699</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45699</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45699</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45699</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45699</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45699</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45699</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45699</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45699</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45699</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45699</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45699</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45699</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45699</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45699</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45699</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45699</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45699</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45699</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45699</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45699</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45699</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45699</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45699</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45699</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45699</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45699</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45699</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45699</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45699</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45699</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45699</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45699</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45699</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45699</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45699</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45699</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45699</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45699</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45699</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45699</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45699</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45699</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45699</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45699</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45699</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45699</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45699</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45699</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45699</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45699</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45699</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45699</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45699</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45699</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45699</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45699</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45699</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45699</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45699</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45699</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45699</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45699</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45699</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45699</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45699</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45699</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45699</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45699</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45699</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45699</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45699</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45699</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45699</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45699</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45699</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45699</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45699</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45699</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45699</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45699</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45699</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45699</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45699</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45699</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45699</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45699</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45699</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45699</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45699</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45699</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45699</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45699</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45699</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45699</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45699</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45699</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45699</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45699</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45699</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45699</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45699</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45699</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45699</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45699</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45699</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45699</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45699</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45699</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45699</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45699</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45699</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45699</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45699</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45699</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45699</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45699</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45699</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45699</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45699</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45699</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45699</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45699</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45699</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45699</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45699</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45699</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45699</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45699</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45699</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45699</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45699</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45699</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45699</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45699</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45699</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45699</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45699</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45699</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45699</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45699</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45699</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45699</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45699</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45699</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45699</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45699</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45699</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45699</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45699</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45699</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45699</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45699</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45699</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45699</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45699</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45699</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45699</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45699</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45699</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45699</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45699</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45699</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45699</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45699</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45699</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45699</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45699</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45699</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45699</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45699</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45699</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45699</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45699</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45699</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45699</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45699</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45699</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45699</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45699</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45699</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45699</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45699</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45699</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45699</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45699</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45699</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45699</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45699</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45699</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45699</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45699</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45699</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45699</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45699</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45699</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45699</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45699</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45699</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45699</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45699</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45699</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45699</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45699</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45699</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45699</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45699</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45699</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45699</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45699</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45699</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45699</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45699</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45699</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45699</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45699</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45699</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45699</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45699</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45699</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45699</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45699</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45699</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45699</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45699</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45699</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45699</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45699</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45699</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45699</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45699</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45699</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45699</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45699</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45699</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45699</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45699</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45699</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45699</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45699</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45699</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45699</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45699</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45699</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45699</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45699</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45699</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45699</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45699</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45699</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45699</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45699</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45699</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45699</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45699</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45699</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45699</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45699</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45699</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45699</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45699</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45699</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45699</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45699</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45699</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45699</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45699</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45699</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45699</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45699</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45699</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45699</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45699</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45699</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45699</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45699</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45699</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45699</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45699</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45699</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45699</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45699</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45699</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45699</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45699</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45699</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45699</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45699</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45699</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45699</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45699</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45699</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45699</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45699</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45699</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45699</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45699</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45699</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45699</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45699</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45699</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45699</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45699</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45699</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45699</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45699</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45699</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45699</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45699</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45699</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45699</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45699</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45699</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45699</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45699</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45699</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45699</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45699</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45699</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45699</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45699</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45699</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45699</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45699</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45699</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45699</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45699</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45699</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45699</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45699</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45699</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45699</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45699</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45699</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45699</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45699</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45699</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45699</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45699</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45699</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45699</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45699</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45699</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45699</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45699</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45699</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45699</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45699</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45699</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45699</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45699</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45699</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45699</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45699</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45699</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45699</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45699</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45699</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45699</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45699</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45699</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45699</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45699</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45699</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45699</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45699</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45699</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45699</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45699</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45699</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45699</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45699</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45699</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45699</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45699</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45699</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45699</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45699</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45699</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45699</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45699</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45699</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45699</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45699</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45699</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45699</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45699</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45699</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45699</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45699</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45699</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45699</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45699</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45699</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45699</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45699</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45699</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45699</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45699</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45699</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45699</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45699</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45699</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45699</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45699</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45699</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45699</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45699</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45699</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45699</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45699</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45699</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45699</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45699</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45699</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45699</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45699</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45699</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45699</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45699</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45699</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45699</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45699</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45699</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45699</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45699</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45699</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45699</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45699</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45699</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45699</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45699</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45699</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45699</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45699</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45699</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45699</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45699</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45699</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45699</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45699</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45699</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45699</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45699</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45699</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45699</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45699</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45699</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45699</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45699</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45699</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45699</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45699</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45699</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45699</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45699</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45699</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45699</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45699</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45699</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45699</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45699</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45699</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45699</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45699</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45699</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45699</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45699</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45699</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45699</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45699</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45699</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45699</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45699</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45699</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45699</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45699</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45699</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45699</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45699</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45699</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45699</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45699</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45699</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45699</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45699</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45699</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45699</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45699</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45699</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45699</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45699</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45699</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45699</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45699</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45699</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45699</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45699</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45699</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45699</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45699</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45699</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45699</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45699</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45699</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45699</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45699</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45699</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45699</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45699</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45699</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45699</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45699</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45699</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45699</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45699</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45699</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45699</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45699</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45699</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45699</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45699</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45699</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45699</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45699</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45699</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45699</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45699</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45699</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45699</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45699</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45699</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45699</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45699</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45699</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45699</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45699</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45699</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45699</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45699</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45699</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45699</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45699</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45699</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45699</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45699</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45699</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45699</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45699</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45699</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45699</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45699</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45699</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45699</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45699</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45699</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45699</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45699</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45699</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45699</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45699</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45699</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45699</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45699</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45699</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45699</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45699</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45699</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45699</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45699</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45699</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45699</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45699</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45699</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45699</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45699</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45699</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45699</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45699</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45699</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45699</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45699</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45699</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45699</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45699</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45699</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45699</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45699</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45699</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45699</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45699</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45699</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45699</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45699</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45699</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45699</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45699</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45699</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45699</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45699</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45699</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45699</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45699</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45699</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45699</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45699</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45699</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45699</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45699</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45699</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45699</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45699</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45699</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45699</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45699</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45699</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45699</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45699</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45699</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45699</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45699</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45699</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45699</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45699</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45699</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45699</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45699</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45699</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45699</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45699</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45699</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45699</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45699</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45699</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45699</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45699</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45699</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45699</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45699</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45699</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45699</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45699</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45699</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45699</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45699</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45699</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45699</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45699</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45699</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45699</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45699</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45699</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45699</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45699</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45699</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45699</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45699</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45699</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45699</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45699</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45699</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45699</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45699</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45699</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45699</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45699</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45699</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45699</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45699</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45699</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45699</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45699</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45699</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45699</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45699</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45699</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45699</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45699</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45699</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45699</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45699</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45699</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45699</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45699</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45699</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45699</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45699</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45699</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45699</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45699</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45699</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45699</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45699</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45699</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45699</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45699</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45699</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45699</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45699</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45699</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45699</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45699</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45699</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45699</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45699</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45699</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45699</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45699</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45699</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45699</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45699</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45699</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45699</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45699</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45699</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45699</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45699</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45699</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45699</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45699</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45699</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45699</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45699</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45699</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45699</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45699</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45699</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45699</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45699</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45699</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45699</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45699</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45699</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45699</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45699</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45699</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45699</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45699</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45699</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45699</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45699</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45699</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45699</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45699</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45699</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45699</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45699</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45699</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45699</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45699</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45699</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45699</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45699</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45699</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45699</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45699</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45699</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45699</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45699</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45699</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45699</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45699</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45699</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45699</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45699</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45699</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45699</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45699</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45699</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45699</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45699</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45699</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45699</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45699</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45699</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45699</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45699</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45699</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45699</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45699</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45699</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45699</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45699</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45699</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45699</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45699</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45699</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45699</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45699</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45699</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45699</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45699</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45699</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45699</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45699</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45699</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45699</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45699</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45699</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45699</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45699</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45699</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45699</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45699</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45699</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45699</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45699</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45699</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45699</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45699</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45699</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45699</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45699</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45699</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45699</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45699</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45699</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45699</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45699</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45699</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45699</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45699</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45699</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45699</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45699</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45699</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45699</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45699</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45699</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45699</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45699</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45699</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45699</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45699</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45699</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45699</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45699</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45699</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45699</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45699</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45699</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45699</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45699</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45699</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45699</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45699</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45699</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45699</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45699</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45699</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45699</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45699</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45699</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45699</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45699</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45699</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45699</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45699</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45699</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45699</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45699</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45699</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45699</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45699</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45699</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45699</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45699</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45699</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45699</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45699</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45699</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45699</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45699</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45699</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45699</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45699</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45699</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45699</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45699</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45699</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45699</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45699</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45699</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45699</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45699</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45699</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45699</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45699</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45699</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45699</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45699</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45699</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45699</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45699</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45699</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45699</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45699</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45699</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45699</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45699</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45699</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45699</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45699</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45699</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45699</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45699</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45699</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45699</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45699</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45699</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45699</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45699</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45699</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45699</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45699</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45699</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45699</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45699</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45699</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45699</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45699</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45699</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45699</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45699</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45699</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45699</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45699</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45699</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45699</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45699</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45699</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45699</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45699</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45699</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45699</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45699</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45699</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45699</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45699</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45699</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45699</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45699</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45699</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45699</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45699</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45699</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45699</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45699</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45699</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45699</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45699</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45699</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45699</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45699</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45699</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45699</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45699</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45699</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45699</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45699</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45699</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45699</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45699</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45699</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45699</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45699</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45699</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45699</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45699</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45699</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45699</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45699</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45699</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45699</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45699</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45699</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45699</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45699</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45699</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45699</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45699</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45699</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45699</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45699</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45699</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45699</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45699</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45699</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45699</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45699</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45699</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45699</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45699</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45699</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45699</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45699</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45699</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45699</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45699</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45699</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45699</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45699</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45699</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45699</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45699</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45699</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45699</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45699</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45699</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45699</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45699</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45699</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45699</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45699</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45699</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45699</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45699</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45699</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45699</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45699</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45699</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45699</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45699</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45699</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45699</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45699</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45699</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45699</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45699</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45699</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45699</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45699</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45699</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45699</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45699</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45699</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45699</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45699</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45699</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45699</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45699</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45699</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45699</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45699</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45699</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45699</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45699</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45699</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45699</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45699</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45699</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45699</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45699</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45699</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45699</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45699</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45699</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45699</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45699</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45699</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45699</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45699</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45699</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45699</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45699</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45699</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45699</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45699</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45699</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45699</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45699</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45699</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45699</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45699</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45699</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45699</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45699</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45699</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45699</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45699</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45699</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45699</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45699</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45699</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45699</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45699</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45699</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45699</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45699</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45699</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45699</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45699</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45699</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45699</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45699</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2591-2025</t>
        </is>
      </c>
      <c r="B3003" s="1" t="n">
        <v>45674</v>
      </c>
      <c r="C3003" s="1" t="n">
        <v>45699</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2595-2025</t>
        </is>
      </c>
      <c r="B3004" s="1" t="n">
        <v>45674</v>
      </c>
      <c r="C3004" s="1" t="n">
        <v>45699</v>
      </c>
      <c r="D3004" t="inlineStr">
        <is>
          <t>VÄSTERNORRLANDS LÄN</t>
        </is>
      </c>
      <c r="E3004" t="inlineStr">
        <is>
          <t>SUNDSVALL</t>
        </is>
      </c>
      <c r="F3004" t="inlineStr">
        <is>
          <t>Kommuner</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2577-2025</t>
        </is>
      </c>
      <c r="B3005" s="1" t="n">
        <v>45674</v>
      </c>
      <c r="C3005" s="1" t="n">
        <v>45699</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2585-2025</t>
        </is>
      </c>
      <c r="B3006" s="1" t="n">
        <v>45674</v>
      </c>
      <c r="C3006" s="1" t="n">
        <v>45699</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45699</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2594-2025</t>
        </is>
      </c>
      <c r="B3008" s="1" t="n">
        <v>45674</v>
      </c>
      <c r="C3008" s="1" t="n">
        <v>45699</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45699</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45699</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45699</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45699</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2834-2025</t>
        </is>
      </c>
      <c r="B3013" s="1" t="n">
        <v>45677</v>
      </c>
      <c r="C3013" s="1" t="n">
        <v>45699</v>
      </c>
      <c r="D3013" t="inlineStr">
        <is>
          <t>VÄSTERNORRLANDS LÄN</t>
        </is>
      </c>
      <c r="E3013" t="inlineStr">
        <is>
          <t>SUNDSVALL</t>
        </is>
      </c>
      <c r="F3013" t="inlineStr">
        <is>
          <t>SCA</t>
        </is>
      </c>
      <c r="G3013" t="n">
        <v>28.4</v>
      </c>
      <c r="H3013" t="n">
        <v>0</v>
      </c>
      <c r="I3013" t="n">
        <v>0</v>
      </c>
      <c r="J3013" t="n">
        <v>0</v>
      </c>
      <c r="K3013" t="n">
        <v>0</v>
      </c>
      <c r="L3013" t="n">
        <v>0</v>
      </c>
      <c r="M3013" t="n">
        <v>0</v>
      </c>
      <c r="N3013" t="n">
        <v>0</v>
      </c>
      <c r="O3013" t="n">
        <v>0</v>
      </c>
      <c r="P3013" t="n">
        <v>0</v>
      </c>
      <c r="Q3013" t="n">
        <v>0</v>
      </c>
      <c r="R3013" s="2" t="inlineStr"/>
    </row>
    <row r="3014" ht="15" customHeight="1">
      <c r="A3014" t="inlineStr">
        <is>
          <t>A 2880-2025</t>
        </is>
      </c>
      <c r="B3014" s="1" t="n">
        <v>45677</v>
      </c>
      <c r="C3014" s="1" t="n">
        <v>45699</v>
      </c>
      <c r="D3014" t="inlineStr">
        <is>
          <t>VÄSTERNORRLANDS LÄN</t>
        </is>
      </c>
      <c r="E3014" t="inlineStr">
        <is>
          <t>SUNDSVALL</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45699</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45699</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45699</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3232-2025</t>
        </is>
      </c>
      <c r="B3018" s="1" t="n">
        <v>45679</v>
      </c>
      <c r="C3018" s="1" t="n">
        <v>45699</v>
      </c>
      <c r="D3018" t="inlineStr">
        <is>
          <t>VÄSTERNORRLANDS LÄN</t>
        </is>
      </c>
      <c r="E3018" t="inlineStr">
        <is>
          <t>SUNDSVALL</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3216-2025</t>
        </is>
      </c>
      <c r="B3019" s="1" t="n">
        <v>45679</v>
      </c>
      <c r="C3019" s="1" t="n">
        <v>45699</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3215-2025</t>
        </is>
      </c>
      <c r="B3020" s="1" t="n">
        <v>45679</v>
      </c>
      <c r="C3020" s="1" t="n">
        <v>45699</v>
      </c>
      <c r="D3020" t="inlineStr">
        <is>
          <t>VÄSTERNORRLANDS LÄN</t>
        </is>
      </c>
      <c r="E3020" t="inlineStr">
        <is>
          <t>SUNDSVALL</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45699</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45699</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45699</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45699</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45699</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45699</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3477-2025</t>
        </is>
      </c>
      <c r="B3027" s="1" t="n">
        <v>45680</v>
      </c>
      <c r="C3027" s="1" t="n">
        <v>45699</v>
      </c>
      <c r="D3027" t="inlineStr">
        <is>
          <t>VÄSTERNORRLANDS LÄN</t>
        </is>
      </c>
      <c r="E3027" t="inlineStr">
        <is>
          <t>SUNDSVALL</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45699</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45699</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45699</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45699</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45699</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45699</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45699</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3948-2025</t>
        </is>
      </c>
      <c r="B3035" s="1" t="n">
        <v>45684</v>
      </c>
      <c r="C3035" s="1" t="n">
        <v>45699</v>
      </c>
      <c r="D3035" t="inlineStr">
        <is>
          <t>VÄSTERNORRLANDS LÄN</t>
        </is>
      </c>
      <c r="E3035" t="inlineStr">
        <is>
          <t>SUNDSVALL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45699</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45699</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45699</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45699</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3877-2025</t>
        </is>
      </c>
      <c r="B3040" s="1" t="n">
        <v>45684</v>
      </c>
      <c r="C3040" s="1" t="n">
        <v>45699</v>
      </c>
      <c r="D3040" t="inlineStr">
        <is>
          <t>VÄSTERNORRLANDS LÄN</t>
        </is>
      </c>
      <c r="E3040" t="inlineStr">
        <is>
          <t>SUNDSVALL</t>
        </is>
      </c>
      <c r="F3040" t="inlineStr">
        <is>
          <t>SCA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4784-2025</t>
        </is>
      </c>
      <c r="B3041" s="1" t="n">
        <v>45688</v>
      </c>
      <c r="C3041" s="1" t="n">
        <v>45699</v>
      </c>
      <c r="D3041" t="inlineStr">
        <is>
          <t>VÄSTERNORRLANDS LÄN</t>
        </is>
      </c>
      <c r="E3041" t="inlineStr">
        <is>
          <t>SUNDSVALL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4865-2025</t>
        </is>
      </c>
      <c r="B3042" s="1" t="n">
        <v>45688</v>
      </c>
      <c r="C3042" s="1" t="n">
        <v>45699</v>
      </c>
      <c r="D3042" t="inlineStr">
        <is>
          <t>VÄSTERNORRLANDS LÄN</t>
        </is>
      </c>
      <c r="E3042" t="inlineStr">
        <is>
          <t>SUNDSVALL</t>
        </is>
      </c>
      <c r="F3042" t="inlineStr">
        <is>
          <t>SCA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4890-2025</t>
        </is>
      </c>
      <c r="B3043" s="1" t="n">
        <v>45688</v>
      </c>
      <c r="C3043" s="1" t="n">
        <v>45699</v>
      </c>
      <c r="D3043" t="inlineStr">
        <is>
          <t>VÄSTERNORRLANDS LÄN</t>
        </is>
      </c>
      <c r="E3043" t="inlineStr">
        <is>
          <t>SUNDSVALL</t>
        </is>
      </c>
      <c r="F3043" t="inlineStr">
        <is>
          <t>SCA</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4906-2025</t>
        </is>
      </c>
      <c r="B3044" s="1" t="n">
        <v>45688</v>
      </c>
      <c r="C3044" s="1" t="n">
        <v>45699</v>
      </c>
      <c r="D3044" t="inlineStr">
        <is>
          <t>VÄSTERNORRLANDS LÄN</t>
        </is>
      </c>
      <c r="E3044" t="inlineStr">
        <is>
          <t>SUNDSVALL</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4813-2025</t>
        </is>
      </c>
      <c r="B3045" s="1" t="n">
        <v>45688</v>
      </c>
      <c r="C3045" s="1" t="n">
        <v>45699</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45699</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4810-2025</t>
        </is>
      </c>
      <c r="B3047" s="1" t="n">
        <v>45688</v>
      </c>
      <c r="C3047" s="1" t="n">
        <v>45699</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4871-2025</t>
        </is>
      </c>
      <c r="B3048" s="1" t="n">
        <v>45688</v>
      </c>
      <c r="C3048" s="1" t="n">
        <v>45699</v>
      </c>
      <c r="D3048" t="inlineStr">
        <is>
          <t>VÄSTERNORRLANDS LÄN</t>
        </is>
      </c>
      <c r="E3048" t="inlineStr">
        <is>
          <t>SUNDSVALL</t>
        </is>
      </c>
      <c r="F3048" t="inlineStr">
        <is>
          <t>SCA</t>
        </is>
      </c>
      <c r="G3048" t="n">
        <v>11.5</v>
      </c>
      <c r="H3048" t="n">
        <v>0</v>
      </c>
      <c r="I3048" t="n">
        <v>0</v>
      </c>
      <c r="J3048" t="n">
        <v>0</v>
      </c>
      <c r="K3048" t="n">
        <v>0</v>
      </c>
      <c r="L3048" t="n">
        <v>0</v>
      </c>
      <c r="M3048" t="n">
        <v>0</v>
      </c>
      <c r="N3048" t="n">
        <v>0</v>
      </c>
      <c r="O3048" t="n">
        <v>0</v>
      </c>
      <c r="P3048" t="n">
        <v>0</v>
      </c>
      <c r="Q3048" t="n">
        <v>0</v>
      </c>
      <c r="R3048" s="2" t="inlineStr"/>
    </row>
    <row r="3049" ht="15" customHeight="1">
      <c r="A3049" t="inlineStr">
        <is>
          <t>A 4888-2025</t>
        </is>
      </c>
      <c r="B3049" s="1" t="n">
        <v>45688</v>
      </c>
      <c r="C3049" s="1" t="n">
        <v>45699</v>
      </c>
      <c r="D3049" t="inlineStr">
        <is>
          <t>VÄSTERNORRLANDS LÄN</t>
        </is>
      </c>
      <c r="E3049" t="inlineStr">
        <is>
          <t>SUNDSVALL</t>
        </is>
      </c>
      <c r="F3049" t="inlineStr">
        <is>
          <t>SCA</t>
        </is>
      </c>
      <c r="G3049" t="n">
        <v>8.6</v>
      </c>
      <c r="H3049" t="n">
        <v>0</v>
      </c>
      <c r="I3049" t="n">
        <v>0</v>
      </c>
      <c r="J3049" t="n">
        <v>0</v>
      </c>
      <c r="K3049" t="n">
        <v>0</v>
      </c>
      <c r="L3049" t="n">
        <v>0</v>
      </c>
      <c r="M3049" t="n">
        <v>0</v>
      </c>
      <c r="N3049" t="n">
        <v>0</v>
      </c>
      <c r="O3049" t="n">
        <v>0</v>
      </c>
      <c r="P3049" t="n">
        <v>0</v>
      </c>
      <c r="Q3049" t="n">
        <v>0</v>
      </c>
      <c r="R3049" s="2" t="inlineStr"/>
    </row>
    <row r="3050" ht="15" customHeight="1">
      <c r="A3050" t="inlineStr">
        <is>
          <t>A 4900-2025</t>
        </is>
      </c>
      <c r="B3050" s="1" t="n">
        <v>45688</v>
      </c>
      <c r="C3050" s="1" t="n">
        <v>45699</v>
      </c>
      <c r="D3050" t="inlineStr">
        <is>
          <t>VÄSTERNORRLANDS LÄN</t>
        </is>
      </c>
      <c r="E3050" t="inlineStr">
        <is>
          <t>SUNDSVALL</t>
        </is>
      </c>
      <c r="F3050" t="inlineStr">
        <is>
          <t>SCA</t>
        </is>
      </c>
      <c r="G3050" t="n">
        <v>10.4</v>
      </c>
      <c r="H3050" t="n">
        <v>0</v>
      </c>
      <c r="I3050" t="n">
        <v>0</v>
      </c>
      <c r="J3050" t="n">
        <v>0</v>
      </c>
      <c r="K3050" t="n">
        <v>0</v>
      </c>
      <c r="L3050" t="n">
        <v>0</v>
      </c>
      <c r="M3050" t="n">
        <v>0</v>
      </c>
      <c r="N3050" t="n">
        <v>0</v>
      </c>
      <c r="O3050" t="n">
        <v>0</v>
      </c>
      <c r="P3050" t="n">
        <v>0</v>
      </c>
      <c r="Q3050" t="n">
        <v>0</v>
      </c>
      <c r="R3050" s="2" t="inlineStr"/>
    </row>
    <row r="3051" ht="15" customHeight="1">
      <c r="A3051" t="inlineStr">
        <is>
          <t>A 4932-2025</t>
        </is>
      </c>
      <c r="B3051" s="1" t="n">
        <v>45688</v>
      </c>
      <c r="C3051" s="1" t="n">
        <v>45699</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4815-2025</t>
        </is>
      </c>
      <c r="B3052" s="1" t="n">
        <v>45688</v>
      </c>
      <c r="C3052" s="1" t="n">
        <v>45699</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4917-2025</t>
        </is>
      </c>
      <c r="B3053" s="1" t="n">
        <v>45688</v>
      </c>
      <c r="C3053" s="1" t="n">
        <v>45699</v>
      </c>
      <c r="D3053" t="inlineStr">
        <is>
          <t>VÄSTERNORRLANDS LÄN</t>
        </is>
      </c>
      <c r="E3053" t="inlineStr">
        <is>
          <t>SUNDSVALL</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4933-2025</t>
        </is>
      </c>
      <c r="B3054" s="1" t="n">
        <v>45688</v>
      </c>
      <c r="C3054" s="1" t="n">
        <v>45699</v>
      </c>
      <c r="D3054" t="inlineStr">
        <is>
          <t>VÄSTERNORRLANDS LÄN</t>
        </is>
      </c>
      <c r="E3054" t="inlineStr">
        <is>
          <t>SUNDSVALL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45699</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45699</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45699</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45699</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45699</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45699</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45699</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45699</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45699</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45699</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45699</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45699</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45699</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45699</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c r="A3069" t="inlineStr">
        <is>
          <t>A 5857-2025</t>
        </is>
      </c>
      <c r="B3069" s="1" t="n">
        <v>45695</v>
      </c>
      <c r="C3069" s="1" t="n">
        <v>45699</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2025-02-11T17:14:37Z</dcterms:created>
  <dcterms:modified xmlns:dcterms="http://purl.org/dc/terms/" xmlns:xsi="http://www.w3.org/2001/XMLSchema-instance" xsi:type="dcterms:W3CDTF">2025-02-11T17:14:40Z</dcterms:modified>
</cp:coreProperties>
</file>