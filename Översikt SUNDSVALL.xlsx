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45760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45760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45760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45760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45760</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45760</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45760</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45760</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45760</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45760</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45760</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45760</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45760</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45760</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45760</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45760</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45760</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45760</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45760</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45760</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45760</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45760</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45760</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45760</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45760</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45760</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45760</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45760</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45760</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45760</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45760</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45760</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45760</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45760</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45760</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45760</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45760</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45760</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45760</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45760</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45760</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45760</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45760</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45760</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45760</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45760</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45760</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45760</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45760</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45760</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45760</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45760</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45760</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45760</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45760</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45760</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45760</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45760</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45760</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45760</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45760</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45760</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45760</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45760</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45760</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45760</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45760</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45760</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9509-2025</t>
        </is>
      </c>
      <c r="B76" s="1" t="n">
        <v>45715</v>
      </c>
      <c r="C76" s="1" t="n">
        <v>45760</v>
      </c>
      <c r="D76" t="inlineStr">
        <is>
          <t>VÄSTERNORRLANDS LÄN</t>
        </is>
      </c>
      <c r="E76" t="inlineStr">
        <is>
          <t>SUNDSVALL</t>
        </is>
      </c>
      <c r="G76" t="n">
        <v>5.1</v>
      </c>
      <c r="H76" t="n">
        <v>4</v>
      </c>
      <c r="I76" t="n">
        <v>1</v>
      </c>
      <c r="J76" t="n">
        <v>2</v>
      </c>
      <c r="K76" t="n">
        <v>1</v>
      </c>
      <c r="L76" t="n">
        <v>0</v>
      </c>
      <c r="M76" t="n">
        <v>0</v>
      </c>
      <c r="N76" t="n">
        <v>0</v>
      </c>
      <c r="O76" t="n">
        <v>3</v>
      </c>
      <c r="P76" t="n">
        <v>1</v>
      </c>
      <c r="Q76" t="n">
        <v>4</v>
      </c>
      <c r="R76" s="2" t="inlineStr">
        <is>
          <t>Knärot
Spillkråka
Tretåig hackspett
Plattlummer</t>
        </is>
      </c>
      <c r="S76">
        <f>HYPERLINK("https://klasma.github.io/Logging_222281/artfynd/A 9509-2025 artfynd.xlsx", "A 9509-2025")</f>
        <v/>
      </c>
      <c r="T76">
        <f>HYPERLINK("https://klasma.github.io/Logging_222281/kartor/A 9509-2025 karta.png", "A 9509-2025")</f>
        <v/>
      </c>
      <c r="U76">
        <f>HYPERLINK("https://klasma.github.io/Logging_222281/knärot/A 9509-2025 karta knärot.png", "A 9509-2025")</f>
        <v/>
      </c>
      <c r="V76">
        <f>HYPERLINK("https://klasma.github.io/Logging_222281/klagomål/A 9509-2025 FSC-klagomål.docx", "A 9509-2025")</f>
        <v/>
      </c>
      <c r="W76">
        <f>HYPERLINK("https://klasma.github.io/Logging_222281/klagomålsmail/A 9509-2025 FSC-klagomål mail.docx", "A 9509-2025")</f>
        <v/>
      </c>
      <c r="X76">
        <f>HYPERLINK("https://klasma.github.io/Logging_222281/tillsyn/A 9509-2025 tillsynsbegäran.docx", "A 9509-2025")</f>
        <v/>
      </c>
      <c r="Y76">
        <f>HYPERLINK("https://klasma.github.io/Logging_222281/tillsynsmail/A 9509-2025 tillsynsbegäran mail.docx", "A 9509-2025")</f>
        <v/>
      </c>
      <c r="Z76">
        <f>HYPERLINK("https://klasma.github.io/Logging_222281/fåglar/A 9509-2025 prioriterade fågelarter.docx", "A 9509-2025")</f>
        <v/>
      </c>
    </row>
    <row r="77" ht="15" customHeight="1">
      <c r="A77" t="inlineStr">
        <is>
          <t>A 16656-2025</t>
        </is>
      </c>
      <c r="B77" s="1" t="n">
        <v>45754</v>
      </c>
      <c r="C77" s="1" t="n">
        <v>45760</v>
      </c>
      <c r="D77" t="inlineStr">
        <is>
          <t>VÄSTERNORRLANDS LÄN</t>
        </is>
      </c>
      <c r="E77" t="inlineStr">
        <is>
          <t>SUNDSVALL</t>
        </is>
      </c>
      <c r="F77" t="inlineStr">
        <is>
          <t>SCA</t>
        </is>
      </c>
      <c r="G77" t="n">
        <v>3.5</v>
      </c>
      <c r="H77" t="n">
        <v>2</v>
      </c>
      <c r="I77" t="n">
        <v>0</v>
      </c>
      <c r="J77" t="n">
        <v>2</v>
      </c>
      <c r="K77" t="n">
        <v>0</v>
      </c>
      <c r="L77" t="n">
        <v>0</v>
      </c>
      <c r="M77" t="n">
        <v>0</v>
      </c>
      <c r="N77" t="n">
        <v>0</v>
      </c>
      <c r="O77" t="n">
        <v>2</v>
      </c>
      <c r="P77" t="n">
        <v>0</v>
      </c>
      <c r="Q77" t="n">
        <v>4</v>
      </c>
      <c r="R77" s="2" t="inlineStr">
        <is>
          <t>Garnlav
Lunglav
Fläcknycklar
Revlummer</t>
        </is>
      </c>
      <c r="S77">
        <f>HYPERLINK("https://klasma.github.io/Logging_222281/artfynd/A 16656-2025 artfynd.xlsx", "A 16656-2025")</f>
        <v/>
      </c>
      <c r="T77">
        <f>HYPERLINK("https://klasma.github.io/Logging_222281/kartor/A 16656-2025 karta.png", "A 16656-2025")</f>
        <v/>
      </c>
      <c r="V77">
        <f>HYPERLINK("https://klasma.github.io/Logging_222281/klagomål/A 16656-2025 FSC-klagomål.docx", "A 16656-2025")</f>
        <v/>
      </c>
      <c r="W77">
        <f>HYPERLINK("https://klasma.github.io/Logging_222281/klagomålsmail/A 16656-2025 FSC-klagomål mail.docx", "A 16656-2025")</f>
        <v/>
      </c>
      <c r="X77">
        <f>HYPERLINK("https://klasma.github.io/Logging_222281/tillsyn/A 16656-2025 tillsynsbegäran.docx", "A 16656-2025")</f>
        <v/>
      </c>
      <c r="Y77">
        <f>HYPERLINK("https://klasma.github.io/Logging_222281/tillsynsmail/A 16656-2025 tillsynsbegäran mail.docx", "A 16656-2025")</f>
        <v/>
      </c>
    </row>
    <row r="78" ht="15" customHeight="1">
      <c r="A78" t="inlineStr">
        <is>
          <t>A 44607-2019</t>
        </is>
      </c>
      <c r="B78" s="1" t="n">
        <v>43711</v>
      </c>
      <c r="C78" s="1" t="n">
        <v>45760</v>
      </c>
      <c r="D78" t="inlineStr">
        <is>
          <t>VÄSTERNORRLANDS LÄN</t>
        </is>
      </c>
      <c r="E78" t="inlineStr">
        <is>
          <t>SUNDSVALL</t>
        </is>
      </c>
      <c r="G78" t="n">
        <v>1.6</v>
      </c>
      <c r="H78" t="n">
        <v>3</v>
      </c>
      <c r="I78" t="n">
        <v>0</v>
      </c>
      <c r="J78" t="n">
        <v>2</v>
      </c>
      <c r="K78" t="n">
        <v>0</v>
      </c>
      <c r="L78" t="n">
        <v>0</v>
      </c>
      <c r="M78" t="n">
        <v>0</v>
      </c>
      <c r="N78" t="n">
        <v>0</v>
      </c>
      <c r="O78" t="n">
        <v>2</v>
      </c>
      <c r="P78" t="n">
        <v>0</v>
      </c>
      <c r="Q78" t="n">
        <v>3</v>
      </c>
      <c r="R78" s="2" t="inlineStr">
        <is>
          <t>Järpe
Talltita
Grönsiska</t>
        </is>
      </c>
      <c r="S78">
        <f>HYPERLINK("https://klasma.github.io/Logging_2281/artfynd/A 44607-2019 artfynd.xlsx", "A 44607-2019")</f>
        <v/>
      </c>
      <c r="T78">
        <f>HYPERLINK("https://klasma.github.io/Logging_2281/kartor/A 44607-2019 karta.png", "A 44607-2019")</f>
        <v/>
      </c>
      <c r="V78">
        <f>HYPERLINK("https://klasma.github.io/Logging_2281/klagomål/A 44607-2019 FSC-klagomål.docx", "A 44607-2019")</f>
        <v/>
      </c>
      <c r="W78">
        <f>HYPERLINK("https://klasma.github.io/Logging_2281/klagomålsmail/A 44607-2019 FSC-klagomål mail.docx", "A 44607-2019")</f>
        <v/>
      </c>
      <c r="X78">
        <f>HYPERLINK("https://klasma.github.io/Logging_2281/tillsyn/A 44607-2019 tillsynsbegäran.docx", "A 44607-2019")</f>
        <v/>
      </c>
      <c r="Y78">
        <f>HYPERLINK("https://klasma.github.io/Logging_2281/tillsynsmail/A 44607-2019 tillsynsbegäran mail.docx", "A 44607-2019")</f>
        <v/>
      </c>
      <c r="Z78">
        <f>HYPERLINK("https://klasma.github.io/Logging_2281/fåglar/A 44607-2019 prioriterade fågelarter.docx", "A 44607-2019")</f>
        <v/>
      </c>
    </row>
    <row r="79" ht="15" customHeight="1">
      <c r="A79" t="inlineStr">
        <is>
          <t>A 65041-2019</t>
        </is>
      </c>
      <c r="B79" s="1" t="n">
        <v>43801</v>
      </c>
      <c r="C79" s="1" t="n">
        <v>45760</v>
      </c>
      <c r="D79" t="inlineStr">
        <is>
          <t>VÄSTERNORRLANDS LÄN</t>
        </is>
      </c>
      <c r="E79" t="inlineStr">
        <is>
          <t>SUNDSVALL</t>
        </is>
      </c>
      <c r="F79" t="inlineStr">
        <is>
          <t>Naturvårdsverket</t>
        </is>
      </c>
      <c r="G79" t="n">
        <v>33.1</v>
      </c>
      <c r="H79" t="n">
        <v>2</v>
      </c>
      <c r="I79" t="n">
        <v>0</v>
      </c>
      <c r="J79" t="n">
        <v>3</v>
      </c>
      <c r="K79" t="n">
        <v>0</v>
      </c>
      <c r="L79" t="n">
        <v>0</v>
      </c>
      <c r="M79" t="n">
        <v>0</v>
      </c>
      <c r="N79" t="n">
        <v>0</v>
      </c>
      <c r="O79" t="n">
        <v>3</v>
      </c>
      <c r="P79" t="n">
        <v>0</v>
      </c>
      <c r="Q79" t="n">
        <v>3</v>
      </c>
      <c r="R79" s="2" t="inlineStr">
        <is>
          <t>Dvärgbägarlav
Spillkråka
Tretåig hackspett</t>
        </is>
      </c>
      <c r="S79">
        <f>HYPERLINK("https://klasma.github.io/Logging_2281/artfynd/A 65041-2019 artfynd.xlsx", "A 65041-2019")</f>
        <v/>
      </c>
      <c r="T79">
        <f>HYPERLINK("https://klasma.github.io/Logging_2281/kartor/A 65041-2019 karta.png", "A 65041-2019")</f>
        <v/>
      </c>
      <c r="V79">
        <f>HYPERLINK("https://klasma.github.io/Logging_2281/klagomål/A 65041-2019 FSC-klagomål.docx", "A 65041-2019")</f>
        <v/>
      </c>
      <c r="W79">
        <f>HYPERLINK("https://klasma.github.io/Logging_2281/klagomålsmail/A 65041-2019 FSC-klagomål mail.docx", "A 65041-2019")</f>
        <v/>
      </c>
      <c r="X79">
        <f>HYPERLINK("https://klasma.github.io/Logging_2281/tillsyn/A 65041-2019 tillsynsbegäran.docx", "A 65041-2019")</f>
        <v/>
      </c>
      <c r="Y79">
        <f>HYPERLINK("https://klasma.github.io/Logging_2281/tillsynsmail/A 65041-2019 tillsynsbegäran mail.docx", "A 65041-2019")</f>
        <v/>
      </c>
      <c r="Z79">
        <f>HYPERLINK("https://klasma.github.io/Logging_2281/fåglar/A 65041-2019 prioriterade fågelarter.docx", "A 65041-2019")</f>
        <v/>
      </c>
    </row>
    <row r="80" ht="15" customHeight="1">
      <c r="A80" t="inlineStr">
        <is>
          <t>A 22407-2020</t>
        </is>
      </c>
      <c r="B80" s="1" t="n">
        <v>43962</v>
      </c>
      <c r="C80" s="1" t="n">
        <v>45760</v>
      </c>
      <c r="D80" t="inlineStr">
        <is>
          <t>VÄSTERNORRLANDS LÄN</t>
        </is>
      </c>
      <c r="E80" t="inlineStr">
        <is>
          <t>SUNDSVALL</t>
        </is>
      </c>
      <c r="G80" t="n">
        <v>1</v>
      </c>
      <c r="H80" t="n">
        <v>0</v>
      </c>
      <c r="I80" t="n">
        <v>1</v>
      </c>
      <c r="J80" t="n">
        <v>2</v>
      </c>
      <c r="K80" t="n">
        <v>0</v>
      </c>
      <c r="L80" t="n">
        <v>0</v>
      </c>
      <c r="M80" t="n">
        <v>0</v>
      </c>
      <c r="N80" t="n">
        <v>0</v>
      </c>
      <c r="O80" t="n">
        <v>2</v>
      </c>
      <c r="P80" t="n">
        <v>0</v>
      </c>
      <c r="Q80" t="n">
        <v>3</v>
      </c>
      <c r="R80" s="2" t="inlineStr">
        <is>
          <t>Slåtterfibbla
Ullticka
Dropptaggsvamp</t>
        </is>
      </c>
      <c r="S80">
        <f>HYPERLINK("https://klasma.github.io/Logging_2281/artfynd/A 22407-2020 artfynd.xlsx", "A 22407-2020")</f>
        <v/>
      </c>
      <c r="T80">
        <f>HYPERLINK("https://klasma.github.io/Logging_2281/kartor/A 22407-2020 karta.png", "A 22407-2020")</f>
        <v/>
      </c>
      <c r="U80">
        <f>HYPERLINK("https://klasma.github.io/Logging_2281/knärot/A 22407-2020 karta knärot.png", "A 22407-2020")</f>
        <v/>
      </c>
      <c r="V80">
        <f>HYPERLINK("https://klasma.github.io/Logging_2281/klagomål/A 22407-2020 FSC-klagomål.docx", "A 22407-2020")</f>
        <v/>
      </c>
      <c r="W80">
        <f>HYPERLINK("https://klasma.github.io/Logging_2281/klagomålsmail/A 22407-2020 FSC-klagomål mail.docx", "A 22407-2020")</f>
        <v/>
      </c>
      <c r="X80">
        <f>HYPERLINK("https://klasma.github.io/Logging_2281/tillsyn/A 22407-2020 tillsynsbegäran.docx", "A 22407-2020")</f>
        <v/>
      </c>
      <c r="Y80">
        <f>HYPERLINK("https://klasma.github.io/Logging_2281/tillsynsmail/A 22407-2020 tillsynsbegäran mail.docx", "A 22407-2020")</f>
        <v/>
      </c>
    </row>
    <row r="81" ht="15" customHeight="1">
      <c r="A81" t="inlineStr">
        <is>
          <t>A 39080-2020</t>
        </is>
      </c>
      <c r="B81" s="1" t="n">
        <v>44062</v>
      </c>
      <c r="C81" s="1" t="n">
        <v>45760</v>
      </c>
      <c r="D81" t="inlineStr">
        <is>
          <t>VÄSTERNORRLANDS LÄN</t>
        </is>
      </c>
      <c r="E81" t="inlineStr">
        <is>
          <t>SUNDSVALL</t>
        </is>
      </c>
      <c r="F81" t="inlineStr">
        <is>
          <t>SCA</t>
        </is>
      </c>
      <c r="G81" t="n">
        <v>4.5</v>
      </c>
      <c r="H81" t="n">
        <v>2</v>
      </c>
      <c r="I81" t="n">
        <v>0</v>
      </c>
      <c r="J81" t="n">
        <v>1</v>
      </c>
      <c r="K81" t="n">
        <v>1</v>
      </c>
      <c r="L81" t="n">
        <v>0</v>
      </c>
      <c r="M81" t="n">
        <v>0</v>
      </c>
      <c r="N81" t="n">
        <v>0</v>
      </c>
      <c r="O81" t="n">
        <v>2</v>
      </c>
      <c r="P81" t="n">
        <v>1</v>
      </c>
      <c r="Q81" t="n">
        <v>3</v>
      </c>
      <c r="R81" s="2" t="inlineStr">
        <is>
          <t>Knärot
Skrovellav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24268-2021</t>
        </is>
      </c>
      <c r="B82" s="1" t="n">
        <v>44336</v>
      </c>
      <c r="C82" s="1" t="n">
        <v>45760</v>
      </c>
      <c r="D82" t="inlineStr">
        <is>
          <t>VÄSTERNORRLANDS LÄN</t>
        </is>
      </c>
      <c r="E82" t="inlineStr">
        <is>
          <t>SUNDSVALL</t>
        </is>
      </c>
      <c r="F82" t="inlineStr">
        <is>
          <t>SCA</t>
        </is>
      </c>
      <c r="G82" t="n">
        <v>5.4</v>
      </c>
      <c r="H82" t="n">
        <v>2</v>
      </c>
      <c r="I82" t="n">
        <v>0</v>
      </c>
      <c r="J82" t="n">
        <v>1</v>
      </c>
      <c r="K82" t="n">
        <v>0</v>
      </c>
      <c r="L82" t="n">
        <v>0</v>
      </c>
      <c r="M82" t="n">
        <v>0</v>
      </c>
      <c r="N82" t="n">
        <v>0</v>
      </c>
      <c r="O82" t="n">
        <v>1</v>
      </c>
      <c r="P82" t="n">
        <v>0</v>
      </c>
      <c r="Q82" t="n">
        <v>3</v>
      </c>
      <c r="R82" s="2" t="inlineStr">
        <is>
          <t>Lunglav
Fläcknycklar
Revlummer</t>
        </is>
      </c>
      <c r="S82">
        <f>HYPERLINK("https://klasma.github.io/Logging_2281/artfynd/A 24268-2021 artfynd.xlsx", "A 24268-2021")</f>
        <v/>
      </c>
      <c r="T82">
        <f>HYPERLINK("https://klasma.github.io/Logging_2281/kartor/A 24268-2021 karta.png", "A 24268-2021")</f>
        <v/>
      </c>
      <c r="V82">
        <f>HYPERLINK("https://klasma.github.io/Logging_2281/klagomål/A 24268-2021 FSC-klagomål.docx", "A 24268-2021")</f>
        <v/>
      </c>
      <c r="W82">
        <f>HYPERLINK("https://klasma.github.io/Logging_2281/klagomålsmail/A 24268-2021 FSC-klagomål mail.docx", "A 24268-2021")</f>
        <v/>
      </c>
      <c r="X82">
        <f>HYPERLINK("https://klasma.github.io/Logging_2281/tillsyn/A 24268-2021 tillsynsbegäran.docx", "A 24268-2021")</f>
        <v/>
      </c>
      <c r="Y82">
        <f>HYPERLINK("https://klasma.github.io/Logging_2281/tillsynsmail/A 24268-2021 tillsynsbegäran mail.docx", "A 24268-2021")</f>
        <v/>
      </c>
    </row>
    <row r="83" ht="15" customHeight="1">
      <c r="A83" t="inlineStr">
        <is>
          <t>A 11351-2022</t>
        </is>
      </c>
      <c r="B83" s="1" t="n">
        <v>44630</v>
      </c>
      <c r="C83" s="1" t="n">
        <v>45760</v>
      </c>
      <c r="D83" t="inlineStr">
        <is>
          <t>VÄSTERNORRLANDS LÄN</t>
        </is>
      </c>
      <c r="E83" t="inlineStr">
        <is>
          <t>SUNDSVALL</t>
        </is>
      </c>
      <c r="G83" t="n">
        <v>12.1</v>
      </c>
      <c r="H83" t="n">
        <v>1</v>
      </c>
      <c r="I83" t="n">
        <v>1</v>
      </c>
      <c r="J83" t="n">
        <v>1</v>
      </c>
      <c r="K83" t="n">
        <v>1</v>
      </c>
      <c r="L83" t="n">
        <v>0</v>
      </c>
      <c r="M83" t="n">
        <v>0</v>
      </c>
      <c r="N83" t="n">
        <v>0</v>
      </c>
      <c r="O83" t="n">
        <v>2</v>
      </c>
      <c r="P83" t="n">
        <v>1</v>
      </c>
      <c r="Q83" t="n">
        <v>3</v>
      </c>
      <c r="R83" s="2" t="inlineStr">
        <is>
          <t>Knärot
Vedskivlav
Kornig nållav</t>
        </is>
      </c>
      <c r="S83">
        <f>HYPERLINK("https://klasma.github.io/Logging_2281/artfynd/A 11351-2022 artfynd.xlsx", "A 11351-2022")</f>
        <v/>
      </c>
      <c r="T83">
        <f>HYPERLINK("https://klasma.github.io/Logging_2281/kartor/A 11351-2022 karta.png", "A 11351-2022")</f>
        <v/>
      </c>
      <c r="U83">
        <f>HYPERLINK("https://klasma.github.io/Logging_2281/knärot/A 11351-2022 karta knärot.png", "A 11351-2022")</f>
        <v/>
      </c>
      <c r="V83">
        <f>HYPERLINK("https://klasma.github.io/Logging_2281/klagomål/A 11351-2022 FSC-klagomål.docx", "A 11351-2022")</f>
        <v/>
      </c>
      <c r="W83">
        <f>HYPERLINK("https://klasma.github.io/Logging_2281/klagomålsmail/A 11351-2022 FSC-klagomål mail.docx", "A 11351-2022")</f>
        <v/>
      </c>
      <c r="X83">
        <f>HYPERLINK("https://klasma.github.io/Logging_2281/tillsyn/A 11351-2022 tillsynsbegäran.docx", "A 11351-2022")</f>
        <v/>
      </c>
      <c r="Y83">
        <f>HYPERLINK("https://klasma.github.io/Logging_2281/tillsynsmail/A 11351-2022 tillsynsbegäran mail.docx", "A 11351-2022")</f>
        <v/>
      </c>
    </row>
    <row r="84" ht="15" customHeight="1">
      <c r="A84" t="inlineStr">
        <is>
          <t>A 14677-2022</t>
        </is>
      </c>
      <c r="B84" s="1" t="n">
        <v>44655</v>
      </c>
      <c r="C84" s="1" t="n">
        <v>45760</v>
      </c>
      <c r="D84" t="inlineStr">
        <is>
          <t>VÄSTERNORRLANDS LÄN</t>
        </is>
      </c>
      <c r="E84" t="inlineStr">
        <is>
          <t>SUNDSVALL</t>
        </is>
      </c>
      <c r="G84" t="n">
        <v>12.9</v>
      </c>
      <c r="H84" t="n">
        <v>2</v>
      </c>
      <c r="I84" t="n">
        <v>0</v>
      </c>
      <c r="J84" t="n">
        <v>2</v>
      </c>
      <c r="K84" t="n">
        <v>1</v>
      </c>
      <c r="L84" t="n">
        <v>0</v>
      </c>
      <c r="M84" t="n">
        <v>0</v>
      </c>
      <c r="N84" t="n">
        <v>0</v>
      </c>
      <c r="O84" t="n">
        <v>3</v>
      </c>
      <c r="P84" t="n">
        <v>1</v>
      </c>
      <c r="Q84" t="n">
        <v>3</v>
      </c>
      <c r="R84" s="2" t="inlineStr">
        <is>
          <t>Knärot
Gammelgransskål
Tretåig hackspett</t>
        </is>
      </c>
      <c r="S84">
        <f>HYPERLINK("https://klasma.github.io/Logging_2281/artfynd/A 14677-2022 artfynd.xlsx", "A 14677-2022")</f>
        <v/>
      </c>
      <c r="T84">
        <f>HYPERLINK("https://klasma.github.io/Logging_2281/kartor/A 14677-2022 karta.png", "A 14677-2022")</f>
        <v/>
      </c>
      <c r="U84">
        <f>HYPERLINK("https://klasma.github.io/Logging_2281/knärot/A 14677-2022 karta knärot.png", "A 14677-2022")</f>
        <v/>
      </c>
      <c r="V84">
        <f>HYPERLINK("https://klasma.github.io/Logging_2281/klagomål/A 14677-2022 FSC-klagomål.docx", "A 14677-2022")</f>
        <v/>
      </c>
      <c r="W84">
        <f>HYPERLINK("https://klasma.github.io/Logging_2281/klagomålsmail/A 14677-2022 FSC-klagomål mail.docx", "A 14677-2022")</f>
        <v/>
      </c>
      <c r="X84">
        <f>HYPERLINK("https://klasma.github.io/Logging_2281/tillsyn/A 14677-2022 tillsynsbegäran.docx", "A 14677-2022")</f>
        <v/>
      </c>
      <c r="Y84">
        <f>HYPERLINK("https://klasma.github.io/Logging_2281/tillsynsmail/A 14677-2022 tillsynsbegäran mail.docx", "A 14677-2022")</f>
        <v/>
      </c>
      <c r="Z84">
        <f>HYPERLINK("https://klasma.github.io/Logging_2281/fåglar/A 14677-2022 prioriterade fågelarter.docx", "A 14677-2022")</f>
        <v/>
      </c>
    </row>
    <row r="85" ht="15" customHeight="1">
      <c r="A85" t="inlineStr">
        <is>
          <t>A 21662-2022</t>
        </is>
      </c>
      <c r="B85" s="1" t="n">
        <v>44706</v>
      </c>
      <c r="C85" s="1" t="n">
        <v>45760</v>
      </c>
      <c r="D85" t="inlineStr">
        <is>
          <t>VÄSTERNORRLANDS LÄN</t>
        </is>
      </c>
      <c r="E85" t="inlineStr">
        <is>
          <t>SUNDSVALL</t>
        </is>
      </c>
      <c r="F85" t="inlineStr">
        <is>
          <t>SCA</t>
        </is>
      </c>
      <c r="G85" t="n">
        <v>3.2</v>
      </c>
      <c r="H85" t="n">
        <v>1</v>
      </c>
      <c r="I85" t="n">
        <v>0</v>
      </c>
      <c r="J85" t="n">
        <v>2</v>
      </c>
      <c r="K85" t="n">
        <v>0</v>
      </c>
      <c r="L85" t="n">
        <v>0</v>
      </c>
      <c r="M85" t="n">
        <v>0</v>
      </c>
      <c r="N85" t="n">
        <v>0</v>
      </c>
      <c r="O85" t="n">
        <v>2</v>
      </c>
      <c r="P85" t="n">
        <v>0</v>
      </c>
      <c r="Q85" t="n">
        <v>3</v>
      </c>
      <c r="R85" s="2" t="inlineStr">
        <is>
          <t>Garnlav
Vedtrappmossa
Revlummer</t>
        </is>
      </c>
      <c r="S85">
        <f>HYPERLINK("https://klasma.github.io/Logging_2281/artfynd/A 21662-2022 artfynd.xlsx", "A 21662-2022")</f>
        <v/>
      </c>
      <c r="T85">
        <f>HYPERLINK("https://klasma.github.io/Logging_2281/kartor/A 21662-2022 karta.png", "A 21662-2022")</f>
        <v/>
      </c>
      <c r="V85">
        <f>HYPERLINK("https://klasma.github.io/Logging_2281/klagomål/A 21662-2022 FSC-klagomål.docx", "A 21662-2022")</f>
        <v/>
      </c>
      <c r="W85">
        <f>HYPERLINK("https://klasma.github.io/Logging_2281/klagomålsmail/A 21662-2022 FSC-klagomål mail.docx", "A 21662-2022")</f>
        <v/>
      </c>
      <c r="X85">
        <f>HYPERLINK("https://klasma.github.io/Logging_2281/tillsyn/A 21662-2022 tillsynsbegäran.docx", "A 21662-2022")</f>
        <v/>
      </c>
      <c r="Y85">
        <f>HYPERLINK("https://klasma.github.io/Logging_2281/tillsynsmail/A 21662-2022 tillsynsbegäran mail.docx", "A 21662-2022")</f>
        <v/>
      </c>
    </row>
    <row r="86" ht="15" customHeight="1">
      <c r="A86" t="inlineStr">
        <is>
          <t>A 6795-2023</t>
        </is>
      </c>
      <c r="B86" s="1" t="n">
        <v>44966</v>
      </c>
      <c r="C86" s="1" t="n">
        <v>45760</v>
      </c>
      <c r="D86" t="inlineStr">
        <is>
          <t>VÄSTERNORRLANDS LÄN</t>
        </is>
      </c>
      <c r="E86" t="inlineStr">
        <is>
          <t>SUNDSVALL</t>
        </is>
      </c>
      <c r="F86" t="inlineStr">
        <is>
          <t>Naturvårdsverket</t>
        </is>
      </c>
      <c r="G86" t="n">
        <v>2.4</v>
      </c>
      <c r="H86" t="n">
        <v>1</v>
      </c>
      <c r="I86" t="n">
        <v>0</v>
      </c>
      <c r="J86" t="n">
        <v>2</v>
      </c>
      <c r="K86" t="n">
        <v>0</v>
      </c>
      <c r="L86" t="n">
        <v>0</v>
      </c>
      <c r="M86" t="n">
        <v>0</v>
      </c>
      <c r="N86" t="n">
        <v>0</v>
      </c>
      <c r="O86" t="n">
        <v>2</v>
      </c>
      <c r="P86" t="n">
        <v>0</v>
      </c>
      <c r="Q86" t="n">
        <v>3</v>
      </c>
      <c r="R86" s="2" t="inlineStr">
        <is>
          <t>Garnlav
Kolflarnlav
Vanlig groda</t>
        </is>
      </c>
      <c r="S86">
        <f>HYPERLINK("https://klasma.github.io/Logging_2281/artfynd/A 6795-2023 artfynd.xlsx", "A 6795-2023")</f>
        <v/>
      </c>
      <c r="T86">
        <f>HYPERLINK("https://klasma.github.io/Logging_2281/kartor/A 6795-2023 karta.png", "A 6795-2023")</f>
        <v/>
      </c>
      <c r="V86">
        <f>HYPERLINK("https://klasma.github.io/Logging_2281/klagomål/A 6795-2023 FSC-klagomål.docx", "A 6795-2023")</f>
        <v/>
      </c>
      <c r="W86">
        <f>HYPERLINK("https://klasma.github.io/Logging_2281/klagomålsmail/A 6795-2023 FSC-klagomål mail.docx", "A 6795-2023")</f>
        <v/>
      </c>
      <c r="X86">
        <f>HYPERLINK("https://klasma.github.io/Logging_2281/tillsyn/A 6795-2023 tillsynsbegäran.docx", "A 6795-2023")</f>
        <v/>
      </c>
      <c r="Y86">
        <f>HYPERLINK("https://klasma.github.io/Logging_2281/tillsynsmail/A 6795-2023 tillsynsbegäran mail.docx", "A 6795-2023")</f>
        <v/>
      </c>
    </row>
    <row r="87" ht="15" customHeight="1">
      <c r="A87" t="inlineStr">
        <is>
          <t>A 8680-2023</t>
        </is>
      </c>
      <c r="B87" s="1" t="n">
        <v>44977</v>
      </c>
      <c r="C87" s="1" t="n">
        <v>45760</v>
      </c>
      <c r="D87" t="inlineStr">
        <is>
          <t>VÄSTERNORRLANDS LÄN</t>
        </is>
      </c>
      <c r="E87" t="inlineStr">
        <is>
          <t>SUNDSVALL</t>
        </is>
      </c>
      <c r="F87" t="inlineStr">
        <is>
          <t>Naturvårdsverket</t>
        </is>
      </c>
      <c r="G87" t="n">
        <v>10.1</v>
      </c>
      <c r="H87" t="n">
        <v>0</v>
      </c>
      <c r="I87" t="n">
        <v>0</v>
      </c>
      <c r="J87" t="n">
        <v>3</v>
      </c>
      <c r="K87" t="n">
        <v>0</v>
      </c>
      <c r="L87" t="n">
        <v>0</v>
      </c>
      <c r="M87" t="n">
        <v>0</v>
      </c>
      <c r="N87" t="n">
        <v>0</v>
      </c>
      <c r="O87" t="n">
        <v>3</v>
      </c>
      <c r="P87" t="n">
        <v>0</v>
      </c>
      <c r="Q87" t="n">
        <v>3</v>
      </c>
      <c r="R87" s="2" t="inlineStr">
        <is>
          <t>Dvärgbägarlav
Kolflarnlav
Ullticka</t>
        </is>
      </c>
      <c r="S87">
        <f>HYPERLINK("https://klasma.github.io/Logging_2281/artfynd/A 8680-2023 artfynd.xlsx", "A 8680-2023")</f>
        <v/>
      </c>
      <c r="T87">
        <f>HYPERLINK("https://klasma.github.io/Logging_2281/kartor/A 8680-2023 karta.png", "A 8680-2023")</f>
        <v/>
      </c>
      <c r="V87">
        <f>HYPERLINK("https://klasma.github.io/Logging_2281/klagomål/A 8680-2023 FSC-klagomål.docx", "A 8680-2023")</f>
        <v/>
      </c>
      <c r="W87">
        <f>HYPERLINK("https://klasma.github.io/Logging_2281/klagomålsmail/A 8680-2023 FSC-klagomål mail.docx", "A 8680-2023")</f>
        <v/>
      </c>
      <c r="X87">
        <f>HYPERLINK("https://klasma.github.io/Logging_2281/tillsyn/A 8680-2023 tillsynsbegäran.docx", "A 8680-2023")</f>
        <v/>
      </c>
      <c r="Y87">
        <f>HYPERLINK("https://klasma.github.io/Logging_2281/tillsynsmail/A 8680-2023 tillsynsbegäran mail.docx", "A 8680-2023")</f>
        <v/>
      </c>
    </row>
    <row r="88" ht="15" customHeight="1">
      <c r="A88" t="inlineStr">
        <is>
          <t>A 16377-2023</t>
        </is>
      </c>
      <c r="B88" s="1" t="n">
        <v>45028</v>
      </c>
      <c r="C88" s="1" t="n">
        <v>45760</v>
      </c>
      <c r="D88" t="inlineStr">
        <is>
          <t>VÄSTERNORRLANDS LÄN</t>
        </is>
      </c>
      <c r="E88" t="inlineStr">
        <is>
          <t>SUNDSVALL</t>
        </is>
      </c>
      <c r="F88" t="inlineStr">
        <is>
          <t>SCA</t>
        </is>
      </c>
      <c r="G88" t="n">
        <v>4.9</v>
      </c>
      <c r="H88" t="n">
        <v>1</v>
      </c>
      <c r="I88" t="n">
        <v>2</v>
      </c>
      <c r="J88" t="n">
        <v>1</v>
      </c>
      <c r="K88" t="n">
        <v>0</v>
      </c>
      <c r="L88" t="n">
        <v>0</v>
      </c>
      <c r="M88" t="n">
        <v>0</v>
      </c>
      <c r="N88" t="n">
        <v>0</v>
      </c>
      <c r="O88" t="n">
        <v>1</v>
      </c>
      <c r="P88" t="n">
        <v>0</v>
      </c>
      <c r="Q88" t="n">
        <v>3</v>
      </c>
      <c r="R88" s="2" t="inlineStr">
        <is>
          <t>Lunglav
Plattlummer
Skinnlav</t>
        </is>
      </c>
      <c r="S88">
        <f>HYPERLINK("https://klasma.github.io/Logging_2281/artfynd/A 16377-2023 artfynd.xlsx", "A 16377-2023")</f>
        <v/>
      </c>
      <c r="T88">
        <f>HYPERLINK("https://klasma.github.io/Logging_2281/kartor/A 16377-2023 karta.png", "A 16377-2023")</f>
        <v/>
      </c>
      <c r="V88">
        <f>HYPERLINK("https://klasma.github.io/Logging_2281/klagomål/A 16377-2023 FSC-klagomål.docx", "A 16377-2023")</f>
        <v/>
      </c>
      <c r="W88">
        <f>HYPERLINK("https://klasma.github.io/Logging_2281/klagomålsmail/A 16377-2023 FSC-klagomål mail.docx", "A 16377-2023")</f>
        <v/>
      </c>
      <c r="X88">
        <f>HYPERLINK("https://klasma.github.io/Logging_2281/tillsyn/A 16377-2023 tillsynsbegäran.docx", "A 16377-2023")</f>
        <v/>
      </c>
      <c r="Y88">
        <f>HYPERLINK("https://klasma.github.io/Logging_2281/tillsynsmail/A 16377-2023 tillsynsbegäran mail.docx", "A 16377-2023")</f>
        <v/>
      </c>
    </row>
    <row r="89" ht="15" customHeight="1">
      <c r="A89" t="inlineStr">
        <is>
          <t>A 27390-2023</t>
        </is>
      </c>
      <c r="B89" s="1" t="n">
        <v>45096</v>
      </c>
      <c r="C89" s="1" t="n">
        <v>45760</v>
      </c>
      <c r="D89" t="inlineStr">
        <is>
          <t>VÄSTERNORRLANDS LÄN</t>
        </is>
      </c>
      <c r="E89" t="inlineStr">
        <is>
          <t>SUNDSVALL</t>
        </is>
      </c>
      <c r="F89" t="inlineStr">
        <is>
          <t>SCA</t>
        </is>
      </c>
      <c r="G89" t="n">
        <v>14.3</v>
      </c>
      <c r="H89" t="n">
        <v>1</v>
      </c>
      <c r="I89" t="n">
        <v>1</v>
      </c>
      <c r="J89" t="n">
        <v>1</v>
      </c>
      <c r="K89" t="n">
        <v>0</v>
      </c>
      <c r="L89" t="n">
        <v>0</v>
      </c>
      <c r="M89" t="n">
        <v>0</v>
      </c>
      <c r="N89" t="n">
        <v>0</v>
      </c>
      <c r="O89" t="n">
        <v>1</v>
      </c>
      <c r="P89" t="n">
        <v>0</v>
      </c>
      <c r="Q89" t="n">
        <v>3</v>
      </c>
      <c r="R89" s="2" t="inlineStr">
        <is>
          <t>Lunglav
Vedticka
Blåsippa</t>
        </is>
      </c>
      <c r="S89">
        <f>HYPERLINK("https://klasma.github.io/Logging_2281/artfynd/A 27390-2023 artfynd.xlsx", "A 27390-2023")</f>
        <v/>
      </c>
      <c r="T89">
        <f>HYPERLINK("https://klasma.github.io/Logging_2281/kartor/A 27390-2023 karta.png", "A 27390-2023")</f>
        <v/>
      </c>
      <c r="V89">
        <f>HYPERLINK("https://klasma.github.io/Logging_2281/klagomål/A 27390-2023 FSC-klagomål.docx", "A 27390-2023")</f>
        <v/>
      </c>
      <c r="W89">
        <f>HYPERLINK("https://klasma.github.io/Logging_2281/klagomålsmail/A 27390-2023 FSC-klagomål mail.docx", "A 27390-2023")</f>
        <v/>
      </c>
      <c r="X89">
        <f>HYPERLINK("https://klasma.github.io/Logging_2281/tillsyn/A 27390-2023 tillsynsbegäran.docx", "A 27390-2023")</f>
        <v/>
      </c>
      <c r="Y89">
        <f>HYPERLINK("https://klasma.github.io/Logging_2281/tillsynsmail/A 27390-2023 tillsynsbegäran mail.docx", "A 27390-2023")</f>
        <v/>
      </c>
    </row>
    <row r="90" ht="15" customHeight="1">
      <c r="A90" t="inlineStr">
        <is>
          <t>A 27734-2023</t>
        </is>
      </c>
      <c r="B90" s="1" t="n">
        <v>45098</v>
      </c>
      <c r="C90" s="1" t="n">
        <v>45760</v>
      </c>
      <c r="D90" t="inlineStr">
        <is>
          <t>VÄSTERNORRLANDS LÄN</t>
        </is>
      </c>
      <c r="E90" t="inlineStr">
        <is>
          <t>SUNDSVALL</t>
        </is>
      </c>
      <c r="G90" t="n">
        <v>0.8</v>
      </c>
      <c r="H90" t="n">
        <v>3</v>
      </c>
      <c r="I90" t="n">
        <v>0</v>
      </c>
      <c r="J90" t="n">
        <v>1</v>
      </c>
      <c r="K90" t="n">
        <v>0</v>
      </c>
      <c r="L90" t="n">
        <v>1</v>
      </c>
      <c r="M90" t="n">
        <v>0</v>
      </c>
      <c r="N90" t="n">
        <v>0</v>
      </c>
      <c r="O90" t="n">
        <v>2</v>
      </c>
      <c r="P90" t="n">
        <v>1</v>
      </c>
      <c r="Q90" t="n">
        <v>3</v>
      </c>
      <c r="R90" s="2" t="inlineStr">
        <is>
          <t>Grönfink
Björktrast
Skogsduva</t>
        </is>
      </c>
      <c r="S90">
        <f>HYPERLINK("https://klasma.github.io/Logging_2281/artfynd/A 27734-2023 artfynd.xlsx", "A 27734-2023")</f>
        <v/>
      </c>
      <c r="T90">
        <f>HYPERLINK("https://klasma.github.io/Logging_2281/kartor/A 27734-2023 karta.png", "A 27734-2023")</f>
        <v/>
      </c>
      <c r="V90">
        <f>HYPERLINK("https://klasma.github.io/Logging_2281/klagomål/A 27734-2023 FSC-klagomål.docx", "A 27734-2023")</f>
        <v/>
      </c>
      <c r="W90">
        <f>HYPERLINK("https://klasma.github.io/Logging_2281/klagomålsmail/A 27734-2023 FSC-klagomål mail.docx", "A 27734-2023")</f>
        <v/>
      </c>
      <c r="X90">
        <f>HYPERLINK("https://klasma.github.io/Logging_2281/tillsyn/A 27734-2023 tillsynsbegäran.docx", "A 27734-2023")</f>
        <v/>
      </c>
      <c r="Y90">
        <f>HYPERLINK("https://klasma.github.io/Logging_2281/tillsynsmail/A 27734-2023 tillsynsbegäran mail.docx", "A 27734-2023")</f>
        <v/>
      </c>
      <c r="Z90">
        <f>HYPERLINK("https://klasma.github.io/Logging_2281/fåglar/A 27734-2023 prioriterade fågelarter.docx", "A 27734-2023")</f>
        <v/>
      </c>
    </row>
    <row r="91" ht="15" customHeight="1">
      <c r="A91" t="inlineStr">
        <is>
          <t>A 30287-2023</t>
        </is>
      </c>
      <c r="B91" s="1" t="n">
        <v>45110</v>
      </c>
      <c r="C91" s="1" t="n">
        <v>45760</v>
      </c>
      <c r="D91" t="inlineStr">
        <is>
          <t>VÄSTERNORRLANDS LÄN</t>
        </is>
      </c>
      <c r="E91" t="inlineStr">
        <is>
          <t>SUNDSVALL</t>
        </is>
      </c>
      <c r="G91" t="n">
        <v>2.2</v>
      </c>
      <c r="H91" t="n">
        <v>3</v>
      </c>
      <c r="I91" t="n">
        <v>0</v>
      </c>
      <c r="J91" t="n">
        <v>1</v>
      </c>
      <c r="K91" t="n">
        <v>0</v>
      </c>
      <c r="L91" t="n">
        <v>1</v>
      </c>
      <c r="M91" t="n">
        <v>0</v>
      </c>
      <c r="N91" t="n">
        <v>0</v>
      </c>
      <c r="O91" t="n">
        <v>2</v>
      </c>
      <c r="P91" t="n">
        <v>1</v>
      </c>
      <c r="Q91" t="n">
        <v>3</v>
      </c>
      <c r="R91" s="2" t="inlineStr">
        <is>
          <t>Grönfink
Duvhök
Kungsfågel</t>
        </is>
      </c>
      <c r="S91">
        <f>HYPERLINK("https://klasma.github.io/Logging_2281/artfynd/A 30287-2023 artfynd.xlsx", "A 30287-2023")</f>
        <v/>
      </c>
      <c r="T91">
        <f>HYPERLINK("https://klasma.github.io/Logging_2281/kartor/A 30287-2023 karta.png", "A 30287-2023")</f>
        <v/>
      </c>
      <c r="V91">
        <f>HYPERLINK("https://klasma.github.io/Logging_2281/klagomål/A 30287-2023 FSC-klagomål.docx", "A 30287-2023")</f>
        <v/>
      </c>
      <c r="W91">
        <f>HYPERLINK("https://klasma.github.io/Logging_2281/klagomålsmail/A 30287-2023 FSC-klagomål mail.docx", "A 30287-2023")</f>
        <v/>
      </c>
      <c r="X91">
        <f>HYPERLINK("https://klasma.github.io/Logging_2281/tillsyn/A 30287-2023 tillsynsbegäran.docx", "A 30287-2023")</f>
        <v/>
      </c>
      <c r="Y91">
        <f>HYPERLINK("https://klasma.github.io/Logging_2281/tillsynsmail/A 30287-2023 tillsynsbegäran mail.docx", "A 30287-2023")</f>
        <v/>
      </c>
      <c r="Z91">
        <f>HYPERLINK("https://klasma.github.io/Logging_2281/fåglar/A 30287-2023 prioriterade fågelarter.docx", "A 30287-2023")</f>
        <v/>
      </c>
    </row>
    <row r="92" ht="15" customHeight="1">
      <c r="A92" t="inlineStr">
        <is>
          <t>A 38096-2023</t>
        </is>
      </c>
      <c r="B92" s="1" t="n">
        <v>45160</v>
      </c>
      <c r="C92" s="1" t="n">
        <v>45760</v>
      </c>
      <c r="D92" t="inlineStr">
        <is>
          <t>VÄSTERNORRLANDS LÄN</t>
        </is>
      </c>
      <c r="E92" t="inlineStr">
        <is>
          <t>SUNDSVALL</t>
        </is>
      </c>
      <c r="F92" t="inlineStr">
        <is>
          <t>SCA</t>
        </is>
      </c>
      <c r="G92" t="n">
        <v>3.6</v>
      </c>
      <c r="H92" t="n">
        <v>0</v>
      </c>
      <c r="I92" t="n">
        <v>1</v>
      </c>
      <c r="J92" t="n">
        <v>2</v>
      </c>
      <c r="K92" t="n">
        <v>0</v>
      </c>
      <c r="L92" t="n">
        <v>0</v>
      </c>
      <c r="M92" t="n">
        <v>0</v>
      </c>
      <c r="N92" t="n">
        <v>0</v>
      </c>
      <c r="O92" t="n">
        <v>2</v>
      </c>
      <c r="P92" t="n">
        <v>0</v>
      </c>
      <c r="Q92" t="n">
        <v>3</v>
      </c>
      <c r="R92" s="2" t="inlineStr">
        <is>
          <t>Blå taggsvamp
Lunglav
Dropptaggsvamp</t>
        </is>
      </c>
      <c r="S92">
        <f>HYPERLINK("https://klasma.github.io/Logging_2281/artfynd/A 38096-2023 artfynd.xlsx", "A 38096-2023")</f>
        <v/>
      </c>
      <c r="T92">
        <f>HYPERLINK("https://klasma.github.io/Logging_2281/kartor/A 38096-2023 karta.png", "A 38096-2023")</f>
        <v/>
      </c>
      <c r="V92">
        <f>HYPERLINK("https://klasma.github.io/Logging_2281/klagomål/A 38096-2023 FSC-klagomål.docx", "A 38096-2023")</f>
        <v/>
      </c>
      <c r="W92">
        <f>HYPERLINK("https://klasma.github.io/Logging_2281/klagomålsmail/A 38096-2023 FSC-klagomål mail.docx", "A 38096-2023")</f>
        <v/>
      </c>
      <c r="X92">
        <f>HYPERLINK("https://klasma.github.io/Logging_2281/tillsyn/A 38096-2023 tillsynsbegäran.docx", "A 38096-2023")</f>
        <v/>
      </c>
      <c r="Y92">
        <f>HYPERLINK("https://klasma.github.io/Logging_2281/tillsynsmail/A 38096-2023 tillsynsbegäran mail.docx", "A 38096-2023")</f>
        <v/>
      </c>
    </row>
    <row r="93" ht="15" customHeight="1">
      <c r="A93" t="inlineStr">
        <is>
          <t>A 54621-2023</t>
        </is>
      </c>
      <c r="B93" s="1" t="n">
        <v>45233</v>
      </c>
      <c r="C93" s="1" t="n">
        <v>45760</v>
      </c>
      <c r="D93" t="inlineStr">
        <is>
          <t>VÄSTERNORRLANDS LÄN</t>
        </is>
      </c>
      <c r="E93" t="inlineStr">
        <is>
          <t>SUNDSVALL</t>
        </is>
      </c>
      <c r="F93" t="inlineStr">
        <is>
          <t>Naturvårdsverket</t>
        </is>
      </c>
      <c r="G93" t="n">
        <v>3.9</v>
      </c>
      <c r="H93" t="n">
        <v>0</v>
      </c>
      <c r="I93" t="n">
        <v>0</v>
      </c>
      <c r="J93" t="n">
        <v>3</v>
      </c>
      <c r="K93" t="n">
        <v>0</v>
      </c>
      <c r="L93" t="n">
        <v>0</v>
      </c>
      <c r="M93" t="n">
        <v>0</v>
      </c>
      <c r="N93" t="n">
        <v>0</v>
      </c>
      <c r="O93" t="n">
        <v>3</v>
      </c>
      <c r="P93" t="n">
        <v>0</v>
      </c>
      <c r="Q93" t="n">
        <v>3</v>
      </c>
      <c r="R93" s="2" t="inlineStr">
        <is>
          <t>Kolflarnlav
Tallticka
Ullticka</t>
        </is>
      </c>
      <c r="S93">
        <f>HYPERLINK("https://klasma.github.io/Logging_2281/artfynd/A 54621-2023 artfynd.xlsx", "A 54621-2023")</f>
        <v/>
      </c>
      <c r="T93">
        <f>HYPERLINK("https://klasma.github.io/Logging_2281/kartor/A 54621-2023 karta.png", "A 54621-2023")</f>
        <v/>
      </c>
      <c r="V93">
        <f>HYPERLINK("https://klasma.github.io/Logging_2281/klagomål/A 54621-2023 FSC-klagomål.docx", "A 54621-2023")</f>
        <v/>
      </c>
      <c r="W93">
        <f>HYPERLINK("https://klasma.github.io/Logging_2281/klagomålsmail/A 54621-2023 FSC-klagomål mail.docx", "A 54621-2023")</f>
        <v/>
      </c>
      <c r="X93">
        <f>HYPERLINK("https://klasma.github.io/Logging_2281/tillsyn/A 54621-2023 tillsynsbegäran.docx", "A 54621-2023")</f>
        <v/>
      </c>
      <c r="Y93">
        <f>HYPERLINK("https://klasma.github.io/Logging_2281/tillsynsmail/A 54621-2023 tillsynsbegäran mail.docx", "A 54621-2023")</f>
        <v/>
      </c>
    </row>
    <row r="94" ht="15" customHeight="1">
      <c r="A94" t="inlineStr">
        <is>
          <t>A 60864-2023</t>
        </is>
      </c>
      <c r="B94" s="1" t="n">
        <v>45260</v>
      </c>
      <c r="C94" s="1" t="n">
        <v>45760</v>
      </c>
      <c r="D94" t="inlineStr">
        <is>
          <t>VÄSTERNORRLANDS LÄN</t>
        </is>
      </c>
      <c r="E94" t="inlineStr">
        <is>
          <t>SUNDSVALL</t>
        </is>
      </c>
      <c r="F94" t="inlineStr">
        <is>
          <t>SCA</t>
        </is>
      </c>
      <c r="G94" t="n">
        <v>0.9</v>
      </c>
      <c r="H94" t="n">
        <v>1</v>
      </c>
      <c r="I94" t="n">
        <v>2</v>
      </c>
      <c r="J94" t="n">
        <v>1</v>
      </c>
      <c r="K94" t="n">
        <v>0</v>
      </c>
      <c r="L94" t="n">
        <v>0</v>
      </c>
      <c r="M94" t="n">
        <v>0</v>
      </c>
      <c r="N94" t="n">
        <v>0</v>
      </c>
      <c r="O94" t="n">
        <v>1</v>
      </c>
      <c r="P94" t="n">
        <v>0</v>
      </c>
      <c r="Q94" t="n">
        <v>3</v>
      </c>
      <c r="R94" s="2" t="inlineStr">
        <is>
          <t>Tretåig hackspett
Dropptaggsvamp
Vedticka</t>
        </is>
      </c>
      <c r="S94">
        <f>HYPERLINK("https://klasma.github.io/Logging_2281/artfynd/A 60864-2023 artfynd.xlsx", "A 60864-2023")</f>
        <v/>
      </c>
      <c r="T94">
        <f>HYPERLINK("https://klasma.github.io/Logging_2281/kartor/A 60864-2023 karta.png", "A 60864-2023")</f>
        <v/>
      </c>
      <c r="V94">
        <f>HYPERLINK("https://klasma.github.io/Logging_2281/klagomål/A 60864-2023 FSC-klagomål.docx", "A 60864-2023")</f>
        <v/>
      </c>
      <c r="W94">
        <f>HYPERLINK("https://klasma.github.io/Logging_2281/klagomålsmail/A 60864-2023 FSC-klagomål mail.docx", "A 60864-2023")</f>
        <v/>
      </c>
      <c r="X94">
        <f>HYPERLINK("https://klasma.github.io/Logging_2281/tillsyn/A 60864-2023 tillsynsbegäran.docx", "A 60864-2023")</f>
        <v/>
      </c>
      <c r="Y94">
        <f>HYPERLINK("https://klasma.github.io/Logging_2281/tillsynsmail/A 60864-2023 tillsynsbegäran mail.docx", "A 60864-2023")</f>
        <v/>
      </c>
      <c r="Z94">
        <f>HYPERLINK("https://klasma.github.io/Logging_2281/fåglar/A 60864-2023 prioriterade fågelarter.docx", "A 60864-2023")</f>
        <v/>
      </c>
    </row>
    <row r="95" ht="15" customHeight="1">
      <c r="A95" t="inlineStr">
        <is>
          <t>A 14820-2024</t>
        </is>
      </c>
      <c r="B95" s="1" t="n">
        <v>45397</v>
      </c>
      <c r="C95" s="1" t="n">
        <v>45760</v>
      </c>
      <c r="D95" t="inlineStr">
        <is>
          <t>VÄSTERNORRLANDS LÄN</t>
        </is>
      </c>
      <c r="E95" t="inlineStr">
        <is>
          <t>SUNDSVALL</t>
        </is>
      </c>
      <c r="F95" t="inlineStr">
        <is>
          <t>SCA</t>
        </is>
      </c>
      <c r="G95" t="n">
        <v>13.1</v>
      </c>
      <c r="H95" t="n">
        <v>0</v>
      </c>
      <c r="I95" t="n">
        <v>1</v>
      </c>
      <c r="J95" t="n">
        <v>2</v>
      </c>
      <c r="K95" t="n">
        <v>0</v>
      </c>
      <c r="L95" t="n">
        <v>0</v>
      </c>
      <c r="M95" t="n">
        <v>0</v>
      </c>
      <c r="N95" t="n">
        <v>0</v>
      </c>
      <c r="O95" t="n">
        <v>2</v>
      </c>
      <c r="P95" t="n">
        <v>0</v>
      </c>
      <c r="Q95" t="n">
        <v>3</v>
      </c>
      <c r="R95" s="2" t="inlineStr">
        <is>
          <t>Garnlav
Lunglav
Luddlav</t>
        </is>
      </c>
      <c r="S95">
        <f>HYPERLINK("https://klasma.github.io/Logging_2281/artfynd/A 14820-2024 artfynd.xlsx", "A 14820-2024")</f>
        <v/>
      </c>
      <c r="T95">
        <f>HYPERLINK("https://klasma.github.io/Logging_2281/kartor/A 14820-2024 karta.png", "A 14820-2024")</f>
        <v/>
      </c>
      <c r="V95">
        <f>HYPERLINK("https://klasma.github.io/Logging_2281/klagomål/A 14820-2024 FSC-klagomål.docx", "A 14820-2024")</f>
        <v/>
      </c>
      <c r="W95">
        <f>HYPERLINK("https://klasma.github.io/Logging_2281/klagomålsmail/A 14820-2024 FSC-klagomål mail.docx", "A 14820-2024")</f>
        <v/>
      </c>
      <c r="X95">
        <f>HYPERLINK("https://klasma.github.io/Logging_2281/tillsyn/A 14820-2024 tillsynsbegäran.docx", "A 14820-2024")</f>
        <v/>
      </c>
      <c r="Y95">
        <f>HYPERLINK("https://klasma.github.io/Logging_2281/tillsynsmail/A 14820-2024 tillsynsbegäran mail.docx", "A 14820-2024")</f>
        <v/>
      </c>
    </row>
    <row r="96" ht="15" customHeight="1">
      <c r="A96" t="inlineStr">
        <is>
          <t>A 29076-2024</t>
        </is>
      </c>
      <c r="B96" s="1" t="n">
        <v>45481</v>
      </c>
      <c r="C96" s="1" t="n">
        <v>45760</v>
      </c>
      <c r="D96" t="inlineStr">
        <is>
          <t>VÄSTERNORRLANDS LÄN</t>
        </is>
      </c>
      <c r="E96" t="inlineStr">
        <is>
          <t>SUNDSVALL</t>
        </is>
      </c>
      <c r="G96" t="n">
        <v>5.6</v>
      </c>
      <c r="H96" t="n">
        <v>0</v>
      </c>
      <c r="I96" t="n">
        <v>2</v>
      </c>
      <c r="J96" t="n">
        <v>1</v>
      </c>
      <c r="K96" t="n">
        <v>0</v>
      </c>
      <c r="L96" t="n">
        <v>0</v>
      </c>
      <c r="M96" t="n">
        <v>0</v>
      </c>
      <c r="N96" t="n">
        <v>0</v>
      </c>
      <c r="O96" t="n">
        <v>1</v>
      </c>
      <c r="P96" t="n">
        <v>0</v>
      </c>
      <c r="Q96" t="n">
        <v>3</v>
      </c>
      <c r="R96" s="2" t="inlineStr">
        <is>
          <t>Lunglav
Bårdlav
Stuplav</t>
        </is>
      </c>
      <c r="S96">
        <f>HYPERLINK("https://klasma.github.io/Logging_2281/artfynd/A 29076-2024 artfynd.xlsx", "A 29076-2024")</f>
        <v/>
      </c>
      <c r="T96">
        <f>HYPERLINK("https://klasma.github.io/Logging_2281/kartor/A 29076-2024 karta.png", "A 29076-2024")</f>
        <v/>
      </c>
      <c r="V96">
        <f>HYPERLINK("https://klasma.github.io/Logging_2281/klagomål/A 29076-2024 FSC-klagomål.docx", "A 29076-2024")</f>
        <v/>
      </c>
      <c r="W96">
        <f>HYPERLINK("https://klasma.github.io/Logging_2281/klagomålsmail/A 29076-2024 FSC-klagomål mail.docx", "A 29076-2024")</f>
        <v/>
      </c>
      <c r="X96">
        <f>HYPERLINK("https://klasma.github.io/Logging_2281/tillsyn/A 29076-2024 tillsynsbegäran.docx", "A 29076-2024")</f>
        <v/>
      </c>
      <c r="Y96">
        <f>HYPERLINK("https://klasma.github.io/Logging_2281/tillsynsmail/A 29076-2024 tillsynsbegäran mail.docx", "A 29076-2024")</f>
        <v/>
      </c>
    </row>
    <row r="97" ht="15" customHeight="1">
      <c r="A97" t="inlineStr">
        <is>
          <t>A 31515-2024</t>
        </is>
      </c>
      <c r="B97" s="1" t="n">
        <v>45505</v>
      </c>
      <c r="C97" s="1" t="n">
        <v>45760</v>
      </c>
      <c r="D97" t="inlineStr">
        <is>
          <t>VÄSTERNORRLANDS LÄN</t>
        </is>
      </c>
      <c r="E97" t="inlineStr">
        <is>
          <t>SUNDSVALL</t>
        </is>
      </c>
      <c r="F97" t="inlineStr">
        <is>
          <t>SCA</t>
        </is>
      </c>
      <c r="G97" t="n">
        <v>2.7</v>
      </c>
      <c r="H97" t="n">
        <v>0</v>
      </c>
      <c r="I97" t="n">
        <v>0</v>
      </c>
      <c r="J97" t="n">
        <v>3</v>
      </c>
      <c r="K97" t="n">
        <v>0</v>
      </c>
      <c r="L97" t="n">
        <v>0</v>
      </c>
      <c r="M97" t="n">
        <v>0</v>
      </c>
      <c r="N97" t="n">
        <v>0</v>
      </c>
      <c r="O97" t="n">
        <v>3</v>
      </c>
      <c r="P97" t="n">
        <v>0</v>
      </c>
      <c r="Q97" t="n">
        <v>3</v>
      </c>
      <c r="R97" s="2" t="inlineStr">
        <is>
          <t>Garnlav
Lunglav
Violettgrå tagellav</t>
        </is>
      </c>
      <c r="S97">
        <f>HYPERLINK("https://klasma.github.io/Logging_2281/artfynd/A 31515-2024 artfynd.xlsx", "A 31515-2024")</f>
        <v/>
      </c>
      <c r="T97">
        <f>HYPERLINK("https://klasma.github.io/Logging_2281/kartor/A 31515-2024 karta.png", "A 31515-2024")</f>
        <v/>
      </c>
      <c r="V97">
        <f>HYPERLINK("https://klasma.github.io/Logging_2281/klagomål/A 31515-2024 FSC-klagomål.docx", "A 31515-2024")</f>
        <v/>
      </c>
      <c r="W97">
        <f>HYPERLINK("https://klasma.github.io/Logging_2281/klagomålsmail/A 31515-2024 FSC-klagomål mail.docx", "A 31515-2024")</f>
        <v/>
      </c>
      <c r="X97">
        <f>HYPERLINK("https://klasma.github.io/Logging_2281/tillsyn/A 31515-2024 tillsynsbegäran.docx", "A 31515-2024")</f>
        <v/>
      </c>
      <c r="Y97">
        <f>HYPERLINK("https://klasma.github.io/Logging_2281/tillsynsmail/A 31515-2024 tillsynsbegäran mail.docx", "A 31515-2024")</f>
        <v/>
      </c>
    </row>
    <row r="98" ht="15" customHeight="1">
      <c r="A98" t="inlineStr">
        <is>
          <t>A 55550-2024</t>
        </is>
      </c>
      <c r="B98" s="1" t="n">
        <v>45622</v>
      </c>
      <c r="C98" s="1" t="n">
        <v>45760</v>
      </c>
      <c r="D98" t="inlineStr">
        <is>
          <t>VÄSTERNORRLANDS LÄN</t>
        </is>
      </c>
      <c r="E98" t="inlineStr">
        <is>
          <t>SUNDSVALL</t>
        </is>
      </c>
      <c r="F98" t="inlineStr">
        <is>
          <t>SCA</t>
        </is>
      </c>
      <c r="G98" t="n">
        <v>4.4</v>
      </c>
      <c r="H98" t="n">
        <v>2</v>
      </c>
      <c r="I98" t="n">
        <v>1</v>
      </c>
      <c r="J98" t="n">
        <v>1</v>
      </c>
      <c r="K98" t="n">
        <v>1</v>
      </c>
      <c r="L98" t="n">
        <v>0</v>
      </c>
      <c r="M98" t="n">
        <v>0</v>
      </c>
      <c r="N98" t="n">
        <v>0</v>
      </c>
      <c r="O98" t="n">
        <v>2</v>
      </c>
      <c r="P98" t="n">
        <v>1</v>
      </c>
      <c r="Q98" t="n">
        <v>3</v>
      </c>
      <c r="R98" s="2" t="inlineStr">
        <is>
          <t>Knärot
Tretåig hackspett
Vedticka</t>
        </is>
      </c>
      <c r="S98">
        <f>HYPERLINK("https://klasma.github.io/Logging_2281/artfynd/A 55550-2024 artfynd.xlsx", "A 55550-2024")</f>
        <v/>
      </c>
      <c r="T98">
        <f>HYPERLINK("https://klasma.github.io/Logging_2281/kartor/A 55550-2024 karta.png", "A 55550-2024")</f>
        <v/>
      </c>
      <c r="U98">
        <f>HYPERLINK("https://klasma.github.io/Logging_2281/knärot/A 55550-2024 karta knärot.png", "A 55550-2024")</f>
        <v/>
      </c>
      <c r="V98">
        <f>HYPERLINK("https://klasma.github.io/Logging_2281/klagomål/A 55550-2024 FSC-klagomål.docx", "A 55550-2024")</f>
        <v/>
      </c>
      <c r="W98">
        <f>HYPERLINK("https://klasma.github.io/Logging_2281/klagomålsmail/A 55550-2024 FSC-klagomål mail.docx", "A 55550-2024")</f>
        <v/>
      </c>
      <c r="X98">
        <f>HYPERLINK("https://klasma.github.io/Logging_2281/tillsyn/A 55550-2024 tillsynsbegäran.docx", "A 55550-2024")</f>
        <v/>
      </c>
      <c r="Y98">
        <f>HYPERLINK("https://klasma.github.io/Logging_2281/tillsynsmail/A 55550-2024 tillsynsbegäran mail.docx", "A 55550-2024")</f>
        <v/>
      </c>
      <c r="Z98">
        <f>HYPERLINK("https://klasma.github.io/Logging_2281/fåglar/A 55550-2024 prioriterade fågelarter.docx", "A 55550-2024")</f>
        <v/>
      </c>
    </row>
    <row r="99" ht="15" customHeight="1">
      <c r="A99" t="inlineStr">
        <is>
          <t>A 12894-2025</t>
        </is>
      </c>
      <c r="B99" s="1" t="n">
        <v>45733</v>
      </c>
      <c r="C99" s="1" t="n">
        <v>45760</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45760</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45760</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45760</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45760</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45760</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45760</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45760</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45760</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45760</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45760</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45760</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45760</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45760</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45760</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45760</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45760</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45760</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45760</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45760</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45760</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45760</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45760</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45760</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45760</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45760</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45760</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45760</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45760</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45760</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45760</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45760</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45760</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45760</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45760</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45760</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45760</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45760</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45760</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45760</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45760</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45760</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13934-2025</t>
        </is>
      </c>
      <c r="B141" s="1" t="n">
        <v>45737</v>
      </c>
      <c r="C141" s="1" t="n">
        <v>45760</v>
      </c>
      <c r="D141" t="inlineStr">
        <is>
          <t>VÄSTERNORRLANDS LÄN</t>
        </is>
      </c>
      <c r="E141" t="inlineStr">
        <is>
          <t>SUNDSVALL</t>
        </is>
      </c>
      <c r="F141" t="inlineStr">
        <is>
          <t>SCA</t>
        </is>
      </c>
      <c r="G141" t="n">
        <v>11</v>
      </c>
      <c r="H141" t="n">
        <v>1</v>
      </c>
      <c r="I141" t="n">
        <v>1</v>
      </c>
      <c r="J141" t="n">
        <v>0</v>
      </c>
      <c r="K141" t="n">
        <v>0</v>
      </c>
      <c r="L141" t="n">
        <v>0</v>
      </c>
      <c r="M141" t="n">
        <v>0</v>
      </c>
      <c r="N141" t="n">
        <v>0</v>
      </c>
      <c r="O141" t="n">
        <v>0</v>
      </c>
      <c r="P141" t="n">
        <v>0</v>
      </c>
      <c r="Q141" t="n">
        <v>2</v>
      </c>
      <c r="R141" s="2" t="inlineStr">
        <is>
          <t>Stor aspticka
Blåsippa</t>
        </is>
      </c>
      <c r="S141">
        <f>HYPERLINK("https://klasma.github.io/Logging_222281/artfynd/A 13934-2025 artfynd.xlsx", "A 13934-2025")</f>
        <v/>
      </c>
      <c r="T141">
        <f>HYPERLINK("https://klasma.github.io/Logging_222281/kartor/A 13934-2025 karta.png", "A 13934-2025")</f>
        <v/>
      </c>
      <c r="V141">
        <f>HYPERLINK("https://klasma.github.io/Logging_222281/klagomål/A 13934-2025 FSC-klagomål.docx", "A 13934-2025")</f>
        <v/>
      </c>
      <c r="W141">
        <f>HYPERLINK("https://klasma.github.io/Logging_222281/klagomålsmail/A 13934-2025 FSC-klagomål mail.docx", "A 13934-2025")</f>
        <v/>
      </c>
      <c r="X141">
        <f>HYPERLINK("https://klasma.github.io/Logging_222281/tillsyn/A 13934-2025 tillsynsbegäran.docx", "A 13934-2025")</f>
        <v/>
      </c>
      <c r="Y141">
        <f>HYPERLINK("https://klasma.github.io/Logging_222281/tillsynsmail/A 13934-2025 tillsynsbegäran mail.docx", "A 13934-2025")</f>
        <v/>
      </c>
    </row>
    <row r="142" ht="15" customHeight="1">
      <c r="A142" t="inlineStr">
        <is>
          <t>A 16043-2025</t>
        </is>
      </c>
      <c r="B142" s="1" t="n">
        <v>45749</v>
      </c>
      <c r="C142" s="1" t="n">
        <v>45760</v>
      </c>
      <c r="D142" t="inlineStr">
        <is>
          <t>VÄSTERNORRLANDS LÄN</t>
        </is>
      </c>
      <c r="E142" t="inlineStr">
        <is>
          <t>SUNDSVALL</t>
        </is>
      </c>
      <c r="G142" t="n">
        <v>10.5</v>
      </c>
      <c r="H142" t="n">
        <v>2</v>
      </c>
      <c r="I142" t="n">
        <v>0</v>
      </c>
      <c r="J142" t="n">
        <v>1</v>
      </c>
      <c r="K142" t="n">
        <v>0</v>
      </c>
      <c r="L142" t="n">
        <v>0</v>
      </c>
      <c r="M142" t="n">
        <v>0</v>
      </c>
      <c r="N142" t="n">
        <v>0</v>
      </c>
      <c r="O142" t="n">
        <v>1</v>
      </c>
      <c r="P142" t="n">
        <v>0</v>
      </c>
      <c r="Q142" t="n">
        <v>2</v>
      </c>
      <c r="R142" s="2" t="inlineStr">
        <is>
          <t>Pilgrimsfalk
Sparvuggla</t>
        </is>
      </c>
      <c r="S142">
        <f>HYPERLINK("https://klasma.github.io/Logging_222281/artfynd/A 16043-2025 artfynd.xlsx", "A 16043-2025")</f>
        <v/>
      </c>
      <c r="T142">
        <f>HYPERLINK("https://klasma.github.io/Logging_222281/kartor/A 16043-2025 karta.png", "A 16043-2025")</f>
        <v/>
      </c>
      <c r="V142">
        <f>HYPERLINK("https://klasma.github.io/Logging_222281/klagomål/A 16043-2025 FSC-klagomål.docx", "A 16043-2025")</f>
        <v/>
      </c>
      <c r="W142">
        <f>HYPERLINK("https://klasma.github.io/Logging_222281/klagomålsmail/A 16043-2025 FSC-klagomål mail.docx", "A 16043-2025")</f>
        <v/>
      </c>
      <c r="X142">
        <f>HYPERLINK("https://klasma.github.io/Logging_222281/tillsyn/A 16043-2025 tillsynsbegäran.docx", "A 16043-2025")</f>
        <v/>
      </c>
      <c r="Y142">
        <f>HYPERLINK("https://klasma.github.io/Logging_222281/tillsynsmail/A 16043-2025 tillsynsbegäran mail.docx", "A 16043-2025")</f>
        <v/>
      </c>
      <c r="Z142">
        <f>HYPERLINK("https://klasma.github.io/Logging_222281/fåglar/A 16043-2025 prioriterade fågelarter.docx", "A 16043-2025")</f>
        <v/>
      </c>
    </row>
    <row r="143" ht="15" customHeight="1">
      <c r="A143" t="inlineStr">
        <is>
          <t>A 27216-2019</t>
        </is>
      </c>
      <c r="B143" s="1" t="n">
        <v>43614</v>
      </c>
      <c r="C143" s="1" t="n">
        <v>45760</v>
      </c>
      <c r="D143" t="inlineStr">
        <is>
          <t>VÄSTERNORRLANDS LÄN</t>
        </is>
      </c>
      <c r="E143" t="inlineStr">
        <is>
          <t>SUNDSVALL</t>
        </is>
      </c>
      <c r="G143" t="n">
        <v>3.7</v>
      </c>
      <c r="H143" t="n">
        <v>1</v>
      </c>
      <c r="I143" t="n">
        <v>0</v>
      </c>
      <c r="J143" t="n">
        <v>0</v>
      </c>
      <c r="K143" t="n">
        <v>0</v>
      </c>
      <c r="L143" t="n">
        <v>0</v>
      </c>
      <c r="M143" t="n">
        <v>0</v>
      </c>
      <c r="N143" t="n">
        <v>0</v>
      </c>
      <c r="O143" t="n">
        <v>0</v>
      </c>
      <c r="P143" t="n">
        <v>0</v>
      </c>
      <c r="Q143" t="n">
        <v>1</v>
      </c>
      <c r="R143" s="2" t="inlineStr">
        <is>
          <t>Blåsippa</t>
        </is>
      </c>
      <c r="S143">
        <f>HYPERLINK("https://klasma.github.io/Logging_2281/artfynd/A 27216-2019 artfynd.xlsx", "A 27216-2019")</f>
        <v/>
      </c>
      <c r="T143">
        <f>HYPERLINK("https://klasma.github.io/Logging_2281/kartor/A 27216-2019 karta.png", "A 27216-2019")</f>
        <v/>
      </c>
      <c r="V143">
        <f>HYPERLINK("https://klasma.github.io/Logging_2281/klagomål/A 27216-2019 FSC-klagomål.docx", "A 27216-2019")</f>
        <v/>
      </c>
      <c r="W143">
        <f>HYPERLINK("https://klasma.github.io/Logging_2281/klagomålsmail/A 27216-2019 FSC-klagomål mail.docx", "A 27216-2019")</f>
        <v/>
      </c>
      <c r="X143">
        <f>HYPERLINK("https://klasma.github.io/Logging_2281/tillsyn/A 27216-2019 tillsynsbegäran.docx", "A 27216-2019")</f>
        <v/>
      </c>
      <c r="Y143">
        <f>HYPERLINK("https://klasma.github.io/Logging_2281/tillsynsmail/A 27216-2019 tillsynsbegäran mail.docx", "A 27216-2019")</f>
        <v/>
      </c>
    </row>
    <row r="144" ht="15" customHeight="1">
      <c r="A144" t="inlineStr">
        <is>
          <t>A 44609-2019</t>
        </is>
      </c>
      <c r="B144" s="1" t="n">
        <v>43711</v>
      </c>
      <c r="C144" s="1" t="n">
        <v>45760</v>
      </c>
      <c r="D144" t="inlineStr">
        <is>
          <t>VÄSTERNORRLANDS LÄN</t>
        </is>
      </c>
      <c r="E144" t="inlineStr">
        <is>
          <t>SUNDSVALL</t>
        </is>
      </c>
      <c r="G144" t="n">
        <v>0.9</v>
      </c>
      <c r="H144" t="n">
        <v>1</v>
      </c>
      <c r="I144" t="n">
        <v>0</v>
      </c>
      <c r="J144" t="n">
        <v>0</v>
      </c>
      <c r="K144" t="n">
        <v>0</v>
      </c>
      <c r="L144" t="n">
        <v>0</v>
      </c>
      <c r="M144" t="n">
        <v>0</v>
      </c>
      <c r="N144" t="n">
        <v>0</v>
      </c>
      <c r="O144" t="n">
        <v>0</v>
      </c>
      <c r="P144" t="n">
        <v>0</v>
      </c>
      <c r="Q144" t="n">
        <v>1</v>
      </c>
      <c r="R144" s="2" t="inlineStr">
        <is>
          <t>Nattviol</t>
        </is>
      </c>
      <c r="S144">
        <f>HYPERLINK("https://klasma.github.io/Logging_2281/artfynd/A 44609-2019 artfynd.xlsx", "A 44609-2019")</f>
        <v/>
      </c>
      <c r="T144">
        <f>HYPERLINK("https://klasma.github.io/Logging_2281/kartor/A 44609-2019 karta.png", "A 44609-2019")</f>
        <v/>
      </c>
      <c r="V144">
        <f>HYPERLINK("https://klasma.github.io/Logging_2281/klagomål/A 44609-2019 FSC-klagomål.docx", "A 44609-2019")</f>
        <v/>
      </c>
      <c r="W144">
        <f>HYPERLINK("https://klasma.github.io/Logging_2281/klagomålsmail/A 44609-2019 FSC-klagomål mail.docx", "A 44609-2019")</f>
        <v/>
      </c>
      <c r="X144">
        <f>HYPERLINK("https://klasma.github.io/Logging_2281/tillsyn/A 44609-2019 tillsynsbegäran.docx", "A 44609-2019")</f>
        <v/>
      </c>
      <c r="Y144">
        <f>HYPERLINK("https://klasma.github.io/Logging_2281/tillsynsmail/A 44609-2019 tillsynsbegäran mail.docx", "A 44609-2019")</f>
        <v/>
      </c>
    </row>
    <row r="145" ht="15" customHeight="1">
      <c r="A145" t="inlineStr">
        <is>
          <t>A 970-2020</t>
        </is>
      </c>
      <c r="B145" s="1" t="n">
        <v>43839</v>
      </c>
      <c r="C145" s="1" t="n">
        <v>45760</v>
      </c>
      <c r="D145" t="inlineStr">
        <is>
          <t>VÄSTERNORRLANDS LÄN</t>
        </is>
      </c>
      <c r="E145" t="inlineStr">
        <is>
          <t>SUNDSVALL</t>
        </is>
      </c>
      <c r="F145" t="inlineStr">
        <is>
          <t>Kommuner</t>
        </is>
      </c>
      <c r="G145" t="n">
        <v>0.8</v>
      </c>
      <c r="H145" t="n">
        <v>1</v>
      </c>
      <c r="I145" t="n">
        <v>0</v>
      </c>
      <c r="J145" t="n">
        <v>1</v>
      </c>
      <c r="K145" t="n">
        <v>0</v>
      </c>
      <c r="L145" t="n">
        <v>0</v>
      </c>
      <c r="M145" t="n">
        <v>0</v>
      </c>
      <c r="N145" t="n">
        <v>0</v>
      </c>
      <c r="O145" t="n">
        <v>1</v>
      </c>
      <c r="P145" t="n">
        <v>0</v>
      </c>
      <c r="Q145" t="n">
        <v>1</v>
      </c>
      <c r="R145" s="2" t="inlineStr">
        <is>
          <t>Rosenfink</t>
        </is>
      </c>
      <c r="S145">
        <f>HYPERLINK("https://klasma.github.io/Logging_2281/artfynd/A 970-2020 artfynd.xlsx", "A 970-2020")</f>
        <v/>
      </c>
      <c r="T145">
        <f>HYPERLINK("https://klasma.github.io/Logging_2281/kartor/A 970-2020 karta.png", "A 970-2020")</f>
        <v/>
      </c>
      <c r="V145">
        <f>HYPERLINK("https://klasma.github.io/Logging_2281/klagomål/A 970-2020 FSC-klagomål.docx", "A 970-2020")</f>
        <v/>
      </c>
      <c r="W145">
        <f>HYPERLINK("https://klasma.github.io/Logging_2281/klagomålsmail/A 970-2020 FSC-klagomål mail.docx", "A 970-2020")</f>
        <v/>
      </c>
      <c r="X145">
        <f>HYPERLINK("https://klasma.github.io/Logging_2281/tillsyn/A 970-2020 tillsynsbegäran.docx", "A 970-2020")</f>
        <v/>
      </c>
      <c r="Y145">
        <f>HYPERLINK("https://klasma.github.io/Logging_2281/tillsynsmail/A 970-2020 tillsynsbegäran mail.docx", "A 970-2020")</f>
        <v/>
      </c>
      <c r="Z145">
        <f>HYPERLINK("https://klasma.github.io/Logging_2281/fåglar/A 970-2020 prioriterade fågelarter.docx", "A 970-2020")</f>
        <v/>
      </c>
    </row>
    <row r="146" ht="15" customHeight="1">
      <c r="A146" t="inlineStr">
        <is>
          <t>A 3002-2020</t>
        </is>
      </c>
      <c r="B146" s="1" t="n">
        <v>43850</v>
      </c>
      <c r="C146" s="1" t="n">
        <v>45760</v>
      </c>
      <c r="D146" t="inlineStr">
        <is>
          <t>VÄSTERNORRLANDS LÄN</t>
        </is>
      </c>
      <c r="E146" t="inlineStr">
        <is>
          <t>SUNDSVALL</t>
        </is>
      </c>
      <c r="G146" t="n">
        <v>14</v>
      </c>
      <c r="H146" t="n">
        <v>1</v>
      </c>
      <c r="I146" t="n">
        <v>0</v>
      </c>
      <c r="J146" t="n">
        <v>1</v>
      </c>
      <c r="K146" t="n">
        <v>0</v>
      </c>
      <c r="L146" t="n">
        <v>0</v>
      </c>
      <c r="M146" t="n">
        <v>0</v>
      </c>
      <c r="N146" t="n">
        <v>0</v>
      </c>
      <c r="O146" t="n">
        <v>1</v>
      </c>
      <c r="P146" t="n">
        <v>0</v>
      </c>
      <c r="Q146" t="n">
        <v>1</v>
      </c>
      <c r="R146" s="2" t="inlineStr">
        <is>
          <t>Rosenfink</t>
        </is>
      </c>
      <c r="S146">
        <f>HYPERLINK("https://klasma.github.io/Logging_2281/artfynd/A 3002-2020 artfynd.xlsx", "A 3002-2020")</f>
        <v/>
      </c>
      <c r="T146">
        <f>HYPERLINK("https://klasma.github.io/Logging_2281/kartor/A 3002-2020 karta.png", "A 3002-2020")</f>
        <v/>
      </c>
      <c r="V146">
        <f>HYPERLINK("https://klasma.github.io/Logging_2281/klagomål/A 3002-2020 FSC-klagomål.docx", "A 3002-2020")</f>
        <v/>
      </c>
      <c r="W146">
        <f>HYPERLINK("https://klasma.github.io/Logging_2281/klagomålsmail/A 3002-2020 FSC-klagomål mail.docx", "A 3002-2020")</f>
        <v/>
      </c>
      <c r="X146">
        <f>HYPERLINK("https://klasma.github.io/Logging_2281/tillsyn/A 3002-2020 tillsynsbegäran.docx", "A 3002-2020")</f>
        <v/>
      </c>
      <c r="Y146">
        <f>HYPERLINK("https://klasma.github.io/Logging_2281/tillsynsmail/A 3002-2020 tillsynsbegäran mail.docx", "A 3002-2020")</f>
        <v/>
      </c>
      <c r="Z146">
        <f>HYPERLINK("https://klasma.github.io/Logging_2281/fåglar/A 3002-2020 prioriterade fågelarter.docx", "A 3002-2020")</f>
        <v/>
      </c>
    </row>
    <row r="147" ht="15" customHeight="1">
      <c r="A147" t="inlineStr">
        <is>
          <t>A 7956-2020</t>
        </is>
      </c>
      <c r="B147" s="1" t="n">
        <v>43873</v>
      </c>
      <c r="C147" s="1" t="n">
        <v>45760</v>
      </c>
      <c r="D147" t="inlineStr">
        <is>
          <t>VÄSTERNORRLANDS LÄN</t>
        </is>
      </c>
      <c r="E147" t="inlineStr">
        <is>
          <t>SUNDSVALL</t>
        </is>
      </c>
      <c r="G147" t="n">
        <v>15.3</v>
      </c>
      <c r="H147" t="n">
        <v>0</v>
      </c>
      <c r="I147" t="n">
        <v>0</v>
      </c>
      <c r="J147" t="n">
        <v>1</v>
      </c>
      <c r="K147" t="n">
        <v>0</v>
      </c>
      <c r="L147" t="n">
        <v>0</v>
      </c>
      <c r="M147" t="n">
        <v>0</v>
      </c>
      <c r="N147" t="n">
        <v>0</v>
      </c>
      <c r="O147" t="n">
        <v>1</v>
      </c>
      <c r="P147" t="n">
        <v>0</v>
      </c>
      <c r="Q147" t="n">
        <v>1</v>
      </c>
      <c r="R147" s="2" t="inlineStr">
        <is>
          <t>Vedskivlav</t>
        </is>
      </c>
      <c r="S147">
        <f>HYPERLINK("https://klasma.github.io/Logging_2281/artfynd/A 7956-2020 artfynd.xlsx", "A 7956-2020")</f>
        <v/>
      </c>
      <c r="T147">
        <f>HYPERLINK("https://klasma.github.io/Logging_2281/kartor/A 7956-2020 karta.png", "A 7956-2020")</f>
        <v/>
      </c>
      <c r="V147">
        <f>HYPERLINK("https://klasma.github.io/Logging_2281/klagomål/A 7956-2020 FSC-klagomål.docx", "A 7956-2020")</f>
        <v/>
      </c>
      <c r="W147">
        <f>HYPERLINK("https://klasma.github.io/Logging_2281/klagomålsmail/A 7956-2020 FSC-klagomål mail.docx", "A 7956-2020")</f>
        <v/>
      </c>
      <c r="X147">
        <f>HYPERLINK("https://klasma.github.io/Logging_2281/tillsyn/A 7956-2020 tillsynsbegäran.docx", "A 7956-2020")</f>
        <v/>
      </c>
      <c r="Y147">
        <f>HYPERLINK("https://klasma.github.io/Logging_2281/tillsynsmail/A 7956-2020 tillsynsbegäran mail.docx", "A 7956-2020")</f>
        <v/>
      </c>
    </row>
    <row r="148" ht="15" customHeight="1">
      <c r="A148" t="inlineStr">
        <is>
          <t>A 13082-2020</t>
        </is>
      </c>
      <c r="B148" s="1" t="n">
        <v>43900</v>
      </c>
      <c r="C148" s="1" t="n">
        <v>45760</v>
      </c>
      <c r="D148" t="inlineStr">
        <is>
          <t>VÄSTERNORRLANDS LÄN</t>
        </is>
      </c>
      <c r="E148" t="inlineStr">
        <is>
          <t>SUNDSVALL</t>
        </is>
      </c>
      <c r="G148" t="n">
        <v>12.8</v>
      </c>
      <c r="H148" t="n">
        <v>1</v>
      </c>
      <c r="I148" t="n">
        <v>0</v>
      </c>
      <c r="J148" t="n">
        <v>0</v>
      </c>
      <c r="K148" t="n">
        <v>0</v>
      </c>
      <c r="L148" t="n">
        <v>0</v>
      </c>
      <c r="M148" t="n">
        <v>0</v>
      </c>
      <c r="N148" t="n">
        <v>0</v>
      </c>
      <c r="O148" t="n">
        <v>0</v>
      </c>
      <c r="P148" t="n">
        <v>0</v>
      </c>
      <c r="Q148" t="n">
        <v>1</v>
      </c>
      <c r="R148" s="2" t="inlineStr">
        <is>
          <t>Blåsippa</t>
        </is>
      </c>
      <c r="S148">
        <f>HYPERLINK("https://klasma.github.io/Logging_2281/artfynd/A 13082-2020 artfynd.xlsx", "A 13082-2020")</f>
        <v/>
      </c>
      <c r="T148">
        <f>HYPERLINK("https://klasma.github.io/Logging_2281/kartor/A 13082-2020 karta.png", "A 13082-2020")</f>
        <v/>
      </c>
      <c r="V148">
        <f>HYPERLINK("https://klasma.github.io/Logging_2281/klagomål/A 13082-2020 FSC-klagomål.docx", "A 13082-2020")</f>
        <v/>
      </c>
      <c r="W148">
        <f>HYPERLINK("https://klasma.github.io/Logging_2281/klagomålsmail/A 13082-2020 FSC-klagomål mail.docx", "A 13082-2020")</f>
        <v/>
      </c>
      <c r="X148">
        <f>HYPERLINK("https://klasma.github.io/Logging_2281/tillsyn/A 13082-2020 tillsynsbegäran.docx", "A 13082-2020")</f>
        <v/>
      </c>
      <c r="Y148">
        <f>HYPERLINK("https://klasma.github.io/Logging_2281/tillsynsmail/A 13082-2020 tillsynsbegäran mail.docx", "A 13082-2020")</f>
        <v/>
      </c>
    </row>
    <row r="149" ht="15" customHeight="1">
      <c r="A149" t="inlineStr">
        <is>
          <t>A 28764-2020</t>
        </is>
      </c>
      <c r="B149" s="1" t="n">
        <v>43999</v>
      </c>
      <c r="C149" s="1" t="n">
        <v>45760</v>
      </c>
      <c r="D149" t="inlineStr">
        <is>
          <t>VÄSTERNORRLANDS LÄN</t>
        </is>
      </c>
      <c r="E149" t="inlineStr">
        <is>
          <t>SUNDSVALL</t>
        </is>
      </c>
      <c r="F149" t="inlineStr">
        <is>
          <t>SCA</t>
        </is>
      </c>
      <c r="G149" t="n">
        <v>2.7</v>
      </c>
      <c r="H149" t="n">
        <v>1</v>
      </c>
      <c r="I149" t="n">
        <v>0</v>
      </c>
      <c r="J149" t="n">
        <v>1</v>
      </c>
      <c r="K149" t="n">
        <v>0</v>
      </c>
      <c r="L149" t="n">
        <v>0</v>
      </c>
      <c r="M149" t="n">
        <v>0</v>
      </c>
      <c r="N149" t="n">
        <v>0</v>
      </c>
      <c r="O149" t="n">
        <v>1</v>
      </c>
      <c r="P149" t="n">
        <v>0</v>
      </c>
      <c r="Q149" t="n">
        <v>1</v>
      </c>
      <c r="R149" s="2" t="inlineStr">
        <is>
          <t>Utter</t>
        </is>
      </c>
      <c r="S149">
        <f>HYPERLINK("https://klasma.github.io/Logging_2281/artfynd/A 28764-2020 artfynd.xlsx", "A 28764-2020")</f>
        <v/>
      </c>
      <c r="T149">
        <f>HYPERLINK("https://klasma.github.io/Logging_2281/kartor/A 28764-2020 karta.png", "A 28764-2020")</f>
        <v/>
      </c>
      <c r="V149">
        <f>HYPERLINK("https://klasma.github.io/Logging_2281/klagomål/A 28764-2020 FSC-klagomål.docx", "A 28764-2020")</f>
        <v/>
      </c>
      <c r="W149">
        <f>HYPERLINK("https://klasma.github.io/Logging_2281/klagomålsmail/A 28764-2020 FSC-klagomål mail.docx", "A 28764-2020")</f>
        <v/>
      </c>
      <c r="X149">
        <f>HYPERLINK("https://klasma.github.io/Logging_2281/tillsyn/A 28764-2020 tillsynsbegäran.docx", "A 28764-2020")</f>
        <v/>
      </c>
      <c r="Y149">
        <f>HYPERLINK("https://klasma.github.io/Logging_2281/tillsynsmail/A 28764-2020 tillsynsbegäran mail.docx", "A 28764-2020")</f>
        <v/>
      </c>
    </row>
    <row r="150" ht="15" customHeight="1">
      <c r="A150" t="inlineStr">
        <is>
          <t>A 50469-2020</t>
        </is>
      </c>
      <c r="B150" s="1" t="n">
        <v>44104</v>
      </c>
      <c r="C150" s="1" t="n">
        <v>45760</v>
      </c>
      <c r="D150" t="inlineStr">
        <is>
          <t>VÄSTERNORRLANDS LÄN</t>
        </is>
      </c>
      <c r="E150" t="inlineStr">
        <is>
          <t>SUNDSVALL</t>
        </is>
      </c>
      <c r="G150" t="n">
        <v>1.8</v>
      </c>
      <c r="H150" t="n">
        <v>1</v>
      </c>
      <c r="I150" t="n">
        <v>0</v>
      </c>
      <c r="J150" t="n">
        <v>1</v>
      </c>
      <c r="K150" t="n">
        <v>0</v>
      </c>
      <c r="L150" t="n">
        <v>0</v>
      </c>
      <c r="M150" t="n">
        <v>0</v>
      </c>
      <c r="N150" t="n">
        <v>0</v>
      </c>
      <c r="O150" t="n">
        <v>1</v>
      </c>
      <c r="P150" t="n">
        <v>0</v>
      </c>
      <c r="Q150" t="n">
        <v>1</v>
      </c>
      <c r="R150" s="2" t="inlineStr">
        <is>
          <t>Sötgräs</t>
        </is>
      </c>
      <c r="S150">
        <f>HYPERLINK("https://klasma.github.io/Logging_2281/artfynd/A 50469-2020 artfynd.xlsx", "A 50469-2020")</f>
        <v/>
      </c>
      <c r="T150">
        <f>HYPERLINK("https://klasma.github.io/Logging_2281/kartor/A 50469-2020 karta.png", "A 50469-2020")</f>
        <v/>
      </c>
      <c r="V150">
        <f>HYPERLINK("https://klasma.github.io/Logging_2281/klagomål/A 50469-2020 FSC-klagomål.docx", "A 50469-2020")</f>
        <v/>
      </c>
      <c r="W150">
        <f>HYPERLINK("https://klasma.github.io/Logging_2281/klagomålsmail/A 50469-2020 FSC-klagomål mail.docx", "A 50469-2020")</f>
        <v/>
      </c>
      <c r="X150">
        <f>HYPERLINK("https://klasma.github.io/Logging_2281/tillsyn/A 50469-2020 tillsynsbegäran.docx", "A 50469-2020")</f>
        <v/>
      </c>
      <c r="Y150">
        <f>HYPERLINK("https://klasma.github.io/Logging_2281/tillsynsmail/A 50469-2020 tillsynsbegäran mail.docx", "A 50469-2020")</f>
        <v/>
      </c>
    </row>
    <row r="151" ht="15" customHeight="1">
      <c r="A151" t="inlineStr">
        <is>
          <t>A 65632-2020</t>
        </is>
      </c>
      <c r="B151" s="1" t="n">
        <v>44173</v>
      </c>
      <c r="C151" s="1" t="n">
        <v>45760</v>
      </c>
      <c r="D151" t="inlineStr">
        <is>
          <t>VÄSTERNORRLANDS LÄN</t>
        </is>
      </c>
      <c r="E151" t="inlineStr">
        <is>
          <t>SUNDSVALL</t>
        </is>
      </c>
      <c r="F151" t="inlineStr">
        <is>
          <t>SCA</t>
        </is>
      </c>
      <c r="G151" t="n">
        <v>3.2</v>
      </c>
      <c r="H151" t="n">
        <v>0</v>
      </c>
      <c r="I151" t="n">
        <v>1</v>
      </c>
      <c r="J151" t="n">
        <v>0</v>
      </c>
      <c r="K151" t="n">
        <v>0</v>
      </c>
      <c r="L151" t="n">
        <v>0</v>
      </c>
      <c r="M151" t="n">
        <v>0</v>
      </c>
      <c r="N151" t="n">
        <v>0</v>
      </c>
      <c r="O151" t="n">
        <v>0</v>
      </c>
      <c r="P151" t="n">
        <v>0</v>
      </c>
      <c r="Q151" t="n">
        <v>1</v>
      </c>
      <c r="R151" s="2" t="inlineStr">
        <is>
          <t>Dropptaggsvamp</t>
        </is>
      </c>
      <c r="S151">
        <f>HYPERLINK("https://klasma.github.io/Logging_2281/artfynd/A 65632-2020 artfynd.xlsx", "A 65632-2020")</f>
        <v/>
      </c>
      <c r="T151">
        <f>HYPERLINK("https://klasma.github.io/Logging_2281/kartor/A 65632-2020 karta.png", "A 65632-2020")</f>
        <v/>
      </c>
      <c r="V151">
        <f>HYPERLINK("https://klasma.github.io/Logging_2281/klagomål/A 65632-2020 FSC-klagomål.docx", "A 65632-2020")</f>
        <v/>
      </c>
      <c r="W151">
        <f>HYPERLINK("https://klasma.github.io/Logging_2281/klagomålsmail/A 65632-2020 FSC-klagomål mail.docx", "A 65632-2020")</f>
        <v/>
      </c>
      <c r="X151">
        <f>HYPERLINK("https://klasma.github.io/Logging_2281/tillsyn/A 65632-2020 tillsynsbegäran.docx", "A 65632-2020")</f>
        <v/>
      </c>
      <c r="Y151">
        <f>HYPERLINK("https://klasma.github.io/Logging_2281/tillsynsmail/A 65632-2020 tillsynsbegäran mail.docx", "A 65632-2020")</f>
        <v/>
      </c>
    </row>
    <row r="152" ht="15" customHeight="1">
      <c r="A152" t="inlineStr">
        <is>
          <t>A 15775-2021</t>
        </is>
      </c>
      <c r="B152" s="1" t="n">
        <v>44286</v>
      </c>
      <c r="C152" s="1" t="n">
        <v>45760</v>
      </c>
      <c r="D152" t="inlineStr">
        <is>
          <t>VÄSTERNORRLANDS LÄN</t>
        </is>
      </c>
      <c r="E152" t="inlineStr">
        <is>
          <t>SUNDSVALL</t>
        </is>
      </c>
      <c r="F152" t="inlineStr">
        <is>
          <t>Kommuner</t>
        </is>
      </c>
      <c r="G152" t="n">
        <v>8.4</v>
      </c>
      <c r="H152" t="n">
        <v>1</v>
      </c>
      <c r="I152" t="n">
        <v>0</v>
      </c>
      <c r="J152" t="n">
        <v>0</v>
      </c>
      <c r="K152" t="n">
        <v>0</v>
      </c>
      <c r="L152" t="n">
        <v>0</v>
      </c>
      <c r="M152" t="n">
        <v>0</v>
      </c>
      <c r="N152" t="n">
        <v>0</v>
      </c>
      <c r="O152" t="n">
        <v>0</v>
      </c>
      <c r="P152" t="n">
        <v>0</v>
      </c>
      <c r="Q152" t="n">
        <v>1</v>
      </c>
      <c r="R152" s="2" t="inlineStr">
        <is>
          <t>Vanlig padda</t>
        </is>
      </c>
      <c r="S152">
        <f>HYPERLINK("https://klasma.github.io/Logging_2281/artfynd/A 15775-2021 artfynd.xlsx", "A 15775-2021")</f>
        <v/>
      </c>
      <c r="T152">
        <f>HYPERLINK("https://klasma.github.io/Logging_2281/kartor/A 15775-2021 karta.png", "A 15775-2021")</f>
        <v/>
      </c>
      <c r="V152">
        <f>HYPERLINK("https://klasma.github.io/Logging_2281/klagomål/A 15775-2021 FSC-klagomål.docx", "A 15775-2021")</f>
        <v/>
      </c>
      <c r="W152">
        <f>HYPERLINK("https://klasma.github.io/Logging_2281/klagomålsmail/A 15775-2021 FSC-klagomål mail.docx", "A 15775-2021")</f>
        <v/>
      </c>
      <c r="X152">
        <f>HYPERLINK("https://klasma.github.io/Logging_2281/tillsyn/A 15775-2021 tillsynsbegäran.docx", "A 15775-2021")</f>
        <v/>
      </c>
      <c r="Y152">
        <f>HYPERLINK("https://klasma.github.io/Logging_2281/tillsynsmail/A 15775-2021 tillsynsbegäran mail.docx", "A 15775-2021")</f>
        <v/>
      </c>
    </row>
    <row r="153" ht="15" customHeight="1">
      <c r="A153" t="inlineStr">
        <is>
          <t>A 17333-2021</t>
        </is>
      </c>
      <c r="B153" s="1" t="n">
        <v>44298</v>
      </c>
      <c r="C153" s="1" t="n">
        <v>45760</v>
      </c>
      <c r="D153" t="inlineStr">
        <is>
          <t>VÄSTERNORRLANDS LÄN</t>
        </is>
      </c>
      <c r="E153" t="inlineStr">
        <is>
          <t>SUNDSVALL</t>
        </is>
      </c>
      <c r="G153" t="n">
        <v>6.7</v>
      </c>
      <c r="H153" t="n">
        <v>1</v>
      </c>
      <c r="I153" t="n">
        <v>0</v>
      </c>
      <c r="J153" t="n">
        <v>1</v>
      </c>
      <c r="K153" t="n">
        <v>0</v>
      </c>
      <c r="L153" t="n">
        <v>0</v>
      </c>
      <c r="M153" t="n">
        <v>0</v>
      </c>
      <c r="N153" t="n">
        <v>0</v>
      </c>
      <c r="O153" t="n">
        <v>1</v>
      </c>
      <c r="P153" t="n">
        <v>0</v>
      </c>
      <c r="Q153" t="n">
        <v>1</v>
      </c>
      <c r="R153" s="2" t="inlineStr">
        <is>
          <t>Mindre hackspett</t>
        </is>
      </c>
      <c r="S153">
        <f>HYPERLINK("https://klasma.github.io/Logging_2281/artfynd/A 17333-2021 artfynd.xlsx", "A 17333-2021")</f>
        <v/>
      </c>
      <c r="T153">
        <f>HYPERLINK("https://klasma.github.io/Logging_2281/kartor/A 17333-2021 karta.png", "A 17333-2021")</f>
        <v/>
      </c>
      <c r="V153">
        <f>HYPERLINK("https://klasma.github.io/Logging_2281/klagomål/A 17333-2021 FSC-klagomål.docx", "A 17333-2021")</f>
        <v/>
      </c>
      <c r="W153">
        <f>HYPERLINK("https://klasma.github.io/Logging_2281/klagomålsmail/A 17333-2021 FSC-klagomål mail.docx", "A 17333-2021")</f>
        <v/>
      </c>
      <c r="X153">
        <f>HYPERLINK("https://klasma.github.io/Logging_2281/tillsyn/A 17333-2021 tillsynsbegäran.docx", "A 17333-2021")</f>
        <v/>
      </c>
      <c r="Y153">
        <f>HYPERLINK("https://klasma.github.io/Logging_2281/tillsynsmail/A 17333-2021 tillsynsbegäran mail.docx", "A 17333-2021")</f>
        <v/>
      </c>
      <c r="Z153">
        <f>HYPERLINK("https://klasma.github.io/Logging_2281/fåglar/A 17333-2021 prioriterade fågelarter.docx", "A 17333-2021")</f>
        <v/>
      </c>
    </row>
    <row r="154" ht="15" customHeight="1">
      <c r="A154" t="inlineStr">
        <is>
          <t>A 17331-2021</t>
        </is>
      </c>
      <c r="B154" s="1" t="n">
        <v>44298</v>
      </c>
      <c r="C154" s="1" t="n">
        <v>45760</v>
      </c>
      <c r="D154" t="inlineStr">
        <is>
          <t>VÄSTERNORRLANDS LÄN</t>
        </is>
      </c>
      <c r="E154" t="inlineStr">
        <is>
          <t>SUNDSVALL</t>
        </is>
      </c>
      <c r="G154" t="n">
        <v>3.7</v>
      </c>
      <c r="H154" t="n">
        <v>0</v>
      </c>
      <c r="I154" t="n">
        <v>0</v>
      </c>
      <c r="J154" t="n">
        <v>1</v>
      </c>
      <c r="K154" t="n">
        <v>0</v>
      </c>
      <c r="L154" t="n">
        <v>0</v>
      </c>
      <c r="M154" t="n">
        <v>0</v>
      </c>
      <c r="N154" t="n">
        <v>0</v>
      </c>
      <c r="O154" t="n">
        <v>1</v>
      </c>
      <c r="P154" t="n">
        <v>0</v>
      </c>
      <c r="Q154" t="n">
        <v>1</v>
      </c>
      <c r="R154" s="2" t="inlineStr">
        <is>
          <t>Myskmåra</t>
        </is>
      </c>
      <c r="S154">
        <f>HYPERLINK("https://klasma.github.io/Logging_2281/artfynd/A 17331-2021 artfynd.xlsx", "A 17331-2021")</f>
        <v/>
      </c>
      <c r="T154">
        <f>HYPERLINK("https://klasma.github.io/Logging_2281/kartor/A 17331-2021 karta.png", "A 17331-2021")</f>
        <v/>
      </c>
      <c r="V154">
        <f>HYPERLINK("https://klasma.github.io/Logging_2281/klagomål/A 17331-2021 FSC-klagomål.docx", "A 17331-2021")</f>
        <v/>
      </c>
      <c r="W154">
        <f>HYPERLINK("https://klasma.github.io/Logging_2281/klagomålsmail/A 17331-2021 FSC-klagomål mail.docx", "A 17331-2021")</f>
        <v/>
      </c>
      <c r="X154">
        <f>HYPERLINK("https://klasma.github.io/Logging_2281/tillsyn/A 17331-2021 tillsynsbegäran.docx", "A 17331-2021")</f>
        <v/>
      </c>
      <c r="Y154">
        <f>HYPERLINK("https://klasma.github.io/Logging_2281/tillsynsmail/A 17331-2021 tillsynsbegäran mail.docx", "A 17331-2021")</f>
        <v/>
      </c>
    </row>
    <row r="155" ht="15" customHeight="1">
      <c r="A155" t="inlineStr">
        <is>
          <t>A 22395-2021</t>
        </is>
      </c>
      <c r="B155" s="1" t="n">
        <v>44326</v>
      </c>
      <c r="C155" s="1" t="n">
        <v>45760</v>
      </c>
      <c r="D155" t="inlineStr">
        <is>
          <t>VÄSTERNORRLANDS LÄN</t>
        </is>
      </c>
      <c r="E155" t="inlineStr">
        <is>
          <t>SUNDSVALL</t>
        </is>
      </c>
      <c r="G155" t="n">
        <v>8.6</v>
      </c>
      <c r="H155" t="n">
        <v>1</v>
      </c>
      <c r="I155" t="n">
        <v>0</v>
      </c>
      <c r="J155" t="n">
        <v>0</v>
      </c>
      <c r="K155" t="n">
        <v>0</v>
      </c>
      <c r="L155" t="n">
        <v>0</v>
      </c>
      <c r="M155" t="n">
        <v>0</v>
      </c>
      <c r="N155" t="n">
        <v>0</v>
      </c>
      <c r="O155" t="n">
        <v>0</v>
      </c>
      <c r="P155" t="n">
        <v>0</v>
      </c>
      <c r="Q155" t="n">
        <v>1</v>
      </c>
      <c r="R155" s="2" t="inlineStr">
        <is>
          <t>Gröngöling</t>
        </is>
      </c>
      <c r="S155">
        <f>HYPERLINK("https://klasma.github.io/Logging_2281/artfynd/A 22395-2021 artfynd.xlsx", "A 22395-2021")</f>
        <v/>
      </c>
      <c r="T155">
        <f>HYPERLINK("https://klasma.github.io/Logging_2281/kartor/A 22395-2021 karta.png", "A 22395-2021")</f>
        <v/>
      </c>
      <c r="V155">
        <f>HYPERLINK("https://klasma.github.io/Logging_2281/klagomål/A 22395-2021 FSC-klagomål.docx", "A 22395-2021")</f>
        <v/>
      </c>
      <c r="W155">
        <f>HYPERLINK("https://klasma.github.io/Logging_2281/klagomålsmail/A 22395-2021 FSC-klagomål mail.docx", "A 22395-2021")</f>
        <v/>
      </c>
      <c r="X155">
        <f>HYPERLINK("https://klasma.github.io/Logging_2281/tillsyn/A 22395-2021 tillsynsbegäran.docx", "A 22395-2021")</f>
        <v/>
      </c>
      <c r="Y155">
        <f>HYPERLINK("https://klasma.github.io/Logging_2281/tillsynsmail/A 22395-2021 tillsynsbegäran mail.docx", "A 22395-2021")</f>
        <v/>
      </c>
      <c r="Z155">
        <f>HYPERLINK("https://klasma.github.io/Logging_2281/fåglar/A 22395-2021 prioriterade fågelarter.docx", "A 22395-2021")</f>
        <v/>
      </c>
    </row>
    <row r="156" ht="15" customHeight="1">
      <c r="A156" t="inlineStr">
        <is>
          <t>A 22420-2021</t>
        </is>
      </c>
      <c r="B156" s="1" t="n">
        <v>44326</v>
      </c>
      <c r="C156" s="1" t="n">
        <v>45760</v>
      </c>
      <c r="D156" t="inlineStr">
        <is>
          <t>VÄSTERNORRLANDS LÄN</t>
        </is>
      </c>
      <c r="E156" t="inlineStr">
        <is>
          <t>SUNDSVALL</t>
        </is>
      </c>
      <c r="F156" t="inlineStr">
        <is>
          <t>Kyrkan</t>
        </is>
      </c>
      <c r="G156" t="n">
        <v>21.9</v>
      </c>
      <c r="H156" t="n">
        <v>1</v>
      </c>
      <c r="I156" t="n">
        <v>0</v>
      </c>
      <c r="J156" t="n">
        <v>1</v>
      </c>
      <c r="K156" t="n">
        <v>0</v>
      </c>
      <c r="L156" t="n">
        <v>0</v>
      </c>
      <c r="M156" t="n">
        <v>0</v>
      </c>
      <c r="N156" t="n">
        <v>0</v>
      </c>
      <c r="O156" t="n">
        <v>1</v>
      </c>
      <c r="P156" t="n">
        <v>0</v>
      </c>
      <c r="Q156" t="n">
        <v>1</v>
      </c>
      <c r="R156" s="2" t="inlineStr">
        <is>
          <t>Järpe</t>
        </is>
      </c>
      <c r="S156">
        <f>HYPERLINK("https://klasma.github.io/Logging_2281/artfynd/A 22420-2021 artfynd.xlsx", "A 22420-2021")</f>
        <v/>
      </c>
      <c r="T156">
        <f>HYPERLINK("https://klasma.github.io/Logging_2281/kartor/A 22420-2021 karta.png", "A 22420-2021")</f>
        <v/>
      </c>
      <c r="V156">
        <f>HYPERLINK("https://klasma.github.io/Logging_2281/klagomål/A 22420-2021 FSC-klagomål.docx", "A 22420-2021")</f>
        <v/>
      </c>
      <c r="W156">
        <f>HYPERLINK("https://klasma.github.io/Logging_2281/klagomålsmail/A 22420-2021 FSC-klagomål mail.docx", "A 22420-2021")</f>
        <v/>
      </c>
      <c r="X156">
        <f>HYPERLINK("https://klasma.github.io/Logging_2281/tillsyn/A 22420-2021 tillsynsbegäran.docx", "A 22420-2021")</f>
        <v/>
      </c>
      <c r="Y156">
        <f>HYPERLINK("https://klasma.github.io/Logging_2281/tillsynsmail/A 22420-2021 tillsynsbegäran mail.docx", "A 22420-2021")</f>
        <v/>
      </c>
      <c r="Z156">
        <f>HYPERLINK("https://klasma.github.io/Logging_2281/fåglar/A 22420-2021 prioriterade fågelarter.docx", "A 22420-2021")</f>
        <v/>
      </c>
    </row>
    <row r="157" ht="15" customHeight="1">
      <c r="A157" t="inlineStr">
        <is>
          <t>A 28332-2021</t>
        </is>
      </c>
      <c r="B157" s="1" t="n">
        <v>44356</v>
      </c>
      <c r="C157" s="1" t="n">
        <v>45760</v>
      </c>
      <c r="D157" t="inlineStr">
        <is>
          <t>VÄSTERNORRLANDS LÄN</t>
        </is>
      </c>
      <c r="E157" t="inlineStr">
        <is>
          <t>SUNDSVALL</t>
        </is>
      </c>
      <c r="G157" t="n">
        <v>11.8</v>
      </c>
      <c r="H157" t="n">
        <v>0</v>
      </c>
      <c r="I157" t="n">
        <v>1</v>
      </c>
      <c r="J157" t="n">
        <v>0</v>
      </c>
      <c r="K157" t="n">
        <v>0</v>
      </c>
      <c r="L157" t="n">
        <v>0</v>
      </c>
      <c r="M157" t="n">
        <v>0</v>
      </c>
      <c r="N157" t="n">
        <v>0</v>
      </c>
      <c r="O157" t="n">
        <v>0</v>
      </c>
      <c r="P157" t="n">
        <v>0</v>
      </c>
      <c r="Q157" t="n">
        <v>1</v>
      </c>
      <c r="R157" s="2" t="inlineStr">
        <is>
          <t>Fjällig taggsvamp s.str.</t>
        </is>
      </c>
      <c r="S157">
        <f>HYPERLINK("https://klasma.github.io/Logging_2281/artfynd/A 28332-2021 artfynd.xlsx", "A 28332-2021")</f>
        <v/>
      </c>
      <c r="T157">
        <f>HYPERLINK("https://klasma.github.io/Logging_2281/kartor/A 28332-2021 karta.png", "A 28332-2021")</f>
        <v/>
      </c>
      <c r="V157">
        <f>HYPERLINK("https://klasma.github.io/Logging_2281/klagomål/A 28332-2021 FSC-klagomål.docx", "A 28332-2021")</f>
        <v/>
      </c>
      <c r="W157">
        <f>HYPERLINK("https://klasma.github.io/Logging_2281/klagomålsmail/A 28332-2021 FSC-klagomål mail.docx", "A 28332-2021")</f>
        <v/>
      </c>
      <c r="X157">
        <f>HYPERLINK("https://klasma.github.io/Logging_2281/tillsyn/A 28332-2021 tillsynsbegäran.docx", "A 28332-2021")</f>
        <v/>
      </c>
      <c r="Y157">
        <f>HYPERLINK("https://klasma.github.io/Logging_2281/tillsynsmail/A 28332-2021 tillsynsbegäran mail.docx", "A 28332-2021")</f>
        <v/>
      </c>
    </row>
    <row r="158" ht="15" customHeight="1">
      <c r="A158" t="inlineStr">
        <is>
          <t>A 37057-2021</t>
        </is>
      </c>
      <c r="B158" s="1" t="n">
        <v>44394</v>
      </c>
      <c r="C158" s="1" t="n">
        <v>45760</v>
      </c>
      <c r="D158" t="inlineStr">
        <is>
          <t>VÄSTERNORRLANDS LÄN</t>
        </is>
      </c>
      <c r="E158" t="inlineStr">
        <is>
          <t>SUNDSVALL</t>
        </is>
      </c>
      <c r="F158" t="inlineStr">
        <is>
          <t>SCA</t>
        </is>
      </c>
      <c r="G158" t="n">
        <v>9.800000000000001</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37057-2021 artfynd.xlsx", "A 37057-2021")</f>
        <v/>
      </c>
      <c r="T158">
        <f>HYPERLINK("https://klasma.github.io/Logging_2281/kartor/A 37057-2021 karta.png", "A 37057-2021")</f>
        <v/>
      </c>
      <c r="V158">
        <f>HYPERLINK("https://klasma.github.io/Logging_2281/klagomål/A 37057-2021 FSC-klagomål.docx", "A 37057-2021")</f>
        <v/>
      </c>
      <c r="W158">
        <f>HYPERLINK("https://klasma.github.io/Logging_2281/klagomålsmail/A 37057-2021 FSC-klagomål mail.docx", "A 37057-2021")</f>
        <v/>
      </c>
      <c r="X158">
        <f>HYPERLINK("https://klasma.github.io/Logging_2281/tillsyn/A 37057-2021 tillsynsbegäran.docx", "A 37057-2021")</f>
        <v/>
      </c>
      <c r="Y158">
        <f>HYPERLINK("https://klasma.github.io/Logging_2281/tillsynsmail/A 37057-2021 tillsynsbegäran mail.docx", "A 37057-2021")</f>
        <v/>
      </c>
      <c r="Z158">
        <f>HYPERLINK("https://klasma.github.io/Logging_2281/fåglar/A 37057-2021 prioriterade fågelarter.docx", "A 37057-2021")</f>
        <v/>
      </c>
    </row>
    <row r="159" ht="15" customHeight="1">
      <c r="A159" t="inlineStr">
        <is>
          <t>A 37231-2021</t>
        </is>
      </c>
      <c r="B159" s="1" t="n">
        <v>44396</v>
      </c>
      <c r="C159" s="1" t="n">
        <v>45760</v>
      </c>
      <c r="D159" t="inlineStr">
        <is>
          <t>VÄSTERNORRLANDS LÄN</t>
        </is>
      </c>
      <c r="E159" t="inlineStr">
        <is>
          <t>SUNDSVALL</t>
        </is>
      </c>
      <c r="F159" t="inlineStr">
        <is>
          <t>SCA</t>
        </is>
      </c>
      <c r="G159" t="n">
        <v>7.3</v>
      </c>
      <c r="H159" t="n">
        <v>1</v>
      </c>
      <c r="I159" t="n">
        <v>0</v>
      </c>
      <c r="J159" t="n">
        <v>0</v>
      </c>
      <c r="K159" t="n">
        <v>0</v>
      </c>
      <c r="L159" t="n">
        <v>0</v>
      </c>
      <c r="M159" t="n">
        <v>0</v>
      </c>
      <c r="N159" t="n">
        <v>0</v>
      </c>
      <c r="O159" t="n">
        <v>0</v>
      </c>
      <c r="P159" t="n">
        <v>0</v>
      </c>
      <c r="Q159" t="n">
        <v>1</v>
      </c>
      <c r="R159" s="2" t="inlineStr">
        <is>
          <t>Orre</t>
        </is>
      </c>
      <c r="S159">
        <f>HYPERLINK("https://klasma.github.io/Logging_2281/artfynd/A 37231-2021 artfynd.xlsx", "A 37231-2021")</f>
        <v/>
      </c>
      <c r="T159">
        <f>HYPERLINK("https://klasma.github.io/Logging_2281/kartor/A 37231-2021 karta.png", "A 37231-2021")</f>
        <v/>
      </c>
      <c r="V159">
        <f>HYPERLINK("https://klasma.github.io/Logging_2281/klagomål/A 37231-2021 FSC-klagomål.docx", "A 37231-2021")</f>
        <v/>
      </c>
      <c r="W159">
        <f>HYPERLINK("https://klasma.github.io/Logging_2281/klagomålsmail/A 37231-2021 FSC-klagomål mail.docx", "A 37231-2021")</f>
        <v/>
      </c>
      <c r="X159">
        <f>HYPERLINK("https://klasma.github.io/Logging_2281/tillsyn/A 37231-2021 tillsynsbegäran.docx", "A 37231-2021")</f>
        <v/>
      </c>
      <c r="Y159">
        <f>HYPERLINK("https://klasma.github.io/Logging_2281/tillsynsmail/A 37231-2021 tillsynsbegäran mail.docx", "A 37231-2021")</f>
        <v/>
      </c>
      <c r="Z159">
        <f>HYPERLINK("https://klasma.github.io/Logging_2281/fåglar/A 37231-2021 prioriterade fågelarter.docx", "A 37231-2021")</f>
        <v/>
      </c>
    </row>
    <row r="160" ht="15" customHeight="1">
      <c r="A160" t="inlineStr">
        <is>
          <t>A 40123-2021</t>
        </is>
      </c>
      <c r="B160" s="1" t="n">
        <v>44418</v>
      </c>
      <c r="C160" s="1" t="n">
        <v>45760</v>
      </c>
      <c r="D160" t="inlineStr">
        <is>
          <t>VÄSTERNORRLANDS LÄN</t>
        </is>
      </c>
      <c r="E160" t="inlineStr">
        <is>
          <t>SUNDSVALL</t>
        </is>
      </c>
      <c r="G160" t="n">
        <v>12.2</v>
      </c>
      <c r="H160" t="n">
        <v>1</v>
      </c>
      <c r="I160" t="n">
        <v>0</v>
      </c>
      <c r="J160" t="n">
        <v>1</v>
      </c>
      <c r="K160" t="n">
        <v>0</v>
      </c>
      <c r="L160" t="n">
        <v>0</v>
      </c>
      <c r="M160" t="n">
        <v>0</v>
      </c>
      <c r="N160" t="n">
        <v>0</v>
      </c>
      <c r="O160" t="n">
        <v>1</v>
      </c>
      <c r="P160" t="n">
        <v>0</v>
      </c>
      <c r="Q160" t="n">
        <v>1</v>
      </c>
      <c r="R160" s="2" t="inlineStr">
        <is>
          <t>Skogsfru</t>
        </is>
      </c>
      <c r="S160">
        <f>HYPERLINK("https://klasma.github.io/Logging_2281/artfynd/A 40123-2021 artfynd.xlsx", "A 40123-2021")</f>
        <v/>
      </c>
      <c r="T160">
        <f>HYPERLINK("https://klasma.github.io/Logging_2281/kartor/A 40123-2021 karta.png", "A 40123-2021")</f>
        <v/>
      </c>
      <c r="V160">
        <f>HYPERLINK("https://klasma.github.io/Logging_2281/klagomål/A 40123-2021 FSC-klagomål.docx", "A 40123-2021")</f>
        <v/>
      </c>
      <c r="W160">
        <f>HYPERLINK("https://klasma.github.io/Logging_2281/klagomålsmail/A 40123-2021 FSC-klagomål mail.docx", "A 40123-2021")</f>
        <v/>
      </c>
      <c r="X160">
        <f>HYPERLINK("https://klasma.github.io/Logging_2281/tillsyn/A 40123-2021 tillsynsbegäran.docx", "A 40123-2021")</f>
        <v/>
      </c>
      <c r="Y160">
        <f>HYPERLINK("https://klasma.github.io/Logging_2281/tillsynsmail/A 40123-2021 tillsynsbegäran mail.docx", "A 40123-2021")</f>
        <v/>
      </c>
    </row>
    <row r="161" ht="15" customHeight="1">
      <c r="A161" t="inlineStr">
        <is>
          <t>A 56217-2021</t>
        </is>
      </c>
      <c r="B161" s="1" t="n">
        <v>44478</v>
      </c>
      <c r="C161" s="1" t="n">
        <v>45760</v>
      </c>
      <c r="D161" t="inlineStr">
        <is>
          <t>VÄSTERNORRLANDS LÄN</t>
        </is>
      </c>
      <c r="E161" t="inlineStr">
        <is>
          <t>SUNDSVALL</t>
        </is>
      </c>
      <c r="F161" t="inlineStr">
        <is>
          <t>SCA</t>
        </is>
      </c>
      <c r="G161" t="n">
        <v>4.5</v>
      </c>
      <c r="H161" t="n">
        <v>1</v>
      </c>
      <c r="I161" t="n">
        <v>0</v>
      </c>
      <c r="J161" t="n">
        <v>0</v>
      </c>
      <c r="K161" t="n">
        <v>0</v>
      </c>
      <c r="L161" t="n">
        <v>0</v>
      </c>
      <c r="M161" t="n">
        <v>0</v>
      </c>
      <c r="N161" t="n">
        <v>0</v>
      </c>
      <c r="O161" t="n">
        <v>0</v>
      </c>
      <c r="P161" t="n">
        <v>0</v>
      </c>
      <c r="Q161" t="n">
        <v>1</v>
      </c>
      <c r="R161" s="2" t="inlineStr">
        <is>
          <t>Tjäder</t>
        </is>
      </c>
      <c r="S161">
        <f>HYPERLINK("https://klasma.github.io/Logging_2281/artfynd/A 56217-2021 artfynd.xlsx", "A 56217-2021")</f>
        <v/>
      </c>
      <c r="T161">
        <f>HYPERLINK("https://klasma.github.io/Logging_2281/kartor/A 56217-2021 karta.png", "A 56217-2021")</f>
        <v/>
      </c>
      <c r="V161">
        <f>HYPERLINK("https://klasma.github.io/Logging_2281/klagomål/A 56217-2021 FSC-klagomål.docx", "A 56217-2021")</f>
        <v/>
      </c>
      <c r="W161">
        <f>HYPERLINK("https://klasma.github.io/Logging_2281/klagomålsmail/A 56217-2021 FSC-klagomål mail.docx", "A 56217-2021")</f>
        <v/>
      </c>
      <c r="X161">
        <f>HYPERLINK("https://klasma.github.io/Logging_2281/tillsyn/A 56217-2021 tillsynsbegäran.docx", "A 56217-2021")</f>
        <v/>
      </c>
      <c r="Y161">
        <f>HYPERLINK("https://klasma.github.io/Logging_2281/tillsynsmail/A 56217-2021 tillsynsbegäran mail.docx", "A 56217-2021")</f>
        <v/>
      </c>
      <c r="Z161">
        <f>HYPERLINK("https://klasma.github.io/Logging_2281/fåglar/A 56217-2021 prioriterade fågelarter.docx", "A 56217-2021")</f>
        <v/>
      </c>
    </row>
    <row r="162" ht="15" customHeight="1">
      <c r="A162" t="inlineStr">
        <is>
          <t>A 64922-2021</t>
        </is>
      </c>
      <c r="B162" s="1" t="n">
        <v>44512</v>
      </c>
      <c r="C162" s="1" t="n">
        <v>45760</v>
      </c>
      <c r="D162" t="inlineStr">
        <is>
          <t>VÄSTERNORRLANDS LÄN</t>
        </is>
      </c>
      <c r="E162" t="inlineStr">
        <is>
          <t>SUNDSVALL</t>
        </is>
      </c>
      <c r="F162" t="inlineStr">
        <is>
          <t>Kommuner</t>
        </is>
      </c>
      <c r="G162" t="n">
        <v>1.5</v>
      </c>
      <c r="H162" t="n">
        <v>1</v>
      </c>
      <c r="I162" t="n">
        <v>0</v>
      </c>
      <c r="J162" t="n">
        <v>0</v>
      </c>
      <c r="K162" t="n">
        <v>0</v>
      </c>
      <c r="L162" t="n">
        <v>0</v>
      </c>
      <c r="M162" t="n">
        <v>0</v>
      </c>
      <c r="N162" t="n">
        <v>0</v>
      </c>
      <c r="O162" t="n">
        <v>0</v>
      </c>
      <c r="P162" t="n">
        <v>0</v>
      </c>
      <c r="Q162" t="n">
        <v>1</v>
      </c>
      <c r="R162" s="2" t="inlineStr">
        <is>
          <t>Näktergal</t>
        </is>
      </c>
      <c r="S162">
        <f>HYPERLINK("https://klasma.github.io/Logging_2281/artfynd/A 64922-2021 artfynd.xlsx", "A 64922-2021")</f>
        <v/>
      </c>
      <c r="T162">
        <f>HYPERLINK("https://klasma.github.io/Logging_2281/kartor/A 64922-2021 karta.png", "A 64922-2021")</f>
        <v/>
      </c>
      <c r="V162">
        <f>HYPERLINK("https://klasma.github.io/Logging_2281/klagomål/A 64922-2021 FSC-klagomål.docx", "A 64922-2021")</f>
        <v/>
      </c>
      <c r="W162">
        <f>HYPERLINK("https://klasma.github.io/Logging_2281/klagomålsmail/A 64922-2021 FSC-klagomål mail.docx", "A 64922-2021")</f>
        <v/>
      </c>
      <c r="X162">
        <f>HYPERLINK("https://klasma.github.io/Logging_2281/tillsyn/A 64922-2021 tillsynsbegäran.docx", "A 64922-2021")</f>
        <v/>
      </c>
      <c r="Y162">
        <f>HYPERLINK("https://klasma.github.io/Logging_2281/tillsynsmail/A 64922-2021 tillsynsbegäran mail.docx", "A 64922-2021")</f>
        <v/>
      </c>
      <c r="Z162">
        <f>HYPERLINK("https://klasma.github.io/Logging_2281/fåglar/A 64922-2021 prioriterade fågelarter.docx", "A 64922-2021")</f>
        <v/>
      </c>
    </row>
    <row r="163" ht="15" customHeight="1">
      <c r="A163" t="inlineStr">
        <is>
          <t>A 3008-2022</t>
        </is>
      </c>
      <c r="B163" s="1" t="n">
        <v>44581</v>
      </c>
      <c r="C163" s="1" t="n">
        <v>45760</v>
      </c>
      <c r="D163" t="inlineStr">
        <is>
          <t>VÄSTERNORRLANDS LÄN</t>
        </is>
      </c>
      <c r="E163" t="inlineStr">
        <is>
          <t>SUNDSVALL</t>
        </is>
      </c>
      <c r="G163" t="n">
        <v>1</v>
      </c>
      <c r="H163" t="n">
        <v>0</v>
      </c>
      <c r="I163" t="n">
        <v>0</v>
      </c>
      <c r="J163" t="n">
        <v>1</v>
      </c>
      <c r="K163" t="n">
        <v>0</v>
      </c>
      <c r="L163" t="n">
        <v>0</v>
      </c>
      <c r="M163" t="n">
        <v>0</v>
      </c>
      <c r="N163" t="n">
        <v>0</v>
      </c>
      <c r="O163" t="n">
        <v>1</v>
      </c>
      <c r="P163" t="n">
        <v>0</v>
      </c>
      <c r="Q163" t="n">
        <v>1</v>
      </c>
      <c r="R163" s="2" t="inlineStr">
        <is>
          <t>Fjällhumla</t>
        </is>
      </c>
      <c r="S163">
        <f>HYPERLINK("https://klasma.github.io/Logging_2281/artfynd/A 3008-2022 artfynd.xlsx", "A 3008-2022")</f>
        <v/>
      </c>
      <c r="T163">
        <f>HYPERLINK("https://klasma.github.io/Logging_2281/kartor/A 3008-2022 karta.png", "A 3008-2022")</f>
        <v/>
      </c>
      <c r="V163">
        <f>HYPERLINK("https://klasma.github.io/Logging_2281/klagomål/A 3008-2022 FSC-klagomål.docx", "A 3008-2022")</f>
        <v/>
      </c>
      <c r="W163">
        <f>HYPERLINK("https://klasma.github.io/Logging_2281/klagomålsmail/A 3008-2022 FSC-klagomål mail.docx", "A 3008-2022")</f>
        <v/>
      </c>
      <c r="X163">
        <f>HYPERLINK("https://klasma.github.io/Logging_2281/tillsyn/A 3008-2022 tillsynsbegäran.docx", "A 3008-2022")</f>
        <v/>
      </c>
      <c r="Y163">
        <f>HYPERLINK("https://klasma.github.io/Logging_2281/tillsynsmail/A 3008-2022 tillsynsbegäran mail.docx", "A 3008-2022")</f>
        <v/>
      </c>
    </row>
    <row r="164" ht="15" customHeight="1">
      <c r="A164" t="inlineStr">
        <is>
          <t>A 9200-2022</t>
        </is>
      </c>
      <c r="B164" s="1" t="n">
        <v>44615</v>
      </c>
      <c r="C164" s="1" t="n">
        <v>45760</v>
      </c>
      <c r="D164" t="inlineStr">
        <is>
          <t>VÄSTERNORRLANDS LÄN</t>
        </is>
      </c>
      <c r="E164" t="inlineStr">
        <is>
          <t>SUNDSVALL</t>
        </is>
      </c>
      <c r="G164" t="n">
        <v>17.6</v>
      </c>
      <c r="H164" t="n">
        <v>0</v>
      </c>
      <c r="I164" t="n">
        <v>0</v>
      </c>
      <c r="J164" t="n">
        <v>1</v>
      </c>
      <c r="K164" t="n">
        <v>0</v>
      </c>
      <c r="L164" t="n">
        <v>0</v>
      </c>
      <c r="M164" t="n">
        <v>0</v>
      </c>
      <c r="N164" t="n">
        <v>0</v>
      </c>
      <c r="O164" t="n">
        <v>1</v>
      </c>
      <c r="P164" t="n">
        <v>0</v>
      </c>
      <c r="Q164" t="n">
        <v>1</v>
      </c>
      <c r="R164" s="2" t="inlineStr">
        <is>
          <t>Blå taggsvamp</t>
        </is>
      </c>
      <c r="S164">
        <f>HYPERLINK("https://klasma.github.io/Logging_2281/artfynd/A 9200-2022 artfynd.xlsx", "A 9200-2022")</f>
        <v/>
      </c>
      <c r="T164">
        <f>HYPERLINK("https://klasma.github.io/Logging_2281/kartor/A 9200-2022 karta.png", "A 9200-2022")</f>
        <v/>
      </c>
      <c r="V164">
        <f>HYPERLINK("https://klasma.github.io/Logging_2281/klagomål/A 9200-2022 FSC-klagomål.docx", "A 9200-2022")</f>
        <v/>
      </c>
      <c r="W164">
        <f>HYPERLINK("https://klasma.github.io/Logging_2281/klagomålsmail/A 9200-2022 FSC-klagomål mail.docx", "A 9200-2022")</f>
        <v/>
      </c>
      <c r="X164">
        <f>HYPERLINK("https://klasma.github.io/Logging_2281/tillsyn/A 9200-2022 tillsynsbegäran.docx", "A 9200-2022")</f>
        <v/>
      </c>
      <c r="Y164">
        <f>HYPERLINK("https://klasma.github.io/Logging_2281/tillsynsmail/A 9200-2022 tillsynsbegäran mail.docx", "A 9200-2022")</f>
        <v/>
      </c>
    </row>
    <row r="165" ht="15" customHeight="1">
      <c r="A165" t="inlineStr">
        <is>
          <t>A 14014-2022</t>
        </is>
      </c>
      <c r="B165" s="1" t="n">
        <v>44650</v>
      </c>
      <c r="C165" s="1" t="n">
        <v>45760</v>
      </c>
      <c r="D165" t="inlineStr">
        <is>
          <t>VÄSTERNORRLANDS LÄN</t>
        </is>
      </c>
      <c r="E165" t="inlineStr">
        <is>
          <t>SUNDSVALL</t>
        </is>
      </c>
      <c r="G165" t="n">
        <v>1.7</v>
      </c>
      <c r="H165" t="n">
        <v>0</v>
      </c>
      <c r="I165" t="n">
        <v>1</v>
      </c>
      <c r="J165" t="n">
        <v>0</v>
      </c>
      <c r="K165" t="n">
        <v>0</v>
      </c>
      <c r="L165" t="n">
        <v>0</v>
      </c>
      <c r="M165" t="n">
        <v>0</v>
      </c>
      <c r="N165" t="n">
        <v>0</v>
      </c>
      <c r="O165" t="n">
        <v>0</v>
      </c>
      <c r="P165" t="n">
        <v>0</v>
      </c>
      <c r="Q165" t="n">
        <v>1</v>
      </c>
      <c r="R165" s="2" t="inlineStr">
        <is>
          <t>Stor aspticka</t>
        </is>
      </c>
      <c r="S165">
        <f>HYPERLINK("https://klasma.github.io/Logging_2281/artfynd/A 14014-2022 artfynd.xlsx", "A 14014-2022")</f>
        <v/>
      </c>
      <c r="T165">
        <f>HYPERLINK("https://klasma.github.io/Logging_2281/kartor/A 14014-2022 karta.png", "A 14014-2022")</f>
        <v/>
      </c>
      <c r="V165">
        <f>HYPERLINK("https://klasma.github.io/Logging_2281/klagomål/A 14014-2022 FSC-klagomål.docx", "A 14014-2022")</f>
        <v/>
      </c>
      <c r="W165">
        <f>HYPERLINK("https://klasma.github.io/Logging_2281/klagomålsmail/A 14014-2022 FSC-klagomål mail.docx", "A 14014-2022")</f>
        <v/>
      </c>
      <c r="X165">
        <f>HYPERLINK("https://klasma.github.io/Logging_2281/tillsyn/A 14014-2022 tillsynsbegäran.docx", "A 14014-2022")</f>
        <v/>
      </c>
      <c r="Y165">
        <f>HYPERLINK("https://klasma.github.io/Logging_2281/tillsynsmail/A 14014-2022 tillsynsbegäran mail.docx", "A 14014-2022")</f>
        <v/>
      </c>
    </row>
    <row r="166" ht="15" customHeight="1">
      <c r="A166" t="inlineStr">
        <is>
          <t>A 14676-2022</t>
        </is>
      </c>
      <c r="B166" s="1" t="n">
        <v>44655</v>
      </c>
      <c r="C166" s="1" t="n">
        <v>45760</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19305-2022</t>
        </is>
      </c>
      <c r="B167" s="1" t="n">
        <v>44692</v>
      </c>
      <c r="C167" s="1" t="n">
        <v>45760</v>
      </c>
      <c r="D167" t="inlineStr">
        <is>
          <t>VÄSTERNORRLANDS LÄN</t>
        </is>
      </c>
      <c r="E167" t="inlineStr">
        <is>
          <t>SUNDSVALL</t>
        </is>
      </c>
      <c r="G167" t="n">
        <v>4.1</v>
      </c>
      <c r="H167" t="n">
        <v>0</v>
      </c>
      <c r="I167" t="n">
        <v>0</v>
      </c>
      <c r="J167" t="n">
        <v>1</v>
      </c>
      <c r="K167" t="n">
        <v>0</v>
      </c>
      <c r="L167" t="n">
        <v>0</v>
      </c>
      <c r="M167" t="n">
        <v>0</v>
      </c>
      <c r="N167" t="n">
        <v>0</v>
      </c>
      <c r="O167" t="n">
        <v>1</v>
      </c>
      <c r="P167" t="n">
        <v>0</v>
      </c>
      <c r="Q167" t="n">
        <v>1</v>
      </c>
      <c r="R167" s="2" t="inlineStr">
        <is>
          <t>Månlåsbräken</t>
        </is>
      </c>
      <c r="S167">
        <f>HYPERLINK("https://klasma.github.io/Logging_2281/artfynd/A 19305-2022 artfynd.xlsx", "A 19305-2022")</f>
        <v/>
      </c>
      <c r="T167">
        <f>HYPERLINK("https://klasma.github.io/Logging_2281/kartor/A 19305-2022 karta.png", "A 19305-2022")</f>
        <v/>
      </c>
      <c r="V167">
        <f>HYPERLINK("https://klasma.github.io/Logging_2281/klagomål/A 19305-2022 FSC-klagomål.docx", "A 19305-2022")</f>
        <v/>
      </c>
      <c r="W167">
        <f>HYPERLINK("https://klasma.github.io/Logging_2281/klagomålsmail/A 19305-2022 FSC-klagomål mail.docx", "A 19305-2022")</f>
        <v/>
      </c>
      <c r="X167">
        <f>HYPERLINK("https://klasma.github.io/Logging_2281/tillsyn/A 19305-2022 tillsynsbegäran.docx", "A 19305-2022")</f>
        <v/>
      </c>
      <c r="Y167">
        <f>HYPERLINK("https://klasma.github.io/Logging_2281/tillsynsmail/A 19305-2022 tillsynsbegäran mail.docx", "A 19305-2022")</f>
        <v/>
      </c>
    </row>
    <row r="168" ht="15" customHeight="1">
      <c r="A168" t="inlineStr">
        <is>
          <t>A 21663-2022</t>
        </is>
      </c>
      <c r="B168" s="1" t="n">
        <v>44707</v>
      </c>
      <c r="C168" s="1" t="n">
        <v>45760</v>
      </c>
      <c r="D168" t="inlineStr">
        <is>
          <t>VÄSTERNORRLANDS LÄN</t>
        </is>
      </c>
      <c r="E168" t="inlineStr">
        <is>
          <t>SUNDSVALL</t>
        </is>
      </c>
      <c r="F168" t="inlineStr">
        <is>
          <t>SCA</t>
        </is>
      </c>
      <c r="G168" t="n">
        <v>1.5</v>
      </c>
      <c r="H168" t="n">
        <v>0</v>
      </c>
      <c r="I168" t="n">
        <v>0</v>
      </c>
      <c r="J168" t="n">
        <v>1</v>
      </c>
      <c r="K168" t="n">
        <v>0</v>
      </c>
      <c r="L168" t="n">
        <v>0</v>
      </c>
      <c r="M168" t="n">
        <v>0</v>
      </c>
      <c r="N168" t="n">
        <v>0</v>
      </c>
      <c r="O168" t="n">
        <v>1</v>
      </c>
      <c r="P168" t="n">
        <v>0</v>
      </c>
      <c r="Q168" t="n">
        <v>1</v>
      </c>
      <c r="R168" s="2" t="inlineStr">
        <is>
          <t>Garnlav</t>
        </is>
      </c>
      <c r="S168">
        <f>HYPERLINK("https://klasma.github.io/Logging_2281/artfynd/A 21663-2022 artfynd.xlsx", "A 21663-2022")</f>
        <v/>
      </c>
      <c r="T168">
        <f>HYPERLINK("https://klasma.github.io/Logging_2281/kartor/A 21663-2022 karta.png", "A 21663-2022")</f>
        <v/>
      </c>
      <c r="V168">
        <f>HYPERLINK("https://klasma.github.io/Logging_2281/klagomål/A 21663-2022 FSC-klagomål.docx", "A 21663-2022")</f>
        <v/>
      </c>
      <c r="W168">
        <f>HYPERLINK("https://klasma.github.io/Logging_2281/klagomålsmail/A 21663-2022 FSC-klagomål mail.docx", "A 21663-2022")</f>
        <v/>
      </c>
      <c r="X168">
        <f>HYPERLINK("https://klasma.github.io/Logging_2281/tillsyn/A 21663-2022 tillsynsbegäran.docx", "A 21663-2022")</f>
        <v/>
      </c>
      <c r="Y168">
        <f>HYPERLINK("https://klasma.github.io/Logging_2281/tillsynsmail/A 21663-2022 tillsynsbegäran mail.docx", "A 21663-2022")</f>
        <v/>
      </c>
    </row>
    <row r="169" ht="15" customHeight="1">
      <c r="A169" t="inlineStr">
        <is>
          <t>A 22556-2022</t>
        </is>
      </c>
      <c r="B169" s="1" t="n">
        <v>44714</v>
      </c>
      <c r="C169" s="1" t="n">
        <v>45760</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23711-2022</t>
        </is>
      </c>
      <c r="B170" s="1" t="n">
        <v>44722</v>
      </c>
      <c r="C170" s="1" t="n">
        <v>45760</v>
      </c>
      <c r="D170" t="inlineStr">
        <is>
          <t>VÄSTERNORRLANDS LÄN</t>
        </is>
      </c>
      <c r="E170" t="inlineStr">
        <is>
          <t>SUNDSVALL</t>
        </is>
      </c>
      <c r="F170" t="inlineStr">
        <is>
          <t>Holmen skog AB</t>
        </is>
      </c>
      <c r="G170" t="n">
        <v>2.8</v>
      </c>
      <c r="H170" t="n">
        <v>0</v>
      </c>
      <c r="I170" t="n">
        <v>0</v>
      </c>
      <c r="J170" t="n">
        <v>1</v>
      </c>
      <c r="K170" t="n">
        <v>0</v>
      </c>
      <c r="L170" t="n">
        <v>0</v>
      </c>
      <c r="M170" t="n">
        <v>0</v>
      </c>
      <c r="N170" t="n">
        <v>0</v>
      </c>
      <c r="O170" t="n">
        <v>1</v>
      </c>
      <c r="P170" t="n">
        <v>0</v>
      </c>
      <c r="Q170" t="n">
        <v>1</v>
      </c>
      <c r="R170" s="2" t="inlineStr">
        <is>
          <t>Garnlav</t>
        </is>
      </c>
      <c r="S170">
        <f>HYPERLINK("https://klasma.github.io/Logging_2281/artfynd/A 23711-2022 artfynd.xlsx", "A 23711-2022")</f>
        <v/>
      </c>
      <c r="T170">
        <f>HYPERLINK("https://klasma.github.io/Logging_2281/kartor/A 23711-2022 karta.png", "A 23711-2022")</f>
        <v/>
      </c>
      <c r="V170">
        <f>HYPERLINK("https://klasma.github.io/Logging_2281/klagomål/A 23711-2022 FSC-klagomål.docx", "A 23711-2022")</f>
        <v/>
      </c>
      <c r="W170">
        <f>HYPERLINK("https://klasma.github.io/Logging_2281/klagomålsmail/A 23711-2022 FSC-klagomål mail.docx", "A 23711-2022")</f>
        <v/>
      </c>
      <c r="X170">
        <f>HYPERLINK("https://klasma.github.io/Logging_2281/tillsyn/A 23711-2022 tillsynsbegäran.docx", "A 23711-2022")</f>
        <v/>
      </c>
      <c r="Y170">
        <f>HYPERLINK("https://klasma.github.io/Logging_2281/tillsynsmail/A 23711-2022 tillsynsbegäran mail.docx", "A 23711-2022")</f>
        <v/>
      </c>
    </row>
    <row r="171" ht="15" customHeight="1">
      <c r="A171" t="inlineStr">
        <is>
          <t>A 25250-2022</t>
        </is>
      </c>
      <c r="B171" s="1" t="n">
        <v>44729</v>
      </c>
      <c r="C171" s="1" t="n">
        <v>45760</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Stor aspticka</t>
        </is>
      </c>
      <c r="S171">
        <f>HYPERLINK("https://klasma.github.io/Logging_2281/artfynd/A 25250-2022 artfynd.xlsx", "A 25250-2022")</f>
        <v/>
      </c>
      <c r="T171">
        <f>HYPERLINK("https://klasma.github.io/Logging_2281/kartor/A 25250-2022 karta.png", "A 25250-2022")</f>
        <v/>
      </c>
      <c r="V171">
        <f>HYPERLINK("https://klasma.github.io/Logging_2281/klagomål/A 25250-2022 FSC-klagomål.docx", "A 25250-2022")</f>
        <v/>
      </c>
      <c r="W171">
        <f>HYPERLINK("https://klasma.github.io/Logging_2281/klagomålsmail/A 25250-2022 FSC-klagomål mail.docx", "A 25250-2022")</f>
        <v/>
      </c>
      <c r="X171">
        <f>HYPERLINK("https://klasma.github.io/Logging_2281/tillsyn/A 25250-2022 tillsynsbegäran.docx", "A 25250-2022")</f>
        <v/>
      </c>
      <c r="Y171">
        <f>HYPERLINK("https://klasma.github.io/Logging_2281/tillsynsmail/A 25250-2022 tillsynsbegäran mail.docx", "A 25250-2022")</f>
        <v/>
      </c>
    </row>
    <row r="172" ht="15" customHeight="1">
      <c r="A172" t="inlineStr">
        <is>
          <t>A 28728-2022</t>
        </is>
      </c>
      <c r="B172" s="1" t="n">
        <v>44749</v>
      </c>
      <c r="C172" s="1" t="n">
        <v>45760</v>
      </c>
      <c r="D172" t="inlineStr">
        <is>
          <t>VÄSTERNORRLANDS LÄN</t>
        </is>
      </c>
      <c r="E172" t="inlineStr">
        <is>
          <t>SUNDSVALL</t>
        </is>
      </c>
      <c r="F172" t="inlineStr">
        <is>
          <t>SCA</t>
        </is>
      </c>
      <c r="G172" t="n">
        <v>3.4</v>
      </c>
      <c r="H172" t="n">
        <v>0</v>
      </c>
      <c r="I172" t="n">
        <v>0</v>
      </c>
      <c r="J172" t="n">
        <v>1</v>
      </c>
      <c r="K172" t="n">
        <v>0</v>
      </c>
      <c r="L172" t="n">
        <v>0</v>
      </c>
      <c r="M172" t="n">
        <v>0</v>
      </c>
      <c r="N172" t="n">
        <v>0</v>
      </c>
      <c r="O172" t="n">
        <v>1</v>
      </c>
      <c r="P172" t="n">
        <v>0</v>
      </c>
      <c r="Q172" t="n">
        <v>1</v>
      </c>
      <c r="R172" s="2" t="inlineStr">
        <is>
          <t>Garnlav</t>
        </is>
      </c>
      <c r="S172">
        <f>HYPERLINK("https://klasma.github.io/Logging_2281/artfynd/A 28728-2022 artfynd.xlsx", "A 28728-2022")</f>
        <v/>
      </c>
      <c r="T172">
        <f>HYPERLINK("https://klasma.github.io/Logging_2281/kartor/A 28728-2022 karta.png", "A 28728-2022")</f>
        <v/>
      </c>
      <c r="V172">
        <f>HYPERLINK("https://klasma.github.io/Logging_2281/klagomål/A 28728-2022 FSC-klagomål.docx", "A 28728-2022")</f>
        <v/>
      </c>
      <c r="W172">
        <f>HYPERLINK("https://klasma.github.io/Logging_2281/klagomålsmail/A 28728-2022 FSC-klagomål mail.docx", "A 28728-2022")</f>
        <v/>
      </c>
      <c r="X172">
        <f>HYPERLINK("https://klasma.github.io/Logging_2281/tillsyn/A 28728-2022 tillsynsbegäran.docx", "A 28728-2022")</f>
        <v/>
      </c>
      <c r="Y172">
        <f>HYPERLINK("https://klasma.github.io/Logging_2281/tillsynsmail/A 28728-2022 tillsynsbegäran mail.docx", "A 28728-2022")</f>
        <v/>
      </c>
    </row>
    <row r="173" ht="15" customHeight="1">
      <c r="A173" t="inlineStr">
        <is>
          <t>A 30933-2022</t>
        </is>
      </c>
      <c r="B173" s="1" t="n">
        <v>44768</v>
      </c>
      <c r="C173" s="1" t="n">
        <v>45760</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47662-2022</t>
        </is>
      </c>
      <c r="B174" s="1" t="n">
        <v>44854</v>
      </c>
      <c r="C174" s="1" t="n">
        <v>45760</v>
      </c>
      <c r="D174" t="inlineStr">
        <is>
          <t>VÄSTERNORRLANDS LÄN</t>
        </is>
      </c>
      <c r="E174" t="inlineStr">
        <is>
          <t>SUNDSVALL</t>
        </is>
      </c>
      <c r="G174" t="n">
        <v>4.7</v>
      </c>
      <c r="H174" t="n">
        <v>1</v>
      </c>
      <c r="I174" t="n">
        <v>0</v>
      </c>
      <c r="J174" t="n">
        <v>0</v>
      </c>
      <c r="K174" t="n">
        <v>0</v>
      </c>
      <c r="L174" t="n">
        <v>0</v>
      </c>
      <c r="M174" t="n">
        <v>0</v>
      </c>
      <c r="N174" t="n">
        <v>0</v>
      </c>
      <c r="O174" t="n">
        <v>0</v>
      </c>
      <c r="P174" t="n">
        <v>0</v>
      </c>
      <c r="Q174" t="n">
        <v>1</v>
      </c>
      <c r="R174" s="2" t="inlineStr">
        <is>
          <t>Skogsödla</t>
        </is>
      </c>
      <c r="S174">
        <f>HYPERLINK("https://klasma.github.io/Logging_2281/artfynd/A 47662-2022 artfynd.xlsx", "A 47662-2022")</f>
        <v/>
      </c>
      <c r="T174">
        <f>HYPERLINK("https://klasma.github.io/Logging_2281/kartor/A 47662-2022 karta.png", "A 47662-2022")</f>
        <v/>
      </c>
      <c r="V174">
        <f>HYPERLINK("https://klasma.github.io/Logging_2281/klagomål/A 47662-2022 FSC-klagomål.docx", "A 47662-2022")</f>
        <v/>
      </c>
      <c r="W174">
        <f>HYPERLINK("https://klasma.github.io/Logging_2281/klagomålsmail/A 47662-2022 FSC-klagomål mail.docx", "A 47662-2022")</f>
        <v/>
      </c>
      <c r="X174">
        <f>HYPERLINK("https://klasma.github.io/Logging_2281/tillsyn/A 47662-2022 tillsynsbegäran.docx", "A 47662-2022")</f>
        <v/>
      </c>
      <c r="Y174">
        <f>HYPERLINK("https://klasma.github.io/Logging_2281/tillsynsmail/A 47662-2022 tillsynsbegäran mail.docx", "A 47662-2022")</f>
        <v/>
      </c>
    </row>
    <row r="175" ht="15" customHeight="1">
      <c r="A175" t="inlineStr">
        <is>
          <t>A 47807-2022</t>
        </is>
      </c>
      <c r="B175" s="1" t="n">
        <v>44854</v>
      </c>
      <c r="C175" s="1" t="n">
        <v>45760</v>
      </c>
      <c r="D175" t="inlineStr">
        <is>
          <t>VÄSTERNORRLANDS LÄN</t>
        </is>
      </c>
      <c r="E175" t="inlineStr">
        <is>
          <t>SUNDSVALL</t>
        </is>
      </c>
      <c r="F175" t="inlineStr">
        <is>
          <t>SCA</t>
        </is>
      </c>
      <c r="G175" t="n">
        <v>9.9</v>
      </c>
      <c r="H175" t="n">
        <v>0</v>
      </c>
      <c r="I175" t="n">
        <v>0</v>
      </c>
      <c r="J175" t="n">
        <v>1</v>
      </c>
      <c r="K175" t="n">
        <v>0</v>
      </c>
      <c r="L175" t="n">
        <v>0</v>
      </c>
      <c r="M175" t="n">
        <v>0</v>
      </c>
      <c r="N175" t="n">
        <v>0</v>
      </c>
      <c r="O175" t="n">
        <v>1</v>
      </c>
      <c r="P175" t="n">
        <v>0</v>
      </c>
      <c r="Q175" t="n">
        <v>1</v>
      </c>
      <c r="R175" s="2" t="inlineStr">
        <is>
          <t>Garnlav</t>
        </is>
      </c>
      <c r="S175">
        <f>HYPERLINK("https://klasma.github.io/Logging_2281/artfynd/A 47807-2022 artfynd.xlsx", "A 47807-2022")</f>
        <v/>
      </c>
      <c r="T175">
        <f>HYPERLINK("https://klasma.github.io/Logging_2281/kartor/A 47807-2022 karta.png", "A 47807-2022")</f>
        <v/>
      </c>
      <c r="V175">
        <f>HYPERLINK("https://klasma.github.io/Logging_2281/klagomål/A 47807-2022 FSC-klagomål.docx", "A 47807-2022")</f>
        <v/>
      </c>
      <c r="W175">
        <f>HYPERLINK("https://klasma.github.io/Logging_2281/klagomålsmail/A 47807-2022 FSC-klagomål mail.docx", "A 47807-2022")</f>
        <v/>
      </c>
      <c r="X175">
        <f>HYPERLINK("https://klasma.github.io/Logging_2281/tillsyn/A 47807-2022 tillsynsbegäran.docx", "A 47807-2022")</f>
        <v/>
      </c>
      <c r="Y175">
        <f>HYPERLINK("https://klasma.github.io/Logging_2281/tillsynsmail/A 47807-2022 tillsynsbegäran mail.docx", "A 47807-2022")</f>
        <v/>
      </c>
    </row>
    <row r="176" ht="15" customHeight="1">
      <c r="A176" t="inlineStr">
        <is>
          <t>A 49850-2022</t>
        </is>
      </c>
      <c r="B176" s="1" t="n">
        <v>44862</v>
      </c>
      <c r="C176" s="1" t="n">
        <v>45760</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57281-2022</t>
        </is>
      </c>
      <c r="B177" s="1" t="n">
        <v>44895</v>
      </c>
      <c r="C177" s="1" t="n">
        <v>45760</v>
      </c>
      <c r="D177" t="inlineStr">
        <is>
          <t>VÄSTERNORRLANDS LÄN</t>
        </is>
      </c>
      <c r="E177" t="inlineStr">
        <is>
          <t>SUNDSVALL</t>
        </is>
      </c>
      <c r="F177" t="inlineStr">
        <is>
          <t>Naturvårdsverket</t>
        </is>
      </c>
      <c r="G177" t="n">
        <v>9.300000000000001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57281-2022 artfynd.xlsx", "A 57281-2022")</f>
        <v/>
      </c>
      <c r="T177">
        <f>HYPERLINK("https://klasma.github.io/Logging_2281/kartor/A 57281-2022 karta.png", "A 57281-2022")</f>
        <v/>
      </c>
      <c r="V177">
        <f>HYPERLINK("https://klasma.github.io/Logging_2281/klagomål/A 57281-2022 FSC-klagomål.docx", "A 57281-2022")</f>
        <v/>
      </c>
      <c r="W177">
        <f>HYPERLINK("https://klasma.github.io/Logging_2281/klagomålsmail/A 57281-2022 FSC-klagomål mail.docx", "A 57281-2022")</f>
        <v/>
      </c>
      <c r="X177">
        <f>HYPERLINK("https://klasma.github.io/Logging_2281/tillsyn/A 57281-2022 tillsynsbegäran.docx", "A 57281-2022")</f>
        <v/>
      </c>
      <c r="Y177">
        <f>HYPERLINK("https://klasma.github.io/Logging_2281/tillsynsmail/A 57281-2022 tillsynsbegäran mail.docx", "A 57281-2022")</f>
        <v/>
      </c>
      <c r="Z177">
        <f>HYPERLINK("https://klasma.github.io/Logging_2281/fåglar/A 57281-2022 prioriterade fågelarter.docx", "A 57281-2022")</f>
        <v/>
      </c>
    </row>
    <row r="178" ht="15" customHeight="1">
      <c r="A178" t="inlineStr">
        <is>
          <t>A 58186-2022</t>
        </is>
      </c>
      <c r="B178" s="1" t="n">
        <v>44900</v>
      </c>
      <c r="C178" s="1" t="n">
        <v>45760</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311-2023</t>
        </is>
      </c>
      <c r="B179" s="1" t="n">
        <v>44929</v>
      </c>
      <c r="C179" s="1" t="n">
        <v>45760</v>
      </c>
      <c r="D179" t="inlineStr">
        <is>
          <t>VÄSTERNORRLANDS LÄN</t>
        </is>
      </c>
      <c r="E179" t="inlineStr">
        <is>
          <t>SUNDSVALL</t>
        </is>
      </c>
      <c r="G179" t="n">
        <v>16.5</v>
      </c>
      <c r="H179" t="n">
        <v>1</v>
      </c>
      <c r="I179" t="n">
        <v>0</v>
      </c>
      <c r="J179" t="n">
        <v>0</v>
      </c>
      <c r="K179" t="n">
        <v>0</v>
      </c>
      <c r="L179" t="n">
        <v>0</v>
      </c>
      <c r="M179" t="n">
        <v>0</v>
      </c>
      <c r="N179" t="n">
        <v>0</v>
      </c>
      <c r="O179" t="n">
        <v>0</v>
      </c>
      <c r="P179" t="n">
        <v>0</v>
      </c>
      <c r="Q179" t="n">
        <v>1</v>
      </c>
      <c r="R179" s="2" t="inlineStr">
        <is>
          <t>Tjäder</t>
        </is>
      </c>
      <c r="S179">
        <f>HYPERLINK("https://klasma.github.io/Logging_2281/artfynd/A 311-2023 artfynd.xlsx", "A 311-2023")</f>
        <v/>
      </c>
      <c r="T179">
        <f>HYPERLINK("https://klasma.github.io/Logging_2281/kartor/A 311-2023 karta.png", "A 311-2023")</f>
        <v/>
      </c>
      <c r="V179">
        <f>HYPERLINK("https://klasma.github.io/Logging_2281/klagomål/A 311-2023 FSC-klagomål.docx", "A 311-2023")</f>
        <v/>
      </c>
      <c r="W179">
        <f>HYPERLINK("https://klasma.github.io/Logging_2281/klagomålsmail/A 311-2023 FSC-klagomål mail.docx", "A 311-2023")</f>
        <v/>
      </c>
      <c r="X179">
        <f>HYPERLINK("https://klasma.github.io/Logging_2281/tillsyn/A 311-2023 tillsynsbegäran.docx", "A 311-2023")</f>
        <v/>
      </c>
      <c r="Y179">
        <f>HYPERLINK("https://klasma.github.io/Logging_2281/tillsynsmail/A 311-2023 tillsynsbegäran mail.docx", "A 311-2023")</f>
        <v/>
      </c>
      <c r="Z179">
        <f>HYPERLINK("https://klasma.github.io/Logging_2281/fåglar/A 311-2023 prioriterade fågelarter.docx", "A 311-2023")</f>
        <v/>
      </c>
    </row>
    <row r="180" ht="15" customHeight="1">
      <c r="A180" t="inlineStr">
        <is>
          <t>A 1220-2023</t>
        </is>
      </c>
      <c r="B180" s="1" t="n">
        <v>44935</v>
      </c>
      <c r="C180" s="1" t="n">
        <v>45760</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7524-2023</t>
        </is>
      </c>
      <c r="B181" s="1" t="n">
        <v>44971</v>
      </c>
      <c r="C181" s="1" t="n">
        <v>45760</v>
      </c>
      <c r="D181" t="inlineStr">
        <is>
          <t>VÄSTERNORRLANDS LÄN</t>
        </is>
      </c>
      <c r="E181" t="inlineStr">
        <is>
          <t>SUNDSVALL</t>
        </is>
      </c>
      <c r="F181" t="inlineStr">
        <is>
          <t>Naturvårdsverket</t>
        </is>
      </c>
      <c r="G181" t="n">
        <v>5.2</v>
      </c>
      <c r="H181" t="n">
        <v>0</v>
      </c>
      <c r="I181" t="n">
        <v>0</v>
      </c>
      <c r="J181" t="n">
        <v>0</v>
      </c>
      <c r="K181" t="n">
        <v>1</v>
      </c>
      <c r="L181" t="n">
        <v>0</v>
      </c>
      <c r="M181" t="n">
        <v>0</v>
      </c>
      <c r="N181" t="n">
        <v>0</v>
      </c>
      <c r="O181" t="n">
        <v>1</v>
      </c>
      <c r="P181" t="n">
        <v>1</v>
      </c>
      <c r="Q181" t="n">
        <v>1</v>
      </c>
      <c r="R181" s="2" t="inlineStr">
        <is>
          <t>Rynkskinn</t>
        </is>
      </c>
      <c r="S181">
        <f>HYPERLINK("https://klasma.github.io/Logging_2281/artfynd/A 7524-2023 artfynd.xlsx", "A 7524-2023")</f>
        <v/>
      </c>
      <c r="T181">
        <f>HYPERLINK("https://klasma.github.io/Logging_2281/kartor/A 7524-2023 karta.png", "A 7524-2023")</f>
        <v/>
      </c>
      <c r="V181">
        <f>HYPERLINK("https://klasma.github.io/Logging_2281/klagomål/A 7524-2023 FSC-klagomål.docx", "A 7524-2023")</f>
        <v/>
      </c>
      <c r="W181">
        <f>HYPERLINK("https://klasma.github.io/Logging_2281/klagomålsmail/A 7524-2023 FSC-klagomål mail.docx", "A 7524-2023")</f>
        <v/>
      </c>
      <c r="X181">
        <f>HYPERLINK("https://klasma.github.io/Logging_2281/tillsyn/A 7524-2023 tillsynsbegäran.docx", "A 7524-2023")</f>
        <v/>
      </c>
      <c r="Y181">
        <f>HYPERLINK("https://klasma.github.io/Logging_2281/tillsynsmail/A 7524-2023 tillsynsbegäran mail.docx", "A 7524-2023")</f>
        <v/>
      </c>
    </row>
    <row r="182" ht="15" customHeight="1">
      <c r="A182" t="inlineStr">
        <is>
          <t>A 8032-2023</t>
        </is>
      </c>
      <c r="B182" s="1" t="n">
        <v>44973</v>
      </c>
      <c r="C182" s="1" t="n">
        <v>45760</v>
      </c>
      <c r="D182" t="inlineStr">
        <is>
          <t>VÄSTERNORRLANDS LÄN</t>
        </is>
      </c>
      <c r="E182" t="inlineStr">
        <is>
          <t>SUNDSVALL</t>
        </is>
      </c>
      <c r="F182" t="inlineStr">
        <is>
          <t>SCA</t>
        </is>
      </c>
      <c r="G182" t="n">
        <v>8.6</v>
      </c>
      <c r="H182" t="n">
        <v>1</v>
      </c>
      <c r="I182" t="n">
        <v>0</v>
      </c>
      <c r="J182" t="n">
        <v>0</v>
      </c>
      <c r="K182" t="n">
        <v>0</v>
      </c>
      <c r="L182" t="n">
        <v>0</v>
      </c>
      <c r="M182" t="n">
        <v>0</v>
      </c>
      <c r="N182" t="n">
        <v>0</v>
      </c>
      <c r="O182" t="n">
        <v>0</v>
      </c>
      <c r="P182" t="n">
        <v>0</v>
      </c>
      <c r="Q182" t="n">
        <v>1</v>
      </c>
      <c r="R182" s="2" t="inlineStr">
        <is>
          <t>Vanlig padda</t>
        </is>
      </c>
      <c r="S182">
        <f>HYPERLINK("https://klasma.github.io/Logging_2281/artfynd/A 8032-2023 artfynd.xlsx", "A 8032-2023")</f>
        <v/>
      </c>
      <c r="T182">
        <f>HYPERLINK("https://klasma.github.io/Logging_2281/kartor/A 8032-2023 karta.png", "A 8032-2023")</f>
        <v/>
      </c>
      <c r="V182">
        <f>HYPERLINK("https://klasma.github.io/Logging_2281/klagomål/A 8032-2023 FSC-klagomål.docx", "A 8032-2023")</f>
        <v/>
      </c>
      <c r="W182">
        <f>HYPERLINK("https://klasma.github.io/Logging_2281/klagomålsmail/A 8032-2023 FSC-klagomål mail.docx", "A 8032-2023")</f>
        <v/>
      </c>
      <c r="X182">
        <f>HYPERLINK("https://klasma.github.io/Logging_2281/tillsyn/A 8032-2023 tillsynsbegäran.docx", "A 8032-2023")</f>
        <v/>
      </c>
      <c r="Y182">
        <f>HYPERLINK("https://klasma.github.io/Logging_2281/tillsynsmail/A 8032-2023 tillsynsbegäran mail.docx", "A 8032-2023")</f>
        <v/>
      </c>
    </row>
    <row r="183" ht="15" customHeight="1">
      <c r="A183" t="inlineStr">
        <is>
          <t>A 9584-2023</t>
        </is>
      </c>
      <c r="B183" s="1" t="n">
        <v>44982</v>
      </c>
      <c r="C183" s="1" t="n">
        <v>45760</v>
      </c>
      <c r="D183" t="inlineStr">
        <is>
          <t>VÄSTERNORRLANDS LÄN</t>
        </is>
      </c>
      <c r="E183" t="inlineStr">
        <is>
          <t>SUNDSVALL</t>
        </is>
      </c>
      <c r="F183" t="inlineStr">
        <is>
          <t>SCA</t>
        </is>
      </c>
      <c r="G183" t="n">
        <v>3.7</v>
      </c>
      <c r="H183" t="n">
        <v>1</v>
      </c>
      <c r="I183" t="n">
        <v>0</v>
      </c>
      <c r="J183" t="n">
        <v>0</v>
      </c>
      <c r="K183" t="n">
        <v>0</v>
      </c>
      <c r="L183" t="n">
        <v>0</v>
      </c>
      <c r="M183" t="n">
        <v>0</v>
      </c>
      <c r="N183" t="n">
        <v>0</v>
      </c>
      <c r="O183" t="n">
        <v>0</v>
      </c>
      <c r="P183" t="n">
        <v>0</v>
      </c>
      <c r="Q183" t="n">
        <v>1</v>
      </c>
      <c r="R183" s="2" t="inlineStr">
        <is>
          <t>Orre</t>
        </is>
      </c>
      <c r="S183">
        <f>HYPERLINK("https://klasma.github.io/Logging_2281/artfynd/A 9584-2023 artfynd.xlsx", "A 9584-2023")</f>
        <v/>
      </c>
      <c r="T183">
        <f>HYPERLINK("https://klasma.github.io/Logging_2281/kartor/A 9584-2023 karta.png", "A 9584-2023")</f>
        <v/>
      </c>
      <c r="V183">
        <f>HYPERLINK("https://klasma.github.io/Logging_2281/klagomål/A 9584-2023 FSC-klagomål.docx", "A 9584-2023")</f>
        <v/>
      </c>
      <c r="W183">
        <f>HYPERLINK("https://klasma.github.io/Logging_2281/klagomålsmail/A 9584-2023 FSC-klagomål mail.docx", "A 9584-2023")</f>
        <v/>
      </c>
      <c r="X183">
        <f>HYPERLINK("https://klasma.github.io/Logging_2281/tillsyn/A 9584-2023 tillsynsbegäran.docx", "A 9584-2023")</f>
        <v/>
      </c>
      <c r="Y183">
        <f>HYPERLINK("https://klasma.github.io/Logging_2281/tillsynsmail/A 9584-2023 tillsynsbegäran mail.docx", "A 9584-2023")</f>
        <v/>
      </c>
      <c r="Z183">
        <f>HYPERLINK("https://klasma.github.io/Logging_2281/fåglar/A 9584-2023 prioriterade fågelarter.docx", "A 9584-2023")</f>
        <v/>
      </c>
    </row>
    <row r="184" ht="15" customHeight="1">
      <c r="A184" t="inlineStr">
        <is>
          <t>A 10774-2023</t>
        </is>
      </c>
      <c r="B184" s="1" t="n">
        <v>44988</v>
      </c>
      <c r="C184" s="1" t="n">
        <v>45760</v>
      </c>
      <c r="D184" t="inlineStr">
        <is>
          <t>VÄSTERNORRLANDS LÄN</t>
        </is>
      </c>
      <c r="E184" t="inlineStr">
        <is>
          <t>SUNDSVALL</t>
        </is>
      </c>
      <c r="F184" t="inlineStr">
        <is>
          <t>SCA</t>
        </is>
      </c>
      <c r="G184" t="n">
        <v>2</v>
      </c>
      <c r="H184" t="n">
        <v>1</v>
      </c>
      <c r="I184" t="n">
        <v>0</v>
      </c>
      <c r="J184" t="n">
        <v>1</v>
      </c>
      <c r="K184" t="n">
        <v>0</v>
      </c>
      <c r="L184" t="n">
        <v>0</v>
      </c>
      <c r="M184" t="n">
        <v>0</v>
      </c>
      <c r="N184" t="n">
        <v>0</v>
      </c>
      <c r="O184" t="n">
        <v>1</v>
      </c>
      <c r="P184" t="n">
        <v>0</v>
      </c>
      <c r="Q184" t="n">
        <v>1</v>
      </c>
      <c r="R184" s="2" t="inlineStr">
        <is>
          <t>Järpe</t>
        </is>
      </c>
      <c r="S184">
        <f>HYPERLINK("https://klasma.github.io/Logging_2281/artfynd/A 10774-2023 artfynd.xlsx", "A 10774-2023")</f>
        <v/>
      </c>
      <c r="T184">
        <f>HYPERLINK("https://klasma.github.io/Logging_2281/kartor/A 10774-2023 karta.png", "A 10774-2023")</f>
        <v/>
      </c>
      <c r="V184">
        <f>HYPERLINK("https://klasma.github.io/Logging_2281/klagomål/A 10774-2023 FSC-klagomål.docx", "A 10774-2023")</f>
        <v/>
      </c>
      <c r="W184">
        <f>HYPERLINK("https://klasma.github.io/Logging_2281/klagomålsmail/A 10774-2023 FSC-klagomål mail.docx", "A 10774-2023")</f>
        <v/>
      </c>
      <c r="X184">
        <f>HYPERLINK("https://klasma.github.io/Logging_2281/tillsyn/A 10774-2023 tillsynsbegäran.docx", "A 10774-2023")</f>
        <v/>
      </c>
      <c r="Y184">
        <f>HYPERLINK("https://klasma.github.io/Logging_2281/tillsynsmail/A 10774-2023 tillsynsbegäran mail.docx", "A 10774-2023")</f>
        <v/>
      </c>
      <c r="Z184">
        <f>HYPERLINK("https://klasma.github.io/Logging_2281/fåglar/A 10774-2023 prioriterade fågelarter.docx", "A 10774-2023")</f>
        <v/>
      </c>
    </row>
    <row r="185" ht="15" customHeight="1">
      <c r="A185" t="inlineStr">
        <is>
          <t>A 12049-2023</t>
        </is>
      </c>
      <c r="B185" s="1" t="n">
        <v>44996</v>
      </c>
      <c r="C185" s="1" t="n">
        <v>45760</v>
      </c>
      <c r="D185" t="inlineStr">
        <is>
          <t>VÄSTERNORRLANDS LÄN</t>
        </is>
      </c>
      <c r="E185" t="inlineStr">
        <is>
          <t>SUNDSVALL</t>
        </is>
      </c>
      <c r="F185" t="inlineStr">
        <is>
          <t>SCA</t>
        </is>
      </c>
      <c r="G185" t="n">
        <v>13</v>
      </c>
      <c r="H185" t="n">
        <v>1</v>
      </c>
      <c r="I185" t="n">
        <v>0</v>
      </c>
      <c r="J185" t="n">
        <v>0</v>
      </c>
      <c r="K185" t="n">
        <v>1</v>
      </c>
      <c r="L185" t="n">
        <v>0</v>
      </c>
      <c r="M185" t="n">
        <v>0</v>
      </c>
      <c r="N185" t="n">
        <v>0</v>
      </c>
      <c r="O185" t="n">
        <v>1</v>
      </c>
      <c r="P185" t="n">
        <v>1</v>
      </c>
      <c r="Q185" t="n">
        <v>1</v>
      </c>
      <c r="R185" s="2" t="inlineStr">
        <is>
          <t>Lappuggla</t>
        </is>
      </c>
      <c r="S185">
        <f>HYPERLINK("https://klasma.github.io/Logging_2281/artfynd/A 12049-2023 artfynd.xlsx", "A 12049-2023")</f>
        <v/>
      </c>
      <c r="T185">
        <f>HYPERLINK("https://klasma.github.io/Logging_2281/kartor/A 12049-2023 karta.png", "A 12049-2023")</f>
        <v/>
      </c>
      <c r="V185">
        <f>HYPERLINK("https://klasma.github.io/Logging_2281/klagomål/A 12049-2023 FSC-klagomål.docx", "A 12049-2023")</f>
        <v/>
      </c>
      <c r="W185">
        <f>HYPERLINK("https://klasma.github.io/Logging_2281/klagomålsmail/A 12049-2023 FSC-klagomål mail.docx", "A 12049-2023")</f>
        <v/>
      </c>
      <c r="X185">
        <f>HYPERLINK("https://klasma.github.io/Logging_2281/tillsyn/A 12049-2023 tillsynsbegäran.docx", "A 12049-2023")</f>
        <v/>
      </c>
      <c r="Y185">
        <f>HYPERLINK("https://klasma.github.io/Logging_2281/tillsynsmail/A 12049-2023 tillsynsbegäran mail.docx", "A 12049-2023")</f>
        <v/>
      </c>
      <c r="Z185">
        <f>HYPERLINK("https://klasma.github.io/Logging_2281/fåglar/A 12049-2023 prioriterade fågelarter.docx", "A 12049-2023")</f>
        <v/>
      </c>
    </row>
    <row r="186" ht="15" customHeight="1">
      <c r="A186" t="inlineStr">
        <is>
          <t>A 12058-2023</t>
        </is>
      </c>
      <c r="B186" s="1" t="n">
        <v>44995</v>
      </c>
      <c r="C186" s="1" t="n">
        <v>45760</v>
      </c>
      <c r="D186" t="inlineStr">
        <is>
          <t>VÄSTERNORRLANDS LÄN</t>
        </is>
      </c>
      <c r="E186" t="inlineStr">
        <is>
          <t>SUNDSVALL</t>
        </is>
      </c>
      <c r="F186" t="inlineStr">
        <is>
          <t>SCA</t>
        </is>
      </c>
      <c r="G186" t="n">
        <v>4</v>
      </c>
      <c r="H186" t="n">
        <v>1</v>
      </c>
      <c r="I186" t="n">
        <v>0</v>
      </c>
      <c r="J186" t="n">
        <v>1</v>
      </c>
      <c r="K186" t="n">
        <v>0</v>
      </c>
      <c r="L186" t="n">
        <v>0</v>
      </c>
      <c r="M186" t="n">
        <v>0</v>
      </c>
      <c r="N186" t="n">
        <v>0</v>
      </c>
      <c r="O186" t="n">
        <v>1</v>
      </c>
      <c r="P186" t="n">
        <v>0</v>
      </c>
      <c r="Q186" t="n">
        <v>1</v>
      </c>
      <c r="R186" s="2" t="inlineStr">
        <is>
          <t>Fiskmås</t>
        </is>
      </c>
      <c r="S186">
        <f>HYPERLINK("https://klasma.github.io/Logging_2281/artfynd/A 12058-2023 artfynd.xlsx", "A 12058-2023")</f>
        <v/>
      </c>
      <c r="T186">
        <f>HYPERLINK("https://klasma.github.io/Logging_2281/kartor/A 12058-2023 karta.png", "A 12058-2023")</f>
        <v/>
      </c>
      <c r="V186">
        <f>HYPERLINK("https://klasma.github.io/Logging_2281/klagomål/A 12058-2023 FSC-klagomål.docx", "A 12058-2023")</f>
        <v/>
      </c>
      <c r="W186">
        <f>HYPERLINK("https://klasma.github.io/Logging_2281/klagomålsmail/A 12058-2023 FSC-klagomål mail.docx", "A 12058-2023")</f>
        <v/>
      </c>
      <c r="X186">
        <f>HYPERLINK("https://klasma.github.io/Logging_2281/tillsyn/A 12058-2023 tillsynsbegäran.docx", "A 12058-2023")</f>
        <v/>
      </c>
      <c r="Y186">
        <f>HYPERLINK("https://klasma.github.io/Logging_2281/tillsynsmail/A 12058-2023 tillsynsbegäran mail.docx", "A 12058-2023")</f>
        <v/>
      </c>
    </row>
    <row r="187" ht="15" customHeight="1">
      <c r="A187" t="inlineStr">
        <is>
          <t>A 14665-2023</t>
        </is>
      </c>
      <c r="B187" s="1" t="n">
        <v>45014</v>
      </c>
      <c r="C187" s="1" t="n">
        <v>45760</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15346-2023</t>
        </is>
      </c>
      <c r="B188" s="1" t="n">
        <v>45016</v>
      </c>
      <c r="C188" s="1" t="n">
        <v>45760</v>
      </c>
      <c r="D188" t="inlineStr">
        <is>
          <t>VÄSTERNORRLANDS LÄN</t>
        </is>
      </c>
      <c r="E188" t="inlineStr">
        <is>
          <t>SUNDSVALL</t>
        </is>
      </c>
      <c r="G188" t="n">
        <v>3.8</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15346-2023 artfynd.xlsx", "A 15346-2023")</f>
        <v/>
      </c>
      <c r="T188">
        <f>HYPERLINK("https://klasma.github.io/Logging_2281/kartor/A 15346-2023 karta.png", "A 15346-2023")</f>
        <v/>
      </c>
      <c r="V188">
        <f>HYPERLINK("https://klasma.github.io/Logging_2281/klagomål/A 15346-2023 FSC-klagomål.docx", "A 15346-2023")</f>
        <v/>
      </c>
      <c r="W188">
        <f>HYPERLINK("https://klasma.github.io/Logging_2281/klagomålsmail/A 15346-2023 FSC-klagomål mail.docx", "A 15346-2023")</f>
        <v/>
      </c>
      <c r="X188">
        <f>HYPERLINK("https://klasma.github.io/Logging_2281/tillsyn/A 15346-2023 tillsynsbegäran.docx", "A 15346-2023")</f>
        <v/>
      </c>
      <c r="Y188">
        <f>HYPERLINK("https://klasma.github.io/Logging_2281/tillsynsmail/A 15346-2023 tillsynsbegäran mail.docx", "A 15346-2023")</f>
        <v/>
      </c>
      <c r="Z188">
        <f>HYPERLINK("https://klasma.github.io/Logging_2281/fåglar/A 15346-2023 prioriterade fågelarter.docx", "A 15346-2023")</f>
        <v/>
      </c>
    </row>
    <row r="189" ht="15" customHeight="1">
      <c r="A189" t="inlineStr">
        <is>
          <t>A 17772-2023</t>
        </is>
      </c>
      <c r="B189" s="1" t="n">
        <v>45036</v>
      </c>
      <c r="C189" s="1" t="n">
        <v>45760</v>
      </c>
      <c r="D189" t="inlineStr">
        <is>
          <t>VÄSTERNORRLANDS LÄN</t>
        </is>
      </c>
      <c r="E189" t="inlineStr">
        <is>
          <t>SUNDSVALL</t>
        </is>
      </c>
      <c r="G189" t="n">
        <v>4.2</v>
      </c>
      <c r="H189" t="n">
        <v>0</v>
      </c>
      <c r="I189" t="n">
        <v>0</v>
      </c>
      <c r="J189" t="n">
        <v>1</v>
      </c>
      <c r="K189" t="n">
        <v>0</v>
      </c>
      <c r="L189" t="n">
        <v>0</v>
      </c>
      <c r="M189" t="n">
        <v>0</v>
      </c>
      <c r="N189" t="n">
        <v>0</v>
      </c>
      <c r="O189" t="n">
        <v>1</v>
      </c>
      <c r="P189" t="n">
        <v>0</v>
      </c>
      <c r="Q189" t="n">
        <v>1</v>
      </c>
      <c r="R189" s="2" t="inlineStr">
        <is>
          <t>Garnlav</t>
        </is>
      </c>
      <c r="S189">
        <f>HYPERLINK("https://klasma.github.io/Logging_2281/artfynd/A 17772-2023 artfynd.xlsx", "A 17772-2023")</f>
        <v/>
      </c>
      <c r="T189">
        <f>HYPERLINK("https://klasma.github.io/Logging_2281/kartor/A 17772-2023 karta.png", "A 17772-2023")</f>
        <v/>
      </c>
      <c r="V189">
        <f>HYPERLINK("https://klasma.github.io/Logging_2281/klagomål/A 17772-2023 FSC-klagomål.docx", "A 17772-2023")</f>
        <v/>
      </c>
      <c r="W189">
        <f>HYPERLINK("https://klasma.github.io/Logging_2281/klagomålsmail/A 17772-2023 FSC-klagomål mail.docx", "A 17772-2023")</f>
        <v/>
      </c>
      <c r="X189">
        <f>HYPERLINK("https://klasma.github.io/Logging_2281/tillsyn/A 17772-2023 tillsynsbegäran.docx", "A 17772-2023")</f>
        <v/>
      </c>
      <c r="Y189">
        <f>HYPERLINK("https://klasma.github.io/Logging_2281/tillsynsmail/A 17772-2023 tillsynsbegäran mail.docx", "A 17772-2023")</f>
        <v/>
      </c>
    </row>
    <row r="190" ht="15" customHeight="1">
      <c r="A190" t="inlineStr">
        <is>
          <t>A 19441-2023</t>
        </is>
      </c>
      <c r="B190" s="1" t="n">
        <v>45049</v>
      </c>
      <c r="C190" s="1" t="n">
        <v>45760</v>
      </c>
      <c r="D190" t="inlineStr">
        <is>
          <t>VÄSTERNORRLANDS LÄN</t>
        </is>
      </c>
      <c r="E190" t="inlineStr">
        <is>
          <t>SUNDSVALL</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HYPERLINK("https://klasma.github.io/Logging_2281/artfynd/A 19441-2023 artfynd.xlsx", "A 19441-2023")</f>
        <v/>
      </c>
      <c r="T190">
        <f>HYPERLINK("https://klasma.github.io/Logging_2281/kartor/A 19441-2023 karta.png", "A 19441-2023")</f>
        <v/>
      </c>
      <c r="V190">
        <f>HYPERLINK("https://klasma.github.io/Logging_2281/klagomål/A 19441-2023 FSC-klagomål.docx", "A 19441-2023")</f>
        <v/>
      </c>
      <c r="W190">
        <f>HYPERLINK("https://klasma.github.io/Logging_2281/klagomålsmail/A 19441-2023 FSC-klagomål mail.docx", "A 19441-2023")</f>
        <v/>
      </c>
      <c r="X190">
        <f>HYPERLINK("https://klasma.github.io/Logging_2281/tillsyn/A 19441-2023 tillsynsbegäran.docx", "A 19441-2023")</f>
        <v/>
      </c>
      <c r="Y190">
        <f>HYPERLINK("https://klasma.github.io/Logging_2281/tillsynsmail/A 19441-2023 tillsynsbegäran mail.docx", "A 19441-2023")</f>
        <v/>
      </c>
    </row>
    <row r="191" ht="15" customHeight="1">
      <c r="A191" t="inlineStr">
        <is>
          <t>A 19815-2023</t>
        </is>
      </c>
      <c r="B191" s="1" t="n">
        <v>45051</v>
      </c>
      <c r="C191" s="1" t="n">
        <v>45760</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19815-2023 artfynd.xlsx", "A 19815-2023")</f>
        <v/>
      </c>
      <c r="T191">
        <f>HYPERLINK("https://klasma.github.io/Logging_2281/kartor/A 19815-2023 karta.png", "A 19815-2023")</f>
        <v/>
      </c>
      <c r="U191">
        <f>HYPERLINK("https://klasma.github.io/Logging_2281/knärot/A 19815-2023 karta knärot.png", "A 19815-2023")</f>
        <v/>
      </c>
      <c r="V191">
        <f>HYPERLINK("https://klasma.github.io/Logging_2281/klagomål/A 19815-2023 FSC-klagomål.docx", "A 19815-2023")</f>
        <v/>
      </c>
      <c r="W191">
        <f>HYPERLINK("https://klasma.github.io/Logging_2281/klagomålsmail/A 19815-2023 FSC-klagomål mail.docx", "A 19815-2023")</f>
        <v/>
      </c>
      <c r="X191">
        <f>HYPERLINK("https://klasma.github.io/Logging_2281/tillsyn/A 19815-2023 tillsynsbegäran.docx", "A 19815-2023")</f>
        <v/>
      </c>
      <c r="Y191">
        <f>HYPERLINK("https://klasma.github.io/Logging_2281/tillsynsmail/A 19815-2023 tillsynsbegäran mail.docx", "A 19815-2023")</f>
        <v/>
      </c>
    </row>
    <row r="192" ht="15" customHeight="1">
      <c r="A192" t="inlineStr">
        <is>
          <t>A 22227-2023</t>
        </is>
      </c>
      <c r="B192" s="1" t="n">
        <v>45069</v>
      </c>
      <c r="C192" s="1" t="n">
        <v>45760</v>
      </c>
      <c r="D192" t="inlineStr">
        <is>
          <t>VÄSTERNORRLANDS LÄN</t>
        </is>
      </c>
      <c r="E192" t="inlineStr">
        <is>
          <t>SUNDSVALL</t>
        </is>
      </c>
      <c r="F192" t="inlineStr">
        <is>
          <t>Naturvårdsverket</t>
        </is>
      </c>
      <c r="G192" t="n">
        <v>6.7</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22227-2023 artfynd.xlsx", "A 22227-2023")</f>
        <v/>
      </c>
      <c r="T192">
        <f>HYPERLINK("https://klasma.github.io/Logging_2281/kartor/A 22227-2023 karta.png", "A 22227-2023")</f>
        <v/>
      </c>
      <c r="V192">
        <f>HYPERLINK("https://klasma.github.io/Logging_2281/klagomål/A 22227-2023 FSC-klagomål.docx", "A 22227-2023")</f>
        <v/>
      </c>
      <c r="W192">
        <f>HYPERLINK("https://klasma.github.io/Logging_2281/klagomålsmail/A 22227-2023 FSC-klagomål mail.docx", "A 22227-2023")</f>
        <v/>
      </c>
      <c r="X192">
        <f>HYPERLINK("https://klasma.github.io/Logging_2281/tillsyn/A 22227-2023 tillsynsbegäran.docx", "A 22227-2023")</f>
        <v/>
      </c>
      <c r="Y192">
        <f>HYPERLINK("https://klasma.github.io/Logging_2281/tillsynsmail/A 22227-2023 tillsynsbegäran mail.docx", "A 22227-2023")</f>
        <v/>
      </c>
      <c r="Z192">
        <f>HYPERLINK("https://klasma.github.io/Logging_2281/fåglar/A 22227-2023 prioriterade fågelarter.docx", "A 22227-2023")</f>
        <v/>
      </c>
    </row>
    <row r="193" ht="15" customHeight="1">
      <c r="A193" t="inlineStr">
        <is>
          <t>A 22993-2023</t>
        </is>
      </c>
      <c r="B193" s="1" t="n">
        <v>45072</v>
      </c>
      <c r="C193" s="1" t="n">
        <v>45760</v>
      </c>
      <c r="D193" t="inlineStr">
        <is>
          <t>VÄSTERNORRLANDS LÄN</t>
        </is>
      </c>
      <c r="E193" t="inlineStr">
        <is>
          <t>SUNDSVALL</t>
        </is>
      </c>
      <c r="F193" t="inlineStr">
        <is>
          <t>SCA</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HYPERLINK("https://klasma.github.io/Logging_2281/artfynd/A 22993-2023 artfynd.xlsx", "A 22993-2023")</f>
        <v/>
      </c>
      <c r="T193">
        <f>HYPERLINK("https://klasma.github.io/Logging_2281/kartor/A 22993-2023 karta.png", "A 22993-2023")</f>
        <v/>
      </c>
      <c r="V193">
        <f>HYPERLINK("https://klasma.github.io/Logging_2281/klagomål/A 22993-2023 FSC-klagomål.docx", "A 22993-2023")</f>
        <v/>
      </c>
      <c r="W193">
        <f>HYPERLINK("https://klasma.github.io/Logging_2281/klagomålsmail/A 22993-2023 FSC-klagomål mail.docx", "A 22993-2023")</f>
        <v/>
      </c>
      <c r="X193">
        <f>HYPERLINK("https://klasma.github.io/Logging_2281/tillsyn/A 22993-2023 tillsynsbegäran.docx", "A 22993-2023")</f>
        <v/>
      </c>
      <c r="Y193">
        <f>HYPERLINK("https://klasma.github.io/Logging_2281/tillsynsmail/A 22993-2023 tillsynsbegäran mail.docx", "A 22993-2023")</f>
        <v/>
      </c>
    </row>
    <row r="194" ht="15" customHeight="1">
      <c r="A194" t="inlineStr">
        <is>
          <t>A 28008-2023</t>
        </is>
      </c>
      <c r="B194" s="1" t="n">
        <v>45098</v>
      </c>
      <c r="C194" s="1" t="n">
        <v>45760</v>
      </c>
      <c r="D194" t="inlineStr">
        <is>
          <t>VÄSTERNORRLANDS LÄN</t>
        </is>
      </c>
      <c r="E194" t="inlineStr">
        <is>
          <t>SUNDSVALL</t>
        </is>
      </c>
      <c r="F194" t="inlineStr">
        <is>
          <t>SCA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28008-2023 artfynd.xlsx", "A 28008-2023")</f>
        <v/>
      </c>
      <c r="T194">
        <f>HYPERLINK("https://klasma.github.io/Logging_2281/kartor/A 28008-2023 karta.png", "A 28008-2023")</f>
        <v/>
      </c>
      <c r="V194">
        <f>HYPERLINK("https://klasma.github.io/Logging_2281/klagomål/A 28008-2023 FSC-klagomål.docx", "A 28008-2023")</f>
        <v/>
      </c>
      <c r="W194">
        <f>HYPERLINK("https://klasma.github.io/Logging_2281/klagomålsmail/A 28008-2023 FSC-klagomål mail.docx", "A 28008-2023")</f>
        <v/>
      </c>
      <c r="X194">
        <f>HYPERLINK("https://klasma.github.io/Logging_2281/tillsyn/A 28008-2023 tillsynsbegäran.docx", "A 28008-2023")</f>
        <v/>
      </c>
      <c r="Y194">
        <f>HYPERLINK("https://klasma.github.io/Logging_2281/tillsynsmail/A 28008-2023 tillsynsbegäran mail.docx", "A 28008-2023")</f>
        <v/>
      </c>
      <c r="Z194">
        <f>HYPERLINK("https://klasma.github.io/Logging_2281/fåglar/A 28008-2023 prioriterade fågelarter.docx", "A 28008-2023")</f>
        <v/>
      </c>
    </row>
    <row r="195" ht="15" customHeight="1">
      <c r="A195" t="inlineStr">
        <is>
          <t>A 32077-2023</t>
        </is>
      </c>
      <c r="B195" s="1" t="n">
        <v>45107</v>
      </c>
      <c r="C195" s="1" t="n">
        <v>45760</v>
      </c>
      <c r="D195" t="inlineStr">
        <is>
          <t>VÄSTERNORRLANDS LÄN</t>
        </is>
      </c>
      <c r="E195" t="inlineStr">
        <is>
          <t>SUNDSVALL</t>
        </is>
      </c>
      <c r="G195" t="n">
        <v>5.3</v>
      </c>
      <c r="H195" t="n">
        <v>0</v>
      </c>
      <c r="I195" t="n">
        <v>0</v>
      </c>
      <c r="J195" t="n">
        <v>1</v>
      </c>
      <c r="K195" t="n">
        <v>0</v>
      </c>
      <c r="L195" t="n">
        <v>0</v>
      </c>
      <c r="M195" t="n">
        <v>0</v>
      </c>
      <c r="N195" t="n">
        <v>0</v>
      </c>
      <c r="O195" t="n">
        <v>1</v>
      </c>
      <c r="P195" t="n">
        <v>0</v>
      </c>
      <c r="Q195" t="n">
        <v>1</v>
      </c>
      <c r="R195" s="2" t="inlineStr">
        <is>
          <t>Garnlav</t>
        </is>
      </c>
      <c r="S195">
        <f>HYPERLINK("https://klasma.github.io/Logging_2281/artfynd/A 32077-2023 artfynd.xlsx", "A 32077-2023")</f>
        <v/>
      </c>
      <c r="T195">
        <f>HYPERLINK("https://klasma.github.io/Logging_2281/kartor/A 32077-2023 karta.png", "A 32077-2023")</f>
        <v/>
      </c>
      <c r="V195">
        <f>HYPERLINK("https://klasma.github.io/Logging_2281/klagomål/A 32077-2023 FSC-klagomål.docx", "A 32077-2023")</f>
        <v/>
      </c>
      <c r="W195">
        <f>HYPERLINK("https://klasma.github.io/Logging_2281/klagomålsmail/A 32077-2023 FSC-klagomål mail.docx", "A 32077-2023")</f>
        <v/>
      </c>
      <c r="X195">
        <f>HYPERLINK("https://klasma.github.io/Logging_2281/tillsyn/A 32077-2023 tillsynsbegäran.docx", "A 32077-2023")</f>
        <v/>
      </c>
      <c r="Y195">
        <f>HYPERLINK("https://klasma.github.io/Logging_2281/tillsynsmail/A 32077-2023 tillsynsbegäran mail.docx", "A 32077-2023")</f>
        <v/>
      </c>
    </row>
    <row r="196" ht="15" customHeight="1">
      <c r="A196" t="inlineStr">
        <is>
          <t>A 30837-2023</t>
        </is>
      </c>
      <c r="B196" s="1" t="n">
        <v>45112</v>
      </c>
      <c r="C196" s="1" t="n">
        <v>45760</v>
      </c>
      <c r="D196" t="inlineStr">
        <is>
          <t>VÄSTERNORRLANDS LÄN</t>
        </is>
      </c>
      <c r="E196" t="inlineStr">
        <is>
          <t>SUNDSVALL</t>
        </is>
      </c>
      <c r="F196" t="inlineStr">
        <is>
          <t>SCA</t>
        </is>
      </c>
      <c r="G196" t="n">
        <v>5.6</v>
      </c>
      <c r="H196" t="n">
        <v>0</v>
      </c>
      <c r="I196" t="n">
        <v>0</v>
      </c>
      <c r="J196" t="n">
        <v>1</v>
      </c>
      <c r="K196" t="n">
        <v>0</v>
      </c>
      <c r="L196" t="n">
        <v>0</v>
      </c>
      <c r="M196" t="n">
        <v>0</v>
      </c>
      <c r="N196" t="n">
        <v>0</v>
      </c>
      <c r="O196" t="n">
        <v>1</v>
      </c>
      <c r="P196" t="n">
        <v>0</v>
      </c>
      <c r="Q196" t="n">
        <v>1</v>
      </c>
      <c r="R196" s="2" t="inlineStr">
        <is>
          <t>Garnlav</t>
        </is>
      </c>
      <c r="S196">
        <f>HYPERLINK("https://klasma.github.io/Logging_2281/artfynd/A 30837-2023 artfynd.xlsx", "A 30837-2023")</f>
        <v/>
      </c>
      <c r="T196">
        <f>HYPERLINK("https://klasma.github.io/Logging_2281/kartor/A 30837-2023 karta.png", "A 30837-2023")</f>
        <v/>
      </c>
      <c r="V196">
        <f>HYPERLINK("https://klasma.github.io/Logging_2281/klagomål/A 30837-2023 FSC-klagomål.docx", "A 30837-2023")</f>
        <v/>
      </c>
      <c r="W196">
        <f>HYPERLINK("https://klasma.github.io/Logging_2281/klagomålsmail/A 30837-2023 FSC-klagomål mail.docx", "A 30837-2023")</f>
        <v/>
      </c>
      <c r="X196">
        <f>HYPERLINK("https://klasma.github.io/Logging_2281/tillsyn/A 30837-2023 tillsynsbegäran.docx", "A 30837-2023")</f>
        <v/>
      </c>
      <c r="Y196">
        <f>HYPERLINK("https://klasma.github.io/Logging_2281/tillsynsmail/A 30837-2023 tillsynsbegäran mail.docx", "A 30837-2023")</f>
        <v/>
      </c>
    </row>
    <row r="197" ht="15" customHeight="1">
      <c r="A197" t="inlineStr">
        <is>
          <t>A 30827-2023</t>
        </is>
      </c>
      <c r="B197" s="1" t="n">
        <v>45112</v>
      </c>
      <c r="C197" s="1" t="n">
        <v>45760</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35751-2023</t>
        </is>
      </c>
      <c r="B198" s="1" t="n">
        <v>45147</v>
      </c>
      <c r="C198" s="1" t="n">
        <v>45760</v>
      </c>
      <c r="D198" t="inlineStr">
        <is>
          <t>VÄSTERNORRLANDS LÄN</t>
        </is>
      </c>
      <c r="E198" t="inlineStr">
        <is>
          <t>SUNDSVALL</t>
        </is>
      </c>
      <c r="F198" t="inlineStr">
        <is>
          <t>SCA</t>
        </is>
      </c>
      <c r="G198" t="n">
        <v>5</v>
      </c>
      <c r="H198" t="n">
        <v>1</v>
      </c>
      <c r="I198" t="n">
        <v>0</v>
      </c>
      <c r="J198" t="n">
        <v>1</v>
      </c>
      <c r="K198" t="n">
        <v>0</v>
      </c>
      <c r="L198" t="n">
        <v>0</v>
      </c>
      <c r="M198" t="n">
        <v>0</v>
      </c>
      <c r="N198" t="n">
        <v>0</v>
      </c>
      <c r="O198" t="n">
        <v>1</v>
      </c>
      <c r="P198" t="n">
        <v>0</v>
      </c>
      <c r="Q198" t="n">
        <v>1</v>
      </c>
      <c r="R198" s="2" t="inlineStr">
        <is>
          <t>Nordfladdermus</t>
        </is>
      </c>
      <c r="S198">
        <f>HYPERLINK("https://klasma.github.io/Logging_2281/artfynd/A 35751-2023 artfynd.xlsx", "A 35751-2023")</f>
        <v/>
      </c>
      <c r="T198">
        <f>HYPERLINK("https://klasma.github.io/Logging_2281/kartor/A 35751-2023 karta.png", "A 35751-2023")</f>
        <v/>
      </c>
      <c r="V198">
        <f>HYPERLINK("https://klasma.github.io/Logging_2281/klagomål/A 35751-2023 FSC-klagomål.docx", "A 35751-2023")</f>
        <v/>
      </c>
      <c r="W198">
        <f>HYPERLINK("https://klasma.github.io/Logging_2281/klagomålsmail/A 35751-2023 FSC-klagomål mail.docx", "A 35751-2023")</f>
        <v/>
      </c>
      <c r="X198">
        <f>HYPERLINK("https://klasma.github.io/Logging_2281/tillsyn/A 35751-2023 tillsynsbegäran.docx", "A 35751-2023")</f>
        <v/>
      </c>
      <c r="Y198">
        <f>HYPERLINK("https://klasma.github.io/Logging_2281/tillsynsmail/A 35751-2023 tillsynsbegäran mail.docx", "A 35751-2023")</f>
        <v/>
      </c>
    </row>
    <row r="199" ht="15" customHeight="1">
      <c r="A199" t="inlineStr">
        <is>
          <t>A 42148-2023</t>
        </is>
      </c>
      <c r="B199" s="1" t="n">
        <v>45178</v>
      </c>
      <c r="C199" s="1" t="n">
        <v>45760</v>
      </c>
      <c r="D199" t="inlineStr">
        <is>
          <t>VÄSTERNORRLANDS LÄN</t>
        </is>
      </c>
      <c r="E199" t="inlineStr">
        <is>
          <t>SUNDSVALL</t>
        </is>
      </c>
      <c r="F199" t="inlineStr">
        <is>
          <t>SCA</t>
        </is>
      </c>
      <c r="G199" t="n">
        <v>4.2</v>
      </c>
      <c r="H199" t="n">
        <v>1</v>
      </c>
      <c r="I199" t="n">
        <v>0</v>
      </c>
      <c r="J199" t="n">
        <v>0</v>
      </c>
      <c r="K199" t="n">
        <v>0</v>
      </c>
      <c r="L199" t="n">
        <v>0</v>
      </c>
      <c r="M199" t="n">
        <v>0</v>
      </c>
      <c r="N199" t="n">
        <v>0</v>
      </c>
      <c r="O199" t="n">
        <v>0</v>
      </c>
      <c r="P199" t="n">
        <v>0</v>
      </c>
      <c r="Q199" t="n">
        <v>1</v>
      </c>
      <c r="R199" s="2" t="inlineStr">
        <is>
          <t>Tjäder</t>
        </is>
      </c>
      <c r="S199">
        <f>HYPERLINK("https://klasma.github.io/Logging_2281/artfynd/A 42148-2023 artfynd.xlsx", "A 42148-2023")</f>
        <v/>
      </c>
      <c r="T199">
        <f>HYPERLINK("https://klasma.github.io/Logging_2281/kartor/A 42148-2023 karta.png", "A 42148-2023")</f>
        <v/>
      </c>
      <c r="V199">
        <f>HYPERLINK("https://klasma.github.io/Logging_2281/klagomål/A 42148-2023 FSC-klagomål.docx", "A 42148-2023")</f>
        <v/>
      </c>
      <c r="W199">
        <f>HYPERLINK("https://klasma.github.io/Logging_2281/klagomålsmail/A 42148-2023 FSC-klagomål mail.docx", "A 42148-2023")</f>
        <v/>
      </c>
      <c r="X199">
        <f>HYPERLINK("https://klasma.github.io/Logging_2281/tillsyn/A 42148-2023 tillsynsbegäran.docx", "A 42148-2023")</f>
        <v/>
      </c>
      <c r="Y199">
        <f>HYPERLINK("https://klasma.github.io/Logging_2281/tillsynsmail/A 42148-2023 tillsynsbegäran mail.docx", "A 42148-2023")</f>
        <v/>
      </c>
      <c r="Z199">
        <f>HYPERLINK("https://klasma.github.io/Logging_2281/fåglar/A 42148-2023 prioriterade fågelarter.docx", "A 42148-2023")</f>
        <v/>
      </c>
    </row>
    <row r="200" ht="15" customHeight="1">
      <c r="A200" t="inlineStr">
        <is>
          <t>A 43424-2023</t>
        </is>
      </c>
      <c r="B200" s="1" t="n">
        <v>45183</v>
      </c>
      <c r="C200" s="1" t="n">
        <v>45760</v>
      </c>
      <c r="D200" t="inlineStr">
        <is>
          <t>VÄSTERNORRLANDS LÄN</t>
        </is>
      </c>
      <c r="E200" t="inlineStr">
        <is>
          <t>SUNDSVALL</t>
        </is>
      </c>
      <c r="F200" t="inlineStr">
        <is>
          <t>SCA</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43424-2023 artfynd.xlsx", "A 43424-2023")</f>
        <v/>
      </c>
      <c r="T200">
        <f>HYPERLINK("https://klasma.github.io/Logging_2281/kartor/A 43424-2023 karta.png", "A 43424-2023")</f>
        <v/>
      </c>
      <c r="V200">
        <f>HYPERLINK("https://klasma.github.io/Logging_2281/klagomål/A 43424-2023 FSC-klagomål.docx", "A 43424-2023")</f>
        <v/>
      </c>
      <c r="W200">
        <f>HYPERLINK("https://klasma.github.io/Logging_2281/klagomålsmail/A 43424-2023 FSC-klagomål mail.docx", "A 43424-2023")</f>
        <v/>
      </c>
      <c r="X200">
        <f>HYPERLINK("https://klasma.github.io/Logging_2281/tillsyn/A 43424-2023 tillsynsbegäran.docx", "A 43424-2023")</f>
        <v/>
      </c>
      <c r="Y200">
        <f>HYPERLINK("https://klasma.github.io/Logging_2281/tillsynsmail/A 43424-2023 tillsynsbegäran mail.docx", "A 43424-2023")</f>
        <v/>
      </c>
    </row>
    <row r="201" ht="15" customHeight="1">
      <c r="A201" t="inlineStr">
        <is>
          <t>A 44193-2023</t>
        </is>
      </c>
      <c r="B201" s="1" t="n">
        <v>45188</v>
      </c>
      <c r="C201" s="1" t="n">
        <v>45760</v>
      </c>
      <c r="D201" t="inlineStr">
        <is>
          <t>VÄSTERNORRLANDS LÄN</t>
        </is>
      </c>
      <c r="E201" t="inlineStr">
        <is>
          <t>SUNDSVALL</t>
        </is>
      </c>
      <c r="F201" t="inlineStr">
        <is>
          <t>Holmen skog AB</t>
        </is>
      </c>
      <c r="G201" t="n">
        <v>15.1</v>
      </c>
      <c r="H201" t="n">
        <v>1</v>
      </c>
      <c r="I201" t="n">
        <v>0</v>
      </c>
      <c r="J201" t="n">
        <v>0</v>
      </c>
      <c r="K201" t="n">
        <v>0</v>
      </c>
      <c r="L201" t="n">
        <v>0</v>
      </c>
      <c r="M201" t="n">
        <v>0</v>
      </c>
      <c r="N201" t="n">
        <v>0</v>
      </c>
      <c r="O201" t="n">
        <v>0</v>
      </c>
      <c r="P201" t="n">
        <v>0</v>
      </c>
      <c r="Q201" t="n">
        <v>1</v>
      </c>
      <c r="R201" s="2" t="inlineStr">
        <is>
          <t>Tjäder</t>
        </is>
      </c>
      <c r="S201">
        <f>HYPERLINK("https://klasma.github.io/Logging_2281/artfynd/A 44193-2023 artfynd.xlsx", "A 44193-2023")</f>
        <v/>
      </c>
      <c r="T201">
        <f>HYPERLINK("https://klasma.github.io/Logging_2281/kartor/A 44193-2023 karta.png", "A 44193-2023")</f>
        <v/>
      </c>
      <c r="V201">
        <f>HYPERLINK("https://klasma.github.io/Logging_2281/klagomål/A 44193-2023 FSC-klagomål.docx", "A 44193-2023")</f>
        <v/>
      </c>
      <c r="W201">
        <f>HYPERLINK("https://klasma.github.io/Logging_2281/klagomålsmail/A 44193-2023 FSC-klagomål mail.docx", "A 44193-2023")</f>
        <v/>
      </c>
      <c r="X201">
        <f>HYPERLINK("https://klasma.github.io/Logging_2281/tillsyn/A 44193-2023 tillsynsbegäran.docx", "A 44193-2023")</f>
        <v/>
      </c>
      <c r="Y201">
        <f>HYPERLINK("https://klasma.github.io/Logging_2281/tillsynsmail/A 44193-2023 tillsynsbegäran mail.docx", "A 44193-2023")</f>
        <v/>
      </c>
      <c r="Z201">
        <f>HYPERLINK("https://klasma.github.io/Logging_2281/fåglar/A 44193-2023 prioriterade fågelarter.docx", "A 44193-2023")</f>
        <v/>
      </c>
    </row>
    <row r="202" ht="15" customHeight="1">
      <c r="A202" t="inlineStr">
        <is>
          <t>A 45023-2023</t>
        </is>
      </c>
      <c r="B202" s="1" t="n">
        <v>45191</v>
      </c>
      <c r="C202" s="1" t="n">
        <v>45760</v>
      </c>
      <c r="D202" t="inlineStr">
        <is>
          <t>VÄSTERNORRLANDS LÄN</t>
        </is>
      </c>
      <c r="E202" t="inlineStr">
        <is>
          <t>SUNDSVALL</t>
        </is>
      </c>
      <c r="F202" t="inlineStr">
        <is>
          <t>SCA</t>
        </is>
      </c>
      <c r="G202" t="n">
        <v>2.2</v>
      </c>
      <c r="H202" t="n">
        <v>0</v>
      </c>
      <c r="I202" t="n">
        <v>0</v>
      </c>
      <c r="J202" t="n">
        <v>1</v>
      </c>
      <c r="K202" t="n">
        <v>0</v>
      </c>
      <c r="L202" t="n">
        <v>0</v>
      </c>
      <c r="M202" t="n">
        <v>0</v>
      </c>
      <c r="N202" t="n">
        <v>0</v>
      </c>
      <c r="O202" t="n">
        <v>1</v>
      </c>
      <c r="P202" t="n">
        <v>0</v>
      </c>
      <c r="Q202" t="n">
        <v>1</v>
      </c>
      <c r="R202" s="2" t="inlineStr">
        <is>
          <t>Skogshare</t>
        </is>
      </c>
      <c r="S202">
        <f>HYPERLINK("https://klasma.github.io/Logging_2281/artfynd/A 45023-2023 artfynd.xlsx", "A 45023-2023")</f>
        <v/>
      </c>
      <c r="T202">
        <f>HYPERLINK("https://klasma.github.io/Logging_2281/kartor/A 45023-2023 karta.png", "A 45023-2023")</f>
        <v/>
      </c>
      <c r="V202">
        <f>HYPERLINK("https://klasma.github.io/Logging_2281/klagomål/A 45023-2023 FSC-klagomål.docx", "A 45023-2023")</f>
        <v/>
      </c>
      <c r="W202">
        <f>HYPERLINK("https://klasma.github.io/Logging_2281/klagomålsmail/A 45023-2023 FSC-klagomål mail.docx", "A 45023-2023")</f>
        <v/>
      </c>
      <c r="X202">
        <f>HYPERLINK("https://klasma.github.io/Logging_2281/tillsyn/A 45023-2023 tillsynsbegäran.docx", "A 45023-2023")</f>
        <v/>
      </c>
      <c r="Y202">
        <f>HYPERLINK("https://klasma.github.io/Logging_2281/tillsynsmail/A 45023-2023 tillsynsbegäran mail.docx", "A 45023-2023")</f>
        <v/>
      </c>
    </row>
    <row r="203" ht="15" customHeight="1">
      <c r="A203" t="inlineStr">
        <is>
          <t>A 45332-2023</t>
        </is>
      </c>
      <c r="B203" s="1" t="n">
        <v>45191</v>
      </c>
      <c r="C203" s="1" t="n">
        <v>45760</v>
      </c>
      <c r="D203" t="inlineStr">
        <is>
          <t>VÄSTERNORRLANDS LÄN</t>
        </is>
      </c>
      <c r="E203" t="inlineStr">
        <is>
          <t>SUNDSVALL</t>
        </is>
      </c>
      <c r="F203" t="inlineStr">
        <is>
          <t>SCA</t>
        </is>
      </c>
      <c r="G203" t="n">
        <v>3.8</v>
      </c>
      <c r="H203" t="n">
        <v>1</v>
      </c>
      <c r="I203" t="n">
        <v>0</v>
      </c>
      <c r="J203" t="n">
        <v>0</v>
      </c>
      <c r="K203" t="n">
        <v>0</v>
      </c>
      <c r="L203" t="n">
        <v>0</v>
      </c>
      <c r="M203" t="n">
        <v>0</v>
      </c>
      <c r="N203" t="n">
        <v>0</v>
      </c>
      <c r="O203" t="n">
        <v>0</v>
      </c>
      <c r="P203" t="n">
        <v>0</v>
      </c>
      <c r="Q203" t="n">
        <v>1</v>
      </c>
      <c r="R203" s="2" t="inlineStr">
        <is>
          <t>Fläcknycklar</t>
        </is>
      </c>
      <c r="S203">
        <f>HYPERLINK("https://klasma.github.io/Logging_2281/artfynd/A 45332-2023 artfynd.xlsx", "A 45332-2023")</f>
        <v/>
      </c>
      <c r="T203">
        <f>HYPERLINK("https://klasma.github.io/Logging_2281/kartor/A 45332-2023 karta.png", "A 45332-2023")</f>
        <v/>
      </c>
      <c r="V203">
        <f>HYPERLINK("https://klasma.github.io/Logging_2281/klagomål/A 45332-2023 FSC-klagomål.docx", "A 45332-2023")</f>
        <v/>
      </c>
      <c r="W203">
        <f>HYPERLINK("https://klasma.github.io/Logging_2281/klagomålsmail/A 45332-2023 FSC-klagomål mail.docx", "A 45332-2023")</f>
        <v/>
      </c>
      <c r="X203">
        <f>HYPERLINK("https://klasma.github.io/Logging_2281/tillsyn/A 45332-2023 tillsynsbegäran.docx", "A 45332-2023")</f>
        <v/>
      </c>
      <c r="Y203">
        <f>HYPERLINK("https://klasma.github.io/Logging_2281/tillsynsmail/A 45332-2023 tillsynsbegäran mail.docx", "A 45332-2023")</f>
        <v/>
      </c>
    </row>
    <row r="204" ht="15" customHeight="1">
      <c r="A204" t="inlineStr">
        <is>
          <t>A 46260-2023</t>
        </is>
      </c>
      <c r="B204" s="1" t="n">
        <v>45196</v>
      </c>
      <c r="C204" s="1" t="n">
        <v>45760</v>
      </c>
      <c r="D204" t="inlineStr">
        <is>
          <t>VÄSTERNORRLANDS LÄN</t>
        </is>
      </c>
      <c r="E204" t="inlineStr">
        <is>
          <t>SUNDSVALL</t>
        </is>
      </c>
      <c r="F204" t="inlineStr">
        <is>
          <t>SCA</t>
        </is>
      </c>
      <c r="G204" t="n">
        <v>3</v>
      </c>
      <c r="H204" t="n">
        <v>1</v>
      </c>
      <c r="I204" t="n">
        <v>0</v>
      </c>
      <c r="J204" t="n">
        <v>1</v>
      </c>
      <c r="K204" t="n">
        <v>0</v>
      </c>
      <c r="L204" t="n">
        <v>0</v>
      </c>
      <c r="M204" t="n">
        <v>0</v>
      </c>
      <c r="N204" t="n">
        <v>0</v>
      </c>
      <c r="O204" t="n">
        <v>1</v>
      </c>
      <c r="P204" t="n">
        <v>0</v>
      </c>
      <c r="Q204" t="n">
        <v>1</v>
      </c>
      <c r="R204" s="2" t="inlineStr">
        <is>
          <t>Spillkråka</t>
        </is>
      </c>
      <c r="S204">
        <f>HYPERLINK("https://klasma.github.io/Logging_2281/artfynd/A 46260-2023 artfynd.xlsx", "A 46260-2023")</f>
        <v/>
      </c>
      <c r="T204">
        <f>HYPERLINK("https://klasma.github.io/Logging_2281/kartor/A 46260-2023 karta.png", "A 46260-2023")</f>
        <v/>
      </c>
      <c r="V204">
        <f>HYPERLINK("https://klasma.github.io/Logging_2281/klagomål/A 46260-2023 FSC-klagomål.docx", "A 46260-2023")</f>
        <v/>
      </c>
      <c r="W204">
        <f>HYPERLINK("https://klasma.github.io/Logging_2281/klagomålsmail/A 46260-2023 FSC-klagomål mail.docx", "A 46260-2023")</f>
        <v/>
      </c>
      <c r="X204">
        <f>HYPERLINK("https://klasma.github.io/Logging_2281/tillsyn/A 46260-2023 tillsynsbegäran.docx", "A 46260-2023")</f>
        <v/>
      </c>
      <c r="Y204">
        <f>HYPERLINK("https://klasma.github.io/Logging_2281/tillsynsmail/A 46260-2023 tillsynsbegäran mail.docx", "A 46260-2023")</f>
        <v/>
      </c>
      <c r="Z204">
        <f>HYPERLINK("https://klasma.github.io/Logging_2281/fåglar/A 46260-2023 prioriterade fågelarter.docx", "A 46260-2023")</f>
        <v/>
      </c>
    </row>
    <row r="205" ht="15" customHeight="1">
      <c r="A205" t="inlineStr">
        <is>
          <t>A 47245-2023</t>
        </is>
      </c>
      <c r="B205" s="1" t="n">
        <v>45202</v>
      </c>
      <c r="C205" s="1" t="n">
        <v>45760</v>
      </c>
      <c r="D205" t="inlineStr">
        <is>
          <t>VÄSTERNORRLANDS LÄN</t>
        </is>
      </c>
      <c r="E205" t="inlineStr">
        <is>
          <t>SUNDSVALL</t>
        </is>
      </c>
      <c r="G205" t="n">
        <v>1.6</v>
      </c>
      <c r="H205" t="n">
        <v>1</v>
      </c>
      <c r="I205" t="n">
        <v>1</v>
      </c>
      <c r="J205" t="n">
        <v>0</v>
      </c>
      <c r="K205" t="n">
        <v>0</v>
      </c>
      <c r="L205" t="n">
        <v>0</v>
      </c>
      <c r="M205" t="n">
        <v>0</v>
      </c>
      <c r="N205" t="n">
        <v>0</v>
      </c>
      <c r="O205" t="n">
        <v>0</v>
      </c>
      <c r="P205" t="n">
        <v>0</v>
      </c>
      <c r="Q205" t="n">
        <v>1</v>
      </c>
      <c r="R205" s="2" t="inlineStr">
        <is>
          <t>Tvåblad</t>
        </is>
      </c>
      <c r="S205">
        <f>HYPERLINK("https://klasma.github.io/Logging_2281/artfynd/A 47245-2023 artfynd.xlsx", "A 47245-2023")</f>
        <v/>
      </c>
      <c r="T205">
        <f>HYPERLINK("https://klasma.github.io/Logging_2281/kartor/A 47245-2023 karta.png", "A 47245-2023")</f>
        <v/>
      </c>
      <c r="V205">
        <f>HYPERLINK("https://klasma.github.io/Logging_2281/klagomål/A 47245-2023 FSC-klagomål.docx", "A 47245-2023")</f>
        <v/>
      </c>
      <c r="W205">
        <f>HYPERLINK("https://klasma.github.io/Logging_2281/klagomålsmail/A 47245-2023 FSC-klagomål mail.docx", "A 47245-2023")</f>
        <v/>
      </c>
      <c r="X205">
        <f>HYPERLINK("https://klasma.github.io/Logging_2281/tillsyn/A 47245-2023 tillsynsbegäran.docx", "A 47245-2023")</f>
        <v/>
      </c>
      <c r="Y205">
        <f>HYPERLINK("https://klasma.github.io/Logging_2281/tillsynsmail/A 47245-2023 tillsynsbegäran mail.docx", "A 47245-2023")</f>
        <v/>
      </c>
    </row>
    <row r="206" ht="15" customHeight="1">
      <c r="A206" t="inlineStr">
        <is>
          <t>A 49863-2023</t>
        </is>
      </c>
      <c r="B206" s="1" t="n">
        <v>45212</v>
      </c>
      <c r="C206" s="1" t="n">
        <v>45760</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51737-2023</t>
        </is>
      </c>
      <c r="B207" s="1" t="n">
        <v>45222</v>
      </c>
      <c r="C207" s="1" t="n">
        <v>45760</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54325-2023</t>
        </is>
      </c>
      <c r="B208" s="1" t="n">
        <v>45232</v>
      </c>
      <c r="C208" s="1" t="n">
        <v>45760</v>
      </c>
      <c r="D208" t="inlineStr">
        <is>
          <t>VÄSTERNORRLANDS LÄN</t>
        </is>
      </c>
      <c r="E208" t="inlineStr">
        <is>
          <t>SUNDSVALL</t>
        </is>
      </c>
      <c r="F208" t="inlineStr">
        <is>
          <t>SCA</t>
        </is>
      </c>
      <c r="G208" t="n">
        <v>5.7</v>
      </c>
      <c r="H208" t="n">
        <v>0</v>
      </c>
      <c r="I208" t="n">
        <v>0</v>
      </c>
      <c r="J208" t="n">
        <v>1</v>
      </c>
      <c r="K208" t="n">
        <v>0</v>
      </c>
      <c r="L208" t="n">
        <v>0</v>
      </c>
      <c r="M208" t="n">
        <v>0</v>
      </c>
      <c r="N208" t="n">
        <v>0</v>
      </c>
      <c r="O208" t="n">
        <v>1</v>
      </c>
      <c r="P208" t="n">
        <v>0</v>
      </c>
      <c r="Q208" t="n">
        <v>1</v>
      </c>
      <c r="R208" s="2" t="inlineStr">
        <is>
          <t>Igelkott</t>
        </is>
      </c>
      <c r="S208">
        <f>HYPERLINK("https://klasma.github.io/Logging_2281/artfynd/A 54325-2023 artfynd.xlsx", "A 54325-2023")</f>
        <v/>
      </c>
      <c r="T208">
        <f>HYPERLINK("https://klasma.github.io/Logging_2281/kartor/A 54325-2023 karta.png", "A 54325-2023")</f>
        <v/>
      </c>
      <c r="V208">
        <f>HYPERLINK("https://klasma.github.io/Logging_2281/klagomål/A 54325-2023 FSC-klagomål.docx", "A 54325-2023")</f>
        <v/>
      </c>
      <c r="W208">
        <f>HYPERLINK("https://klasma.github.io/Logging_2281/klagomålsmail/A 54325-2023 FSC-klagomål mail.docx", "A 54325-2023")</f>
        <v/>
      </c>
      <c r="X208">
        <f>HYPERLINK("https://klasma.github.io/Logging_2281/tillsyn/A 54325-2023 tillsynsbegäran.docx", "A 54325-2023")</f>
        <v/>
      </c>
      <c r="Y208">
        <f>HYPERLINK("https://klasma.github.io/Logging_2281/tillsynsmail/A 54325-2023 tillsynsbegäran mail.docx", "A 54325-2023")</f>
        <v/>
      </c>
    </row>
    <row r="209" ht="15" customHeight="1">
      <c r="A209" t="inlineStr">
        <is>
          <t>A 56698-2023</t>
        </is>
      </c>
      <c r="B209" s="1" t="n">
        <v>45244</v>
      </c>
      <c r="C209" s="1" t="n">
        <v>45760</v>
      </c>
      <c r="D209" t="inlineStr">
        <is>
          <t>VÄSTERNORRLANDS LÄN</t>
        </is>
      </c>
      <c r="E209" t="inlineStr">
        <is>
          <t>SUNDSVALL</t>
        </is>
      </c>
      <c r="F209" t="inlineStr">
        <is>
          <t>SCA</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HYPERLINK("https://klasma.github.io/Logging_2281/artfynd/A 56698-2023 artfynd.xlsx", "A 56698-2023")</f>
        <v/>
      </c>
      <c r="T209">
        <f>HYPERLINK("https://klasma.github.io/Logging_2281/kartor/A 56698-2023 karta.png", "A 56698-2023")</f>
        <v/>
      </c>
      <c r="V209">
        <f>HYPERLINK("https://klasma.github.io/Logging_2281/klagomål/A 56698-2023 FSC-klagomål.docx", "A 56698-2023")</f>
        <v/>
      </c>
      <c r="W209">
        <f>HYPERLINK("https://klasma.github.io/Logging_2281/klagomålsmail/A 56698-2023 FSC-klagomål mail.docx", "A 56698-2023")</f>
        <v/>
      </c>
      <c r="X209">
        <f>HYPERLINK("https://klasma.github.io/Logging_2281/tillsyn/A 56698-2023 tillsynsbegäran.docx", "A 56698-2023")</f>
        <v/>
      </c>
      <c r="Y209">
        <f>HYPERLINK("https://klasma.github.io/Logging_2281/tillsynsmail/A 56698-2023 tillsynsbegäran mail.docx", "A 56698-2023")</f>
        <v/>
      </c>
    </row>
    <row r="210" ht="15" customHeight="1">
      <c r="A210" t="inlineStr">
        <is>
          <t>A 58470-2023</t>
        </is>
      </c>
      <c r="B210" s="1" t="n">
        <v>45250</v>
      </c>
      <c r="C210" s="1" t="n">
        <v>45760</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59870-2023</t>
        </is>
      </c>
      <c r="B211" s="1" t="n">
        <v>45254</v>
      </c>
      <c r="C211" s="1" t="n">
        <v>45760</v>
      </c>
      <c r="D211" t="inlineStr">
        <is>
          <t>VÄSTERNORRLANDS LÄN</t>
        </is>
      </c>
      <c r="E211" t="inlineStr">
        <is>
          <t>SUNDSVALL</t>
        </is>
      </c>
      <c r="G211" t="n">
        <v>3.2</v>
      </c>
      <c r="H211" t="n">
        <v>0</v>
      </c>
      <c r="I211" t="n">
        <v>0</v>
      </c>
      <c r="J211" t="n">
        <v>1</v>
      </c>
      <c r="K211" t="n">
        <v>0</v>
      </c>
      <c r="L211" t="n">
        <v>0</v>
      </c>
      <c r="M211" t="n">
        <v>0</v>
      </c>
      <c r="N211" t="n">
        <v>0</v>
      </c>
      <c r="O211" t="n">
        <v>1</v>
      </c>
      <c r="P211" t="n">
        <v>0</v>
      </c>
      <c r="Q211" t="n">
        <v>1</v>
      </c>
      <c r="R211" s="2" t="inlineStr">
        <is>
          <t>Lunglav</t>
        </is>
      </c>
      <c r="S211">
        <f>HYPERLINK("https://klasma.github.io/Logging_2281/artfynd/A 59870-2023 artfynd.xlsx", "A 59870-2023")</f>
        <v/>
      </c>
      <c r="T211">
        <f>HYPERLINK("https://klasma.github.io/Logging_2281/kartor/A 59870-2023 karta.png", "A 59870-2023")</f>
        <v/>
      </c>
      <c r="V211">
        <f>HYPERLINK("https://klasma.github.io/Logging_2281/klagomål/A 59870-2023 FSC-klagomål.docx", "A 59870-2023")</f>
        <v/>
      </c>
      <c r="W211">
        <f>HYPERLINK("https://klasma.github.io/Logging_2281/klagomålsmail/A 59870-2023 FSC-klagomål mail.docx", "A 59870-2023")</f>
        <v/>
      </c>
      <c r="X211">
        <f>HYPERLINK("https://klasma.github.io/Logging_2281/tillsyn/A 59870-2023 tillsynsbegäran.docx", "A 59870-2023")</f>
        <v/>
      </c>
      <c r="Y211">
        <f>HYPERLINK("https://klasma.github.io/Logging_2281/tillsynsmail/A 59870-2023 tillsynsbegäran mail.docx", "A 59870-2023")</f>
        <v/>
      </c>
    </row>
    <row r="212" ht="15" customHeight="1">
      <c r="A212" t="inlineStr">
        <is>
          <t>A 64483-2023</t>
        </is>
      </c>
      <c r="B212" s="1" t="n">
        <v>45280</v>
      </c>
      <c r="C212" s="1" t="n">
        <v>45760</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233-2024</t>
        </is>
      </c>
      <c r="B213" s="1" t="n">
        <v>45294</v>
      </c>
      <c r="C213" s="1" t="n">
        <v>45760</v>
      </c>
      <c r="D213" t="inlineStr">
        <is>
          <t>VÄSTERNORRLANDS LÄN</t>
        </is>
      </c>
      <c r="E213" t="inlineStr">
        <is>
          <t>SUNDSVALL</t>
        </is>
      </c>
      <c r="G213" t="n">
        <v>2.4</v>
      </c>
      <c r="H213" t="n">
        <v>1</v>
      </c>
      <c r="I213" t="n">
        <v>0</v>
      </c>
      <c r="J213" t="n">
        <v>1</v>
      </c>
      <c r="K213" t="n">
        <v>0</v>
      </c>
      <c r="L213" t="n">
        <v>0</v>
      </c>
      <c r="M213" t="n">
        <v>0</v>
      </c>
      <c r="N213" t="n">
        <v>0</v>
      </c>
      <c r="O213" t="n">
        <v>1</v>
      </c>
      <c r="P213" t="n">
        <v>0</v>
      </c>
      <c r="Q213" t="n">
        <v>1</v>
      </c>
      <c r="R213" s="2" t="inlineStr">
        <is>
          <t>Duvhök</t>
        </is>
      </c>
      <c r="S213">
        <f>HYPERLINK("https://klasma.github.io/Logging_2281/artfynd/A 233-2024 artfynd.xlsx", "A 233-2024")</f>
        <v/>
      </c>
      <c r="T213">
        <f>HYPERLINK("https://klasma.github.io/Logging_2281/kartor/A 233-2024 karta.png", "A 233-2024")</f>
        <v/>
      </c>
      <c r="V213">
        <f>HYPERLINK("https://klasma.github.io/Logging_2281/klagomål/A 233-2024 FSC-klagomål.docx", "A 233-2024")</f>
        <v/>
      </c>
      <c r="W213">
        <f>HYPERLINK("https://klasma.github.io/Logging_2281/klagomålsmail/A 233-2024 FSC-klagomål mail.docx", "A 233-2024")</f>
        <v/>
      </c>
      <c r="X213">
        <f>HYPERLINK("https://klasma.github.io/Logging_2281/tillsyn/A 233-2024 tillsynsbegäran.docx", "A 233-2024")</f>
        <v/>
      </c>
      <c r="Y213">
        <f>HYPERLINK("https://klasma.github.io/Logging_2281/tillsynsmail/A 233-2024 tillsynsbegäran mail.docx", "A 233-2024")</f>
        <v/>
      </c>
      <c r="Z213">
        <f>HYPERLINK("https://klasma.github.io/Logging_2281/fåglar/A 233-2024 prioriterade fågelarter.docx", "A 233-2024")</f>
        <v/>
      </c>
    </row>
    <row r="214" ht="15" customHeight="1">
      <c r="A214" t="inlineStr">
        <is>
          <t>A 1058-2024</t>
        </is>
      </c>
      <c r="B214" s="1" t="n">
        <v>45301</v>
      </c>
      <c r="C214" s="1" t="n">
        <v>45760</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3819-2024</t>
        </is>
      </c>
      <c r="B215" s="1" t="n">
        <v>45321</v>
      </c>
      <c r="C215" s="1" t="n">
        <v>45760</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6629-2024</t>
        </is>
      </c>
      <c r="B216" s="1" t="n">
        <v>45341</v>
      </c>
      <c r="C216" s="1" t="n">
        <v>45760</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6629-2024 artfynd.xlsx", "A 6629-2024")</f>
        <v/>
      </c>
      <c r="T216">
        <f>HYPERLINK("https://klasma.github.io/Logging_2281/kartor/A 6629-2024 karta.png", "A 6629-2024")</f>
        <v/>
      </c>
      <c r="V216">
        <f>HYPERLINK("https://klasma.github.io/Logging_2281/klagomål/A 6629-2024 FSC-klagomål.docx", "A 6629-2024")</f>
        <v/>
      </c>
      <c r="W216">
        <f>HYPERLINK("https://klasma.github.io/Logging_2281/klagomålsmail/A 6629-2024 FSC-klagomål mail.docx", "A 6629-2024")</f>
        <v/>
      </c>
      <c r="X216">
        <f>HYPERLINK("https://klasma.github.io/Logging_2281/tillsyn/A 6629-2024 tillsynsbegäran.docx", "A 6629-2024")</f>
        <v/>
      </c>
      <c r="Y216">
        <f>HYPERLINK("https://klasma.github.io/Logging_2281/tillsynsmail/A 6629-2024 tillsynsbegäran mail.docx", "A 6629-2024")</f>
        <v/>
      </c>
      <c r="Z216">
        <f>HYPERLINK("https://klasma.github.io/Logging_2281/fåglar/A 6629-2024 prioriterade fågelarter.docx", "A 6629-2024")</f>
        <v/>
      </c>
    </row>
    <row r="217" ht="15" customHeight="1">
      <c r="A217" t="inlineStr">
        <is>
          <t>A 6897-2024</t>
        </is>
      </c>
      <c r="B217" s="1" t="n">
        <v>45342</v>
      </c>
      <c r="C217" s="1" t="n">
        <v>45760</v>
      </c>
      <c r="D217" t="inlineStr">
        <is>
          <t>VÄSTERNORRLANDS LÄN</t>
        </is>
      </c>
      <c r="E217" t="inlineStr">
        <is>
          <t>SUNDSVALL</t>
        </is>
      </c>
      <c r="G217" t="n">
        <v>22.7</v>
      </c>
      <c r="H217" t="n">
        <v>1</v>
      </c>
      <c r="I217" t="n">
        <v>0</v>
      </c>
      <c r="J217" t="n">
        <v>1</v>
      </c>
      <c r="K217" t="n">
        <v>0</v>
      </c>
      <c r="L217" t="n">
        <v>0</v>
      </c>
      <c r="M217" t="n">
        <v>0</v>
      </c>
      <c r="N217" t="n">
        <v>0</v>
      </c>
      <c r="O217" t="n">
        <v>1</v>
      </c>
      <c r="P217" t="n">
        <v>0</v>
      </c>
      <c r="Q217" t="n">
        <v>1</v>
      </c>
      <c r="R217" s="2" t="inlineStr">
        <is>
          <t>Utter</t>
        </is>
      </c>
      <c r="S217">
        <f>HYPERLINK("https://klasma.github.io/Logging_2281/artfynd/A 6897-2024 artfynd.xlsx", "A 6897-2024")</f>
        <v/>
      </c>
      <c r="T217">
        <f>HYPERLINK("https://klasma.github.io/Logging_2281/kartor/A 6897-2024 karta.png", "A 6897-2024")</f>
        <v/>
      </c>
      <c r="V217">
        <f>HYPERLINK("https://klasma.github.io/Logging_2281/klagomål/A 6897-2024 FSC-klagomål.docx", "A 6897-2024")</f>
        <v/>
      </c>
      <c r="W217">
        <f>HYPERLINK("https://klasma.github.io/Logging_2281/klagomålsmail/A 6897-2024 FSC-klagomål mail.docx", "A 6897-2024")</f>
        <v/>
      </c>
      <c r="X217">
        <f>HYPERLINK("https://klasma.github.io/Logging_2281/tillsyn/A 6897-2024 tillsynsbegäran.docx", "A 6897-2024")</f>
        <v/>
      </c>
      <c r="Y217">
        <f>HYPERLINK("https://klasma.github.io/Logging_2281/tillsynsmail/A 6897-2024 tillsynsbegäran mail.docx", "A 6897-2024")</f>
        <v/>
      </c>
    </row>
    <row r="218" ht="15" customHeight="1">
      <c r="A218" t="inlineStr">
        <is>
          <t>A 11681-2024</t>
        </is>
      </c>
      <c r="B218" s="1" t="n">
        <v>45373</v>
      </c>
      <c r="C218" s="1" t="n">
        <v>45760</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15151-2024</t>
        </is>
      </c>
      <c r="B219" s="1" t="n">
        <v>45400</v>
      </c>
      <c r="C219" s="1" t="n">
        <v>45760</v>
      </c>
      <c r="D219" t="inlineStr">
        <is>
          <t>VÄSTERNORRLANDS LÄN</t>
        </is>
      </c>
      <c r="E219" t="inlineStr">
        <is>
          <t>SUNDSVALL</t>
        </is>
      </c>
      <c r="F219" t="inlineStr">
        <is>
          <t>Naturvårdsverket</t>
        </is>
      </c>
      <c r="G219" t="n">
        <v>17.2</v>
      </c>
      <c r="H219" t="n">
        <v>1</v>
      </c>
      <c r="I219" t="n">
        <v>0</v>
      </c>
      <c r="J219" t="n">
        <v>0</v>
      </c>
      <c r="K219" t="n">
        <v>1</v>
      </c>
      <c r="L219" t="n">
        <v>0</v>
      </c>
      <c r="M219" t="n">
        <v>0</v>
      </c>
      <c r="N219" t="n">
        <v>0</v>
      </c>
      <c r="O219" t="n">
        <v>1</v>
      </c>
      <c r="P219" t="n">
        <v>1</v>
      </c>
      <c r="Q219" t="n">
        <v>1</v>
      </c>
      <c r="R219" s="2" t="inlineStr">
        <is>
          <t>Knärot</t>
        </is>
      </c>
      <c r="S219">
        <f>HYPERLINK("https://klasma.github.io/Logging_2281/artfynd/A 15151-2024 artfynd.xlsx", "A 15151-2024")</f>
        <v/>
      </c>
      <c r="T219">
        <f>HYPERLINK("https://klasma.github.io/Logging_2281/kartor/A 15151-2024 karta.png", "A 15151-2024")</f>
        <v/>
      </c>
      <c r="U219">
        <f>HYPERLINK("https://klasma.github.io/Logging_2281/knärot/A 15151-2024 karta knärot.png", "A 15151-2024")</f>
        <v/>
      </c>
      <c r="V219">
        <f>HYPERLINK("https://klasma.github.io/Logging_2281/klagomål/A 15151-2024 FSC-klagomål.docx", "A 15151-2024")</f>
        <v/>
      </c>
      <c r="W219">
        <f>HYPERLINK("https://klasma.github.io/Logging_2281/klagomålsmail/A 15151-2024 FSC-klagomål mail.docx", "A 15151-2024")</f>
        <v/>
      </c>
      <c r="X219">
        <f>HYPERLINK("https://klasma.github.io/Logging_2281/tillsyn/A 15151-2024 tillsynsbegäran.docx", "A 15151-2024")</f>
        <v/>
      </c>
      <c r="Y219">
        <f>HYPERLINK("https://klasma.github.io/Logging_2281/tillsynsmail/A 15151-2024 tillsynsbegäran mail.docx", "A 15151-2024")</f>
        <v/>
      </c>
    </row>
    <row r="220" ht="15" customHeight="1">
      <c r="A220" t="inlineStr">
        <is>
          <t>A 15376-2024</t>
        </is>
      </c>
      <c r="B220" s="1" t="n">
        <v>45400</v>
      </c>
      <c r="C220" s="1" t="n">
        <v>45760</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20517-2024</t>
        </is>
      </c>
      <c r="B221" s="1" t="n">
        <v>45435</v>
      </c>
      <c r="C221" s="1" t="n">
        <v>45760</v>
      </c>
      <c r="D221" t="inlineStr">
        <is>
          <t>VÄSTERNORRLANDS LÄN</t>
        </is>
      </c>
      <c r="E221" t="inlineStr">
        <is>
          <t>SUNDSVALL</t>
        </is>
      </c>
      <c r="G221" t="n">
        <v>4.6</v>
      </c>
      <c r="H221" t="n">
        <v>0</v>
      </c>
      <c r="I221" t="n">
        <v>0</v>
      </c>
      <c r="J221" t="n">
        <v>1</v>
      </c>
      <c r="K221" t="n">
        <v>0</v>
      </c>
      <c r="L221" t="n">
        <v>0</v>
      </c>
      <c r="M221" t="n">
        <v>0</v>
      </c>
      <c r="N221" t="n">
        <v>0</v>
      </c>
      <c r="O221" t="n">
        <v>1</v>
      </c>
      <c r="P221" t="n">
        <v>0</v>
      </c>
      <c r="Q221" t="n">
        <v>1</v>
      </c>
      <c r="R221" s="2" t="inlineStr">
        <is>
          <t>Lunglav</t>
        </is>
      </c>
      <c r="S221">
        <f>HYPERLINK("https://klasma.github.io/Logging_2281/artfynd/A 20517-2024 artfynd.xlsx", "A 20517-2024")</f>
        <v/>
      </c>
      <c r="T221">
        <f>HYPERLINK("https://klasma.github.io/Logging_2281/kartor/A 20517-2024 karta.png", "A 20517-2024")</f>
        <v/>
      </c>
      <c r="V221">
        <f>HYPERLINK("https://klasma.github.io/Logging_2281/klagomål/A 20517-2024 FSC-klagomål.docx", "A 20517-2024")</f>
        <v/>
      </c>
      <c r="W221">
        <f>HYPERLINK("https://klasma.github.io/Logging_2281/klagomålsmail/A 20517-2024 FSC-klagomål mail.docx", "A 20517-2024")</f>
        <v/>
      </c>
      <c r="X221">
        <f>HYPERLINK("https://klasma.github.io/Logging_2281/tillsyn/A 20517-2024 tillsynsbegäran.docx", "A 20517-2024")</f>
        <v/>
      </c>
      <c r="Y221">
        <f>HYPERLINK("https://klasma.github.io/Logging_2281/tillsynsmail/A 20517-2024 tillsynsbegäran mail.docx", "A 20517-2024")</f>
        <v/>
      </c>
    </row>
    <row r="222" ht="15" customHeight="1">
      <c r="A222" t="inlineStr">
        <is>
          <t>A 24782-2024</t>
        </is>
      </c>
      <c r="B222" s="1" t="n">
        <v>45460</v>
      </c>
      <c r="C222" s="1" t="n">
        <v>45760</v>
      </c>
      <c r="D222" t="inlineStr">
        <is>
          <t>VÄSTERNORRLANDS LÄN</t>
        </is>
      </c>
      <c r="E222" t="inlineStr">
        <is>
          <t>SUNDSVALL</t>
        </is>
      </c>
      <c r="F222" t="inlineStr">
        <is>
          <t>Kommuner</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24782-2024 artfynd.xlsx", "A 24782-2024")</f>
        <v/>
      </c>
      <c r="T222">
        <f>HYPERLINK("https://klasma.github.io/Logging_2281/kartor/A 24782-2024 karta.png", "A 24782-2024")</f>
        <v/>
      </c>
      <c r="V222">
        <f>HYPERLINK("https://klasma.github.io/Logging_2281/klagomål/A 24782-2024 FSC-klagomål.docx", "A 24782-2024")</f>
        <v/>
      </c>
      <c r="W222">
        <f>HYPERLINK("https://klasma.github.io/Logging_2281/klagomålsmail/A 24782-2024 FSC-klagomål mail.docx", "A 24782-2024")</f>
        <v/>
      </c>
      <c r="X222">
        <f>HYPERLINK("https://klasma.github.io/Logging_2281/tillsyn/A 24782-2024 tillsynsbegäran.docx", "A 24782-2024")</f>
        <v/>
      </c>
      <c r="Y222">
        <f>HYPERLINK("https://klasma.github.io/Logging_2281/tillsynsmail/A 24782-2024 tillsynsbegäran mail.docx", "A 24782-2024")</f>
        <v/>
      </c>
      <c r="Z222">
        <f>HYPERLINK("https://klasma.github.io/Logging_2281/fåglar/A 24782-2024 prioriterade fågelarter.docx", "A 24782-2024")</f>
        <v/>
      </c>
    </row>
    <row r="223" ht="15" customHeight="1">
      <c r="A223" t="inlineStr">
        <is>
          <t>A 25380-2024</t>
        </is>
      </c>
      <c r="B223" s="1" t="n">
        <v>45463</v>
      </c>
      <c r="C223" s="1" t="n">
        <v>45760</v>
      </c>
      <c r="D223" t="inlineStr">
        <is>
          <t>VÄSTERNORRLANDS LÄN</t>
        </is>
      </c>
      <c r="E223" t="inlineStr">
        <is>
          <t>SUNDSVALL</t>
        </is>
      </c>
      <c r="F223" t="inlineStr">
        <is>
          <t>SCA</t>
        </is>
      </c>
      <c r="G223" t="n">
        <v>3.3</v>
      </c>
      <c r="H223" t="n">
        <v>1</v>
      </c>
      <c r="I223" t="n">
        <v>0</v>
      </c>
      <c r="J223" t="n">
        <v>1</v>
      </c>
      <c r="K223" t="n">
        <v>0</v>
      </c>
      <c r="L223" t="n">
        <v>0</v>
      </c>
      <c r="M223" t="n">
        <v>0</v>
      </c>
      <c r="N223" t="n">
        <v>0</v>
      </c>
      <c r="O223" t="n">
        <v>1</v>
      </c>
      <c r="P223" t="n">
        <v>0</v>
      </c>
      <c r="Q223" t="n">
        <v>1</v>
      </c>
      <c r="R223" s="2" t="inlineStr">
        <is>
          <t>Nordfladdermus</t>
        </is>
      </c>
      <c r="S223">
        <f>HYPERLINK("https://klasma.github.io/Logging_2281/artfynd/A 25380-2024 artfynd.xlsx", "A 25380-2024")</f>
        <v/>
      </c>
      <c r="T223">
        <f>HYPERLINK("https://klasma.github.io/Logging_2281/kartor/A 25380-2024 karta.png", "A 25380-2024")</f>
        <v/>
      </c>
      <c r="V223">
        <f>HYPERLINK("https://klasma.github.io/Logging_2281/klagomål/A 25380-2024 FSC-klagomål.docx", "A 25380-2024")</f>
        <v/>
      </c>
      <c r="W223">
        <f>HYPERLINK("https://klasma.github.io/Logging_2281/klagomålsmail/A 25380-2024 FSC-klagomål mail.docx", "A 25380-2024")</f>
        <v/>
      </c>
      <c r="X223">
        <f>HYPERLINK("https://klasma.github.io/Logging_2281/tillsyn/A 25380-2024 tillsynsbegäran.docx", "A 25380-2024")</f>
        <v/>
      </c>
      <c r="Y223">
        <f>HYPERLINK("https://klasma.github.io/Logging_2281/tillsynsmail/A 25380-2024 tillsynsbegäran mail.docx", "A 25380-2024")</f>
        <v/>
      </c>
    </row>
    <row r="224" ht="15" customHeight="1">
      <c r="A224" t="inlineStr">
        <is>
          <t>A 26080-2024</t>
        </is>
      </c>
      <c r="B224" s="1" t="n">
        <v>45468</v>
      </c>
      <c r="C224" s="1" t="n">
        <v>45760</v>
      </c>
      <c r="D224" t="inlineStr">
        <is>
          <t>VÄSTERNORRLANDS LÄN</t>
        </is>
      </c>
      <c r="E224" t="inlineStr">
        <is>
          <t>SUNDSVALL</t>
        </is>
      </c>
      <c r="G224" t="n">
        <v>18.8</v>
      </c>
      <c r="H224" t="n">
        <v>0</v>
      </c>
      <c r="I224" t="n">
        <v>0</v>
      </c>
      <c r="J224" t="n">
        <v>1</v>
      </c>
      <c r="K224" t="n">
        <v>0</v>
      </c>
      <c r="L224" t="n">
        <v>0</v>
      </c>
      <c r="M224" t="n">
        <v>0</v>
      </c>
      <c r="N224" t="n">
        <v>0</v>
      </c>
      <c r="O224" t="n">
        <v>1</v>
      </c>
      <c r="P224" t="n">
        <v>0</v>
      </c>
      <c r="Q224" t="n">
        <v>1</v>
      </c>
      <c r="R224" s="2" t="inlineStr">
        <is>
          <t>Lunglav</t>
        </is>
      </c>
      <c r="S224">
        <f>HYPERLINK("https://klasma.github.io/Logging_2281/artfynd/A 26080-2024 artfynd.xlsx", "A 26080-2024")</f>
        <v/>
      </c>
      <c r="T224">
        <f>HYPERLINK("https://klasma.github.io/Logging_2281/kartor/A 26080-2024 karta.png", "A 26080-2024")</f>
        <v/>
      </c>
      <c r="V224">
        <f>HYPERLINK("https://klasma.github.io/Logging_2281/klagomål/A 26080-2024 FSC-klagomål.docx", "A 26080-2024")</f>
        <v/>
      </c>
      <c r="W224">
        <f>HYPERLINK("https://klasma.github.io/Logging_2281/klagomålsmail/A 26080-2024 FSC-klagomål mail.docx", "A 26080-2024")</f>
        <v/>
      </c>
      <c r="X224">
        <f>HYPERLINK("https://klasma.github.io/Logging_2281/tillsyn/A 26080-2024 tillsynsbegäran.docx", "A 26080-2024")</f>
        <v/>
      </c>
      <c r="Y224">
        <f>HYPERLINK("https://klasma.github.io/Logging_2281/tillsynsmail/A 26080-2024 tillsynsbegäran mail.docx", "A 26080-2024")</f>
        <v/>
      </c>
    </row>
    <row r="225" ht="15" customHeight="1">
      <c r="A225" t="inlineStr">
        <is>
          <t>A 27320-2024</t>
        </is>
      </c>
      <c r="B225" s="1" t="n">
        <v>45471</v>
      </c>
      <c r="C225" s="1" t="n">
        <v>45760</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31438-2024</t>
        </is>
      </c>
      <c r="B226" s="1" t="n">
        <v>45505</v>
      </c>
      <c r="C226" s="1" t="n">
        <v>45760</v>
      </c>
      <c r="D226" t="inlineStr">
        <is>
          <t>VÄSTERNORRLANDS LÄN</t>
        </is>
      </c>
      <c r="E226" t="inlineStr">
        <is>
          <t>SUNDSVALL</t>
        </is>
      </c>
      <c r="G226" t="n">
        <v>1.2</v>
      </c>
      <c r="H226" t="n">
        <v>1</v>
      </c>
      <c r="I226" t="n">
        <v>0</v>
      </c>
      <c r="J226" t="n">
        <v>0</v>
      </c>
      <c r="K226" t="n">
        <v>0</v>
      </c>
      <c r="L226" t="n">
        <v>0</v>
      </c>
      <c r="M226" t="n">
        <v>0</v>
      </c>
      <c r="N226" t="n">
        <v>0</v>
      </c>
      <c r="O226" t="n">
        <v>0</v>
      </c>
      <c r="P226" t="n">
        <v>0</v>
      </c>
      <c r="Q226" t="n">
        <v>1</v>
      </c>
      <c r="R226" s="2" t="inlineStr">
        <is>
          <t>Fläcknycklar</t>
        </is>
      </c>
      <c r="S226">
        <f>HYPERLINK("https://klasma.github.io/Logging_2281/artfynd/A 31438-2024 artfynd.xlsx", "A 31438-2024")</f>
        <v/>
      </c>
      <c r="T226">
        <f>HYPERLINK("https://klasma.github.io/Logging_2281/kartor/A 31438-2024 karta.png", "A 31438-2024")</f>
        <v/>
      </c>
      <c r="V226">
        <f>HYPERLINK("https://klasma.github.io/Logging_2281/klagomål/A 31438-2024 FSC-klagomål.docx", "A 31438-2024")</f>
        <v/>
      </c>
      <c r="W226">
        <f>HYPERLINK("https://klasma.github.io/Logging_2281/klagomålsmail/A 31438-2024 FSC-klagomål mail.docx", "A 31438-2024")</f>
        <v/>
      </c>
      <c r="X226">
        <f>HYPERLINK("https://klasma.github.io/Logging_2281/tillsyn/A 31438-2024 tillsynsbegäran.docx", "A 31438-2024")</f>
        <v/>
      </c>
      <c r="Y226">
        <f>HYPERLINK("https://klasma.github.io/Logging_2281/tillsynsmail/A 31438-2024 tillsynsbegäran mail.docx", "A 31438-2024")</f>
        <v/>
      </c>
    </row>
    <row r="227" ht="15" customHeight="1">
      <c r="A227" t="inlineStr">
        <is>
          <t>A 31678-2024</t>
        </is>
      </c>
      <c r="B227" s="1" t="n">
        <v>45506</v>
      </c>
      <c r="C227" s="1" t="n">
        <v>45760</v>
      </c>
      <c r="D227" t="inlineStr">
        <is>
          <t>VÄSTERNORRLANDS LÄN</t>
        </is>
      </c>
      <c r="E227" t="inlineStr">
        <is>
          <t>SUNDSVALL</t>
        </is>
      </c>
      <c r="F227" t="inlineStr">
        <is>
          <t>SCA</t>
        </is>
      </c>
      <c r="G227" t="n">
        <v>4.5</v>
      </c>
      <c r="H227" t="n">
        <v>0</v>
      </c>
      <c r="I227" t="n">
        <v>1</v>
      </c>
      <c r="J227" t="n">
        <v>0</v>
      </c>
      <c r="K227" t="n">
        <v>0</v>
      </c>
      <c r="L227" t="n">
        <v>0</v>
      </c>
      <c r="M227" t="n">
        <v>0</v>
      </c>
      <c r="N227" t="n">
        <v>0</v>
      </c>
      <c r="O227" t="n">
        <v>0</v>
      </c>
      <c r="P227" t="n">
        <v>0</v>
      </c>
      <c r="Q227" t="n">
        <v>1</v>
      </c>
      <c r="R227" s="2" t="inlineStr">
        <is>
          <t>Rävticka</t>
        </is>
      </c>
      <c r="S227">
        <f>HYPERLINK("https://klasma.github.io/Logging_2281/artfynd/A 31678-2024 artfynd.xlsx", "A 31678-2024")</f>
        <v/>
      </c>
      <c r="T227">
        <f>HYPERLINK("https://klasma.github.io/Logging_2281/kartor/A 31678-2024 karta.png", "A 31678-2024")</f>
        <v/>
      </c>
      <c r="V227">
        <f>HYPERLINK("https://klasma.github.io/Logging_2281/klagomål/A 31678-2024 FSC-klagomål.docx", "A 31678-2024")</f>
        <v/>
      </c>
      <c r="W227">
        <f>HYPERLINK("https://klasma.github.io/Logging_2281/klagomålsmail/A 31678-2024 FSC-klagomål mail.docx", "A 31678-2024")</f>
        <v/>
      </c>
      <c r="X227">
        <f>HYPERLINK("https://klasma.github.io/Logging_2281/tillsyn/A 31678-2024 tillsynsbegäran.docx", "A 31678-2024")</f>
        <v/>
      </c>
      <c r="Y227">
        <f>HYPERLINK("https://klasma.github.io/Logging_2281/tillsynsmail/A 31678-2024 tillsynsbegäran mail.docx", "A 31678-2024")</f>
        <v/>
      </c>
    </row>
    <row r="228" ht="15" customHeight="1">
      <c r="A228" t="inlineStr">
        <is>
          <t>A 48315-2024</t>
        </is>
      </c>
      <c r="B228" s="1" t="n">
        <v>45590</v>
      </c>
      <c r="C228" s="1" t="n">
        <v>45760</v>
      </c>
      <c r="D228" t="inlineStr">
        <is>
          <t>VÄSTERNORRLANDS LÄN</t>
        </is>
      </c>
      <c r="E228" t="inlineStr">
        <is>
          <t>SUNDSVALL</t>
        </is>
      </c>
      <c r="F228" t="inlineStr">
        <is>
          <t>SCA</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HYPERLINK("https://klasma.github.io/Logging_2281/artfynd/A 48315-2024 artfynd.xlsx", "A 48315-2024")</f>
        <v/>
      </c>
      <c r="T228">
        <f>HYPERLINK("https://klasma.github.io/Logging_2281/kartor/A 48315-2024 karta.png", "A 48315-2024")</f>
        <v/>
      </c>
      <c r="U228">
        <f>HYPERLINK("https://klasma.github.io/Logging_2281/knärot/A 48315-2024 karta knärot.png", "A 48315-2024")</f>
        <v/>
      </c>
      <c r="V228">
        <f>HYPERLINK("https://klasma.github.io/Logging_2281/klagomål/A 48315-2024 FSC-klagomål.docx", "A 48315-2024")</f>
        <v/>
      </c>
      <c r="W228">
        <f>HYPERLINK("https://klasma.github.io/Logging_2281/klagomålsmail/A 48315-2024 FSC-klagomål mail.docx", "A 48315-2024")</f>
        <v/>
      </c>
      <c r="X228">
        <f>HYPERLINK("https://klasma.github.io/Logging_2281/tillsyn/A 48315-2024 tillsynsbegäran.docx", "A 48315-2024")</f>
        <v/>
      </c>
      <c r="Y228">
        <f>HYPERLINK("https://klasma.github.io/Logging_2281/tillsynsmail/A 48315-2024 tillsynsbegäran mail.docx", "A 48315-2024")</f>
        <v/>
      </c>
    </row>
    <row r="229" ht="15" customHeight="1">
      <c r="A229" t="inlineStr">
        <is>
          <t>A 50184-2024</t>
        </is>
      </c>
      <c r="B229" s="1" t="n">
        <v>45600</v>
      </c>
      <c r="C229" s="1" t="n">
        <v>45760</v>
      </c>
      <c r="D229" t="inlineStr">
        <is>
          <t>VÄSTERNORRLANDS LÄN</t>
        </is>
      </c>
      <c r="E229" t="inlineStr">
        <is>
          <t>SUNDSVALL</t>
        </is>
      </c>
      <c r="G229" t="n">
        <v>5.3</v>
      </c>
      <c r="H229" t="n">
        <v>0</v>
      </c>
      <c r="I229" t="n">
        <v>1</v>
      </c>
      <c r="J229" t="n">
        <v>0</v>
      </c>
      <c r="K229" t="n">
        <v>0</v>
      </c>
      <c r="L229" t="n">
        <v>0</v>
      </c>
      <c r="M229" t="n">
        <v>0</v>
      </c>
      <c r="N229" t="n">
        <v>0</v>
      </c>
      <c r="O229" t="n">
        <v>0</v>
      </c>
      <c r="P229" t="n">
        <v>0</v>
      </c>
      <c r="Q229" t="n">
        <v>1</v>
      </c>
      <c r="R229" s="2" t="inlineStr">
        <is>
          <t>Dropptaggsvamp</t>
        </is>
      </c>
      <c r="S229">
        <f>HYPERLINK("https://klasma.github.io/Logging_2281/artfynd/A 50184-2024 artfynd.xlsx", "A 50184-2024")</f>
        <v/>
      </c>
      <c r="T229">
        <f>HYPERLINK("https://klasma.github.io/Logging_2281/kartor/A 50184-2024 karta.png", "A 50184-2024")</f>
        <v/>
      </c>
      <c r="V229">
        <f>HYPERLINK("https://klasma.github.io/Logging_2281/klagomål/A 50184-2024 FSC-klagomål.docx", "A 50184-2024")</f>
        <v/>
      </c>
      <c r="W229">
        <f>HYPERLINK("https://klasma.github.io/Logging_2281/klagomålsmail/A 50184-2024 FSC-klagomål mail.docx", "A 50184-2024")</f>
        <v/>
      </c>
      <c r="X229">
        <f>HYPERLINK("https://klasma.github.io/Logging_2281/tillsyn/A 50184-2024 tillsynsbegäran.docx", "A 50184-2024")</f>
        <v/>
      </c>
      <c r="Y229">
        <f>HYPERLINK("https://klasma.github.io/Logging_2281/tillsynsmail/A 50184-2024 tillsynsbegäran mail.docx", "A 50184-2024")</f>
        <v/>
      </c>
    </row>
    <row r="230" ht="15" customHeight="1">
      <c r="A230" t="inlineStr">
        <is>
          <t>A 50396-2024</t>
        </is>
      </c>
      <c r="B230" s="1" t="n">
        <v>45601</v>
      </c>
      <c r="C230" s="1" t="n">
        <v>45760</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52342-2024</t>
        </is>
      </c>
      <c r="B231" s="1" t="n">
        <v>45609</v>
      </c>
      <c r="C231" s="1" t="n">
        <v>45760</v>
      </c>
      <c r="D231" t="inlineStr">
        <is>
          <t>VÄSTERNORRLANDS LÄN</t>
        </is>
      </c>
      <c r="E231" t="inlineStr">
        <is>
          <t>SUNDSVALL</t>
        </is>
      </c>
      <c r="G231" t="n">
        <v>4</v>
      </c>
      <c r="H231" t="n">
        <v>1</v>
      </c>
      <c r="I231" t="n">
        <v>0</v>
      </c>
      <c r="J231" t="n">
        <v>0</v>
      </c>
      <c r="K231" t="n">
        <v>0</v>
      </c>
      <c r="L231" t="n">
        <v>0</v>
      </c>
      <c r="M231" t="n">
        <v>0</v>
      </c>
      <c r="N231" t="n">
        <v>0</v>
      </c>
      <c r="O231" t="n">
        <v>0</v>
      </c>
      <c r="P231" t="n">
        <v>0</v>
      </c>
      <c r="Q231" t="n">
        <v>1</v>
      </c>
      <c r="R231" s="2" t="inlineStr">
        <is>
          <t>Orre</t>
        </is>
      </c>
      <c r="S231">
        <f>HYPERLINK("https://klasma.github.io/Logging_2281/artfynd/A 52342-2024 artfynd.xlsx", "A 52342-2024")</f>
        <v/>
      </c>
      <c r="T231">
        <f>HYPERLINK("https://klasma.github.io/Logging_2281/kartor/A 52342-2024 karta.png", "A 52342-2024")</f>
        <v/>
      </c>
      <c r="V231">
        <f>HYPERLINK("https://klasma.github.io/Logging_2281/klagomål/A 52342-2024 FSC-klagomål.docx", "A 52342-2024")</f>
        <v/>
      </c>
      <c r="W231">
        <f>HYPERLINK("https://klasma.github.io/Logging_2281/klagomålsmail/A 52342-2024 FSC-klagomål mail.docx", "A 52342-2024")</f>
        <v/>
      </c>
      <c r="X231">
        <f>HYPERLINK("https://klasma.github.io/Logging_2281/tillsyn/A 52342-2024 tillsynsbegäran.docx", "A 52342-2024")</f>
        <v/>
      </c>
      <c r="Y231">
        <f>HYPERLINK("https://klasma.github.io/Logging_2281/tillsynsmail/A 52342-2024 tillsynsbegäran mail.docx", "A 52342-2024")</f>
        <v/>
      </c>
      <c r="Z231">
        <f>HYPERLINK("https://klasma.github.io/Logging_2281/fåglar/A 52342-2024 prioriterade fågelarter.docx", "A 52342-2024")</f>
        <v/>
      </c>
    </row>
    <row r="232" ht="15" customHeight="1">
      <c r="A232" t="inlineStr">
        <is>
          <t>A 52515-2024</t>
        </is>
      </c>
      <c r="B232" s="1" t="n">
        <v>45609</v>
      </c>
      <c r="C232" s="1" t="n">
        <v>45760</v>
      </c>
      <c r="D232" t="inlineStr">
        <is>
          <t>VÄSTERNORRLANDS LÄN</t>
        </is>
      </c>
      <c r="E232" t="inlineStr">
        <is>
          <t>SUNDSVALL</t>
        </is>
      </c>
      <c r="G232" t="n">
        <v>2.4</v>
      </c>
      <c r="H232" t="n">
        <v>0</v>
      </c>
      <c r="I232" t="n">
        <v>1</v>
      </c>
      <c r="J232" t="n">
        <v>0</v>
      </c>
      <c r="K232" t="n">
        <v>0</v>
      </c>
      <c r="L232" t="n">
        <v>0</v>
      </c>
      <c r="M232" t="n">
        <v>0</v>
      </c>
      <c r="N232" t="n">
        <v>0</v>
      </c>
      <c r="O232" t="n">
        <v>0</v>
      </c>
      <c r="P232" t="n">
        <v>0</v>
      </c>
      <c r="Q232" t="n">
        <v>1</v>
      </c>
      <c r="R232" s="2" t="inlineStr">
        <is>
          <t>Tibast</t>
        </is>
      </c>
      <c r="S232">
        <f>HYPERLINK("https://klasma.github.io/Logging_2281/artfynd/A 52515-2024 artfynd.xlsx", "A 52515-2024")</f>
        <v/>
      </c>
      <c r="T232">
        <f>HYPERLINK("https://klasma.github.io/Logging_2281/kartor/A 52515-2024 karta.png", "A 52515-2024")</f>
        <v/>
      </c>
      <c r="V232">
        <f>HYPERLINK("https://klasma.github.io/Logging_2281/klagomål/A 52515-2024 FSC-klagomål.docx", "A 52515-2024")</f>
        <v/>
      </c>
      <c r="W232">
        <f>HYPERLINK("https://klasma.github.io/Logging_2281/klagomålsmail/A 52515-2024 FSC-klagomål mail.docx", "A 52515-2024")</f>
        <v/>
      </c>
      <c r="X232">
        <f>HYPERLINK("https://klasma.github.io/Logging_2281/tillsyn/A 52515-2024 tillsynsbegäran.docx", "A 52515-2024")</f>
        <v/>
      </c>
      <c r="Y232">
        <f>HYPERLINK("https://klasma.github.io/Logging_2281/tillsynsmail/A 52515-2024 tillsynsbegäran mail.docx", "A 52515-2024")</f>
        <v/>
      </c>
    </row>
    <row r="233" ht="15" customHeight="1">
      <c r="A233" t="inlineStr">
        <is>
          <t>A 58723-2024</t>
        </is>
      </c>
      <c r="B233" s="1" t="n">
        <v>45635</v>
      </c>
      <c r="C233" s="1" t="n">
        <v>45760</v>
      </c>
      <c r="D233" t="inlineStr">
        <is>
          <t>VÄSTERNORRLANDS LÄN</t>
        </is>
      </c>
      <c r="E233" t="inlineStr">
        <is>
          <t>SUNDSVALL</t>
        </is>
      </c>
      <c r="G233" t="n">
        <v>2.2</v>
      </c>
      <c r="H233" t="n">
        <v>1</v>
      </c>
      <c r="I233" t="n">
        <v>0</v>
      </c>
      <c r="J233" t="n">
        <v>1</v>
      </c>
      <c r="K233" t="n">
        <v>0</v>
      </c>
      <c r="L233" t="n">
        <v>0</v>
      </c>
      <c r="M233" t="n">
        <v>0</v>
      </c>
      <c r="N233" t="n">
        <v>0</v>
      </c>
      <c r="O233" t="n">
        <v>1</v>
      </c>
      <c r="P233" t="n">
        <v>0</v>
      </c>
      <c r="Q233" t="n">
        <v>1</v>
      </c>
      <c r="R233" s="2" t="inlineStr">
        <is>
          <t>Talltita</t>
        </is>
      </c>
      <c r="S233">
        <f>HYPERLINK("https://klasma.github.io/Logging_2281/artfynd/A 58723-2024 artfynd.xlsx", "A 58723-2024")</f>
        <v/>
      </c>
      <c r="T233">
        <f>HYPERLINK("https://klasma.github.io/Logging_2281/kartor/A 58723-2024 karta.png", "A 58723-2024")</f>
        <v/>
      </c>
      <c r="V233">
        <f>HYPERLINK("https://klasma.github.io/Logging_2281/klagomål/A 58723-2024 FSC-klagomål.docx", "A 58723-2024")</f>
        <v/>
      </c>
      <c r="W233">
        <f>HYPERLINK("https://klasma.github.io/Logging_2281/klagomålsmail/A 58723-2024 FSC-klagomål mail.docx", "A 58723-2024")</f>
        <v/>
      </c>
      <c r="X233">
        <f>HYPERLINK("https://klasma.github.io/Logging_2281/tillsyn/A 58723-2024 tillsynsbegäran.docx", "A 58723-2024")</f>
        <v/>
      </c>
      <c r="Y233">
        <f>HYPERLINK("https://klasma.github.io/Logging_2281/tillsynsmail/A 58723-2024 tillsynsbegäran mail.docx", "A 58723-2024")</f>
        <v/>
      </c>
      <c r="Z233">
        <f>HYPERLINK("https://klasma.github.io/Logging_2281/fåglar/A 58723-2024 prioriterade fågelarter.docx", "A 58723-2024")</f>
        <v/>
      </c>
    </row>
    <row r="234" ht="15" customHeight="1">
      <c r="A234" t="inlineStr">
        <is>
          <t>A 59895-2024</t>
        </is>
      </c>
      <c r="B234" s="1" t="n">
        <v>45641</v>
      </c>
      <c r="C234" s="1" t="n">
        <v>45760</v>
      </c>
      <c r="D234" t="inlineStr">
        <is>
          <t>VÄSTERNORRLANDS LÄN</t>
        </is>
      </c>
      <c r="E234" t="inlineStr">
        <is>
          <t>SUNDSVALL</t>
        </is>
      </c>
      <c r="F234" t="inlineStr">
        <is>
          <t>SCA</t>
        </is>
      </c>
      <c r="G234" t="n">
        <v>3.4</v>
      </c>
      <c r="H234" t="n">
        <v>1</v>
      </c>
      <c r="I234" t="n">
        <v>0</v>
      </c>
      <c r="J234" t="n">
        <v>0</v>
      </c>
      <c r="K234" t="n">
        <v>1</v>
      </c>
      <c r="L234" t="n">
        <v>0</v>
      </c>
      <c r="M234" t="n">
        <v>0</v>
      </c>
      <c r="N234" t="n">
        <v>0</v>
      </c>
      <c r="O234" t="n">
        <v>1</v>
      </c>
      <c r="P234" t="n">
        <v>1</v>
      </c>
      <c r="Q234" t="n">
        <v>1</v>
      </c>
      <c r="R234" s="2" t="inlineStr">
        <is>
          <t>Knärot</t>
        </is>
      </c>
      <c r="S234">
        <f>HYPERLINK("https://klasma.github.io/Logging_2281/artfynd/A 59895-2024 artfynd.xlsx", "A 59895-2024")</f>
        <v/>
      </c>
      <c r="T234">
        <f>HYPERLINK("https://klasma.github.io/Logging_2281/kartor/A 59895-2024 karta.png", "A 59895-2024")</f>
        <v/>
      </c>
      <c r="U234">
        <f>HYPERLINK("https://klasma.github.io/Logging_2281/knärot/A 59895-2024 karta knärot.png", "A 59895-2024")</f>
        <v/>
      </c>
      <c r="V234">
        <f>HYPERLINK("https://klasma.github.io/Logging_2281/klagomål/A 59895-2024 FSC-klagomål.docx", "A 59895-2024")</f>
        <v/>
      </c>
      <c r="W234">
        <f>HYPERLINK("https://klasma.github.io/Logging_2281/klagomålsmail/A 59895-2024 FSC-klagomål mail.docx", "A 59895-2024")</f>
        <v/>
      </c>
      <c r="X234">
        <f>HYPERLINK("https://klasma.github.io/Logging_2281/tillsyn/A 59895-2024 tillsynsbegäran.docx", "A 59895-2024")</f>
        <v/>
      </c>
      <c r="Y234">
        <f>HYPERLINK("https://klasma.github.io/Logging_2281/tillsynsmail/A 59895-2024 tillsynsbegäran mail.docx", "A 59895-2024")</f>
        <v/>
      </c>
    </row>
    <row r="235" ht="15" customHeight="1">
      <c r="A235" t="inlineStr">
        <is>
          <t>A 60444-2024</t>
        </is>
      </c>
      <c r="B235" s="1" t="n">
        <v>45642</v>
      </c>
      <c r="C235" s="1" t="n">
        <v>45760</v>
      </c>
      <c r="D235" t="inlineStr">
        <is>
          <t>VÄSTERNORRLANDS LÄN</t>
        </is>
      </c>
      <c r="E235" t="inlineStr">
        <is>
          <t>SUNDSVALL</t>
        </is>
      </c>
      <c r="G235" t="n">
        <v>8.199999999999999</v>
      </c>
      <c r="H235" t="n">
        <v>1</v>
      </c>
      <c r="I235" t="n">
        <v>0</v>
      </c>
      <c r="J235" t="n">
        <v>0</v>
      </c>
      <c r="K235" t="n">
        <v>0</v>
      </c>
      <c r="L235" t="n">
        <v>0</v>
      </c>
      <c r="M235" t="n">
        <v>0</v>
      </c>
      <c r="N235" t="n">
        <v>0</v>
      </c>
      <c r="O235" t="n">
        <v>0</v>
      </c>
      <c r="P235" t="n">
        <v>0</v>
      </c>
      <c r="Q235" t="n">
        <v>1</v>
      </c>
      <c r="R235" s="2" t="inlineStr">
        <is>
          <t>Gråspett</t>
        </is>
      </c>
      <c r="S235">
        <f>HYPERLINK("https://klasma.github.io/Logging_2281/artfynd/A 60444-2024 artfynd.xlsx", "A 60444-2024")</f>
        <v/>
      </c>
      <c r="T235">
        <f>HYPERLINK("https://klasma.github.io/Logging_2281/kartor/A 60444-2024 karta.png", "A 60444-2024")</f>
        <v/>
      </c>
      <c r="V235">
        <f>HYPERLINK("https://klasma.github.io/Logging_2281/klagomål/A 60444-2024 FSC-klagomål.docx", "A 60444-2024")</f>
        <v/>
      </c>
      <c r="W235">
        <f>HYPERLINK("https://klasma.github.io/Logging_2281/klagomålsmail/A 60444-2024 FSC-klagomål mail.docx", "A 60444-2024")</f>
        <v/>
      </c>
      <c r="X235">
        <f>HYPERLINK("https://klasma.github.io/Logging_2281/tillsyn/A 60444-2024 tillsynsbegäran.docx", "A 60444-2024")</f>
        <v/>
      </c>
      <c r="Y235">
        <f>HYPERLINK("https://klasma.github.io/Logging_2281/tillsynsmail/A 60444-2024 tillsynsbegäran mail.docx", "A 60444-2024")</f>
        <v/>
      </c>
      <c r="Z235">
        <f>HYPERLINK("https://klasma.github.io/Logging_2281/fåglar/A 60444-2024 prioriterade fågelarter.docx", "A 60444-2024")</f>
        <v/>
      </c>
    </row>
    <row r="236" ht="15" customHeight="1">
      <c r="A236" t="inlineStr">
        <is>
          <t>A 3347-2025</t>
        </is>
      </c>
      <c r="B236" s="1" t="n">
        <v>45679</v>
      </c>
      <c r="C236" s="1" t="n">
        <v>45760</v>
      </c>
      <c r="D236" t="inlineStr">
        <is>
          <t>VÄSTERNORRLANDS LÄN</t>
        </is>
      </c>
      <c r="E236" t="inlineStr">
        <is>
          <t>SUNDSVALL</t>
        </is>
      </c>
      <c r="G236" t="n">
        <v>20.7</v>
      </c>
      <c r="H236" t="n">
        <v>0</v>
      </c>
      <c r="I236" t="n">
        <v>0</v>
      </c>
      <c r="J236" t="n">
        <v>1</v>
      </c>
      <c r="K236" t="n">
        <v>0</v>
      </c>
      <c r="L236" t="n">
        <v>0</v>
      </c>
      <c r="M236" t="n">
        <v>0</v>
      </c>
      <c r="N236" t="n">
        <v>0</v>
      </c>
      <c r="O236" t="n">
        <v>1</v>
      </c>
      <c r="P236" t="n">
        <v>0</v>
      </c>
      <c r="Q236" t="n">
        <v>1</v>
      </c>
      <c r="R236" s="2" t="inlineStr">
        <is>
          <t>Lunglav</t>
        </is>
      </c>
      <c r="S236">
        <f>HYPERLINK("https://klasma.github.io/Logging_2281/artfynd/A 3347-2025 artfynd.xlsx", "A 3347-2025")</f>
        <v/>
      </c>
      <c r="T236">
        <f>HYPERLINK("https://klasma.github.io/Logging_2281/kartor/A 3347-2025 karta.png", "A 3347-2025")</f>
        <v/>
      </c>
      <c r="V236">
        <f>HYPERLINK("https://klasma.github.io/Logging_2281/klagomål/A 3347-2025 FSC-klagomål.docx", "A 3347-2025")</f>
        <v/>
      </c>
      <c r="W236">
        <f>HYPERLINK("https://klasma.github.io/Logging_2281/klagomålsmail/A 3347-2025 FSC-klagomål mail.docx", "A 3347-2025")</f>
        <v/>
      </c>
      <c r="X236">
        <f>HYPERLINK("https://klasma.github.io/Logging_2281/tillsyn/A 3347-2025 tillsynsbegäran.docx", "A 3347-2025")</f>
        <v/>
      </c>
      <c r="Y236">
        <f>HYPERLINK("https://klasma.github.io/Logging_2281/tillsynsmail/A 3347-2025 tillsynsbegäran mail.docx", "A 3347-2025")</f>
        <v/>
      </c>
    </row>
    <row r="237" ht="15" customHeight="1">
      <c r="A237" t="inlineStr">
        <is>
          <t>A 3924-2025</t>
        </is>
      </c>
      <c r="B237" s="1" t="n">
        <v>45684</v>
      </c>
      <c r="C237" s="1" t="n">
        <v>45760</v>
      </c>
      <c r="D237" t="inlineStr">
        <is>
          <t>VÄSTERNORRLANDS LÄN</t>
        </is>
      </c>
      <c r="E237" t="inlineStr">
        <is>
          <t>SUNDSVALL</t>
        </is>
      </c>
      <c r="F237" t="inlineStr">
        <is>
          <t>SCA</t>
        </is>
      </c>
      <c r="G237" t="n">
        <v>5.9</v>
      </c>
      <c r="H237" t="n">
        <v>1</v>
      </c>
      <c r="I237" t="n">
        <v>0</v>
      </c>
      <c r="J237" t="n">
        <v>1</v>
      </c>
      <c r="K237" t="n">
        <v>0</v>
      </c>
      <c r="L237" t="n">
        <v>0</v>
      </c>
      <c r="M237" t="n">
        <v>0</v>
      </c>
      <c r="N237" t="n">
        <v>0</v>
      </c>
      <c r="O237" t="n">
        <v>1</v>
      </c>
      <c r="P237" t="n">
        <v>0</v>
      </c>
      <c r="Q237" t="n">
        <v>1</v>
      </c>
      <c r="R237" s="2" t="inlineStr">
        <is>
          <t>Järpe</t>
        </is>
      </c>
      <c r="S237">
        <f>HYPERLINK("https://klasma.github.io/Logging_2281/artfynd/A 3924-2025 artfynd.xlsx", "A 3924-2025")</f>
        <v/>
      </c>
      <c r="T237">
        <f>HYPERLINK("https://klasma.github.io/Logging_2281/kartor/A 3924-2025 karta.png", "A 3924-2025")</f>
        <v/>
      </c>
      <c r="V237">
        <f>HYPERLINK("https://klasma.github.io/Logging_2281/klagomål/A 3924-2025 FSC-klagomål.docx", "A 3924-2025")</f>
        <v/>
      </c>
      <c r="W237">
        <f>HYPERLINK("https://klasma.github.io/Logging_2281/klagomålsmail/A 3924-2025 FSC-klagomål mail.docx", "A 3924-2025")</f>
        <v/>
      </c>
      <c r="X237">
        <f>HYPERLINK("https://klasma.github.io/Logging_2281/tillsyn/A 3924-2025 tillsynsbegäran.docx", "A 3924-2025")</f>
        <v/>
      </c>
      <c r="Y237">
        <f>HYPERLINK("https://klasma.github.io/Logging_2281/tillsynsmail/A 3924-2025 tillsynsbegäran mail.docx", "A 3924-2025")</f>
        <v/>
      </c>
      <c r="Z237">
        <f>HYPERLINK("https://klasma.github.io/Logging_2281/fåglar/A 3924-2025 prioriterade fågelarter.docx", "A 3924-2025")</f>
        <v/>
      </c>
    </row>
    <row r="238" ht="15" customHeight="1">
      <c r="A238" t="inlineStr">
        <is>
          <t>A 4865-2025</t>
        </is>
      </c>
      <c r="B238" s="1" t="n">
        <v>45688</v>
      </c>
      <c r="C238" s="1" t="n">
        <v>45760</v>
      </c>
      <c r="D238" t="inlineStr">
        <is>
          <t>VÄSTERNORRLANDS LÄN</t>
        </is>
      </c>
      <c r="E238" t="inlineStr">
        <is>
          <t>SUNDSVALL</t>
        </is>
      </c>
      <c r="F238" t="inlineStr">
        <is>
          <t>SCA</t>
        </is>
      </c>
      <c r="G238" t="n">
        <v>7.3</v>
      </c>
      <c r="H238" t="n">
        <v>0</v>
      </c>
      <c r="I238" t="n">
        <v>0</v>
      </c>
      <c r="J238" t="n">
        <v>1</v>
      </c>
      <c r="K238" t="n">
        <v>0</v>
      </c>
      <c r="L238" t="n">
        <v>0</v>
      </c>
      <c r="M238" t="n">
        <v>0</v>
      </c>
      <c r="N238" t="n">
        <v>0</v>
      </c>
      <c r="O238" t="n">
        <v>1</v>
      </c>
      <c r="P238" t="n">
        <v>0</v>
      </c>
      <c r="Q238" t="n">
        <v>1</v>
      </c>
      <c r="R238" s="2" t="inlineStr">
        <is>
          <t>Lunglav</t>
        </is>
      </c>
      <c r="S238">
        <f>HYPERLINK("https://klasma.github.io/Logging_2281/artfynd/A 4865-2025 artfynd.xlsx", "A 4865-2025")</f>
        <v/>
      </c>
      <c r="T238">
        <f>HYPERLINK("https://klasma.github.io/Logging_2281/kartor/A 4865-2025 karta.png", "A 4865-2025")</f>
        <v/>
      </c>
      <c r="V238">
        <f>HYPERLINK("https://klasma.github.io/Logging_2281/klagomål/A 4865-2025 FSC-klagomål.docx", "A 4865-2025")</f>
        <v/>
      </c>
      <c r="W238">
        <f>HYPERLINK("https://klasma.github.io/Logging_2281/klagomålsmail/A 4865-2025 FSC-klagomål mail.docx", "A 4865-2025")</f>
        <v/>
      </c>
      <c r="X238">
        <f>HYPERLINK("https://klasma.github.io/Logging_2281/tillsyn/A 4865-2025 tillsynsbegäran.docx", "A 4865-2025")</f>
        <v/>
      </c>
      <c r="Y238">
        <f>HYPERLINK("https://klasma.github.io/Logging_2281/tillsynsmail/A 4865-2025 tillsynsbegäran mail.docx", "A 4865-2025")</f>
        <v/>
      </c>
    </row>
    <row r="239" ht="15" customHeight="1">
      <c r="A239" t="inlineStr">
        <is>
          <t>A 6672-2025</t>
        </is>
      </c>
      <c r="B239" s="1" t="n">
        <v>45700</v>
      </c>
      <c r="C239" s="1" t="n">
        <v>45760</v>
      </c>
      <c r="D239" t="inlineStr">
        <is>
          <t>VÄSTERNORRLANDS LÄN</t>
        </is>
      </c>
      <c r="E239" t="inlineStr">
        <is>
          <t>SUNDSVALL</t>
        </is>
      </c>
      <c r="G239" t="n">
        <v>2.8</v>
      </c>
      <c r="H239" t="n">
        <v>0</v>
      </c>
      <c r="I239" t="n">
        <v>0</v>
      </c>
      <c r="J239" t="n">
        <v>1</v>
      </c>
      <c r="K239" t="n">
        <v>0</v>
      </c>
      <c r="L239" t="n">
        <v>0</v>
      </c>
      <c r="M239" t="n">
        <v>0</v>
      </c>
      <c r="N239" t="n">
        <v>0</v>
      </c>
      <c r="O239" t="n">
        <v>1</v>
      </c>
      <c r="P239" t="n">
        <v>0</v>
      </c>
      <c r="Q239" t="n">
        <v>1</v>
      </c>
      <c r="R239" s="2" t="inlineStr">
        <is>
          <t>Tallticka</t>
        </is>
      </c>
      <c r="S239">
        <f>HYPERLINK("https://klasma.github.io/Logging_2281/artfynd/A 6672-2025 artfynd.xlsx", "A 6672-2025")</f>
        <v/>
      </c>
      <c r="T239">
        <f>HYPERLINK("https://klasma.github.io/Logging_2281/kartor/A 6672-2025 karta.png", "A 6672-2025")</f>
        <v/>
      </c>
      <c r="V239">
        <f>HYPERLINK("https://klasma.github.io/Logging_2281/klagomål/A 6672-2025 FSC-klagomål.docx", "A 6672-2025")</f>
        <v/>
      </c>
      <c r="W239">
        <f>HYPERLINK("https://klasma.github.io/Logging_2281/klagomålsmail/A 6672-2025 FSC-klagomål mail.docx", "A 6672-2025")</f>
        <v/>
      </c>
      <c r="X239">
        <f>HYPERLINK("https://klasma.github.io/Logging_2281/tillsyn/A 6672-2025 tillsynsbegäran.docx", "A 6672-2025")</f>
        <v/>
      </c>
      <c r="Y239">
        <f>HYPERLINK("https://klasma.github.io/Logging_2281/tillsynsmail/A 6672-2025 tillsynsbegäran mail.docx", "A 6672-2025")</f>
        <v/>
      </c>
    </row>
    <row r="240" ht="15" customHeight="1">
      <c r="A240" t="inlineStr">
        <is>
          <t>A 7264-2025</t>
        </is>
      </c>
      <c r="B240" s="1" t="n">
        <v>45702</v>
      </c>
      <c r="C240" s="1" t="n">
        <v>45760</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10683-2025</t>
        </is>
      </c>
      <c r="B241" s="1" t="n">
        <v>45721</v>
      </c>
      <c r="C241" s="1" t="n">
        <v>45760</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Björktrast</t>
        </is>
      </c>
      <c r="S241">
        <f>HYPERLINK("https://klasma.github.io/Logging_222281/artfynd/A 10683-2025 artfynd.xlsx", "A 10683-2025")</f>
        <v/>
      </c>
      <c r="T241">
        <f>HYPERLINK("https://klasma.github.io/Logging_222281/kartor/A 10683-2025 karta.png", "A 10683-2025")</f>
        <v/>
      </c>
      <c r="V241">
        <f>HYPERLINK("https://klasma.github.io/Logging_222281/klagomål/A 10683-2025 FSC-klagomål.docx", "A 10683-2025")</f>
        <v/>
      </c>
      <c r="W241">
        <f>HYPERLINK("https://klasma.github.io/Logging_222281/klagomålsmail/A 10683-2025 FSC-klagomål mail.docx", "A 10683-2025")</f>
        <v/>
      </c>
      <c r="X241">
        <f>HYPERLINK("https://klasma.github.io/Logging_222281/tillsyn/A 10683-2025 tillsynsbegäran.docx", "A 10683-2025")</f>
        <v/>
      </c>
      <c r="Y241">
        <f>HYPERLINK("https://klasma.github.io/Logging_222281/tillsynsmail/A 10683-2025 tillsynsbegäran mail.docx", "A 10683-2025")</f>
        <v/>
      </c>
      <c r="Z241">
        <f>HYPERLINK("https://klasma.github.io/Logging_222281/fåglar/A 10683-2025 prioriterade fågelarter.docx", "A 10683-2025")</f>
        <v/>
      </c>
    </row>
    <row r="242" ht="15" customHeight="1">
      <c r="A242" t="inlineStr">
        <is>
          <t>A 13301-2025</t>
        </is>
      </c>
      <c r="B242" s="1" t="n">
        <v>45735</v>
      </c>
      <c r="C242" s="1" t="n">
        <v>45760</v>
      </c>
      <c r="D242" t="inlineStr">
        <is>
          <t>VÄSTERNORRLANDS LÄN</t>
        </is>
      </c>
      <c r="E242" t="inlineStr">
        <is>
          <t>SUNDSVALL</t>
        </is>
      </c>
      <c r="F242" t="inlineStr">
        <is>
          <t>SCA</t>
        </is>
      </c>
      <c r="G242" t="n">
        <v>13.4</v>
      </c>
      <c r="H242" t="n">
        <v>1</v>
      </c>
      <c r="I242" t="n">
        <v>0</v>
      </c>
      <c r="J242" t="n">
        <v>0</v>
      </c>
      <c r="K242" t="n">
        <v>0</v>
      </c>
      <c r="L242" t="n">
        <v>0</v>
      </c>
      <c r="M242" t="n">
        <v>0</v>
      </c>
      <c r="N242" t="n">
        <v>0</v>
      </c>
      <c r="O242" t="n">
        <v>0</v>
      </c>
      <c r="P242" t="n">
        <v>0</v>
      </c>
      <c r="Q242" t="n">
        <v>1</v>
      </c>
      <c r="R242" s="2" t="inlineStr">
        <is>
          <t>Blåsippa</t>
        </is>
      </c>
      <c r="S242">
        <f>HYPERLINK("https://klasma.github.io/Logging_222281/artfynd/A 13301-2025 artfynd.xlsx", "A 13301-2025")</f>
        <v/>
      </c>
      <c r="T242">
        <f>HYPERLINK("https://klasma.github.io/Logging_222281/kartor/A 13301-2025 karta.png", "A 13301-2025")</f>
        <v/>
      </c>
      <c r="V242">
        <f>HYPERLINK("https://klasma.github.io/Logging_222281/klagomål/A 13301-2025 FSC-klagomål.docx", "A 13301-2025")</f>
        <v/>
      </c>
      <c r="W242">
        <f>HYPERLINK("https://klasma.github.io/Logging_222281/klagomålsmail/A 13301-2025 FSC-klagomål mail.docx", "A 13301-2025")</f>
        <v/>
      </c>
      <c r="X242">
        <f>HYPERLINK("https://klasma.github.io/Logging_222281/tillsyn/A 13301-2025 tillsynsbegäran.docx", "A 13301-2025")</f>
        <v/>
      </c>
      <c r="Y242">
        <f>HYPERLINK("https://klasma.github.io/Logging_222281/tillsynsmail/A 13301-2025 tillsynsbegäran mail.docx", "A 13301-2025")</f>
        <v/>
      </c>
    </row>
    <row r="243" ht="15" customHeight="1">
      <c r="A243" t="inlineStr">
        <is>
          <t>A 13154-2025</t>
        </is>
      </c>
      <c r="B243" s="1" t="n">
        <v>45735</v>
      </c>
      <c r="C243" s="1" t="n">
        <v>45760</v>
      </c>
      <c r="D243" t="inlineStr">
        <is>
          <t>VÄSTERNORRLANDS LÄN</t>
        </is>
      </c>
      <c r="E243" t="inlineStr">
        <is>
          <t>SUNDSVALL</t>
        </is>
      </c>
      <c r="G243" t="n">
        <v>2.6</v>
      </c>
      <c r="H243" t="n">
        <v>0</v>
      </c>
      <c r="I243" t="n">
        <v>0</v>
      </c>
      <c r="J243" t="n">
        <v>1</v>
      </c>
      <c r="K243" t="n">
        <v>0</v>
      </c>
      <c r="L243" t="n">
        <v>0</v>
      </c>
      <c r="M243" t="n">
        <v>0</v>
      </c>
      <c r="N243" t="n">
        <v>0</v>
      </c>
      <c r="O243" t="n">
        <v>1</v>
      </c>
      <c r="P243" t="n">
        <v>0</v>
      </c>
      <c r="Q243" t="n">
        <v>1</v>
      </c>
      <c r="R243" s="2" t="inlineStr">
        <is>
          <t>Tallticka</t>
        </is>
      </c>
      <c r="S243">
        <f>HYPERLINK("https://klasma.github.io/Logging_222281/artfynd/A 13154-2025 artfynd.xlsx", "A 13154-2025")</f>
        <v/>
      </c>
      <c r="T243">
        <f>HYPERLINK("https://klasma.github.io/Logging_222281/kartor/A 13154-2025 karta.png", "A 13154-2025")</f>
        <v/>
      </c>
      <c r="V243">
        <f>HYPERLINK("https://klasma.github.io/Logging_222281/klagomål/A 13154-2025 FSC-klagomål.docx", "A 13154-2025")</f>
        <v/>
      </c>
      <c r="W243">
        <f>HYPERLINK("https://klasma.github.io/Logging_222281/klagomålsmail/A 13154-2025 FSC-klagomål mail.docx", "A 13154-2025")</f>
        <v/>
      </c>
      <c r="X243">
        <f>HYPERLINK("https://klasma.github.io/Logging_222281/tillsyn/A 13154-2025 tillsynsbegäran.docx", "A 13154-2025")</f>
        <v/>
      </c>
      <c r="Y243">
        <f>HYPERLINK("https://klasma.github.io/Logging_222281/tillsynsmail/A 13154-2025 tillsynsbegäran mail.docx", "A 13154-2025")</f>
        <v/>
      </c>
    </row>
    <row r="244" ht="15" customHeight="1">
      <c r="A244" t="inlineStr">
        <is>
          <t>A 14545-2025</t>
        </is>
      </c>
      <c r="B244" s="1" t="n">
        <v>45741</v>
      </c>
      <c r="C244" s="1" t="n">
        <v>45760</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45760</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45760</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45760</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45760</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45760</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45760</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45760</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45760</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45760</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45760</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45760</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45760</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45760</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45760</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45760</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45760</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45760</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45760</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45760</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45760</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45760</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45760</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45760</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45760</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45760</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45760</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45760</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45760</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45760</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45760</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45760</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45760</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45760</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45760</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45760</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45760</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45760</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45760</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45760</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45760</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45760</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45760</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45760</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45760</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45760</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45760</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45760</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45760</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45760</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45760</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45760</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45760</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45760</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45760</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45760</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45760</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45760</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45760</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45760</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45760</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45760</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45760</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45760</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45760</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45760</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45760</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45760</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45760</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45760</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45760</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45760</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45760</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45760</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45760</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45760</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45760</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45760</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45760</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45760</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45760</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45760</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45760</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45760</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45760</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45760</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45760</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45760</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45760</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45760</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45760</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45760</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45760</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45760</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45760</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45760</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45760</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45760</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45760</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45760</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45760</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45760</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45760</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45760</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45760</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45760</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45760</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45760</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45760</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45760</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45760</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45760</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45760</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45760</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45760</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45760</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45760</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45760</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45760</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45760</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45760</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45760</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45760</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45760</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45760</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45760</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45760</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45760</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45760</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45760</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45760</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45760</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45760</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45760</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45760</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45760</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45760</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45760</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45760</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45760</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45760</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45760</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45760</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45760</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45760</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45760</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45760</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45760</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45760</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45760</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45760</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45760</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45760</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45760</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45760</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45760</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45760</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45760</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45760</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45760</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45760</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45760</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45760</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45760</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45760</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45760</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45760</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45760</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45760</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45760</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45760</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45760</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45760</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45760</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45760</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45760</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45760</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45760</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45760</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45760</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45760</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45760</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45760</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45760</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45760</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45760</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45760</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45760</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45760</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45760</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45760</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45760</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45760</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45760</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45760</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45760</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45760</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45760</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45760</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45760</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45760</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45760</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45760</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45760</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45760</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45760</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45760</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45760</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45760</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45760</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45760</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45760</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45760</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45760</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45760</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45760</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45760</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45760</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45760</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45760</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45760</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45760</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45760</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45760</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45760</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45760</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45760</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45760</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45760</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45760</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45760</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45760</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45760</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45760</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45760</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45760</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45760</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45760</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45760</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45760</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45760</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45760</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45760</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45760</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45760</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45760</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45760</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45760</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45760</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45760</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45760</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45760</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45760</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45760</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45760</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45760</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45760</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45760</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45760</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45760</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45760</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45760</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45760</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45760</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45760</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45760</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45760</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45760</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45760</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45760</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45760</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45760</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45760</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45760</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45760</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45760</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45760</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45760</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45760</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45760</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45760</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45760</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45760</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45760</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45760</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45760</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45760</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45760</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45760</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45760</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45760</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45760</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45760</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45760</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45760</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45760</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45760</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45760</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45760</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45760</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45760</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45760</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45760</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45760</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45760</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45760</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45760</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45760</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45760</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45760</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45760</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45760</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45760</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45760</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45760</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45760</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45760</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45760</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45760</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45760</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45760</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45760</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45760</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45760</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45760</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45760</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45760</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45760</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45760</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45760</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45760</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45760</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45760</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45760</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45760</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45760</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45760</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45760</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45760</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45760</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45760</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45760</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45760</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45760</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45760</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45760</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45760</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45760</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45760</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45760</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45760</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45760</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45760</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45760</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45760</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45760</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45760</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45760</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45760</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45760</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45760</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45760</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45760</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45760</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45760</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45760</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45760</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45760</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45760</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45760</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45760</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45760</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45760</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45760</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45760</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45760</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45760</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45760</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45760</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45760</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45760</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45760</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45760</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45760</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45760</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45760</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45760</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45760</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45760</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45760</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45760</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45760</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45760</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45760</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45760</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45760</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45760</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45760</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45760</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45760</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45760</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45760</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45760</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45760</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45760</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45760</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45760</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45760</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45760</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45760</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45760</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45760</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45760</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45760</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45760</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45760</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45760</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45760</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45760</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45760</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45760</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45760</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45760</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45760</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45760</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45760</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45760</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45760</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45760</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45760</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45760</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45760</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45760</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45760</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45760</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45760</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45760</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45760</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45760</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45760</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45760</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45760</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45760</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45760</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45760</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45760</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45760</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45760</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45760</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45760</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45760</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45760</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45760</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45760</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45760</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45760</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45760</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45760</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45760</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45760</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45760</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45760</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45760</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45760</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45760</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45760</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45760</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45760</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45760</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45760</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45760</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45760</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45760</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45760</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45760</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45760</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45760</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45760</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45760</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45760</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45760</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45760</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45760</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45760</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45760</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45760</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45760</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45760</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45760</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45760</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45760</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45760</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45760</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45760</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45760</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45760</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45760</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45760</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45760</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45760</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45760</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45760</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45760</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45760</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45760</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45760</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45760</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45760</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45760</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45760</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45760</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45760</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45760</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45760</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45760</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45760</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45760</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45760</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45760</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45760</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45760</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45760</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45760</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45760</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45760</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45760</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45760</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45760</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45760</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45760</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45760</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45760</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45760</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45760</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45760</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45760</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45760</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45760</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45760</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45760</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45760</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45760</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45760</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45760</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45760</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45760</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45760</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45760</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45760</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45760</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45760</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45760</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45760</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45760</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45760</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45760</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45760</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45760</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45760</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45760</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45760</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45760</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45760</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45760</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45760</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45760</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45760</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45760</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45760</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45760</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45760</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45760</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45760</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45760</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45760</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45760</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45760</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45760</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45760</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45760</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45760</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45760</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45760</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45760</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45760</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45760</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45760</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45760</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45760</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45760</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45760</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45760</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45760</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45760</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45760</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45760</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45760</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45760</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45760</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45760</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45760</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45760</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45760</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45760</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45760</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45760</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45760</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45760</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45760</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45760</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45760</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45760</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45760</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45760</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45760</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45760</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45760</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45760</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45760</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45760</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45760</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45760</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45760</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45760</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45760</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45760</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45760</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45760</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45760</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45760</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45760</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45760</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45760</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45760</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45760</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45760</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45760</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45760</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45760</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45760</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45760</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45760</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45760</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45760</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45760</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45760</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45760</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45760</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45760</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45760</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45760</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45760</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45760</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45760</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45760</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45760</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45760</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45760</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45760</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45760</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45760</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45760</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45760</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45760</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45760</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45760</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45760</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45760</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45760</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45760</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45760</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45760</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45760</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45760</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45760</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45760</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45760</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45760</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45760</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45760</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45760</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45760</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45760</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45760</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45760</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45760</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45760</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45760</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45760</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45760</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45760</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45760</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45760</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45760</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45760</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45760</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45760</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45760</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45760</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45760</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45760</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45760</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45760</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45760</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45760</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45760</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45760</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45760</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45760</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45760</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45760</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45760</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45760</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45760</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45760</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45760</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45760</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45760</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45760</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45760</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45760</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45760</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45760</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45760</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45760</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45760</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45760</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45760</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45760</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45760</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45760</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45760</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45760</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45760</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45760</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45760</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45760</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45760</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45760</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45760</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45760</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45760</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45760</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45760</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45760</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45760</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45760</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45760</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45760</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45760</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45760</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45760</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45760</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45760</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45760</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45760</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45760</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45760</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45760</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45760</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45760</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45760</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45760</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45760</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45760</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45760</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45760</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45760</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45760</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45760</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45760</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45760</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45760</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45760</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45760</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45760</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45760</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45760</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45760</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45760</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45760</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45760</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45760</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45760</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45760</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45760</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45760</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45760</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45760</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45760</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45760</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45760</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45760</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45760</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45760</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45760</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45760</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45760</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45760</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45760</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45760</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45760</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45760</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45760</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45760</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45760</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45760</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45760</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45760</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45760</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45760</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45760</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45760</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45760</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45760</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45760</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45760</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45760</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45760</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45760</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45760</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45760</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45760</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45760</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45760</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45760</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45760</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45760</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45760</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45760</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45760</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45760</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45760</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45760</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45760</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45760</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45760</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45760</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45760</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45760</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45760</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45760</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45760</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45760</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45760</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45760</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45760</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45760</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45760</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45760</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45760</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45760</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45760</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45760</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45760</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45760</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45760</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45760</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45760</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45760</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45760</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45760</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45760</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45760</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45760</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45760</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45760</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45760</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45760</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45760</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45760</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45760</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45760</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45760</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45760</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45760</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45760</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45760</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45760</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45760</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45760</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45760</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45760</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45760</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45760</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45760</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45760</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45760</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45760</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45760</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45760</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45760</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45760</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45760</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45760</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45760</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45760</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45760</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45760</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45760</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45760</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45760</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45760</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45760</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45760</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45760</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45760</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45760</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45760</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45760</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45760</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45760</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45760</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45760</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45760</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45760</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45760</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45760</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45760</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45760</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45760</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45760</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45760</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45760</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45760</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45760</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45760</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45760</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45760</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45760</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45760</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45760</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45760</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45760</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45760</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45760</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45760</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45760</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45760</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45760</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45760</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45760</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45760</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45760</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45760</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45760</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45760</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45760</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45760</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45760</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45760</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45760</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45760</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45760</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45760</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45760</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45760</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45760</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45760</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45760</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45760</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45760</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45760</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45760</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45760</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45760</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45760</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45760</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45760</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45760</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45760</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45760</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45760</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45760</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45760</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45760</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45760</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45760</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45760</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45760</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45760</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45760</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45760</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45760</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45760</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45760</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45760</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45760</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45760</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45760</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45760</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45760</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45760</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45760</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45760</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45760</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45760</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45760</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45760</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45760</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45760</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45760</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45760</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45760</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45760</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45760</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45760</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45760</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45760</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45760</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45760</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45760</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45760</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45760</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45760</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45760</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45760</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45760</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45760</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45760</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45760</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45760</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45760</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45760</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45760</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45760</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45760</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45760</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45760</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45760</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45760</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45760</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45760</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45760</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45760</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45760</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45760</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45760</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45760</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45760</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45760</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45760</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45760</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45760</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45760</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45760</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45760</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45760</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45760</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45760</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45760</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45760</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45760</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45760</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45760</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45760</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45760</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45760</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45760</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45760</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45760</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45760</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45760</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45760</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45760</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45760</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45760</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45760</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45760</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45760</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45760</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45760</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45760</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45760</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45760</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45760</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45760</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45760</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45760</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45760</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45760</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45760</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45760</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45760</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45760</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45760</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45760</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45760</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45760</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45760</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45760</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45760</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45760</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45760</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45760</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45760</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45760</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45760</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45760</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45760</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45760</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45760</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45760</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45760</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45760</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45760</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45760</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45760</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45760</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45760</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45760</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45760</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45760</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45760</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45760</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45760</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45760</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45760</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45760</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45760</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45760</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45760</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45760</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45760</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45760</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45760</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45760</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45760</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45760</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45760</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45760</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45760</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45760</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45760</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45760</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45760</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45760</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45760</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45760</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45760</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45760</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45760</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45760</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45760</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45760</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45760</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45760</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45760</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45760</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45760</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45760</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45760</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45760</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45760</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45760</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45760</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45760</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45760</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45760</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45760</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45760</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45760</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45760</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45760</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45760</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45760</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45760</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45760</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45760</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45760</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45760</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45760</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45760</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45760</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45760</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45760</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45760</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45760</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45760</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45760</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45760</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45760</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45760</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45760</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45760</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45760</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45760</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45760</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45760</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45760</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45760</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45760</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45760</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45760</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45760</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45760</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45760</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45760</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45760</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45760</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45760</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45760</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45760</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45760</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45760</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45760</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45760</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45760</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45760</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45760</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45760</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45760</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45760</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45760</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45760</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45760</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45760</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45760</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45760</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45760</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45760</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45760</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45760</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45760</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45760</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45760</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45760</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45760</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45760</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45760</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45760</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45760</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45760</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45760</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45760</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45760</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45760</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45760</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45760</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45760</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45760</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45760</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45760</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45760</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45760</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45760</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45760</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45760</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45760</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45760</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45760</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45760</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45760</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45760</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45760</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45760</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45760</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45760</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45760</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45760</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45760</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45760</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45760</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45760</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45760</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45760</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45760</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45760</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45760</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45760</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45760</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45760</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45760</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45760</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45760</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45760</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45760</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45760</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45760</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45760</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45760</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45760</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45760</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45760</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45760</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45760</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45760</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45760</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45760</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45760</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45760</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45760</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45760</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45760</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45760</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45760</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45760</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45760</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45760</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45760</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45760</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45760</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45760</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45760</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45760</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45760</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45760</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45760</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45760</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45760</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45760</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45760</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45760</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45760</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45760</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45760</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45760</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45760</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45760</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45760</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45760</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45760</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45760</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45760</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45760</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45760</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45760</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45760</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45760</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45760</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45760</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45760</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45760</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45760</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45760</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45760</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45760</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45760</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45760</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45760</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45760</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45760</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45760</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45760</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45760</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45760</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45760</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45760</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45760</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45760</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45760</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45760</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45760</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45760</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45760</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45760</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45760</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45760</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45760</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45760</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45760</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45760</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45760</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45760</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45760</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45760</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45760</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45760</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45760</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45760</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45760</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45760</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45760</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45760</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45760</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45760</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45760</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45760</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45760</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45760</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45760</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45760</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45760</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45760</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45760</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45760</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45760</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45760</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45760</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45760</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45760</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45760</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45760</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45760</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45760</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45760</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45760</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45760</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45760</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45760</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45760</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45760</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45760</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45760</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45760</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45760</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45760</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45760</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45760</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45760</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45760</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45760</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45760</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45760</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45760</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45760</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45760</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45760</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45760</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45760</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45760</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45760</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45760</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45760</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45760</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45760</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45760</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45760</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45760</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45760</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45760</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45760</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45760</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45760</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45760</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45760</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45760</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45760</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45760</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45760</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45760</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45760</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45760</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45760</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45760</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45760</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45760</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45760</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45760</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45760</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45760</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45760</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45760</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45760</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45760</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45760</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45760</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45760</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45760</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45760</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45760</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45760</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45760</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45760</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45760</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45760</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45760</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45760</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45760</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45760</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45760</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45760</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45760</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45760</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45760</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45760</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45760</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45760</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45760</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45760</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45760</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45760</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45760</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45760</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45760</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45760</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45760</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45760</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45760</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45760</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45760</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45760</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45760</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45760</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45760</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45760</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45760</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45760</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45760</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45760</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45760</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45760</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45760</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45760</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45760</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45760</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45760</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45760</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45760</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45760</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45760</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45760</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45760</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45760</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45760</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45760</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45760</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45760</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45760</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45760</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45760</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45760</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45760</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45760</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45760</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45760</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45760</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45760</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45760</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45760</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45760</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45760</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45760</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45760</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45760</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45760</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45760</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45760</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45760</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45760</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45760</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45760</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45760</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45760</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45760</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45760</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45760</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45760</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45760</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45760</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45760</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45760</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45760</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45760</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45760</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45760</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45760</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45760</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45760</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45760</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45760</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45760</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45760</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45760</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45760</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45760</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45760</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45760</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45760</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45760</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45760</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45760</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45760</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45760</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45760</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45760</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45760</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45760</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45760</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45760</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45760</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45760</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45760</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45760</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45760</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45760</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45760</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45760</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45760</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45760</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45760</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45760</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45760</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45760</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45760</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45760</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45760</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45760</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45760</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45760</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45760</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45760</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45760</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45760</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45760</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45760</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45760</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45760</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45760</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45760</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45760</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45760</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45760</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45760</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45760</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45760</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45760</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45760</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45760</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45760</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45760</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45760</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45760</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45760</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45760</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45760</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45760</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45760</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45760</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45760</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45760</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45760</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45760</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45760</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45760</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45760</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45760</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45760</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45760</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45760</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45760</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45760</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45760</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45760</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45760</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45760</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45760</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45760</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45760</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45760</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45760</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45760</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45760</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45760</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45760</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45760</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45760</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45760</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45760</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45760</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45760</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45760</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45760</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45760</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45760</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45760</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45760</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45760</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45760</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45760</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45760</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45760</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45760</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45760</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45760</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45760</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45760</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45760</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45760</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45760</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45760</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45760</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45760</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45760</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45760</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45760</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45760</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45760</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45760</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45760</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45760</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45760</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45760</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45760</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45760</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45760</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45760</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45760</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45760</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45760</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45760</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45760</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45760</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45760</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45760</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45760</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45760</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45760</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45760</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45760</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45760</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45760</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45760</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45760</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45760</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45760</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45760</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45760</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45760</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45760</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45760</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45760</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45760</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45760</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45760</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45760</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45760</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45760</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45760</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45760</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45760</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45760</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45760</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45760</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45760</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45760</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45760</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45760</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45760</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45760</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45760</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45760</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45760</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45760</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45760</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45760</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45760</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45760</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45760</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45760</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45760</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45760</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45760</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45760</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45760</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45760</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45760</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45760</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45760</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45760</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45760</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45760</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45760</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45760</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45760</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45760</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45760</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45760</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45760</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45760</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45760</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45760</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45760</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45760</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45760</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45760</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45760</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45760</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45760</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45760</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45760</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45760</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45760</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45760</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45760</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45760</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45760</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45760</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45760</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45760</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45760</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45760</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45760</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45760</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45760</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45760</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45760</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45760</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45760</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45760</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45760</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45760</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45760</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45760</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45760</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45760</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45760</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45760</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45760</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45760</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45760</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45760</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45760</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45760</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45760</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45760</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45760</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45760</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45760</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45760</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45760</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45760</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45760</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45760</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45760</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45760</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45760</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45760</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45760</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45760</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45760</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45760</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45760</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45760</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45760</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45760</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45760</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45760</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45760</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45760</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45760</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45760</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45760</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45760</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45760</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45760</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45760</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45760</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45760</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45760</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45760</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45760</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45760</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45760</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45760</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45760</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45760</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45760</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45760</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45760</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45760</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45760</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45760</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45760</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45760</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45760</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45760</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45760</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45760</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45760</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45760</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45760</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45760</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45760</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45760</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45760</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45760</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45760</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45760</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45760</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45760</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45760</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45760</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45760</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45760</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45760</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45760</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45760</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45760</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45760</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45760</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45760</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45760</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45760</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45760</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45760</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45760</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45760</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45760</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45760</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45760</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45760</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45760</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45760</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45760</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45760</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45760</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45760</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45760</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45760</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45760</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45760</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45760</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45760</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45760</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45760</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45760</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45760</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45760</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45760</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45760</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45760</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45760</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45760</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45760</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45760</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45760</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45760</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45760</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45760</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45760</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45760</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45760</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45760</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45760</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45760</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45760</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45760</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45760</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45760</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45760</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45760</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45760</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45760</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45760</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45760</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45760</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45760</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45760</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45760</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45760</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45760</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45760</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45760</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45760</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45760</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45760</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45760</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45760</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45760</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45760</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45760</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45760</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45760</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45760</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45760</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45760</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45760</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45760</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45760</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45760</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45760</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45760</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45760</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45760</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45760</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45760</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45760</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45760</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45760</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45760</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45760</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45760</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45760</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45760</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45760</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45760</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45760</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45760</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45760</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45760</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45760</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45760</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45760</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45760</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45760</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45760</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45760</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45760</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45760</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45760</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45760</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45760</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45760</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45760</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45760</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45760</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45760</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45760</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45760</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45760</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45760</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45760</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45760</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45760</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45760</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45760</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45760</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45760</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45760</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45760</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45760</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45760</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45760</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45760</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45760</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45760</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45760</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45760</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45760</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45760</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45760</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45760</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45760</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45760</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45760</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45760</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45760</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45760</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45760</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45760</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45760</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45760</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45760</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45760</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45760</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45760</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45760</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45760</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45760</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45760</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45760</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45760</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45760</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45760</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45760</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45760</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45760</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45760</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45760</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45760</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45760</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45760</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45760</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45760</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45760</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45760</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45760</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45760</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45760</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45760</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45760</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45760</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45760</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45760</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45760</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45760</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45760</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45760</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45760</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45760</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45760</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45760</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45760</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45760</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45760</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45760</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45760</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45760</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45760</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45760</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45760</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45760</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45760</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45760</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45760</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45760</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45760</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45760</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45760</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45760</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45760</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45760</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45760</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45760</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45760</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45760</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45760</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45760</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45760</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45760</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45760</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45760</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45760</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45760</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45760</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45760</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45760</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45760</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45760</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45760</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45760</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45760</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45760</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45760</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45760</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45760</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45760</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45760</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45760</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45760</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45760</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45760</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45760</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45760</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45760</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45760</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45760</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45760</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45760</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45760</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45760</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45760</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45760</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45760</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45760</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45760</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45760</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45760</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45760</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45760</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45760</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45760</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45760</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45760</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45760</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45760</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45760</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45760</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45760</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45760</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45760</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45760</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45760</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45760</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45760</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45760</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45760</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45760</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45760</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45760</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45760</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45760</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45760</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45760</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45760</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45760</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45760</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45760</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45760</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45760</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45760</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45760</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45760</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45760</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45760</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45760</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45760</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45760</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45760</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45760</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45760</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45760</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45760</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45760</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45760</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45760</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45760</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45760</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45760</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45760</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45760</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45760</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45760</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45760</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45760</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45760</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45760</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45760</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45760</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45760</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45760</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45760</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45760</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45760</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45760</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45760</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45760</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45760</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45760</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45760</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45760</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45760</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45760</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45760</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45760</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45760</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45760</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45760</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45760</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45760</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45760</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45760</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45760</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45760</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45760</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45760</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45760</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45760</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45760</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45760</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45760</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45760</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45760</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45760</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45760</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45760</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45760</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45760</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45760</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45760</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45760</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45760</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45760</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45760</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45760</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45760</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45760</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45760</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45760</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45760</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45760</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45760</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45760</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45760</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45760</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45760</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45760</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45760</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45760</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45760</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45760</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45760</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45760</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45760</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45760</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45760</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45760</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45760</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45760</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45760</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45760</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45760</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45760</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45760</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45760</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45760</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45760</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45760</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45760</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45760</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45760</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45760</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45760</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45760</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45760</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45760</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45760</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45760</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45760</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45760</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45760</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45760</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45760</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45760</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45760</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45760</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45760</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45760</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45760</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45760</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45760</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45760</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45760</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45760</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45760</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45760</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45760</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45760</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45760</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45760</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45760</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45760</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45760</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45760</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45760</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45760</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45760</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45760</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45760</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45760</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45760</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45760</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45760</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45760</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45760</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45760</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45760</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45760</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45760</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45760</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45760</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45760</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45760</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45760</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45760</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45760</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45760</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45760</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45760</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45760</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45760</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45760</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45760</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45760</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45760</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45760</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45760</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45760</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45760</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45760</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45760</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45760</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45760</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45760</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45760</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45760</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45760</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45760</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45760</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45760</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45760</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45760</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45760</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45760</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45760</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45760</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45760</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45760</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45760</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45760</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45760</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45760</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45760</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45760</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45760</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45760</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45760</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45760</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45760</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45760</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45760</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45760</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45760</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45760</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45760</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45760</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45760</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45760</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45760</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45760</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45760</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45760</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45760</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45760</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45760</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45760</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45760</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45760</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45760</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45760</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45760</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45760</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45760</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45760</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45760</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45760</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45760</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45760</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45760</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45760</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45760</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45760</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45760</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45760</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45760</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45760</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45760</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45760</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45760</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45760</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45760</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45760</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45760</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45760</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45760</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45760</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45760</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45760</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45760</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45760</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45760</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45760</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45760</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45760</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45760</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45760</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45760</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45760</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45760</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45760</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45760</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45760</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45760</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45760</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45760</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45760</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45760</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45760</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45760</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45760</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45760</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45760</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45760</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45760</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45760</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45760</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45760</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45760</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45760</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45760</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45760</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45760</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45760</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45760</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45760</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45760</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45760</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45760</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45760</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45760</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45760</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45760</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45760</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45760</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45760</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45760</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45760</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45760</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45760</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45760</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45760</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45760</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45760</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45760</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45760</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45760</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45760</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45760</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45760</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45760</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45760</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45760</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45760</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45760</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45760</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45760</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45760</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45760</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45760</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45760</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45760</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45760</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45760</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45760</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45760</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45760</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45760</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45760</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45760</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45760</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45760</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45760</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45760</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45760</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45760</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45760</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45760</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45760</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45760</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45760</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45760</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45760</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45760</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45760</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45760</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45760</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45760</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45760</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45760</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45760</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45760</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45760</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45760</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45760</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45760</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45760</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45760</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45760</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45760</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45760</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45760</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45760</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45760</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45760</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45760</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45760</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45760</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45760</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45760</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45760</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45760</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45760</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45760</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45760</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45760</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45760</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45760</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45760</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45760</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45760</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45760</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45760</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45760</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45760</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45760</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45760</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45760</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45760</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45760</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45760</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45760</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45760</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45760</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45760</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45760</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45760</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45760</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45760</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45760</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45760</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45760</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45760</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45760</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45760</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45760</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45760</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45760</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45760</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45760</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45760</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45760</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45760</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45760</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45760</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45760</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45760</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45760</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45760</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45760</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45760</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45760</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45760</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45760</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45760</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45760</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45760</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45760</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45760</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45760</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45760</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45760</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45760</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45760</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45760</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45760</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45760</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45760</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45760</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45760</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45760</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45760</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45760</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45760</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45760</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45760</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45760</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45760</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45760</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45760</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45760</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45760</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45760</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45760</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45760</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45760</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45760</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45760</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45760</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45760</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45760</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45760</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45760</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45760</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45760</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45760</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45760</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45760</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45760</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45760</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45760</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45760</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45760</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45760</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45760</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45760</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45760</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45760</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45760</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45760</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45760</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45760</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45760</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45760</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45760</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45760</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45760</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45760</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45760</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45760</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45760</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45760</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45760</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45760</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45760</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45760</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45760</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45760</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45760</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45760</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45760</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45760</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45760</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45760</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45760</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45760</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45760</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45760</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45760</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45760</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45760</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45760</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45760</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45760</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45760</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45760</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45760</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45760</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45760</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45760</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45760</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45760</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45760</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45760</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45760</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45760</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45760</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45760</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45760</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45760</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45760</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45760</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45760</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45760</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45760</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45760</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45760</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45760</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45760</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45760</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45760</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45760</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45760</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45760</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45760</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45760</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45760</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45760</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45760</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45760</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45760</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45760</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45760</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45760</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45760</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45760</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45760</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45760</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45760</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45760</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45760</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45760</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45760</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45760</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45760</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45760</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45760</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45760</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45760</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45760</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45760</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45760</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45760</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45760</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45760</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45760</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45760</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45760</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45760</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45760</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45760</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45760</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45760</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45760</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45760</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45760</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45760</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45760</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45760</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45760</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45760</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45760</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45760</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45760</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45760</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45760</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45760</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45760</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45760</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45760</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45760</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45760</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45760</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45760</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45760</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45760</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45760</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45760</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45760</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45760</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45760</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45760</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45760</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45760</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45760</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45760</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45760</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45760</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45760</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45760</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45760</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45760</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45760</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45760</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45760</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45760</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45760</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45760</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45760</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45760</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45760</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45760</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45760</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45760</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45760</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45760</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45760</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45760</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45760</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45760</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45760</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45760</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45760</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45760</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45760</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45760</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45760</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45760</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45760</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45760</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45760</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45760</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45760</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45760</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45760</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45760</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45760</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45760</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45760</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45760</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45760</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45760</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45760</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45760</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45760</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45760</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45760</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45760</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45760</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45760</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45760</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45760</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45760</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45760</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45760</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45760</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45760</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45760</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45760</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45760</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45760</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45760</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45760</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45760</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45760</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45760</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45760</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45760</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45760</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45760</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45760</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45760</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45760</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45760</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45760</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45760</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45760</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45760</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45760</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45760</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45760</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45760</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45760</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45760</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45760</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45760</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45760</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45760</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45760</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45760</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45760</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45760</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45760</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45760</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45760</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45760</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45760</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45760</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45760</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45760</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45760</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45760</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45760</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45760</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45760</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45760</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45760</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45760</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45760</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45760</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45760</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45760</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45760</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45760</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45760</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45760</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45760</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45760</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45760</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45760</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45760</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45760</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13071-2025</t>
        </is>
      </c>
      <c r="B3176" s="1" t="n">
        <v>45734</v>
      </c>
      <c r="C3176" s="1" t="n">
        <v>45760</v>
      </c>
      <c r="D3176" t="inlineStr">
        <is>
          <t>VÄSTERNORRLANDS LÄN</t>
        </is>
      </c>
      <c r="E3176" t="inlineStr">
        <is>
          <t>SUNDSVALL</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13033-2025</t>
        </is>
      </c>
      <c r="B3177" s="1" t="n">
        <v>45734</v>
      </c>
      <c r="C3177" s="1" t="n">
        <v>45760</v>
      </c>
      <c r="D3177" t="inlineStr">
        <is>
          <t>VÄSTERNORRLANDS LÄN</t>
        </is>
      </c>
      <c r="E3177" t="inlineStr">
        <is>
          <t>SUNDSVALL</t>
        </is>
      </c>
      <c r="F3177" t="inlineStr">
        <is>
          <t>SCA</t>
        </is>
      </c>
      <c r="G3177" t="n">
        <v>2.4</v>
      </c>
      <c r="H3177" t="n">
        <v>0</v>
      </c>
      <c r="I3177" t="n">
        <v>0</v>
      </c>
      <c r="J3177" t="n">
        <v>0</v>
      </c>
      <c r="K3177" t="n">
        <v>0</v>
      </c>
      <c r="L3177" t="n">
        <v>0</v>
      </c>
      <c r="M3177" t="n">
        <v>0</v>
      </c>
      <c r="N3177" t="n">
        <v>0</v>
      </c>
      <c r="O3177" t="n">
        <v>0</v>
      </c>
      <c r="P3177" t="n">
        <v>0</v>
      </c>
      <c r="Q3177" t="n">
        <v>0</v>
      </c>
      <c r="R3177" s="2" t="inlineStr"/>
      <c r="U3177">
        <f>HYPERLINK("https://klasma.github.io/Logging_222281/knärot/A 13033-2025 karta knärot.png", "A 13033-2025")</f>
        <v/>
      </c>
      <c r="V3177">
        <f>HYPERLINK("https://klasma.github.io/Logging_222281/klagomål/A 13033-2025 FSC-klagomål.docx", "A 13033-2025")</f>
        <v/>
      </c>
      <c r="W3177">
        <f>HYPERLINK("https://klasma.github.io/Logging_222281/klagomålsmail/A 13033-2025 FSC-klagomål mail.docx", "A 13033-2025")</f>
        <v/>
      </c>
      <c r="X3177">
        <f>HYPERLINK("https://klasma.github.io/Logging_222281/tillsyn/A 13033-2025 tillsynsbegäran.docx", "A 13033-2025")</f>
        <v/>
      </c>
      <c r="Y3177">
        <f>HYPERLINK("https://klasma.github.io/Logging_222281/tillsynsmail/A 13033-2025 tillsynsbegäran mail.docx", "A 13033-2025")</f>
        <v/>
      </c>
    </row>
    <row r="3178" ht="15" customHeight="1">
      <c r="A3178" t="inlineStr">
        <is>
          <t>A 12986-2025</t>
        </is>
      </c>
      <c r="B3178" s="1" t="n">
        <v>45734</v>
      </c>
      <c r="C3178" s="1" t="n">
        <v>45760</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45760</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45760</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13302-2025</t>
        </is>
      </c>
      <c r="B3181" s="1" t="n">
        <v>45735</v>
      </c>
      <c r="C3181" s="1" t="n">
        <v>45760</v>
      </c>
      <c r="D3181" t="inlineStr">
        <is>
          <t>VÄSTERNORRLANDS LÄN</t>
        </is>
      </c>
      <c r="E3181" t="inlineStr">
        <is>
          <t>SUNDSVALL</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13294-2025</t>
        </is>
      </c>
      <c r="B3182" s="1" t="n">
        <v>45735</v>
      </c>
      <c r="C3182" s="1" t="n">
        <v>45760</v>
      </c>
      <c r="D3182" t="inlineStr">
        <is>
          <t>VÄSTERNORRLANDS LÄN</t>
        </is>
      </c>
      <c r="E3182" t="inlineStr">
        <is>
          <t>SUNDSVALL</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13296-2025</t>
        </is>
      </c>
      <c r="B3183" s="1" t="n">
        <v>45735</v>
      </c>
      <c r="C3183" s="1" t="n">
        <v>45760</v>
      </c>
      <c r="D3183" t="inlineStr">
        <is>
          <t>VÄSTERNORRLANDS LÄN</t>
        </is>
      </c>
      <c r="E3183" t="inlineStr">
        <is>
          <t>SUNDSVALL</t>
        </is>
      </c>
      <c r="F3183" t="inlineStr">
        <is>
          <t>SCA</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13299-2025</t>
        </is>
      </c>
      <c r="B3184" s="1" t="n">
        <v>45735</v>
      </c>
      <c r="C3184" s="1" t="n">
        <v>45760</v>
      </c>
      <c r="D3184" t="inlineStr">
        <is>
          <t>VÄSTERNORRLANDS LÄN</t>
        </is>
      </c>
      <c r="E3184" t="inlineStr">
        <is>
          <t>SUNDSVALL</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45760</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45760</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45760</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45760</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13441-2025</t>
        </is>
      </c>
      <c r="B3189" s="1" t="n">
        <v>45736</v>
      </c>
      <c r="C3189" s="1" t="n">
        <v>45760</v>
      </c>
      <c r="D3189" t="inlineStr">
        <is>
          <t>VÄSTERNORRLANDS LÄN</t>
        </is>
      </c>
      <c r="E3189" t="inlineStr">
        <is>
          <t>SUNDSVALL</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45760</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45760</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13488-2025</t>
        </is>
      </c>
      <c r="B3192" s="1" t="n">
        <v>45736</v>
      </c>
      <c r="C3192" s="1" t="n">
        <v>45760</v>
      </c>
      <c r="D3192" t="inlineStr">
        <is>
          <t>VÄSTERNORRLANDS LÄN</t>
        </is>
      </c>
      <c r="E3192" t="inlineStr">
        <is>
          <t>SUNDSVALL</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13440-2025</t>
        </is>
      </c>
      <c r="B3193" s="1" t="n">
        <v>45736</v>
      </c>
      <c r="C3193" s="1" t="n">
        <v>45760</v>
      </c>
      <c r="D3193" t="inlineStr">
        <is>
          <t>VÄSTERNORRLANDS LÄN</t>
        </is>
      </c>
      <c r="E3193" t="inlineStr">
        <is>
          <t>SUNDSVALL</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13443-2025</t>
        </is>
      </c>
      <c r="B3194" s="1" t="n">
        <v>45736</v>
      </c>
      <c r="C3194" s="1" t="n">
        <v>45760</v>
      </c>
      <c r="D3194" t="inlineStr">
        <is>
          <t>VÄSTERNORRLANDS LÄN</t>
        </is>
      </c>
      <c r="E3194" t="inlineStr">
        <is>
          <t>SUNDSVALL</t>
        </is>
      </c>
      <c r="F3194" t="inlineStr">
        <is>
          <t>SCA</t>
        </is>
      </c>
      <c r="G3194" t="n">
        <v>12.5</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45760</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13794-2025</t>
        </is>
      </c>
      <c r="B3196" s="1" t="n">
        <v>45737</v>
      </c>
      <c r="C3196" s="1" t="n">
        <v>45760</v>
      </c>
      <c r="D3196" t="inlineStr">
        <is>
          <t>VÄSTERNORRLANDS LÄN</t>
        </is>
      </c>
      <c r="E3196" t="inlineStr">
        <is>
          <t>SUNDSVALL</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13881-2025</t>
        </is>
      </c>
      <c r="B3197" s="1" t="n">
        <v>45737</v>
      </c>
      <c r="C3197" s="1" t="n">
        <v>45760</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13859-2025</t>
        </is>
      </c>
      <c r="B3198" s="1" t="n">
        <v>45737</v>
      </c>
      <c r="C3198" s="1" t="n">
        <v>45760</v>
      </c>
      <c r="D3198" t="inlineStr">
        <is>
          <t>VÄSTERNORRLANDS LÄN</t>
        </is>
      </c>
      <c r="E3198" t="inlineStr">
        <is>
          <t>SUNDSVALL</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45760</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45760</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45760</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45760</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45760</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45760</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45760</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15475-2025</t>
        </is>
      </c>
      <c r="B3206" s="1" t="n">
        <v>45747</v>
      </c>
      <c r="C3206" s="1" t="n">
        <v>45760</v>
      </c>
      <c r="D3206" t="inlineStr">
        <is>
          <t>VÄSTERNORRLANDS LÄN</t>
        </is>
      </c>
      <c r="E3206" t="inlineStr">
        <is>
          <t>SUNDSVALL</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15551-2025</t>
        </is>
      </c>
      <c r="B3207" s="1" t="n">
        <v>45747</v>
      </c>
      <c r="C3207" s="1" t="n">
        <v>45760</v>
      </c>
      <c r="D3207" t="inlineStr">
        <is>
          <t>VÄSTERNORRLANDS LÄN</t>
        </is>
      </c>
      <c r="E3207" t="inlineStr">
        <is>
          <t>SUNDSVALL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15411-2025</t>
        </is>
      </c>
      <c r="B3208" s="1" t="n">
        <v>45747</v>
      </c>
      <c r="C3208" s="1" t="n">
        <v>45760</v>
      </c>
      <c r="D3208" t="inlineStr">
        <is>
          <t>VÄSTERNORRLANDS LÄN</t>
        </is>
      </c>
      <c r="E3208" t="inlineStr">
        <is>
          <t>SUNDSVALL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15414-2025</t>
        </is>
      </c>
      <c r="B3209" s="1" t="n">
        <v>45747</v>
      </c>
      <c r="C3209" s="1" t="n">
        <v>45760</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15633-2025</t>
        </is>
      </c>
      <c r="B3210" s="1" t="n">
        <v>45748</v>
      </c>
      <c r="C3210" s="1" t="n">
        <v>45760</v>
      </c>
      <c r="D3210" t="inlineStr">
        <is>
          <t>VÄSTERNORRLANDS LÄN</t>
        </is>
      </c>
      <c r="E3210" t="inlineStr">
        <is>
          <t>SUNDSVALL</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15617-2025</t>
        </is>
      </c>
      <c r="B3211" s="1" t="n">
        <v>45748</v>
      </c>
      <c r="C3211" s="1" t="n">
        <v>45760</v>
      </c>
      <c r="D3211" t="inlineStr">
        <is>
          <t>VÄSTERNORRLANDS LÄN</t>
        </is>
      </c>
      <c r="E3211" t="inlineStr">
        <is>
          <t>SUNDSVALL</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45760</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15735-2025</t>
        </is>
      </c>
      <c r="B3213" s="1" t="n">
        <v>45748</v>
      </c>
      <c r="C3213" s="1" t="n">
        <v>45760</v>
      </c>
      <c r="D3213" t="inlineStr">
        <is>
          <t>VÄSTERNORRLANDS LÄN</t>
        </is>
      </c>
      <c r="E3213" t="inlineStr">
        <is>
          <t>SUNDSVALL</t>
        </is>
      </c>
      <c r="F3213" t="inlineStr">
        <is>
          <t>SCA</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15609-2025</t>
        </is>
      </c>
      <c r="B3214" s="1" t="n">
        <v>45748</v>
      </c>
      <c r="C3214" s="1" t="n">
        <v>45760</v>
      </c>
      <c r="D3214" t="inlineStr">
        <is>
          <t>VÄSTERNORRLANDS LÄN</t>
        </is>
      </c>
      <c r="E3214" t="inlineStr">
        <is>
          <t>SUNDSVALL</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15667-2025</t>
        </is>
      </c>
      <c r="B3215" s="1" t="n">
        <v>45748</v>
      </c>
      <c r="C3215" s="1" t="n">
        <v>45760</v>
      </c>
      <c r="D3215" t="inlineStr">
        <is>
          <t>VÄSTERNORRLANDS LÄN</t>
        </is>
      </c>
      <c r="E3215" t="inlineStr">
        <is>
          <t>SUNDSVALL</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15734-2025</t>
        </is>
      </c>
      <c r="B3216" s="1" t="n">
        <v>45748</v>
      </c>
      <c r="C3216" s="1" t="n">
        <v>45760</v>
      </c>
      <c r="D3216" t="inlineStr">
        <is>
          <t>VÄSTERNORRLANDS LÄN</t>
        </is>
      </c>
      <c r="E3216" t="inlineStr">
        <is>
          <t>SUNDSVALL</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45760</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15958-2025</t>
        </is>
      </c>
      <c r="B3218" s="1" t="n">
        <v>45749</v>
      </c>
      <c r="C3218" s="1" t="n">
        <v>45760</v>
      </c>
      <c r="D3218" t="inlineStr">
        <is>
          <t>VÄSTERNORRLANDS LÄN</t>
        </is>
      </c>
      <c r="E3218" t="inlineStr">
        <is>
          <t>SUNDSVALL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15871-2025</t>
        </is>
      </c>
      <c r="B3219" s="1" t="n">
        <v>45749</v>
      </c>
      <c r="C3219" s="1" t="n">
        <v>45760</v>
      </c>
      <c r="D3219" t="inlineStr">
        <is>
          <t>VÄSTERNORRLANDS LÄN</t>
        </is>
      </c>
      <c r="E3219" t="inlineStr">
        <is>
          <t>SUNDSVALL</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15967-2025</t>
        </is>
      </c>
      <c r="B3220" s="1" t="n">
        <v>45749</v>
      </c>
      <c r="C3220" s="1" t="n">
        <v>45760</v>
      </c>
      <c r="D3220" t="inlineStr">
        <is>
          <t>VÄSTERNORRLANDS LÄN</t>
        </is>
      </c>
      <c r="E3220" t="inlineStr">
        <is>
          <t>SUNDSVALL</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45760</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16479-2025</t>
        </is>
      </c>
      <c r="B3222" s="1" t="n">
        <v>45751</v>
      </c>
      <c r="C3222" s="1" t="n">
        <v>45760</v>
      </c>
      <c r="D3222" t="inlineStr">
        <is>
          <t>VÄSTERNORRLANDS LÄN</t>
        </is>
      </c>
      <c r="E3222" t="inlineStr">
        <is>
          <t>SUNDSVALL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16404-2025</t>
        </is>
      </c>
      <c r="B3223" s="1" t="n">
        <v>45751</v>
      </c>
      <c r="C3223" s="1" t="n">
        <v>45760</v>
      </c>
      <c r="D3223" t="inlineStr">
        <is>
          <t>VÄSTERNORRLANDS LÄN</t>
        </is>
      </c>
      <c r="E3223" t="inlineStr">
        <is>
          <t>SUNDSVALL</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16319-2025</t>
        </is>
      </c>
      <c r="B3224" s="1" t="n">
        <v>45751</v>
      </c>
      <c r="C3224" s="1" t="n">
        <v>45760</v>
      </c>
      <c r="D3224" t="inlineStr">
        <is>
          <t>VÄSTERNORRLANDS LÄN</t>
        </is>
      </c>
      <c r="E3224" t="inlineStr">
        <is>
          <t>SUNDSVALL</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16313-2025</t>
        </is>
      </c>
      <c r="B3225" s="1" t="n">
        <v>45751</v>
      </c>
      <c r="C3225" s="1" t="n">
        <v>45760</v>
      </c>
      <c r="D3225" t="inlineStr">
        <is>
          <t>VÄSTERNORRLANDS LÄN</t>
        </is>
      </c>
      <c r="E3225" t="inlineStr">
        <is>
          <t>SUNDSVALL</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16298-2025</t>
        </is>
      </c>
      <c r="B3226" s="1" t="n">
        <v>45751</v>
      </c>
      <c r="C3226" s="1" t="n">
        <v>45760</v>
      </c>
      <c r="D3226" t="inlineStr">
        <is>
          <t>VÄSTERNORRLANDS LÄN</t>
        </is>
      </c>
      <c r="E3226" t="inlineStr">
        <is>
          <t>SUNDSVALL</t>
        </is>
      </c>
      <c r="F3226" t="inlineStr">
        <is>
          <t>SCA</t>
        </is>
      </c>
      <c r="G3226" t="n">
        <v>14.6</v>
      </c>
      <c r="H3226" t="n">
        <v>0</v>
      </c>
      <c r="I3226" t="n">
        <v>0</v>
      </c>
      <c r="J3226" t="n">
        <v>0</v>
      </c>
      <c r="K3226" t="n">
        <v>0</v>
      </c>
      <c r="L3226" t="n">
        <v>0</v>
      </c>
      <c r="M3226" t="n">
        <v>0</v>
      </c>
      <c r="N3226" t="n">
        <v>0</v>
      </c>
      <c r="O3226" t="n">
        <v>0</v>
      </c>
      <c r="P3226" t="n">
        <v>0</v>
      </c>
      <c r="Q3226" t="n">
        <v>0</v>
      </c>
      <c r="R3226" s="2" t="inlineStr"/>
    </row>
    <row r="3227" ht="15" customHeight="1">
      <c r="A3227" t="inlineStr">
        <is>
          <t>A 16941-2025</t>
        </is>
      </c>
      <c r="B3227" s="1" t="n">
        <v>45755</v>
      </c>
      <c r="C3227" s="1" t="n">
        <v>45760</v>
      </c>
      <c r="D3227" t="inlineStr">
        <is>
          <t>VÄSTERNORRLANDS LÄN</t>
        </is>
      </c>
      <c r="E3227" t="inlineStr">
        <is>
          <t>SUNDSVALL</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17035-2025</t>
        </is>
      </c>
      <c r="B3228" s="1" t="n">
        <v>45755</v>
      </c>
      <c r="C3228" s="1" t="n">
        <v>45760</v>
      </c>
      <c r="D3228" t="inlineStr">
        <is>
          <t>VÄSTERNORRLANDS LÄN</t>
        </is>
      </c>
      <c r="E3228" t="inlineStr">
        <is>
          <t>SUNDSVALL</t>
        </is>
      </c>
      <c r="F3228" t="inlineStr">
        <is>
          <t>SCA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17166-2025</t>
        </is>
      </c>
      <c r="B3229" s="1" t="n">
        <v>45756</v>
      </c>
      <c r="C3229" s="1" t="n">
        <v>45760</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17592-2025</t>
        </is>
      </c>
      <c r="B3230" s="1" t="n">
        <v>45757</v>
      </c>
      <c r="C3230" s="1" t="n">
        <v>45760</v>
      </c>
      <c r="D3230" t="inlineStr">
        <is>
          <t>VÄSTERNORRLANDS LÄN</t>
        </is>
      </c>
      <c r="E3230" t="inlineStr">
        <is>
          <t>SUNDSVALL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17490-2025</t>
        </is>
      </c>
      <c r="B3231" s="1" t="n">
        <v>45757</v>
      </c>
      <c r="C3231" s="1" t="n">
        <v>45760</v>
      </c>
      <c r="D3231" t="inlineStr">
        <is>
          <t>VÄSTERNORRLANDS LÄN</t>
        </is>
      </c>
      <c r="E3231" t="inlineStr">
        <is>
          <t>SUNDSVALL</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17395-2025</t>
        </is>
      </c>
      <c r="B3232" s="1" t="n">
        <v>45757</v>
      </c>
      <c r="C3232" s="1" t="n">
        <v>45760</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17880-2025</t>
        </is>
      </c>
      <c r="B3233" s="1" t="n">
        <v>45758</v>
      </c>
      <c r="C3233" s="1" t="n">
        <v>45760</v>
      </c>
      <c r="D3233" t="inlineStr">
        <is>
          <t>VÄSTERNORRLANDS LÄN</t>
        </is>
      </c>
      <c r="E3233" t="inlineStr">
        <is>
          <t>SUNDSVALL</t>
        </is>
      </c>
      <c r="F3233" t="inlineStr">
        <is>
          <t>SCA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17767-2025</t>
        </is>
      </c>
      <c r="B3234" s="1" t="n">
        <v>45758</v>
      </c>
      <c r="C3234" s="1" t="n">
        <v>45760</v>
      </c>
      <c r="D3234" t="inlineStr">
        <is>
          <t>VÄSTERNORRLANDS LÄN</t>
        </is>
      </c>
      <c r="E3234" t="inlineStr">
        <is>
          <t>SUNDSVALL</t>
        </is>
      </c>
      <c r="G3234" t="n">
        <v>1.4</v>
      </c>
      <c r="H3234" t="n">
        <v>0</v>
      </c>
      <c r="I3234" t="n">
        <v>0</v>
      </c>
      <c r="J3234" t="n">
        <v>0</v>
      </c>
      <c r="K3234" t="n">
        <v>0</v>
      </c>
      <c r="L3234" t="n">
        <v>0</v>
      </c>
      <c r="M3234" t="n">
        <v>0</v>
      </c>
      <c r="N3234" t="n">
        <v>0</v>
      </c>
      <c r="O3234" t="n">
        <v>0</v>
      </c>
      <c r="P3234" t="n">
        <v>0</v>
      </c>
      <c r="Q3234" t="n">
        <v>0</v>
      </c>
      <c r="R3234" s="2" t="inlineStr"/>
    </row>
    <row r="3235">
      <c r="A3235" t="inlineStr">
        <is>
          <t>A 17881-2025</t>
        </is>
      </c>
      <c r="B3235" s="1" t="n">
        <v>45758</v>
      </c>
      <c r="C3235" s="1" t="n">
        <v>45760</v>
      </c>
      <c r="D3235" t="inlineStr">
        <is>
          <t>VÄSTERNORRLANDS LÄN</t>
        </is>
      </c>
      <c r="E3235" t="inlineStr">
        <is>
          <t>SUNDSVALL</t>
        </is>
      </c>
      <c r="F3235" t="inlineStr">
        <is>
          <t>SCA</t>
        </is>
      </c>
      <c r="G3235" t="n">
        <v>4.2</v>
      </c>
      <c r="H3235" t="n">
        <v>0</v>
      </c>
      <c r="I3235" t="n">
        <v>0</v>
      </c>
      <c r="J3235" t="n">
        <v>0</v>
      </c>
      <c r="K3235" t="n">
        <v>0</v>
      </c>
      <c r="L3235" t="n">
        <v>0</v>
      </c>
      <c r="M3235" t="n">
        <v>0</v>
      </c>
      <c r="N3235" t="n">
        <v>0</v>
      </c>
      <c r="O3235" t="n">
        <v>0</v>
      </c>
      <c r="P3235" t="n">
        <v>0</v>
      </c>
      <c r="Q3235" t="n">
        <v>0</v>
      </c>
      <c r="R3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2025-04-13T17:12:43Z</dcterms:created>
  <dcterms:modified xmlns:dcterms="http://purl.org/dc/terms/" xmlns:xsi="http://www.w3.org/2001/XMLSchema-instance" xsi:type="dcterms:W3CDTF">2025-04-13T17:12:45Z</dcterms:modified>
</cp:coreProperties>
</file>