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45703</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45703</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45703</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45703</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45703</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45703</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45703</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45703</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45703</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45703</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45703</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45703</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45703</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45703</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45703</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45703</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45703</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45703</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45703</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45703</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45703</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45703</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45703</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45703</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45703</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45703</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45703</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45703</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45703</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45703</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45703</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45703</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45703</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45703</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45703</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45703</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45703</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45703</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45703</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45703</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45703</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45703</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45703</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45703</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45703</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45703</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45703</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45703</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45703</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45703</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45703</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45703</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45703</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45703</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45703</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45703</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45703</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45703</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45703</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45703</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45703</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45703</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45703</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45703</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45703</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45703</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45703</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45703</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45703</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45703</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45703</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45703</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45703</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45703</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45703</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45703</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45703</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45703</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45703</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45703</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45703</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45703</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45703</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45703</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45703</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45703</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45703</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45703</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45703</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45703</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45703</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45703</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45703</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45703</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45703</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45703</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45703</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45703</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45703</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45703</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45703</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45703</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45703</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45703</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45703</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45703</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45703</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45703</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45703</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45703</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45703</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45703</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45703</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45703</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45703</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45703</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45703</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45703</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45703</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45703</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45703</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45703</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45703</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45703</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45703</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45703</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45703</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45703</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45703</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45703</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45703</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45703</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45703</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45703</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45703</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45703</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45703</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45703</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45703</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45703</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45703</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45703</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45703</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45703</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45703</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45703</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45703</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45703</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45703</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45703</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45703</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45703</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45703</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45703</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45703</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45703</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45703</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45703</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45703</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45703</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45703</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45703</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45703</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45703</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45703</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45703</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45703</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45703</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45703</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45703</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45703</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45703</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45703</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45703</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45703</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45703</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45703</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45703</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45703</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45703</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45703</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45703</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45703</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45703</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4896-2025</t>
        </is>
      </c>
      <c r="B196" s="1" t="n">
        <v>45688</v>
      </c>
      <c r="C196" s="1" t="n">
        <v>45703</v>
      </c>
      <c r="D196" t="inlineStr">
        <is>
          <t>VÄSTERNORRLANDS LÄN</t>
        </is>
      </c>
      <c r="E196" t="inlineStr">
        <is>
          <t>SUNDSVALL</t>
        </is>
      </c>
      <c r="F196" t="inlineStr">
        <is>
          <t>SCA</t>
        </is>
      </c>
      <c r="G196" t="n">
        <v>6.9</v>
      </c>
      <c r="H196" t="n">
        <v>0</v>
      </c>
      <c r="I196" t="n">
        <v>1</v>
      </c>
      <c r="J196" t="n">
        <v>0</v>
      </c>
      <c r="K196" t="n">
        <v>0</v>
      </c>
      <c r="L196" t="n">
        <v>0</v>
      </c>
      <c r="M196" t="n">
        <v>0</v>
      </c>
      <c r="N196" t="n">
        <v>0</v>
      </c>
      <c r="O196" t="n">
        <v>0</v>
      </c>
      <c r="P196" t="n">
        <v>0</v>
      </c>
      <c r="Q196" t="n">
        <v>1</v>
      </c>
      <c r="R196" s="2" t="inlineStr">
        <is>
          <t>Tibast</t>
        </is>
      </c>
      <c r="S196">
        <f>HYPERLINK("https://klasma.github.io/Logging_2281/artfynd/A 4896-2025 artfynd.xlsx", "A 4896-2025")</f>
        <v/>
      </c>
      <c r="T196">
        <f>HYPERLINK("https://klasma.github.io/Logging_2281/kartor/A 4896-2025 karta.png", "A 4896-2025")</f>
        <v/>
      </c>
      <c r="U196">
        <f>HYPERLINK("https://klasma.github.io/Logging_2281/knärot/A 4896-2025 karta knärot.png", "A 4896-2025")</f>
        <v/>
      </c>
      <c r="V196">
        <f>HYPERLINK("https://klasma.github.io/Logging_2281/klagomål/A 4896-2025 FSC-klagomål.docx", "A 4896-2025")</f>
        <v/>
      </c>
      <c r="W196">
        <f>HYPERLINK("https://klasma.github.io/Logging_2281/klagomålsmail/A 4896-2025 FSC-klagomål mail.docx", "A 4896-2025")</f>
        <v/>
      </c>
      <c r="X196">
        <f>HYPERLINK("https://klasma.github.io/Logging_2281/tillsyn/A 4896-2025 tillsynsbegäran.docx", "A 4896-2025")</f>
        <v/>
      </c>
      <c r="Y196">
        <f>HYPERLINK("https://klasma.github.io/Logging_2281/tillsynsmail/A 4896-2025 tillsynsbegäran mail.docx", "A 4896-2025")</f>
        <v/>
      </c>
    </row>
    <row r="197" ht="15" customHeight="1">
      <c r="A197" t="inlineStr">
        <is>
          <t>A 4878-2025</t>
        </is>
      </c>
      <c r="B197" s="1" t="n">
        <v>45688</v>
      </c>
      <c r="C197" s="1" t="n">
        <v>45703</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45703</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18070-2019</t>
        </is>
      </c>
      <c r="B199" s="1" t="n">
        <v>43557</v>
      </c>
      <c r="C199" s="1" t="n">
        <v>45703</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45703</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45703</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45703</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45703</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45703</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45703</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45703</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45703</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45703</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45703</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45703</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45703</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45703</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45703</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45703</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45703</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45703</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45703</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45703</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45703</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45703</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45703</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45703</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45703</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45703</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45703</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45703</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45703</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45703</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45703</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45703</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45703</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45703</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45703</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45703</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45703</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45703</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45703</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45703</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45703</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45703</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45703</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45703</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45703</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45703</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45703</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45703</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45703</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45703</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45703</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45703</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45703</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45703</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45703</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45703</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45703</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45703</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45703</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45703</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45703</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45703</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45703</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45703</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45703</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45703</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45703</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45703</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45703</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45703</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45703</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45703</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45703</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45703</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45703</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45703</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45703</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45703</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45703</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45703</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45703</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45703</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45703</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45703</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45703</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45703</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45703</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45703</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45703</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45703</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45703</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45703</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45703</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45703</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45703</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45703</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45703</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45703</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45703</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45703</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45703</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45703</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45703</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45703</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45703</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45703</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45703</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45703</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45703</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45703</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45703</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45703</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45703</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45703</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45703</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45703</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45703</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45703</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45703</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45703</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45703</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45703</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45703</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45703</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45703</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45703</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45703</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45703</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45703</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45703</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45703</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45703</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45703</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45703</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45703</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45703</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45703</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45703</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45703</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45703</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45703</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45703</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45703</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45703</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45703</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45703</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45703</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45703</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45703</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45703</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45703</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45703</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45703</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45703</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45703</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45703</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45703</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45703</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45703</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45703</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45703</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45703</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45703</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45703</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45703</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45703</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45703</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45703</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45703</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45703</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45703</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45703</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45703</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45703</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45703</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45703</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45703</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45703</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45703</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45703</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45703</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45703</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45703</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45703</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45703</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45703</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45703</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45703</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45703</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45703</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45703</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45703</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45703</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45703</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45703</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45703</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45703</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45703</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45703</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45703</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45703</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45703</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45703</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45703</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45703</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45703</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45703</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45703</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45703</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45703</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45703</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45703</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45703</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45703</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45703</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45703</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45703</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45703</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45703</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45703</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45703</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45703</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45703</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45703</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45703</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45703</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45703</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45703</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45703</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45703</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45703</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45703</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45703</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45703</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45703</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45703</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45703</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45703</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45703</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45703</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45703</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45703</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45703</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45703</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45703</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45703</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45703</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45703</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45703</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45703</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45703</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45703</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45703</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45703</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45703</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45703</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45703</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45703</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45703</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45703</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45703</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45703</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45703</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45703</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45703</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45703</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45703</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45703</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45703</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45703</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45703</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45703</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45703</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45703</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45703</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45703</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45703</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45703</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45703</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45703</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45703</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45703</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45703</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45703</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45703</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45703</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45703</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45703</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45703</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45703</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45703</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45703</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45703</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45703</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45703</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45703</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45703</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45703</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45703</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45703</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45703</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45703</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45703</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45703</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45703</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45703</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45703</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45703</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45703</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45703</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45703</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45703</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45703</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45703</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45703</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45703</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45703</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45703</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45703</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45703</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45703</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45703</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45703</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45703</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45703</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45703</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45703</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45703</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45703</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45703</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45703</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45703</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45703</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45703</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45703</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45703</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45703</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45703</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45703</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45703</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45703</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45703</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45703</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45703</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45703</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45703</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45703</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45703</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45703</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45703</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45703</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45703</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45703</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45703</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45703</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45703</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45703</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45703</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45703</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45703</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45703</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45703</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45703</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45703</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45703</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45703</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45703</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45703</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45703</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45703</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45703</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45703</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45703</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45703</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45703</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45703</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45703</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45703</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45703</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45703</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45703</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45703</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45703</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45703</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45703</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45703</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45703</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45703</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45703</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45703</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45703</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45703</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45703</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45703</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45703</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45703</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45703</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45703</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45703</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45703</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45703</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45703</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45703</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45703</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45703</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45703</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45703</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45703</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45703</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45703</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45703</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45703</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45703</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45703</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45703</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45703</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45703</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45703</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45703</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45703</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45703</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45703</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45703</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45703</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45703</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45703</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45703</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45703</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45703</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45703</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45703</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45703</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45703</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45703</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45703</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45703</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45703</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45703</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45703</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45703</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45703</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45703</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45703</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45703</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45703</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45703</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45703</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45703</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45703</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45703</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45703</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45703</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45703</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45703</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45703</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45703</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45703</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45703</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45703</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45703</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45703</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45703</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45703</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45703</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45703</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45703</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45703</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45703</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45703</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45703</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45703</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45703</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45703</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45703</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45703</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45703</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45703</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45703</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45703</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45703</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45703</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45703</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45703</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45703</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45703</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45703</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45703</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45703</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45703</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45703</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45703</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45703</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45703</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45703</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45703</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45703</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45703</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45703</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45703</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45703</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45703</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45703</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45703</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45703</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45703</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45703</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45703</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45703</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45703</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45703</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45703</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45703</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45703</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45703</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45703</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45703</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45703</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45703</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45703</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45703</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45703</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45703</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45703</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45703</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45703</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45703</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45703</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45703</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45703</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45703</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45703</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45703</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45703</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45703</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45703</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45703</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45703</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45703</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45703</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45703</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45703</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45703</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45703</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45703</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45703</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45703</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45703</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45703</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45703</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45703</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45703</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45703</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45703</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45703</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45703</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45703</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45703</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45703</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45703</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45703</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45703</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45703</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45703</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45703</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45703</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45703</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45703</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45703</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45703</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45703</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45703</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45703</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45703</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45703</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45703</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45703</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45703</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45703</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45703</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45703</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45703</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45703</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45703</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45703</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45703</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45703</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45703</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45703</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45703</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45703</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45703</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45703</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45703</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45703</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45703</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45703</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45703</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45703</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45703</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45703</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45703</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45703</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45703</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45703</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45703</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45703</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45703</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45703</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45703</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45703</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45703</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45703</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45703</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45703</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45703</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45703</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45703</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45703</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45703</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45703</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45703</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45703</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45703</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45703</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45703</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45703</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45703</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45703</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45703</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45703</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45703</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45703</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45703</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45703</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45703</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45703</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45703</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45703</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45703</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45703</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45703</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45703</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45703</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45703</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45703</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45703</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45703</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45703</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45703</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45703</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45703</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45703</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45703</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45703</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45703</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45703</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45703</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45703</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45703</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45703</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45703</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45703</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45703</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45703</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45703</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45703</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45703</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45703</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45703</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45703</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45703</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45703</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45703</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45703</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45703</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45703</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45703</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45703</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45703</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45703</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45703</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45703</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45703</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45703</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45703</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45703</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45703</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45703</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45703</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45703</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45703</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45703</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45703</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45703</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45703</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45703</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45703</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45703</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45703</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45703</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45703</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45703</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45703</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45703</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45703</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45703</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45703</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45703</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45703</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45703</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45703</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45703</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45703</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45703</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45703</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45703</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45703</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45703</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45703</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45703</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45703</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45703</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45703</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45703</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45703</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45703</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45703</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45703</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45703</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45703</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45703</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45703</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45703</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45703</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45703</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45703</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45703</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45703</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45703</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45703</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45703</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45703</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45703</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45703</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45703</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45703</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45703</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45703</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45703</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45703</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45703</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45703</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45703</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45703</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45703</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45703</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45703</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45703</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45703</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45703</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45703</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45703</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45703</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45703</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45703</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45703</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45703</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45703</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45703</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45703</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45703</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45703</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45703</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45703</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45703</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45703</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45703</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45703</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45703</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45703</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45703</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45703</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45703</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45703</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45703</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45703</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45703</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45703</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45703</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45703</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45703</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45703</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45703</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45703</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45703</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45703</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45703</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45703</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45703</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45703</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45703</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45703</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45703</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45703</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45703</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45703</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45703</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45703</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45703</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45703</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45703</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45703</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45703</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45703</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45703</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45703</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45703</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45703</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45703</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45703</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45703</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45703</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45703</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45703</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45703</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45703</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45703</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45703</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45703</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45703</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45703</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45703</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45703</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45703</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45703</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45703</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45703</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45703</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45703</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45703</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45703</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45703</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45703</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45703</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45703</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45703</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45703</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45703</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45703</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45703</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45703</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45703</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45703</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45703</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45703</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45703</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45703</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45703</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45703</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45703</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45703</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45703</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45703</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45703</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45703</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45703</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45703</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45703</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45703</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45703</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45703</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45703</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45703</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45703</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45703</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45703</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45703</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45703</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45703</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45703</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45703</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45703</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45703</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45703</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45703</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45703</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45703</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45703</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45703</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45703</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45703</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45703</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45703</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45703</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45703</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45703</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45703</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45703</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45703</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45703</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45703</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45703</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45703</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45703</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45703</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45703</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45703</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45703</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45703</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45703</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45703</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45703</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45703</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45703</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45703</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45703</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45703</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45703</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45703</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45703</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45703</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45703</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45703</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45703</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45703</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45703</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45703</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45703</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45703</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45703</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45703</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45703</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45703</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45703</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45703</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45703</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45703</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45703</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45703</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45703</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45703</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45703</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45703</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45703</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45703</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45703</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45703</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45703</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45703</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45703</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45703</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45703</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45703</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45703</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45703</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45703</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45703</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45703</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45703</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45703</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45703</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45703</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45703</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45703</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45703</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45703</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45703</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45703</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45703</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45703</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45703</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45703</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45703</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45703</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45703</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45703</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45703</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45703</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45703</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45703</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45703</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45703</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45703</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45703</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45703</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45703</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45703</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45703</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45703</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45703</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45703</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45703</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45703</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45703</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45703</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45703</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45703</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45703</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45703</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45703</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45703</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45703</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45703</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45703</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45703</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45703</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45703</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45703</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45703</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45703</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45703</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45703</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45703</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45703</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45703</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45703</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45703</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45703</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45703</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45703</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45703</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45703</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45703</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45703</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45703</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45703</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45703</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45703</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45703</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45703</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45703</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45703</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45703</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45703</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45703</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45703</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45703</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45703</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45703</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45703</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45703</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45703</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45703</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45703</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45703</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45703</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45703</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45703</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45703</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45703</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45703</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45703</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45703</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45703</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45703</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45703</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45703</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45703</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45703</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45703</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45703</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45703</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45703</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45703</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45703</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45703</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45703</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45703</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45703</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45703</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45703</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45703</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45703</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45703</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45703</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45703</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45703</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45703</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45703</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45703</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45703</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45703</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45703</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45703</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45703</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45703</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45703</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45703</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45703</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45703</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45703</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45703</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45703</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45703</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45703</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45703</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45703</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45703</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45703</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45703</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45703</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45703</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45703</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45703</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45703</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45703</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45703</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45703</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45703</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45703</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45703</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45703</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45703</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45703</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45703</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45703</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45703</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45703</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45703</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45703</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45703</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45703</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45703</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45703</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45703</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45703</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45703</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45703</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45703</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45703</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45703</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45703</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45703</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45703</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45703</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45703</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45703</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45703</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45703</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45703</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45703</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45703</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45703</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45703</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45703</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45703</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45703</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45703</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45703</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45703</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45703</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45703</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45703</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45703</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45703</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45703</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45703</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45703</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45703</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45703</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45703</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45703</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45703</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45703</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45703</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45703</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45703</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45703</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45703</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45703</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45703</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45703</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45703</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45703</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45703</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45703</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45703</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45703</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45703</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45703</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45703</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45703</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45703</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45703</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45703</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45703</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45703</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45703</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45703</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45703</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45703</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45703</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45703</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45703</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45703</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45703</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45703</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45703</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45703</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45703</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45703</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45703</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45703</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45703</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45703</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45703</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45703</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45703</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45703</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45703</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45703</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45703</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45703</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45703</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45703</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45703</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45703</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45703</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45703</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45703</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45703</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45703</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45703</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45703</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45703</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45703</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45703</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45703</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45703</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45703</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45703</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45703</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45703</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45703</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45703</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45703</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45703</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45703</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45703</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45703</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45703</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45703</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45703</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45703</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45703</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45703</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45703</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45703</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45703</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45703</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45703</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45703</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45703</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45703</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45703</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45703</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45703</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45703</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45703</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45703</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45703</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45703</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45703</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45703</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45703</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45703</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45703</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45703</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45703</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45703</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45703</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45703</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45703</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45703</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45703</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45703</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45703</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45703</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45703</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45703</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45703</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45703</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45703</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45703</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45703</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45703</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45703</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45703</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45703</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45703</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45703</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45703</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45703</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45703</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45703</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45703</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45703</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45703</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45703</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45703</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45703</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45703</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45703</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45703</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45703</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45703</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45703</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45703</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45703</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45703</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45703</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45703</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45703</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45703</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45703</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45703</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45703</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45703</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45703</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45703</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45703</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45703</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45703</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45703</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45703</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45703</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45703</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45703</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45703</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45703</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45703</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45703</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45703</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45703</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45703</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45703</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45703</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45703</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45703</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45703</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45703</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45703</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45703</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45703</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45703</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45703</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45703</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45703</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45703</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45703</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45703</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45703</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45703</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45703</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45703</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45703</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45703</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45703</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45703</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45703</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45703</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45703</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45703</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45703</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45703</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45703</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45703</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45703</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45703</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45703</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45703</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45703</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45703</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45703</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45703</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45703</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45703</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45703</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45703</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45703</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45703</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45703</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45703</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45703</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45703</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45703</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45703</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45703</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45703</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45703</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45703</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45703</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45703</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45703</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45703</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45703</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45703</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45703</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45703</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45703</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45703</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45703</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45703</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45703</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45703</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45703</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45703</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45703</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45703</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45703</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45703</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45703</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45703</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45703</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45703</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45703</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45703</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45703</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45703</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45703</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45703</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45703</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45703</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45703</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45703</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45703</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45703</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45703</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45703</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45703</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45703</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45703</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45703</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45703</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45703</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45703</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45703</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45703</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45703</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45703</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45703</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45703</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45703</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45703</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45703</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45703</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45703</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45703</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45703</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45703</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45703</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45703</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45703</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45703</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45703</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45703</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45703</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45703</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45703</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45703</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45703</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45703</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45703</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45703</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45703</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45703</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45703</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45703</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45703</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45703</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45703</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45703</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45703</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45703</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45703</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45703</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45703</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45703</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45703</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45703</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45703</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45703</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45703</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45703</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45703</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45703</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45703</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45703</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45703</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45703</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45703</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45703</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45703</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45703</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45703</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45703</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45703</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45703</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45703</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45703</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45703</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45703</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45703</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45703</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45703</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45703</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45703</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45703</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45703</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45703</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45703</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45703</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45703</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45703</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45703</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45703</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45703</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45703</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45703</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45703</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45703</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45703</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45703</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45703</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45703</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45703</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45703</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45703</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45703</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45703</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45703</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45703</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45703</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45703</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45703</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45703</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45703</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45703</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45703</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45703</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45703</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45703</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45703</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45703</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45703</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45703</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45703</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45703</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45703</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45703</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45703</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45703</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45703</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45703</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45703</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45703</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45703</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45703</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45703</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45703</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45703</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45703</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45703</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45703</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45703</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45703</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45703</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45703</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45703</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45703</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45703</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45703</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45703</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45703</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45703</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45703</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45703</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45703</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45703</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45703</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45703</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45703</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45703</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45703</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45703</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45703</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45703</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45703</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45703</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45703</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45703</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45703</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45703</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45703</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45703</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45703</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45703</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45703</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45703</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45703</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45703</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45703</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45703</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45703</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45703</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45703</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45703</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45703</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45703</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45703</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45703</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45703</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45703</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45703</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45703</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45703</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45703</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45703</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45703</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45703</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45703</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45703</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45703</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45703</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45703</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45703</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45703</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45703</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45703</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45703</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45703</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45703</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45703</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45703</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45703</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45703</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45703</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45703</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45703</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45703</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45703</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45703</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45703</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45703</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45703</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45703</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45703</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45703</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45703</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45703</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45703</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45703</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45703</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45703</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45703</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45703</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45703</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45703</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45703</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45703</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45703</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45703</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45703</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45703</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45703</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45703</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45703</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45703</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45703</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45703</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45703</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45703</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45703</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45703</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45703</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45703</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45703</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45703</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45703</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45703</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45703</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45703</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45703</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45703</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45703</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45703</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45703</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45703</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45703</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45703</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45703</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45703</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45703</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45703</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45703</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45703</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45703</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45703</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45703</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45703</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45703</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45703</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45703</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45703</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45703</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45703</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45703</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45703</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45703</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45703</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45703</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45703</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45703</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45703</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45703</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45703</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45703</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45703</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45703</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45703</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45703</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45703</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45703</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45703</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45703</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45703</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45703</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45703</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45703</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45703</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45703</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45703</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45703</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45703</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45703</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45703</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45703</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45703</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45703</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45703</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45703</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45703</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45703</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45703</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45703</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45703</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45703</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45703</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45703</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45703</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45703</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45703</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45703</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45703</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45703</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45703</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45703</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45703</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45703</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45703</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45703</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45703</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45703</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45703</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45703</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45703</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45703</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45703</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45703</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45703</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45703</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45703</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45703</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45703</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45703</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45703</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45703</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45703</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45703</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45703</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45703</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45703</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45703</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45703</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45703</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45703</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45703</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45703</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45703</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45703</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45703</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45703</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45703</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45703</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45703</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45703</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45703</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45703</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45703</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45703</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45703</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45703</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45703</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45703</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45703</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45703</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45703</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45703</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45703</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45703</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45703</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45703</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45703</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45703</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45703</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45703</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45703</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45703</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45703</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45703</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45703</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45703</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45703</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45703</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45703</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45703</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45703</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45703</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45703</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45703</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45703</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45703</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45703</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45703</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45703</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45703</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45703</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45703</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45703</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45703</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45703</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45703</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45703</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45703</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45703</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45703</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45703</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45703</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45703</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45703</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45703</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45703</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45703</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45703</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45703</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45703</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45703</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45703</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45703</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45703</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45703</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45703</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45703</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45703</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45703</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45703</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45703</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45703</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45703</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45703</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45703</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45703</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45703</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45703</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45703</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45703</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45703</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45703</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45703</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45703</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45703</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45703</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45703</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45703</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45703</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45703</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45703</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45703</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45703</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45703</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45703</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45703</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45703</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45703</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45703</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45703</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45703</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45703</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45703</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45703</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45703</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45703</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45703</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45703</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45703</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45703</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45703</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45703</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45703</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45703</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45703</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45703</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45703</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45703</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45703</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45703</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45703</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45703</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45703</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45703</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45703</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45703</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45703</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45703</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45703</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45703</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45703</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45703</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45703</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45703</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45703</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45703</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45703</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45703</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45703</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45703</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45703</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45703</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45703</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45703</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45703</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45703</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45703</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45703</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45703</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45703</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45703</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45703</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45703</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45703</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45703</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45703</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45703</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45703</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45703</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45703</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45703</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45703</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45703</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45703</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45703</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45703</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45703</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45703</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45703</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45703</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45703</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45703</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45703</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45703</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45703</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45703</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45703</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45703</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45703</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45703</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45703</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45703</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45703</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45703</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45703</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45703</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45703</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45703</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45703</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45703</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45703</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45703</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45703</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45703</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45703</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45703</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45703</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45703</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45703</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45703</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45703</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45703</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45703</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45703</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45703</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45703</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45703</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45703</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45703</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45703</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45703</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45703</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45703</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45703</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45703</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45703</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45703</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45703</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45703</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45703</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45703</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45703</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45703</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45703</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45703</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45703</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45703</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45703</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45703</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45703</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45703</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45703</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45703</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45703</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45703</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45703</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45703</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45703</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45703</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45703</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45703</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45703</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45703</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45703</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45703</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45703</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45703</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45703</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45703</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45703</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45703</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45703</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45703</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45703</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45703</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45703</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45703</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45703</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45703</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45703</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45703</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45703</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45703</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45703</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45703</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45703</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45703</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45703</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45703</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45703</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45703</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45703</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45703</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45703</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45703</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45703</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45703</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45703</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45703</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45703</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45703</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45703</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45703</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45703</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45703</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45703</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45703</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45703</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45703</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45703</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45703</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45703</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45703</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45703</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45703</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45703</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45703</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45703</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45703</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45703</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45703</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45703</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45703</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45703</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45703</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45703</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45703</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45703</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45703</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45703</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45703</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45703</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45703</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45703</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45703</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45703</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45703</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45703</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45703</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45703</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45703</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45703</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45703</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45703</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45703</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45703</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45703</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45703</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45703</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45703</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45703</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45703</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45703</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45703</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45703</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45703</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45703</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45703</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45703</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45703</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45703</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45703</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45703</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45703</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45703</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45703</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45703</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45703</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45703</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45703</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45703</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45703</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45703</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45703</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45703</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45703</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45703</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45703</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45703</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45703</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45703</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45703</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45703</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45703</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45703</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45703</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45703</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45703</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45703</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45703</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45703</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45703</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45703</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45703</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45703</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45703</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45703</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45703</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45703</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45703</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45703</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45703</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45703</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45703</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45703</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45703</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45703</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45703</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45703</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45703</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45703</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45703</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45703</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45703</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45703</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45703</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45703</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45703</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45703</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45703</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45703</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45703</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45703</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45703</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45703</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45703</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45703</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45703</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45703</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45703</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45703</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45703</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45703</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45703</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45703</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45703</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45703</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45703</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45703</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45703</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45703</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45703</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45703</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45703</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45703</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45703</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45703</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45703</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45703</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45703</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45703</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45703</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45703</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45703</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45703</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45703</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45703</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45703</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45703</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45703</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45703</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45703</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45703</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45703</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45703</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45703</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45703</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45703</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45703</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45703</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45703</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45703</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45703</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45703</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45703</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45703</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45703</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45703</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45703</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45703</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45703</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45703</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45703</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45703</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45703</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45703</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45703</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45703</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45703</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45703</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45703</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45703</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45703</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45703</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45703</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45703</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45703</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45703</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45703</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45703</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45703</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45703</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45703</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45703</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45703</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45703</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45703</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45703</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45703</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45703</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45703</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45703</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45703</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45703</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45703</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45703</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45703</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45703</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45703</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45703</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45703</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45703</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45703</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45703</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45703</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45703</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45703</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45703</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45703</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45703</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45703</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45703</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45703</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45703</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45703</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45703</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45703</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45703</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45703</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45703</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45703</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45703</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45703</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45703</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45703</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45703</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45703</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45703</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45703</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45703</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45703</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45703</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45703</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45703</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45703</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45703</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45703</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45703</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45703</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45703</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45703</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45703</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45703</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45703</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45703</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45703</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45703</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45703</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45703</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45703</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45703</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45703</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45703</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45703</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45703</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45703</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45703</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45703</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45703</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45703</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45703</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45703</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45703</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45703</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45703</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45703</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45703</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45703</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45703</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45703</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45703</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45703</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45703</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45703</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45703</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45703</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45703</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45703</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45703</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45703</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45703</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45703</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45703</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45703</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45703</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45703</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45703</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45703</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45703</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45703</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45703</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45703</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45703</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45703</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45703</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45703</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45703</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45703</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45703</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45703</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45703</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45703</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45703</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45703</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45703</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45703</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45703</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45703</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45703</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45703</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45703</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45703</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45703</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45703</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45703</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45703</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45703</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45703</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45703</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45703</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45703</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45703</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45703</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45703</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45703</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45703</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45703</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45703</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45703</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45703</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45703</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45703</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45703</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45703</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45703</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45703</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45703</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45703</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45703</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45703</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45703</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45703</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45703</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45703</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45703</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45703</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45703</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45703</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45703</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45703</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45703</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45703</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45703</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45703</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45703</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45703</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45703</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45703</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45703</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45703</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45703</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45703</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45703</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45703</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45703</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45703</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45703</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45703</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45703</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45703</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45703</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45703</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45703</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45703</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45703</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45703</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45703</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45703</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45703</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45703</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45703</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45703</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45703</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45703</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45703</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45703</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45703</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45703</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45703</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45703</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45703</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45703</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45703</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45703</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45703</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45703</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45703</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45703</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45703</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45703</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45703</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45703</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45703</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45703</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45703</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45703</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45703</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45703</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45703</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45703</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45703</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45703</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45703</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45703</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45703</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45703</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45703</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45703</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45703</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45703</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45703</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45703</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45703</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45703</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45703</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45703</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45703</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45703</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45703</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45703</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45703</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45703</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45703</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45703</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45703</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45703</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45703</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45703</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45703</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45703</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45703</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45703</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45703</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45703</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45703</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45703</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45703</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45703</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45703</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45703</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45703</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45703</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45703</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45703</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45703</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45703</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45703</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45703</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45703</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45703</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45703</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45703</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45703</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45703</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45703</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45703</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45703</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45703</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45703</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45703</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45703</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45703</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45703</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45703</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45703</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45703</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45703</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45703</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45703</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45703</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45703</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45703</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45703</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45703</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45703</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45703</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45703</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45703</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45703</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45703</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45703</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45703</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45703</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45703</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45703</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45703</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45703</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45703</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45703</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45703</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45703</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45703</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45703</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45703</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45703</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45703</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45703</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45703</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45703</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45703</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45703</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45703</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45703</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45703</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45703</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45703</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45703</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45703</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45703</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45703</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45703</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45703</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45703</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45703</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45703</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45703</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45703</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45703</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45703</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45703</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45703</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45703</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45703</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45703</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45703</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45703</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45703</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45703</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45703</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45703</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45703</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45703</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45703</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45703</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45703</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45703</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45703</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45703</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45703</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45703</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45703</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45703</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45703</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45703</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45703</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45703</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45703</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45703</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45703</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45703</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45703</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45703</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45703</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45703</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45703</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45703</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45703</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45703</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45703</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45703</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45703</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45703</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45703</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45703</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45703</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45703</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45703</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45703</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45703</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45703</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45703</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45703</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45703</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45703</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45703</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45703</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45703</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45703</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45703</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45703</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45703</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45703</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45703</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45703</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45703</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45703</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45703</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45703</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45703</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45703</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45703</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45703</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45703</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45703</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45703</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45703</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45703</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45703</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45703</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45703</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45703</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45703</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45703</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45703</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45703</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45703</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45703</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45703</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45703</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45703</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45703</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45703</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45703</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45703</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45703</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45703</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45703</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45703</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45703</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45703</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45703</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45703</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45703</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45703</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45703</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45703</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45703</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45703</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45703</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45703</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45703</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45703</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45703</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45703</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45703</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45703</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45703</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45703</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45703</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45703</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45703</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45703</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45703</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45703</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45703</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45703</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45703</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45703</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45703</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45703</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45703</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45703</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45703</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45703</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45703</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45703</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45703</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45703</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45703</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45703</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45703</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45703</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45703</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45703</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45703</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45703</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45703</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45703</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45703</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45703</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45703</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45703</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45703</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45703</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45703</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45703</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45703</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45703</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45703</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45703</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45703</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45703</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45703</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45703</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45703</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45703</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45703</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45703</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45703</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45703</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45703</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45703</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45703</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45703</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45703</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2494-2025</t>
        </is>
      </c>
      <c r="B3000" s="1" t="n">
        <v>45674</v>
      </c>
      <c r="C3000" s="1" t="n">
        <v>45703</v>
      </c>
      <c r="D3000" t="inlineStr">
        <is>
          <t>VÄSTERNORRLANDS LÄN</t>
        </is>
      </c>
      <c r="E3000" t="inlineStr">
        <is>
          <t>SUNDSVALL</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2493-2025</t>
        </is>
      </c>
      <c r="B3001" s="1" t="n">
        <v>45674</v>
      </c>
      <c r="C3001" s="1" t="n">
        <v>45703</v>
      </c>
      <c r="D3001" t="inlineStr">
        <is>
          <t>VÄSTERNORRLANDS LÄN</t>
        </is>
      </c>
      <c r="E3001" t="inlineStr">
        <is>
          <t>SUNDSVALL</t>
        </is>
      </c>
      <c r="F3001" t="inlineStr">
        <is>
          <t>SCA</t>
        </is>
      </c>
      <c r="G3001" t="n">
        <v>39.6</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45703</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45703</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45703</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2594-2025</t>
        </is>
      </c>
      <c r="B3005" s="1" t="n">
        <v>45674</v>
      </c>
      <c r="C3005" s="1" t="n">
        <v>45703</v>
      </c>
      <c r="D3005" t="inlineStr">
        <is>
          <t>VÄSTERNORRLANDS LÄN</t>
        </is>
      </c>
      <c r="E3005" t="inlineStr">
        <is>
          <t>SUNDSVALL</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45703</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45703</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45703</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45703</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45703</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45703</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45703</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45703</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45703</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45703</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45703</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45703</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45703</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3217-2025</t>
        </is>
      </c>
      <c r="B3019" s="1" t="n">
        <v>45679</v>
      </c>
      <c r="C3019" s="1" t="n">
        <v>45703</v>
      </c>
      <c r="D3019" t="inlineStr">
        <is>
          <t>VÄSTERNORRLANDS LÄN</t>
        </is>
      </c>
      <c r="E3019" t="inlineStr">
        <is>
          <t>SUNDSVALL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45703</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3215-2025</t>
        </is>
      </c>
      <c r="B3021" s="1" t="n">
        <v>45679</v>
      </c>
      <c r="C3021" s="1" t="n">
        <v>45703</v>
      </c>
      <c r="D3021" t="inlineStr">
        <is>
          <t>VÄSTERNORRLANDS LÄN</t>
        </is>
      </c>
      <c r="E3021" t="inlineStr">
        <is>
          <t>SUNDSVALL</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3232-2025</t>
        </is>
      </c>
      <c r="B3022" s="1" t="n">
        <v>45679</v>
      </c>
      <c r="C3022" s="1" t="n">
        <v>45703</v>
      </c>
      <c r="D3022" t="inlineStr">
        <is>
          <t>VÄSTERNORRLANDS LÄN</t>
        </is>
      </c>
      <c r="E3022" t="inlineStr">
        <is>
          <t>SUNDSVALL</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3293-2025</t>
        </is>
      </c>
      <c r="B3023" s="1" t="n">
        <v>45679</v>
      </c>
      <c r="C3023" s="1" t="n">
        <v>45703</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3326-2025</t>
        </is>
      </c>
      <c r="B3024" s="1" t="n">
        <v>45679</v>
      </c>
      <c r="C3024" s="1" t="n">
        <v>45703</v>
      </c>
      <c r="D3024" t="inlineStr">
        <is>
          <t>VÄSTERNORRLANDS LÄN</t>
        </is>
      </c>
      <c r="E3024" t="inlineStr">
        <is>
          <t>SUNDSVALL</t>
        </is>
      </c>
      <c r="F3024" t="inlineStr">
        <is>
          <t>SCA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45703</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45703</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45703</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45703</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45703</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45703</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45703</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3670-2025</t>
        </is>
      </c>
      <c r="B3032" s="1" t="n">
        <v>45681</v>
      </c>
      <c r="C3032" s="1" t="n">
        <v>45703</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45703</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45703</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3948-2025</t>
        </is>
      </c>
      <c r="B3035" s="1" t="n">
        <v>45684</v>
      </c>
      <c r="C3035" s="1" t="n">
        <v>45703</v>
      </c>
      <c r="D3035" t="inlineStr">
        <is>
          <t>VÄSTERNORRLANDS LÄN</t>
        </is>
      </c>
      <c r="E3035" t="inlineStr">
        <is>
          <t>SUNDSVALL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45703</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45703</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3962-2025</t>
        </is>
      </c>
      <c r="B3038" s="1" t="n">
        <v>45684</v>
      </c>
      <c r="C3038" s="1" t="n">
        <v>45703</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45703</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3924-2025</t>
        </is>
      </c>
      <c r="B3040" s="1" t="n">
        <v>45684</v>
      </c>
      <c r="C3040" s="1" t="n">
        <v>45703</v>
      </c>
      <c r="D3040" t="inlineStr">
        <is>
          <t>VÄSTERNORRLANDS LÄN</t>
        </is>
      </c>
      <c r="E3040" t="inlineStr">
        <is>
          <t>SUNDSVALL</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4813-2025</t>
        </is>
      </c>
      <c r="B3041" s="1" t="n">
        <v>45688</v>
      </c>
      <c r="C3041" s="1" t="n">
        <v>45703</v>
      </c>
      <c r="D3041" t="inlineStr">
        <is>
          <t>VÄSTERNORRLANDS LÄN</t>
        </is>
      </c>
      <c r="E3041" t="inlineStr">
        <is>
          <t>SUNDSVALL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4853-2025</t>
        </is>
      </c>
      <c r="B3042" s="1" t="n">
        <v>45688</v>
      </c>
      <c r="C3042" s="1" t="n">
        <v>45703</v>
      </c>
      <c r="D3042" t="inlineStr">
        <is>
          <t>VÄSTERNORRLANDS LÄN</t>
        </is>
      </c>
      <c r="E3042" t="inlineStr">
        <is>
          <t>SUNDSVALL</t>
        </is>
      </c>
      <c r="F3042" t="inlineStr">
        <is>
          <t>SCA</t>
        </is>
      </c>
      <c r="G3042" t="n">
        <v>18.3</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45703</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4815-2025</t>
        </is>
      </c>
      <c r="B3044" s="1" t="n">
        <v>45688</v>
      </c>
      <c r="C3044" s="1" t="n">
        <v>45703</v>
      </c>
      <c r="D3044" t="inlineStr">
        <is>
          <t>VÄSTERNORRLANDS LÄN</t>
        </is>
      </c>
      <c r="E3044" t="inlineStr">
        <is>
          <t>SUNDSVALL</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4871-2025</t>
        </is>
      </c>
      <c r="B3045" s="1" t="n">
        <v>45688</v>
      </c>
      <c r="C3045" s="1" t="n">
        <v>45703</v>
      </c>
      <c r="D3045" t="inlineStr">
        <is>
          <t>VÄSTERNORRLANDS LÄN</t>
        </is>
      </c>
      <c r="E3045" t="inlineStr">
        <is>
          <t>SUNDSVALL</t>
        </is>
      </c>
      <c r="F3045" t="inlineStr">
        <is>
          <t>SCA</t>
        </is>
      </c>
      <c r="G3045" t="n">
        <v>11.5</v>
      </c>
      <c r="H3045" t="n">
        <v>0</v>
      </c>
      <c r="I3045" t="n">
        <v>0</v>
      </c>
      <c r="J3045" t="n">
        <v>0</v>
      </c>
      <c r="K3045" t="n">
        <v>0</v>
      </c>
      <c r="L3045" t="n">
        <v>0</v>
      </c>
      <c r="M3045" t="n">
        <v>0</v>
      </c>
      <c r="N3045" t="n">
        <v>0</v>
      </c>
      <c r="O3045" t="n">
        <v>0</v>
      </c>
      <c r="P3045" t="n">
        <v>0</v>
      </c>
      <c r="Q3045" t="n">
        <v>0</v>
      </c>
      <c r="R3045" s="2" t="inlineStr"/>
    </row>
    <row r="3046" ht="15" customHeight="1">
      <c r="A3046" t="inlineStr">
        <is>
          <t>A 4888-2025</t>
        </is>
      </c>
      <c r="B3046" s="1" t="n">
        <v>45688</v>
      </c>
      <c r="C3046" s="1" t="n">
        <v>45703</v>
      </c>
      <c r="D3046" t="inlineStr">
        <is>
          <t>VÄSTERNORRLANDS LÄN</t>
        </is>
      </c>
      <c r="E3046" t="inlineStr">
        <is>
          <t>SUNDSVALL</t>
        </is>
      </c>
      <c r="F3046" t="inlineStr">
        <is>
          <t>SCA</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4900-2025</t>
        </is>
      </c>
      <c r="B3047" s="1" t="n">
        <v>45688</v>
      </c>
      <c r="C3047" s="1" t="n">
        <v>45703</v>
      </c>
      <c r="D3047" t="inlineStr">
        <is>
          <t>VÄSTERNORRLANDS LÄN</t>
        </is>
      </c>
      <c r="E3047" t="inlineStr">
        <is>
          <t>SUNDSVALL</t>
        </is>
      </c>
      <c r="F3047" t="inlineStr">
        <is>
          <t>SCA</t>
        </is>
      </c>
      <c r="G3047" t="n">
        <v>10.4</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45703</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4890-2025</t>
        </is>
      </c>
      <c r="B3049" s="1" t="n">
        <v>45688</v>
      </c>
      <c r="C3049" s="1" t="n">
        <v>45703</v>
      </c>
      <c r="D3049" t="inlineStr">
        <is>
          <t>VÄSTERNORRLANDS LÄN</t>
        </is>
      </c>
      <c r="E3049" t="inlineStr">
        <is>
          <t>SUNDSVALL</t>
        </is>
      </c>
      <c r="F3049" t="inlineStr">
        <is>
          <t>SCA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4906-2025</t>
        </is>
      </c>
      <c r="B3050" s="1" t="n">
        <v>45688</v>
      </c>
      <c r="C3050" s="1" t="n">
        <v>45703</v>
      </c>
      <c r="D3050" t="inlineStr">
        <is>
          <t>VÄSTERNORRLANDS LÄN</t>
        </is>
      </c>
      <c r="E3050" t="inlineStr">
        <is>
          <t>SUNDSVALL</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4917-2025</t>
        </is>
      </c>
      <c r="B3051" s="1" t="n">
        <v>45688</v>
      </c>
      <c r="C3051" s="1" t="n">
        <v>45703</v>
      </c>
      <c r="D3051" t="inlineStr">
        <is>
          <t>VÄSTERNORRLANDS LÄN</t>
        </is>
      </c>
      <c r="E3051" t="inlineStr">
        <is>
          <t>SUNDSVALL</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4933-2025</t>
        </is>
      </c>
      <c r="B3052" s="1" t="n">
        <v>45688</v>
      </c>
      <c r="C3052" s="1" t="n">
        <v>45703</v>
      </c>
      <c r="D3052" t="inlineStr">
        <is>
          <t>VÄSTERNORRLANDS LÄN</t>
        </is>
      </c>
      <c r="E3052" t="inlineStr">
        <is>
          <t>SUNDSVALL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45703</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4784-2025</t>
        </is>
      </c>
      <c r="B3054" s="1" t="n">
        <v>45688</v>
      </c>
      <c r="C3054" s="1" t="n">
        <v>45703</v>
      </c>
      <c r="D3054" t="inlineStr">
        <is>
          <t>VÄSTERNORRLANDS LÄN</t>
        </is>
      </c>
      <c r="E3054" t="inlineStr">
        <is>
          <t>SUNDSVALL</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45703</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45703</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45703</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45703</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45703</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45703</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5314-2025</t>
        </is>
      </c>
      <c r="B3061" s="1" t="n">
        <v>45692</v>
      </c>
      <c r="C3061" s="1" t="n">
        <v>45703</v>
      </c>
      <c r="D3061" t="inlineStr">
        <is>
          <t>VÄSTERNORRLANDS LÄN</t>
        </is>
      </c>
      <c r="E3061" t="inlineStr">
        <is>
          <t>SUNDSVALL</t>
        </is>
      </c>
      <c r="F3061" t="inlineStr">
        <is>
          <t>SCA</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5362-2025</t>
        </is>
      </c>
      <c r="B3062" s="1" t="n">
        <v>45692</v>
      </c>
      <c r="C3062" s="1" t="n">
        <v>45703</v>
      </c>
      <c r="D3062" t="inlineStr">
        <is>
          <t>VÄSTERNORRLANDS LÄN</t>
        </is>
      </c>
      <c r="E3062" t="inlineStr">
        <is>
          <t>SUNDSVALL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45703</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5569-2025</t>
        </is>
      </c>
      <c r="B3064" s="1" t="n">
        <v>45693</v>
      </c>
      <c r="C3064" s="1" t="n">
        <v>45703</v>
      </c>
      <c r="D3064" t="inlineStr">
        <is>
          <t>VÄSTERNORRLANDS LÄN</t>
        </is>
      </c>
      <c r="E3064" t="inlineStr">
        <is>
          <t>SUNDSVALL</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45703</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5488-2025</t>
        </is>
      </c>
      <c r="B3066" s="1" t="n">
        <v>45693</v>
      </c>
      <c r="C3066" s="1" t="n">
        <v>45703</v>
      </c>
      <c r="D3066" t="inlineStr">
        <is>
          <t>VÄSTERNORRLANDS LÄN</t>
        </is>
      </c>
      <c r="E3066" t="inlineStr">
        <is>
          <t>SUNDSVALL</t>
        </is>
      </c>
      <c r="F3066" t="inlineStr">
        <is>
          <t>SCA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5601-2025</t>
        </is>
      </c>
      <c r="B3067" s="1" t="n">
        <v>45693</v>
      </c>
      <c r="C3067" s="1" t="n">
        <v>45703</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45703</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45703</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6670-2025</t>
        </is>
      </c>
      <c r="B3070" s="1" t="n">
        <v>45700</v>
      </c>
      <c r="C3070" s="1" t="n">
        <v>45703</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6709-2025</t>
        </is>
      </c>
      <c r="B3071" s="1" t="n">
        <v>45700</v>
      </c>
      <c r="C3071" s="1" t="n">
        <v>45703</v>
      </c>
      <c r="D3071" t="inlineStr">
        <is>
          <t>VÄSTERNORRLANDS LÄN</t>
        </is>
      </c>
      <c r="E3071" t="inlineStr">
        <is>
          <t>SUNDSVALL</t>
        </is>
      </c>
      <c r="F3071" t="inlineStr">
        <is>
          <t>SCA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6777-2025</t>
        </is>
      </c>
      <c r="B3072" s="1" t="n">
        <v>45700</v>
      </c>
      <c r="C3072" s="1" t="n">
        <v>45703</v>
      </c>
      <c r="D3072" t="inlineStr">
        <is>
          <t>VÄSTERNORRLANDS LÄN</t>
        </is>
      </c>
      <c r="E3072" t="inlineStr">
        <is>
          <t>SUNDSVALL</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6656-2025</t>
        </is>
      </c>
      <c r="B3073" s="1" t="n">
        <v>45700</v>
      </c>
      <c r="C3073" s="1" t="n">
        <v>45703</v>
      </c>
      <c r="D3073" t="inlineStr">
        <is>
          <t>VÄSTERNORRLANDS LÄN</t>
        </is>
      </c>
      <c r="E3073" t="inlineStr">
        <is>
          <t>SUNDSVALL</t>
        </is>
      </c>
      <c r="F3073" t="inlineStr">
        <is>
          <t>SCA</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v>
      </c>
      <c r="C3074" s="1" t="n">
        <v>45703</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6704-2025</t>
        </is>
      </c>
      <c r="B3075" s="1" t="n">
        <v>45700</v>
      </c>
      <c r="C3075" s="1" t="n">
        <v>45703</v>
      </c>
      <c r="D3075" t="inlineStr">
        <is>
          <t>VÄSTERNORRLANDS LÄN</t>
        </is>
      </c>
      <c r="E3075" t="inlineStr">
        <is>
          <t>SUNDSVALL</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6708-2025</t>
        </is>
      </c>
      <c r="B3076" s="1" t="n">
        <v>45700</v>
      </c>
      <c r="C3076" s="1" t="n">
        <v>45703</v>
      </c>
      <c r="D3076" t="inlineStr">
        <is>
          <t>VÄSTERNORRLANDS LÄN</t>
        </is>
      </c>
      <c r="E3076" t="inlineStr">
        <is>
          <t>SUNDSVALL</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6672-2025</t>
        </is>
      </c>
      <c r="B3077" s="1" t="n">
        <v>45700</v>
      </c>
      <c r="C3077" s="1" t="n">
        <v>45703</v>
      </c>
      <c r="D3077" t="inlineStr">
        <is>
          <t>VÄSTERNORRLANDS LÄN</t>
        </is>
      </c>
      <c r="E3077" t="inlineStr">
        <is>
          <t>SUNDSVALL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6654-2025</t>
        </is>
      </c>
      <c r="B3078" s="1" t="n">
        <v>45700</v>
      </c>
      <c r="C3078" s="1" t="n">
        <v>45703</v>
      </c>
      <c r="D3078" t="inlineStr">
        <is>
          <t>VÄSTERNORRLANDS LÄN</t>
        </is>
      </c>
      <c r="E3078" t="inlineStr">
        <is>
          <t>SUNDSVALL</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6702-2025</t>
        </is>
      </c>
      <c r="B3079" s="1" t="n">
        <v>45700</v>
      </c>
      <c r="C3079" s="1" t="n">
        <v>45703</v>
      </c>
      <c r="D3079" t="inlineStr">
        <is>
          <t>VÄSTERNORRLANDS LÄN</t>
        </is>
      </c>
      <c r="E3079" t="inlineStr">
        <is>
          <t>SUNDSVALL</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45703</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45703</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6955-2025</t>
        </is>
      </c>
      <c r="B3082" s="1" t="n">
        <v>45701</v>
      </c>
      <c r="C3082" s="1" t="n">
        <v>45703</v>
      </c>
      <c r="D3082" t="inlineStr">
        <is>
          <t>VÄSTERNORRLANDS LÄN</t>
        </is>
      </c>
      <c r="E3082" t="inlineStr">
        <is>
          <t>SUNDSVALL</t>
        </is>
      </c>
      <c r="F3082" t="inlineStr">
        <is>
          <t>SCA</t>
        </is>
      </c>
      <c r="G3082" t="n">
        <v>24.7</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45703</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45703</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7089-2025</t>
        </is>
      </c>
      <c r="B3085" s="1" t="n">
        <v>45701</v>
      </c>
      <c r="C3085" s="1" t="n">
        <v>45703</v>
      </c>
      <c r="D3085" t="inlineStr">
        <is>
          <t>VÄSTERNORRLANDS LÄN</t>
        </is>
      </c>
      <c r="E3085" t="inlineStr">
        <is>
          <t>SUNDSVALL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45703</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45703</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7265-2025</t>
        </is>
      </c>
      <c r="B3088" s="1" t="n">
        <v>45702</v>
      </c>
      <c r="C3088" s="1" t="n">
        <v>45703</v>
      </c>
      <c r="D3088" t="inlineStr">
        <is>
          <t>VÄSTERNORRLANDS LÄN</t>
        </is>
      </c>
      <c r="E3088" t="inlineStr">
        <is>
          <t>SUNDSVALL</t>
        </is>
      </c>
      <c r="F3088" t="inlineStr">
        <is>
          <t>SCA</t>
        </is>
      </c>
      <c r="G3088" t="n">
        <v>6.2</v>
      </c>
      <c r="H3088" t="n">
        <v>0</v>
      </c>
      <c r="I3088" t="n">
        <v>0</v>
      </c>
      <c r="J3088" t="n">
        <v>0</v>
      </c>
      <c r="K3088" t="n">
        <v>0</v>
      </c>
      <c r="L3088" t="n">
        <v>0</v>
      </c>
      <c r="M3088" t="n">
        <v>0</v>
      </c>
      <c r="N3088" t="n">
        <v>0</v>
      </c>
      <c r="O3088" t="n">
        <v>0</v>
      </c>
      <c r="P3088" t="n">
        <v>0</v>
      </c>
      <c r="Q3088" t="n">
        <v>0</v>
      </c>
      <c r="R3088" s="2" t="inlineStr"/>
      <c r="U3088">
        <f>HYPERLINK("https://klasma.github.io/Logging_2281/knärot/A 7265-2025 karta knärot.png", "A 7265-2025")</f>
        <v/>
      </c>
      <c r="V3088">
        <f>HYPERLINK("https://klasma.github.io/Logging_2281/klagomål/A 7265-2025 FSC-klagomål.docx", "A 7265-2025")</f>
        <v/>
      </c>
      <c r="W3088">
        <f>HYPERLINK("https://klasma.github.io/Logging_2281/klagomålsmail/A 7265-2025 FSC-klagomål mail.docx", "A 7265-2025")</f>
        <v/>
      </c>
      <c r="X3088">
        <f>HYPERLINK("https://klasma.github.io/Logging_2281/tillsyn/A 7265-2025 tillsynsbegäran.docx", "A 7265-2025")</f>
        <v/>
      </c>
      <c r="Y3088">
        <f>HYPERLINK("https://klasma.github.io/Logging_2281/tillsynsmail/A 7265-2025 tillsynsbegäran mail.docx", "A 7265-2025")</f>
        <v/>
      </c>
    </row>
    <row r="3089" ht="15" customHeight="1">
      <c r="A3089" t="inlineStr">
        <is>
          <t>A 7292-2025</t>
        </is>
      </c>
      <c r="B3089" s="1" t="n">
        <v>45702</v>
      </c>
      <c r="C3089" s="1" t="n">
        <v>45703</v>
      </c>
      <c r="D3089" t="inlineStr">
        <is>
          <t>VÄSTERNORRLANDS LÄN</t>
        </is>
      </c>
      <c r="E3089" t="inlineStr">
        <is>
          <t>SUNDSVALL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7264-2025</t>
        </is>
      </c>
      <c r="B3090" s="1" t="n">
        <v>45702</v>
      </c>
      <c r="C3090" s="1" t="n">
        <v>45703</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c r="A3091" t="inlineStr">
        <is>
          <t>A 7293-2025</t>
        </is>
      </c>
      <c r="B3091" s="1" t="n">
        <v>45702</v>
      </c>
      <c r="C3091" s="1" t="n">
        <v>45703</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2025-02-15T16:16:08Z</dcterms:created>
  <dcterms:modified xmlns:dcterms="http://purl.org/dc/terms/" xmlns:xsi="http://www.w3.org/2001/XMLSchema-instance" xsi:type="dcterms:W3CDTF">2025-02-15T16:16:10Z</dcterms:modified>
</cp:coreProperties>
</file>