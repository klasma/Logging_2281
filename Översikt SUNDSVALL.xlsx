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45829</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45829</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45829</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45829</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45829</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45829</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45829</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45829</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45829</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45829</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45829</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45829</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35913-2021</t>
        </is>
      </c>
      <c r="B16" s="1" t="n">
        <v>44387</v>
      </c>
      <c r="C16" s="1" t="n">
        <v>45829</v>
      </c>
      <c r="D16" t="inlineStr">
        <is>
          <t>VÄSTERNORRLANDS LÄN</t>
        </is>
      </c>
      <c r="E16" t="inlineStr">
        <is>
          <t>SUNDSVALL</t>
        </is>
      </c>
      <c r="G16" t="n">
        <v>4.4</v>
      </c>
      <c r="H16" t="n">
        <v>5</v>
      </c>
      <c r="I16" t="n">
        <v>3</v>
      </c>
      <c r="J16" t="n">
        <v>4</v>
      </c>
      <c r="K16" t="n">
        <v>2</v>
      </c>
      <c r="L16" t="n">
        <v>0</v>
      </c>
      <c r="M16" t="n">
        <v>0</v>
      </c>
      <c r="N16" t="n">
        <v>0</v>
      </c>
      <c r="O16" t="n">
        <v>6</v>
      </c>
      <c r="P16" t="n">
        <v>2</v>
      </c>
      <c r="Q16" t="n">
        <v>11</v>
      </c>
      <c r="R16" s="2" t="inlineStr">
        <is>
          <t>Knärot
Rynkskinn
Rosenticka
Talltita
Tretåig hackspett
Ullticka
Grönpyrola
Svart trolldruva
Vedticka
Nattviol
Blåsippa</t>
        </is>
      </c>
      <c r="S16">
        <f>HYPERLINK("https://klasma.github.io/Logging_2281/artfynd/A 35913-2021 artfynd.xlsx", "A 35913-2021")</f>
        <v/>
      </c>
      <c r="T16">
        <f>HYPERLINK("https://klasma.github.io/Logging_2281/kartor/A 35913-2021 karta.png", "A 35913-2021")</f>
        <v/>
      </c>
      <c r="U16">
        <f>HYPERLINK("https://klasma.github.io/Logging_2281/knärot/A 35913-2021 karta knärot.png", "A 35913-2021")</f>
        <v/>
      </c>
      <c r="V16">
        <f>HYPERLINK("https://klasma.github.io/Logging_2281/klagomål/A 35913-2021 FSC-klagomål.docx", "A 35913-2021")</f>
        <v/>
      </c>
      <c r="W16">
        <f>HYPERLINK("https://klasma.github.io/Logging_2281/klagomålsmail/A 35913-2021 FSC-klagomål mail.docx", "A 35913-2021")</f>
        <v/>
      </c>
      <c r="X16">
        <f>HYPERLINK("https://klasma.github.io/Logging_2281/tillsyn/A 35913-2021 tillsynsbegäran.docx", "A 35913-2021")</f>
        <v/>
      </c>
      <c r="Y16">
        <f>HYPERLINK("https://klasma.github.io/Logging_2281/tillsynsmail/A 35913-2021 tillsynsbegäran mail.docx", "A 35913-2021")</f>
        <v/>
      </c>
      <c r="Z16">
        <f>HYPERLINK("https://klasma.github.io/Logging_2281/fåglar/A 35913-2021 prioriterade fågelarter.docx", "A 35913-2021")</f>
        <v/>
      </c>
    </row>
    <row r="17" ht="15" customHeight="1">
      <c r="A17" t="inlineStr">
        <is>
          <t>A 16388-2023</t>
        </is>
      </c>
      <c r="B17" s="1" t="n">
        <v>45022</v>
      </c>
      <c r="C17" s="1" t="n">
        <v>45829</v>
      </c>
      <c r="D17" t="inlineStr">
        <is>
          <t>VÄSTERNORRLANDS LÄN</t>
        </is>
      </c>
      <c r="E17" t="inlineStr">
        <is>
          <t>SUNDSVALL</t>
        </is>
      </c>
      <c r="G17" t="n">
        <v>10.1</v>
      </c>
      <c r="H17" t="n">
        <v>1</v>
      </c>
      <c r="I17" t="n">
        <v>2</v>
      </c>
      <c r="J17" t="n">
        <v>7</v>
      </c>
      <c r="K17" t="n">
        <v>2</v>
      </c>
      <c r="L17" t="n">
        <v>0</v>
      </c>
      <c r="M17" t="n">
        <v>0</v>
      </c>
      <c r="N17" t="n">
        <v>0</v>
      </c>
      <c r="O17" t="n">
        <v>9</v>
      </c>
      <c r="P17" t="n">
        <v>2</v>
      </c>
      <c r="Q17" t="n">
        <v>11</v>
      </c>
      <c r="R17" s="2" t="inlineStr">
        <is>
          <t>Aspgelélav
Knärot
Garnlav
Leptoporus mollis
Lunglav
Orange taggsvamp
Rosenticka
Ullticka
Vedskivlav
Björksplintborre
Stor aspticka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row>
    <row r="18" ht="15" customHeight="1">
      <c r="A18" t="inlineStr">
        <is>
          <t>A 13934-2025</t>
        </is>
      </c>
      <c r="B18" s="1" t="n">
        <v>45737</v>
      </c>
      <c r="C18" s="1" t="n">
        <v>45829</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HYPERLINK("https://klasma.github.io/Logging_222281/artfynd/A 13934-2025 artfynd.xlsx", "A 13934-2025")</f>
        <v/>
      </c>
      <c r="T18">
        <f>HYPERLINK("https://klasma.github.io/Logging_222281/kartor/A 13934-2025 karta.png", "A 13934-2025")</f>
        <v/>
      </c>
      <c r="U18">
        <f>HYPERLINK("https://klasma.github.io/Logging_222281/knärot/A 13934-2025 karta knärot.png", "A 13934-2025")</f>
        <v/>
      </c>
      <c r="V18">
        <f>HYPERLINK("https://klasma.github.io/Logging_222281/klagomål/A 13934-2025 FSC-klagomål.docx", "A 13934-2025")</f>
        <v/>
      </c>
      <c r="W18">
        <f>HYPERLINK("https://klasma.github.io/Logging_222281/klagomålsmail/A 13934-2025 FSC-klagomål mail.docx", "A 13934-2025")</f>
        <v/>
      </c>
      <c r="X18">
        <f>HYPERLINK("https://klasma.github.io/Logging_222281/tillsyn/A 13934-2025 tillsynsbegäran.docx", "A 13934-2025")</f>
        <v/>
      </c>
      <c r="Y18">
        <f>HYPERLINK("https://klasma.github.io/Logging_222281/tillsynsmail/A 13934-2025 tillsynsbegäran mail.docx", "A 13934-2025")</f>
        <v/>
      </c>
    </row>
    <row r="19" ht="15" customHeight="1">
      <c r="A19" t="inlineStr">
        <is>
          <t>A 18532-2025</t>
        </is>
      </c>
      <c r="B19" s="1" t="n">
        <v>45763</v>
      </c>
      <c r="C19" s="1" t="n">
        <v>45829</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HYPERLINK("https://klasma.github.io/Logging_222281/artfynd/A 18532-2025 artfynd.xlsx", "A 18532-2025")</f>
        <v/>
      </c>
      <c r="T19">
        <f>HYPERLINK("https://klasma.github.io/Logging_222281/kartor/A 18532-2025 karta.png", "A 18532-2025")</f>
        <v/>
      </c>
      <c r="U19">
        <f>HYPERLINK("https://klasma.github.io/Logging_222281/knärot/A 18532-2025 karta knärot.png", "A 18532-2025")</f>
        <v/>
      </c>
      <c r="V19">
        <f>HYPERLINK("https://klasma.github.io/Logging_222281/klagomål/A 18532-2025 FSC-klagomål.docx", "A 18532-2025")</f>
        <v/>
      </c>
      <c r="W19">
        <f>HYPERLINK("https://klasma.github.io/Logging_222281/klagomålsmail/A 18532-2025 FSC-klagomål mail.docx", "A 18532-2025")</f>
        <v/>
      </c>
      <c r="X19">
        <f>HYPERLINK("https://klasma.github.io/Logging_222281/tillsyn/A 18532-2025 tillsynsbegäran.docx", "A 18532-2025")</f>
        <v/>
      </c>
      <c r="Y19">
        <f>HYPERLINK("https://klasma.github.io/Logging_222281/tillsynsmail/A 18532-2025 tillsynsbegäran mail.docx", "A 18532-2025")</f>
        <v/>
      </c>
      <c r="Z19">
        <f>HYPERLINK("https://klasma.github.io/Logging_222281/fåglar/A 18532-2025 prioriterade fågelarter.docx", "A 18532-2025")</f>
        <v/>
      </c>
    </row>
    <row r="20" ht="15" customHeight="1">
      <c r="A20" t="inlineStr">
        <is>
          <t>A 20024-2025</t>
        </is>
      </c>
      <c r="B20" s="1" t="n">
        <v>45772</v>
      </c>
      <c r="C20" s="1" t="n">
        <v>45829</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HYPERLINK("https://klasma.github.io/Logging_222281/artfynd/A 20024-2025 artfynd.xlsx", "A 20024-2025")</f>
        <v/>
      </c>
      <c r="T20">
        <f>HYPERLINK("https://klasma.github.io/Logging_222281/kartor/A 20024-2025 karta.png", "A 20024-2025")</f>
        <v/>
      </c>
      <c r="V20">
        <f>HYPERLINK("https://klasma.github.io/Logging_222281/klagomål/A 20024-2025 FSC-klagomål.docx", "A 20024-2025")</f>
        <v/>
      </c>
      <c r="W20">
        <f>HYPERLINK("https://klasma.github.io/Logging_222281/klagomålsmail/A 20024-2025 FSC-klagomål mail.docx", "A 20024-2025")</f>
        <v/>
      </c>
      <c r="X20">
        <f>HYPERLINK("https://klasma.github.io/Logging_222281/tillsyn/A 20024-2025 tillsynsbegäran.docx", "A 20024-2025")</f>
        <v/>
      </c>
      <c r="Y20">
        <f>HYPERLINK("https://klasma.github.io/Logging_222281/tillsynsmail/A 20024-2025 tillsynsbegäran mail.docx", "A 20024-2025")</f>
        <v/>
      </c>
      <c r="Z20">
        <f>HYPERLINK("https://klasma.github.io/Logging_222281/fåglar/A 20024-2025 prioriterade fågelarter.docx", "A 20024-2025")</f>
        <v/>
      </c>
    </row>
    <row r="21" ht="15" customHeight="1">
      <c r="A21" t="inlineStr">
        <is>
          <t>A 20708-2025</t>
        </is>
      </c>
      <c r="B21" s="1" t="n">
        <v>45776</v>
      </c>
      <c r="C21" s="1" t="n">
        <v>45829</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HYPERLINK("https://klasma.github.io/Logging_222281/artfynd/A 20708-2025 artfynd.xlsx", "A 20708-2025")</f>
        <v/>
      </c>
      <c r="T21">
        <f>HYPERLINK("https://klasma.github.io/Logging_222281/kartor/A 20708-2025 karta.png", "A 20708-2025")</f>
        <v/>
      </c>
      <c r="V21">
        <f>HYPERLINK("https://klasma.github.io/Logging_222281/klagomål/A 20708-2025 FSC-klagomål.docx", "A 20708-2025")</f>
        <v/>
      </c>
      <c r="W21">
        <f>HYPERLINK("https://klasma.github.io/Logging_222281/klagomålsmail/A 20708-2025 FSC-klagomål mail.docx", "A 20708-2025")</f>
        <v/>
      </c>
      <c r="X21">
        <f>HYPERLINK("https://klasma.github.io/Logging_222281/tillsyn/A 20708-2025 tillsynsbegäran.docx", "A 20708-2025")</f>
        <v/>
      </c>
      <c r="Y21">
        <f>HYPERLINK("https://klasma.github.io/Logging_222281/tillsynsmail/A 20708-2025 tillsynsbegäran mail.docx", "A 20708-2025")</f>
        <v/>
      </c>
    </row>
    <row r="22" ht="15" customHeight="1">
      <c r="A22" t="inlineStr">
        <is>
          <t>A 9201-2022</t>
        </is>
      </c>
      <c r="B22" s="1" t="n">
        <v>44615</v>
      </c>
      <c r="C22" s="1" t="n">
        <v>45829</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45829</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45829</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45829</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45829</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45829</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45829</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45829</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45829</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45829</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45829</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45829</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45829</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45829</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45829</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45829</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45829</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45829</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45829</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45829</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45829</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45829</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45829</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45829</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45829</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45829</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45829</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45829</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45829</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45829</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45829</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45829</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45829</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45829</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45829</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45829</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45829</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45829</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45829</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45829</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45829</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45829</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45829</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45829</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45829</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45829</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45829</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45829</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45829</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45829</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45829</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45829</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45829</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45829</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45829</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45829</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45829</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45829</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45829</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45829</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45829</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45829</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45829</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45829</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45829</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45829</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45829</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45829</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45829</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45829</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45829</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45829</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45829</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45829</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45829</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45829</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45829</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45829</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45829</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45829</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45829</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45829</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45829</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45829</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45829</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45829</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45829</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45829</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45829</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45829</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45829</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45829</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45829</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45829</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45829</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45829</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45829</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45829</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45829</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45829</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45829</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45829</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45829</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45829</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45829</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45829</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45829</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45829</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45829</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45829</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45829</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54674-2023</t>
        </is>
      </c>
      <c r="B133" s="1" t="n">
        <v>45235</v>
      </c>
      <c r="C133" s="1" t="n">
        <v>45829</v>
      </c>
      <c r="D133" t="inlineStr">
        <is>
          <t>VÄSTERNORRLANDS LÄN</t>
        </is>
      </c>
      <c r="E133" t="inlineStr">
        <is>
          <t>SUNDSVALL</t>
        </is>
      </c>
      <c r="G133" t="n">
        <v>1.1</v>
      </c>
      <c r="H133" t="n">
        <v>3</v>
      </c>
      <c r="I133" t="n">
        <v>0</v>
      </c>
      <c r="J133" t="n">
        <v>1</v>
      </c>
      <c r="K133" t="n">
        <v>0</v>
      </c>
      <c r="L133" t="n">
        <v>0</v>
      </c>
      <c r="M133" t="n">
        <v>0</v>
      </c>
      <c r="N133" t="n">
        <v>0</v>
      </c>
      <c r="O133" t="n">
        <v>1</v>
      </c>
      <c r="P133" t="n">
        <v>0</v>
      </c>
      <c r="Q133" t="n">
        <v>3</v>
      </c>
      <c r="R133" s="2" t="inlineStr">
        <is>
          <t>Björktrast
Grönsiska
Trana</t>
        </is>
      </c>
      <c r="S133">
        <f>HYPERLINK("https://klasma.github.io/Logging_2281/artfynd/A 54674-2023 artfynd.xlsx", "A 54674-2023")</f>
        <v/>
      </c>
      <c r="T133">
        <f>HYPERLINK("https://klasma.github.io/Logging_2281/kartor/A 54674-2023 karta.png", "A 54674-2023")</f>
        <v/>
      </c>
      <c r="V133">
        <f>HYPERLINK("https://klasma.github.io/Logging_2281/klagomål/A 54674-2023 FSC-klagomål.docx", "A 54674-2023")</f>
        <v/>
      </c>
      <c r="W133">
        <f>HYPERLINK("https://klasma.github.io/Logging_2281/klagomålsmail/A 54674-2023 FSC-klagomål mail.docx", "A 54674-2023")</f>
        <v/>
      </c>
      <c r="X133">
        <f>HYPERLINK("https://klasma.github.io/Logging_2281/tillsyn/A 54674-2023 tillsynsbegäran.docx", "A 54674-2023")</f>
        <v/>
      </c>
      <c r="Y133">
        <f>HYPERLINK("https://klasma.github.io/Logging_2281/tillsynsmail/A 54674-2023 tillsynsbegäran mail.docx", "A 54674-2023")</f>
        <v/>
      </c>
      <c r="Z133">
        <f>HYPERLINK("https://klasma.github.io/Logging_2281/fåglar/A 54674-2023 prioriterade fågelarter.docx", "A 54674-2023")</f>
        <v/>
      </c>
    </row>
    <row r="134" ht="15" customHeight="1">
      <c r="A134" t="inlineStr">
        <is>
          <t>A 60864-2023</t>
        </is>
      </c>
      <c r="B134" s="1" t="n">
        <v>45260</v>
      </c>
      <c r="C134" s="1" t="n">
        <v>45829</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14820-2024</t>
        </is>
      </c>
      <c r="B135" s="1" t="n">
        <v>45397</v>
      </c>
      <c r="C135" s="1" t="n">
        <v>45829</v>
      </c>
      <c r="D135" t="inlineStr">
        <is>
          <t>VÄSTERNORRLANDS LÄN</t>
        </is>
      </c>
      <c r="E135" t="inlineStr">
        <is>
          <t>SUNDSVALL</t>
        </is>
      </c>
      <c r="F135" t="inlineStr">
        <is>
          <t>SCA</t>
        </is>
      </c>
      <c r="G135" t="n">
        <v>13.1</v>
      </c>
      <c r="H135" t="n">
        <v>0</v>
      </c>
      <c r="I135" t="n">
        <v>1</v>
      </c>
      <c r="J135" t="n">
        <v>2</v>
      </c>
      <c r="K135" t="n">
        <v>0</v>
      </c>
      <c r="L135" t="n">
        <v>0</v>
      </c>
      <c r="M135" t="n">
        <v>0</v>
      </c>
      <c r="N135" t="n">
        <v>0</v>
      </c>
      <c r="O135" t="n">
        <v>2</v>
      </c>
      <c r="P135" t="n">
        <v>0</v>
      </c>
      <c r="Q135" t="n">
        <v>3</v>
      </c>
      <c r="R135" s="2" t="inlineStr">
        <is>
          <t>Garnlav
Lunglav
Luddlav</t>
        </is>
      </c>
      <c r="S135">
        <f>HYPERLINK("https://klasma.github.io/Logging_2281/artfynd/A 14820-2024 artfynd.xlsx", "A 14820-2024")</f>
        <v/>
      </c>
      <c r="T135">
        <f>HYPERLINK("https://klasma.github.io/Logging_2281/kartor/A 14820-2024 karta.png", "A 14820-2024")</f>
        <v/>
      </c>
      <c r="V135">
        <f>HYPERLINK("https://klasma.github.io/Logging_2281/klagomål/A 14820-2024 FSC-klagomål.docx", "A 14820-2024")</f>
        <v/>
      </c>
      <c r="W135">
        <f>HYPERLINK("https://klasma.github.io/Logging_2281/klagomålsmail/A 14820-2024 FSC-klagomål mail.docx", "A 14820-2024")</f>
        <v/>
      </c>
      <c r="X135">
        <f>HYPERLINK("https://klasma.github.io/Logging_2281/tillsyn/A 14820-2024 tillsynsbegäran.docx", "A 14820-2024")</f>
        <v/>
      </c>
      <c r="Y135">
        <f>HYPERLINK("https://klasma.github.io/Logging_2281/tillsynsmail/A 14820-2024 tillsynsbegäran mail.docx", "A 14820-2024")</f>
        <v/>
      </c>
    </row>
    <row r="136" ht="15" customHeight="1">
      <c r="A136" t="inlineStr">
        <is>
          <t>A 24782-2024</t>
        </is>
      </c>
      <c r="B136" s="1" t="n">
        <v>45460</v>
      </c>
      <c r="C136" s="1" t="n">
        <v>45829</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31515-2024</t>
        </is>
      </c>
      <c r="B137" s="1" t="n">
        <v>45505</v>
      </c>
      <c r="C137" s="1" t="n">
        <v>45829</v>
      </c>
      <c r="D137" t="inlineStr">
        <is>
          <t>VÄSTERNORRLANDS LÄN</t>
        </is>
      </c>
      <c r="E137" t="inlineStr">
        <is>
          <t>SUNDSVALL</t>
        </is>
      </c>
      <c r="F137" t="inlineStr">
        <is>
          <t>SCA</t>
        </is>
      </c>
      <c r="G137" t="n">
        <v>2.7</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HYPERLINK("https://klasma.github.io/Logging_2281/artfynd/A 31515-2024 artfynd.xlsx", "A 31515-2024")</f>
        <v/>
      </c>
      <c r="T137">
        <f>HYPERLINK("https://klasma.github.io/Logging_2281/kartor/A 31515-2024 karta.png", "A 31515-2024")</f>
        <v/>
      </c>
      <c r="V137">
        <f>HYPERLINK("https://klasma.github.io/Logging_2281/klagomål/A 31515-2024 FSC-klagomål.docx", "A 31515-2024")</f>
        <v/>
      </c>
      <c r="W137">
        <f>HYPERLINK("https://klasma.github.io/Logging_2281/klagomålsmail/A 31515-2024 FSC-klagomål mail.docx", "A 31515-2024")</f>
        <v/>
      </c>
      <c r="X137">
        <f>HYPERLINK("https://klasma.github.io/Logging_2281/tillsyn/A 31515-2024 tillsynsbegäran.docx", "A 31515-2024")</f>
        <v/>
      </c>
      <c r="Y137">
        <f>HYPERLINK("https://klasma.github.io/Logging_2281/tillsynsmail/A 31515-2024 tillsynsbegäran mail.docx", "A 31515-2024")</f>
        <v/>
      </c>
    </row>
    <row r="138" ht="15" customHeight="1">
      <c r="A138" t="inlineStr">
        <is>
          <t>A 55550-2024</t>
        </is>
      </c>
      <c r="B138" s="1" t="n">
        <v>45622</v>
      </c>
      <c r="C138" s="1" t="n">
        <v>45829</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12894-2025</t>
        </is>
      </c>
      <c r="B139" s="1" t="n">
        <v>45733</v>
      </c>
      <c r="C139" s="1" t="n">
        <v>45829</v>
      </c>
      <c r="D139" t="inlineStr">
        <is>
          <t>VÄSTERNORRLANDS LÄN</t>
        </is>
      </c>
      <c r="E139" t="inlineStr">
        <is>
          <t>SUNDSVALL</t>
        </is>
      </c>
      <c r="G139" t="n">
        <v>8.199999999999999</v>
      </c>
      <c r="H139" t="n">
        <v>1</v>
      </c>
      <c r="I139" t="n">
        <v>0</v>
      </c>
      <c r="J139" t="n">
        <v>2</v>
      </c>
      <c r="K139" t="n">
        <v>1</v>
      </c>
      <c r="L139" t="n">
        <v>0</v>
      </c>
      <c r="M139" t="n">
        <v>0</v>
      </c>
      <c r="N139" t="n">
        <v>0</v>
      </c>
      <c r="O139" t="n">
        <v>3</v>
      </c>
      <c r="P139" t="n">
        <v>1</v>
      </c>
      <c r="Q139" t="n">
        <v>3</v>
      </c>
      <c r="R139" s="2" t="inlineStr">
        <is>
          <t>Knärot
Lunglav
Ullticka</t>
        </is>
      </c>
      <c r="S139">
        <f>HYPERLINK("https://klasma.github.io/Logging_222281/artfynd/A 12894-2025 artfynd.xlsx", "A 12894-2025")</f>
        <v/>
      </c>
      <c r="T139">
        <f>HYPERLINK("https://klasma.github.io/Logging_222281/kartor/A 12894-2025 karta.png", "A 12894-2025")</f>
        <v/>
      </c>
      <c r="U139">
        <f>HYPERLINK("https://klasma.github.io/Logging_222281/knärot/A 12894-2025 karta knärot.png", "A 12894-2025")</f>
        <v/>
      </c>
      <c r="V139">
        <f>HYPERLINK("https://klasma.github.io/Logging_222281/klagomål/A 12894-2025 FSC-klagomål.docx", "A 12894-2025")</f>
        <v/>
      </c>
      <c r="W139">
        <f>HYPERLINK("https://klasma.github.io/Logging_222281/klagomålsmail/A 12894-2025 FSC-klagomål mail.docx", "A 12894-2025")</f>
        <v/>
      </c>
      <c r="X139">
        <f>HYPERLINK("https://klasma.github.io/Logging_222281/tillsyn/A 12894-2025 tillsynsbegäran.docx", "A 12894-2025")</f>
        <v/>
      </c>
      <c r="Y139">
        <f>HYPERLINK("https://klasma.github.io/Logging_222281/tillsynsmail/A 12894-2025 tillsynsbegäran mail.docx", "A 12894-2025")</f>
        <v/>
      </c>
    </row>
    <row r="140" ht="15" customHeight="1">
      <c r="A140" t="inlineStr">
        <is>
          <t>A 14545-2025</t>
        </is>
      </c>
      <c r="B140" s="1" t="n">
        <v>45741</v>
      </c>
      <c r="C140" s="1" t="n">
        <v>45829</v>
      </c>
      <c r="D140" t="inlineStr">
        <is>
          <t>VÄSTERNORRLANDS LÄN</t>
        </is>
      </c>
      <c r="E140" t="inlineStr">
        <is>
          <t>SUNDSVALL</t>
        </is>
      </c>
      <c r="F140" t="inlineStr">
        <is>
          <t>SCA</t>
        </is>
      </c>
      <c r="G140" t="n">
        <v>6.2</v>
      </c>
      <c r="H140" t="n">
        <v>2</v>
      </c>
      <c r="I140" t="n">
        <v>0</v>
      </c>
      <c r="J140" t="n">
        <v>1</v>
      </c>
      <c r="K140" t="n">
        <v>1</v>
      </c>
      <c r="L140" t="n">
        <v>0</v>
      </c>
      <c r="M140" t="n">
        <v>0</v>
      </c>
      <c r="N140" t="n">
        <v>0</v>
      </c>
      <c r="O140" t="n">
        <v>2</v>
      </c>
      <c r="P140" t="n">
        <v>1</v>
      </c>
      <c r="Q140" t="n">
        <v>3</v>
      </c>
      <c r="R140" s="2" t="inlineStr">
        <is>
          <t>Knärot
Garnlav
Revlummer</t>
        </is>
      </c>
      <c r="S140">
        <f>HYPERLINK("https://klasma.github.io/Logging_222281/artfynd/A 14545-2025 artfynd.xlsx", "A 14545-2025")</f>
        <v/>
      </c>
      <c r="T140">
        <f>HYPERLINK("https://klasma.github.io/Logging_222281/kartor/A 14545-2025 karta.png", "A 14545-2025")</f>
        <v/>
      </c>
      <c r="U140">
        <f>HYPERLINK("https://klasma.github.io/Logging_222281/knärot/A 14545-2025 karta knärot.png", "A 14545-2025")</f>
        <v/>
      </c>
      <c r="V140">
        <f>HYPERLINK("https://klasma.github.io/Logging_222281/klagomål/A 14545-2025 FSC-klagomål.docx", "A 14545-2025")</f>
        <v/>
      </c>
      <c r="W140">
        <f>HYPERLINK("https://klasma.github.io/Logging_222281/klagomålsmail/A 14545-2025 FSC-klagomål mail.docx", "A 14545-2025")</f>
        <v/>
      </c>
      <c r="X140">
        <f>HYPERLINK("https://klasma.github.io/Logging_222281/tillsyn/A 14545-2025 tillsynsbegäran.docx", "A 14545-2025")</f>
        <v/>
      </c>
      <c r="Y140">
        <f>HYPERLINK("https://klasma.github.io/Logging_222281/tillsynsmail/A 14545-2025 tillsynsbegäran mail.docx", "A 14545-2025")</f>
        <v/>
      </c>
    </row>
    <row r="141" ht="15" customHeight="1">
      <c r="A141" t="inlineStr">
        <is>
          <t>A 20077-2025</t>
        </is>
      </c>
      <c r="B141" s="1" t="n">
        <v>45772</v>
      </c>
      <c r="C141" s="1" t="n">
        <v>45829</v>
      </c>
      <c r="D141" t="inlineStr">
        <is>
          <t>VÄSTERNORRLANDS LÄN</t>
        </is>
      </c>
      <c r="E141" t="inlineStr">
        <is>
          <t>SUNDSVALL</t>
        </is>
      </c>
      <c r="F141" t="inlineStr">
        <is>
          <t>Naturvårdsverket</t>
        </is>
      </c>
      <c r="G141" t="n">
        <v>7</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HYPERLINK("https://klasma.github.io/Logging_222281/artfynd/A 20077-2025 artfynd.xlsx", "A 20077-2025")</f>
        <v/>
      </c>
      <c r="T141">
        <f>HYPERLINK("https://klasma.github.io/Logging_222281/kartor/A 20077-2025 karta.png", "A 20077-2025")</f>
        <v/>
      </c>
      <c r="V141">
        <f>HYPERLINK("https://klasma.github.io/Logging_222281/klagomål/A 20077-2025 FSC-klagomål.docx", "A 20077-2025")</f>
        <v/>
      </c>
      <c r="W141">
        <f>HYPERLINK("https://klasma.github.io/Logging_222281/klagomålsmail/A 20077-2025 FSC-klagomål mail.docx", "A 20077-2025")</f>
        <v/>
      </c>
      <c r="X141">
        <f>HYPERLINK("https://klasma.github.io/Logging_222281/tillsyn/A 20077-2025 tillsynsbegäran.docx", "A 20077-2025")</f>
        <v/>
      </c>
      <c r="Y141">
        <f>HYPERLINK("https://klasma.github.io/Logging_222281/tillsynsmail/A 20077-2025 tillsynsbegäran mail.docx", "A 20077-2025")</f>
        <v/>
      </c>
    </row>
    <row r="142" ht="15" customHeight="1">
      <c r="A142" t="inlineStr">
        <is>
          <t>A 21036-2025</t>
        </is>
      </c>
      <c r="B142" s="1" t="n">
        <v>45777</v>
      </c>
      <c r="C142" s="1" t="n">
        <v>45829</v>
      </c>
      <c r="D142" t="inlineStr">
        <is>
          <t>VÄSTERNORRLANDS LÄN</t>
        </is>
      </c>
      <c r="E142" t="inlineStr">
        <is>
          <t>SUNDSVALL</t>
        </is>
      </c>
      <c r="F142" t="inlineStr">
        <is>
          <t>Naturvårdsverket</t>
        </is>
      </c>
      <c r="G142" t="n">
        <v>5.5</v>
      </c>
      <c r="H142" t="n">
        <v>0</v>
      </c>
      <c r="I142" t="n">
        <v>1</v>
      </c>
      <c r="J142" t="n">
        <v>2</v>
      </c>
      <c r="K142" t="n">
        <v>0</v>
      </c>
      <c r="L142" t="n">
        <v>0</v>
      </c>
      <c r="M142" t="n">
        <v>0</v>
      </c>
      <c r="N142" t="n">
        <v>0</v>
      </c>
      <c r="O142" t="n">
        <v>2</v>
      </c>
      <c r="P142" t="n">
        <v>0</v>
      </c>
      <c r="Q142" t="n">
        <v>3</v>
      </c>
      <c r="R142" s="2" t="inlineStr">
        <is>
          <t>Doftskinn
Lunglav
Stuplav</t>
        </is>
      </c>
      <c r="S142">
        <f>HYPERLINK("https://klasma.github.io/Logging_222281/artfynd/A 21036-2025 artfynd.xlsx", "A 21036-2025")</f>
        <v/>
      </c>
      <c r="T142">
        <f>HYPERLINK("https://klasma.github.io/Logging_222281/kartor/A 21036-2025 karta.png", "A 21036-2025")</f>
        <v/>
      </c>
      <c r="V142">
        <f>HYPERLINK("https://klasma.github.io/Logging_222281/klagomål/A 21036-2025 FSC-klagomål.docx", "A 21036-2025")</f>
        <v/>
      </c>
      <c r="W142">
        <f>HYPERLINK("https://klasma.github.io/Logging_222281/klagomålsmail/A 21036-2025 FSC-klagomål mail.docx", "A 21036-2025")</f>
        <v/>
      </c>
      <c r="X142">
        <f>HYPERLINK("https://klasma.github.io/Logging_222281/tillsyn/A 21036-2025 tillsynsbegäran.docx", "A 21036-2025")</f>
        <v/>
      </c>
      <c r="Y142">
        <f>HYPERLINK("https://klasma.github.io/Logging_222281/tillsynsmail/A 21036-2025 tillsynsbegäran mail.docx", "A 21036-2025")</f>
        <v/>
      </c>
    </row>
    <row r="143" ht="15" customHeight="1">
      <c r="A143" t="inlineStr">
        <is>
          <t>A 24057-2025</t>
        </is>
      </c>
      <c r="B143" s="1" t="n">
        <v>45796</v>
      </c>
      <c r="C143" s="1" t="n">
        <v>45829</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HYPERLINK("https://klasma.github.io/Logging_222281/artfynd/A 24057-2025 artfynd.xlsx", "A 24057-2025")</f>
        <v/>
      </c>
      <c r="T143">
        <f>HYPERLINK("https://klasma.github.io/Logging_222281/kartor/A 24057-2025 karta.png", "A 24057-2025")</f>
        <v/>
      </c>
      <c r="V143">
        <f>HYPERLINK("https://klasma.github.io/Logging_222281/klagomål/A 24057-2025 FSC-klagomål.docx", "A 24057-2025")</f>
        <v/>
      </c>
      <c r="W143">
        <f>HYPERLINK("https://klasma.github.io/Logging_222281/klagomålsmail/A 24057-2025 FSC-klagomål mail.docx", "A 24057-2025")</f>
        <v/>
      </c>
      <c r="X143">
        <f>HYPERLINK("https://klasma.github.io/Logging_222281/tillsyn/A 24057-2025 tillsynsbegäran.docx", "A 24057-2025")</f>
        <v/>
      </c>
      <c r="Y143">
        <f>HYPERLINK("https://klasma.github.io/Logging_222281/tillsynsmail/A 24057-2025 tillsynsbegäran mail.docx", "A 24057-2025")</f>
        <v/>
      </c>
    </row>
    <row r="144" ht="15" customHeight="1">
      <c r="A144" t="inlineStr">
        <is>
          <t>A 24392-2025</t>
        </is>
      </c>
      <c r="B144" s="1" t="n">
        <v>45797</v>
      </c>
      <c r="C144" s="1" t="n">
        <v>45829</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HYPERLINK("https://klasma.github.io/Logging_222281/artfynd/A 24392-2025 artfynd.xlsx", "A 24392-2025")</f>
        <v/>
      </c>
      <c r="T144">
        <f>HYPERLINK("https://klasma.github.io/Logging_222281/kartor/A 24392-2025 karta.png", "A 24392-2025")</f>
        <v/>
      </c>
      <c r="V144">
        <f>HYPERLINK("https://klasma.github.io/Logging_222281/klagomål/A 24392-2025 FSC-klagomål.docx", "A 24392-2025")</f>
        <v/>
      </c>
      <c r="W144">
        <f>HYPERLINK("https://klasma.github.io/Logging_222281/klagomålsmail/A 24392-2025 FSC-klagomål mail.docx", "A 24392-2025")</f>
        <v/>
      </c>
      <c r="X144">
        <f>HYPERLINK("https://klasma.github.io/Logging_222281/tillsyn/A 24392-2025 tillsynsbegäran.docx", "A 24392-2025")</f>
        <v/>
      </c>
      <c r="Y144">
        <f>HYPERLINK("https://klasma.github.io/Logging_222281/tillsynsmail/A 24392-2025 tillsynsbegäran mail.docx", "A 24392-2025")</f>
        <v/>
      </c>
      <c r="Z144">
        <f>HYPERLINK("https://klasma.github.io/Logging_222281/fåglar/A 24392-2025 prioriterade fågelarter.docx", "A 24392-2025")</f>
        <v/>
      </c>
    </row>
    <row r="145" ht="15" customHeight="1">
      <c r="A145" t="inlineStr">
        <is>
          <t>A 47808-2019</t>
        </is>
      </c>
      <c r="B145" s="1" t="n">
        <v>43724</v>
      </c>
      <c r="C145" s="1" t="n">
        <v>45829</v>
      </c>
      <c r="D145" t="inlineStr">
        <is>
          <t>VÄSTERNORRLANDS LÄN</t>
        </is>
      </c>
      <c r="E145" t="inlineStr">
        <is>
          <t>SUNDSVALL</t>
        </is>
      </c>
      <c r="F145" t="inlineStr">
        <is>
          <t>SCA</t>
        </is>
      </c>
      <c r="G145" t="n">
        <v>3.6</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47808-2019 artfynd.xlsx", "A 47808-2019")</f>
        <v/>
      </c>
      <c r="T145">
        <f>HYPERLINK("https://klasma.github.io/Logging_2281/kartor/A 47808-2019 karta.png", "A 47808-2019")</f>
        <v/>
      </c>
      <c r="V145">
        <f>HYPERLINK("https://klasma.github.io/Logging_2281/klagomål/A 47808-2019 FSC-klagomål.docx", "A 47808-2019")</f>
        <v/>
      </c>
      <c r="W145">
        <f>HYPERLINK("https://klasma.github.io/Logging_2281/klagomålsmail/A 47808-2019 FSC-klagomål mail.docx", "A 47808-2019")</f>
        <v/>
      </c>
      <c r="X145">
        <f>HYPERLINK("https://klasma.github.io/Logging_2281/tillsyn/A 47808-2019 tillsynsbegäran.docx", "A 47808-2019")</f>
        <v/>
      </c>
      <c r="Y145">
        <f>HYPERLINK("https://klasma.github.io/Logging_2281/tillsynsmail/A 47808-2019 tillsynsbegäran mail.docx", "A 47808-2019")</f>
        <v/>
      </c>
    </row>
    <row r="146" ht="15" customHeight="1">
      <c r="A146" t="inlineStr">
        <is>
          <t>A 7637-2021</t>
        </is>
      </c>
      <c r="B146" s="1" t="n">
        <v>44242</v>
      </c>
      <c r="C146" s="1" t="n">
        <v>45829</v>
      </c>
      <c r="D146" t="inlineStr">
        <is>
          <t>VÄSTERNORRLANDS LÄN</t>
        </is>
      </c>
      <c r="E146" t="inlineStr">
        <is>
          <t>SUNDSVALL</t>
        </is>
      </c>
      <c r="G146" t="n">
        <v>3.9</v>
      </c>
      <c r="H146" t="n">
        <v>2</v>
      </c>
      <c r="I146" t="n">
        <v>0</v>
      </c>
      <c r="J146" t="n">
        <v>1</v>
      </c>
      <c r="K146" t="n">
        <v>0</v>
      </c>
      <c r="L146" t="n">
        <v>0</v>
      </c>
      <c r="M146" t="n">
        <v>0</v>
      </c>
      <c r="N146" t="n">
        <v>0</v>
      </c>
      <c r="O146" t="n">
        <v>1</v>
      </c>
      <c r="P146" t="n">
        <v>0</v>
      </c>
      <c r="Q146" t="n">
        <v>2</v>
      </c>
      <c r="R146" s="2" t="inlineStr">
        <is>
          <t>Spillkråka
Gröngöling</t>
        </is>
      </c>
      <c r="S146">
        <f>HYPERLINK("https://klasma.github.io/Logging_2281/artfynd/A 7637-2021 artfynd.xlsx", "A 7637-2021")</f>
        <v/>
      </c>
      <c r="T146">
        <f>HYPERLINK("https://klasma.github.io/Logging_2281/kartor/A 7637-2021 karta.png", "A 7637-2021")</f>
        <v/>
      </c>
      <c r="V146">
        <f>HYPERLINK("https://klasma.github.io/Logging_2281/klagomål/A 7637-2021 FSC-klagomål.docx", "A 7637-2021")</f>
        <v/>
      </c>
      <c r="W146">
        <f>HYPERLINK("https://klasma.github.io/Logging_2281/klagomålsmail/A 7637-2021 FSC-klagomål mail.docx", "A 7637-2021")</f>
        <v/>
      </c>
      <c r="X146">
        <f>HYPERLINK("https://klasma.github.io/Logging_2281/tillsyn/A 7637-2021 tillsynsbegäran.docx", "A 7637-2021")</f>
        <v/>
      </c>
      <c r="Y146">
        <f>HYPERLINK("https://klasma.github.io/Logging_2281/tillsynsmail/A 7637-2021 tillsynsbegäran mail.docx", "A 7637-2021")</f>
        <v/>
      </c>
      <c r="Z146">
        <f>HYPERLINK("https://klasma.github.io/Logging_2281/fåglar/A 7637-2021 prioriterade fågelarter.docx", "A 7637-2021")</f>
        <v/>
      </c>
    </row>
    <row r="147" ht="15" customHeight="1">
      <c r="A147" t="inlineStr">
        <is>
          <t>A 43196-2021</t>
        </is>
      </c>
      <c r="B147" s="1" t="n">
        <v>44431</v>
      </c>
      <c r="C147" s="1" t="n">
        <v>45829</v>
      </c>
      <c r="D147" t="inlineStr">
        <is>
          <t>VÄSTERNORRLANDS LÄN</t>
        </is>
      </c>
      <c r="E147" t="inlineStr">
        <is>
          <t>SUNDSVALL</t>
        </is>
      </c>
      <c r="G147" t="n">
        <v>1.9</v>
      </c>
      <c r="H147" t="n">
        <v>1</v>
      </c>
      <c r="I147" t="n">
        <v>0</v>
      </c>
      <c r="J147" t="n">
        <v>1</v>
      </c>
      <c r="K147" t="n">
        <v>0</v>
      </c>
      <c r="L147" t="n">
        <v>0</v>
      </c>
      <c r="M147" t="n">
        <v>0</v>
      </c>
      <c r="N147" t="n">
        <v>0</v>
      </c>
      <c r="O147" t="n">
        <v>1</v>
      </c>
      <c r="P147" t="n">
        <v>0</v>
      </c>
      <c r="Q147" t="n">
        <v>2</v>
      </c>
      <c r="R147" s="2" t="inlineStr">
        <is>
          <t>Garnlav
Revlummer</t>
        </is>
      </c>
      <c r="S147">
        <f>HYPERLINK("https://klasma.github.io/Logging_2281/artfynd/A 43196-2021 artfynd.xlsx", "A 43196-2021")</f>
        <v/>
      </c>
      <c r="T147">
        <f>HYPERLINK("https://klasma.github.io/Logging_2281/kartor/A 43196-2021 karta.png", "A 43196-2021")</f>
        <v/>
      </c>
      <c r="V147">
        <f>HYPERLINK("https://klasma.github.io/Logging_2281/klagomål/A 43196-2021 FSC-klagomål.docx", "A 43196-2021")</f>
        <v/>
      </c>
      <c r="W147">
        <f>HYPERLINK("https://klasma.github.io/Logging_2281/klagomålsmail/A 43196-2021 FSC-klagomål mail.docx", "A 43196-2021")</f>
        <v/>
      </c>
      <c r="X147">
        <f>HYPERLINK("https://klasma.github.io/Logging_2281/tillsyn/A 43196-2021 tillsynsbegäran.docx", "A 43196-2021")</f>
        <v/>
      </c>
      <c r="Y147">
        <f>HYPERLINK("https://klasma.github.io/Logging_2281/tillsynsmail/A 43196-2021 tillsynsbegäran mail.docx", "A 43196-2021")</f>
        <v/>
      </c>
    </row>
    <row r="148" ht="15" customHeight="1">
      <c r="A148" t="inlineStr">
        <is>
          <t>A 64919-2021</t>
        </is>
      </c>
      <c r="B148" s="1" t="n">
        <v>44512</v>
      </c>
      <c r="C148" s="1" t="n">
        <v>45829</v>
      </c>
      <c r="D148" t="inlineStr">
        <is>
          <t>VÄSTERNORRLANDS LÄN</t>
        </is>
      </c>
      <c r="E148" t="inlineStr">
        <is>
          <t>SUNDSVALL</t>
        </is>
      </c>
      <c r="F148" t="inlineStr">
        <is>
          <t>Kommuner</t>
        </is>
      </c>
      <c r="G148" t="n">
        <v>4.1</v>
      </c>
      <c r="H148" t="n">
        <v>1</v>
      </c>
      <c r="I148" t="n">
        <v>1</v>
      </c>
      <c r="J148" t="n">
        <v>1</v>
      </c>
      <c r="K148" t="n">
        <v>0</v>
      </c>
      <c r="L148" t="n">
        <v>0</v>
      </c>
      <c r="M148" t="n">
        <v>0</v>
      </c>
      <c r="N148" t="n">
        <v>0</v>
      </c>
      <c r="O148" t="n">
        <v>1</v>
      </c>
      <c r="P148" t="n">
        <v>0</v>
      </c>
      <c r="Q148" t="n">
        <v>2</v>
      </c>
      <c r="R148" s="2" t="inlineStr">
        <is>
          <t>Mindre hackspett
Scharlakansskål</t>
        </is>
      </c>
      <c r="S148">
        <f>HYPERLINK("https://klasma.github.io/Logging_2281/artfynd/A 64919-2021 artfynd.xlsx", "A 64919-2021")</f>
        <v/>
      </c>
      <c r="T148">
        <f>HYPERLINK("https://klasma.github.io/Logging_2281/kartor/A 64919-2021 karta.png", "A 64919-2021")</f>
        <v/>
      </c>
      <c r="V148">
        <f>HYPERLINK("https://klasma.github.io/Logging_2281/klagomål/A 64919-2021 FSC-klagomål.docx", "A 64919-2021")</f>
        <v/>
      </c>
      <c r="W148">
        <f>HYPERLINK("https://klasma.github.io/Logging_2281/klagomålsmail/A 64919-2021 FSC-klagomål mail.docx", "A 64919-2021")</f>
        <v/>
      </c>
      <c r="X148">
        <f>HYPERLINK("https://klasma.github.io/Logging_2281/tillsyn/A 64919-2021 tillsynsbegäran.docx", "A 64919-2021")</f>
        <v/>
      </c>
      <c r="Y148">
        <f>HYPERLINK("https://klasma.github.io/Logging_2281/tillsynsmail/A 64919-2021 tillsynsbegäran mail.docx", "A 64919-2021")</f>
        <v/>
      </c>
      <c r="Z148">
        <f>HYPERLINK("https://klasma.github.io/Logging_2281/fåglar/A 64919-2021 prioriterade fågelarter.docx", "A 64919-2021")</f>
        <v/>
      </c>
    </row>
    <row r="149" ht="15" customHeight="1">
      <c r="A149" t="inlineStr">
        <is>
          <t>A 5115-2022</t>
        </is>
      </c>
      <c r="B149" s="1" t="n">
        <v>44593</v>
      </c>
      <c r="C149" s="1" t="n">
        <v>45829</v>
      </c>
      <c r="D149" t="inlineStr">
        <is>
          <t>VÄSTERNORRLANDS LÄN</t>
        </is>
      </c>
      <c r="E149" t="inlineStr">
        <is>
          <t>SUNDSVALL</t>
        </is>
      </c>
      <c r="F149" t="inlineStr">
        <is>
          <t>SCA</t>
        </is>
      </c>
      <c r="G149" t="n">
        <v>13.6</v>
      </c>
      <c r="H149" t="n">
        <v>0</v>
      </c>
      <c r="I149" t="n">
        <v>1</v>
      </c>
      <c r="J149" t="n">
        <v>1</v>
      </c>
      <c r="K149" t="n">
        <v>0</v>
      </c>
      <c r="L149" t="n">
        <v>0</v>
      </c>
      <c r="M149" t="n">
        <v>0</v>
      </c>
      <c r="N149" t="n">
        <v>0</v>
      </c>
      <c r="O149" t="n">
        <v>1</v>
      </c>
      <c r="P149" t="n">
        <v>0</v>
      </c>
      <c r="Q149" t="n">
        <v>2</v>
      </c>
      <c r="R149" s="2" t="inlineStr">
        <is>
          <t>Lunglav
Norrlandslav</t>
        </is>
      </c>
      <c r="S149">
        <f>HYPERLINK("https://klasma.github.io/Logging_2281/artfynd/A 5115-2022 artfynd.xlsx", "A 5115-2022")</f>
        <v/>
      </c>
      <c r="T149">
        <f>HYPERLINK("https://klasma.github.io/Logging_2281/kartor/A 5115-2022 karta.png", "A 5115-2022")</f>
        <v/>
      </c>
      <c r="V149">
        <f>HYPERLINK("https://klasma.github.io/Logging_2281/klagomål/A 5115-2022 FSC-klagomål.docx", "A 5115-2022")</f>
        <v/>
      </c>
      <c r="W149">
        <f>HYPERLINK("https://klasma.github.io/Logging_2281/klagomålsmail/A 5115-2022 FSC-klagomål mail.docx", "A 5115-2022")</f>
        <v/>
      </c>
      <c r="X149">
        <f>HYPERLINK("https://klasma.github.io/Logging_2281/tillsyn/A 5115-2022 tillsynsbegäran.docx", "A 5115-2022")</f>
        <v/>
      </c>
      <c r="Y149">
        <f>HYPERLINK("https://klasma.github.io/Logging_2281/tillsynsmail/A 5115-2022 tillsynsbegäran mail.docx", "A 5115-2022")</f>
        <v/>
      </c>
    </row>
    <row r="150" ht="15" customHeight="1">
      <c r="A150" t="inlineStr">
        <is>
          <t>A 22567-2022</t>
        </is>
      </c>
      <c r="B150" s="1" t="n">
        <v>44713</v>
      </c>
      <c r="C150" s="1" t="n">
        <v>45829</v>
      </c>
      <c r="D150" t="inlineStr">
        <is>
          <t>VÄSTERNORRLANDS LÄN</t>
        </is>
      </c>
      <c r="E150" t="inlineStr">
        <is>
          <t>SUNDSVALL</t>
        </is>
      </c>
      <c r="F150" t="inlineStr">
        <is>
          <t>SCA</t>
        </is>
      </c>
      <c r="G150" t="n">
        <v>4.5</v>
      </c>
      <c r="H150" t="n">
        <v>0</v>
      </c>
      <c r="I150" t="n">
        <v>0</v>
      </c>
      <c r="J150" t="n">
        <v>2</v>
      </c>
      <c r="K150" t="n">
        <v>0</v>
      </c>
      <c r="L150" t="n">
        <v>0</v>
      </c>
      <c r="M150" t="n">
        <v>0</v>
      </c>
      <c r="N150" t="n">
        <v>0</v>
      </c>
      <c r="O150" t="n">
        <v>2</v>
      </c>
      <c r="P150" t="n">
        <v>0</v>
      </c>
      <c r="Q150" t="n">
        <v>2</v>
      </c>
      <c r="R150" s="2" t="inlineStr">
        <is>
          <t>Garnlav
Granticka</t>
        </is>
      </c>
      <c r="S150">
        <f>HYPERLINK("https://klasma.github.io/Logging_2281/artfynd/A 22567-2022 artfynd.xlsx", "A 22567-2022")</f>
        <v/>
      </c>
      <c r="T150">
        <f>HYPERLINK("https://klasma.github.io/Logging_2281/kartor/A 22567-2022 karta.png", "A 22567-2022")</f>
        <v/>
      </c>
      <c r="V150">
        <f>HYPERLINK("https://klasma.github.io/Logging_2281/klagomål/A 22567-2022 FSC-klagomål.docx", "A 22567-2022")</f>
        <v/>
      </c>
      <c r="W150">
        <f>HYPERLINK("https://klasma.github.io/Logging_2281/klagomålsmail/A 22567-2022 FSC-klagomål mail.docx", "A 22567-2022")</f>
        <v/>
      </c>
      <c r="X150">
        <f>HYPERLINK("https://klasma.github.io/Logging_2281/tillsyn/A 22567-2022 tillsynsbegäran.docx", "A 22567-2022")</f>
        <v/>
      </c>
      <c r="Y150">
        <f>HYPERLINK("https://klasma.github.io/Logging_2281/tillsynsmail/A 22567-2022 tillsynsbegäran mail.docx", "A 22567-2022")</f>
        <v/>
      </c>
    </row>
    <row r="151" ht="15" customHeight="1">
      <c r="A151" t="inlineStr">
        <is>
          <t>A 32766-2022</t>
        </is>
      </c>
      <c r="B151" s="1" t="n">
        <v>44783</v>
      </c>
      <c r="C151" s="1" t="n">
        <v>45829</v>
      </c>
      <c r="D151" t="inlineStr">
        <is>
          <t>VÄSTERNORRLANDS LÄN</t>
        </is>
      </c>
      <c r="E151" t="inlineStr">
        <is>
          <t>SUNDSVALL</t>
        </is>
      </c>
      <c r="F151" t="inlineStr">
        <is>
          <t>SCA</t>
        </is>
      </c>
      <c r="G151" t="n">
        <v>6.3</v>
      </c>
      <c r="H151" t="n">
        <v>0</v>
      </c>
      <c r="I151" t="n">
        <v>1</v>
      </c>
      <c r="J151" t="n">
        <v>1</v>
      </c>
      <c r="K151" t="n">
        <v>0</v>
      </c>
      <c r="L151" t="n">
        <v>0</v>
      </c>
      <c r="M151" t="n">
        <v>0</v>
      </c>
      <c r="N151" t="n">
        <v>0</v>
      </c>
      <c r="O151" t="n">
        <v>1</v>
      </c>
      <c r="P151" t="n">
        <v>0</v>
      </c>
      <c r="Q151" t="n">
        <v>2</v>
      </c>
      <c r="R151" s="2" t="inlineStr">
        <is>
          <t>Lunglav
Stor aspticka</t>
        </is>
      </c>
      <c r="S151">
        <f>HYPERLINK("https://klasma.github.io/Logging_2281/artfynd/A 32766-2022 artfynd.xlsx", "A 32766-2022")</f>
        <v/>
      </c>
      <c r="T151">
        <f>HYPERLINK("https://klasma.github.io/Logging_2281/kartor/A 32766-2022 karta.png", "A 32766-2022")</f>
        <v/>
      </c>
      <c r="V151">
        <f>HYPERLINK("https://klasma.github.io/Logging_2281/klagomål/A 32766-2022 FSC-klagomål.docx", "A 32766-2022")</f>
        <v/>
      </c>
      <c r="W151">
        <f>HYPERLINK("https://klasma.github.io/Logging_2281/klagomålsmail/A 32766-2022 FSC-klagomål mail.docx", "A 32766-2022")</f>
        <v/>
      </c>
      <c r="X151">
        <f>HYPERLINK("https://klasma.github.io/Logging_2281/tillsyn/A 32766-2022 tillsynsbegäran.docx", "A 32766-2022")</f>
        <v/>
      </c>
      <c r="Y151">
        <f>HYPERLINK("https://klasma.github.io/Logging_2281/tillsynsmail/A 32766-2022 tillsynsbegäran mail.docx", "A 32766-2022")</f>
        <v/>
      </c>
    </row>
    <row r="152" ht="15" customHeight="1">
      <c r="A152" t="inlineStr">
        <is>
          <t>A 41814-2022</t>
        </is>
      </c>
      <c r="B152" s="1" t="n">
        <v>44827</v>
      </c>
      <c r="C152" s="1" t="n">
        <v>45829</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46214-2022</t>
        </is>
      </c>
      <c r="B153" s="1" t="n">
        <v>44845</v>
      </c>
      <c r="C153" s="1" t="n">
        <v>45829</v>
      </c>
      <c r="D153" t="inlineStr">
        <is>
          <t>VÄSTERNORRLANDS LÄN</t>
        </is>
      </c>
      <c r="E153" t="inlineStr">
        <is>
          <t>SUNDSVALL</t>
        </is>
      </c>
      <c r="G153" t="n">
        <v>46.2</v>
      </c>
      <c r="H153" t="n">
        <v>2</v>
      </c>
      <c r="I153" t="n">
        <v>0</v>
      </c>
      <c r="J153" t="n">
        <v>0</v>
      </c>
      <c r="K153" t="n">
        <v>0</v>
      </c>
      <c r="L153" t="n">
        <v>0</v>
      </c>
      <c r="M153" t="n">
        <v>0</v>
      </c>
      <c r="N153" t="n">
        <v>0</v>
      </c>
      <c r="O153" t="n">
        <v>0</v>
      </c>
      <c r="P153" t="n">
        <v>0</v>
      </c>
      <c r="Q153" t="n">
        <v>2</v>
      </c>
      <c r="R153" s="2" t="inlineStr">
        <is>
          <t>Orre
Tjäder</t>
        </is>
      </c>
      <c r="S153">
        <f>HYPERLINK("https://klasma.github.io/Logging_2281/artfynd/A 46214-2022 artfynd.xlsx", "A 46214-2022")</f>
        <v/>
      </c>
      <c r="T153">
        <f>HYPERLINK("https://klasma.github.io/Logging_2281/kartor/A 46214-2022 karta.png", "A 46214-2022")</f>
        <v/>
      </c>
      <c r="V153">
        <f>HYPERLINK("https://klasma.github.io/Logging_2281/klagomål/A 46214-2022 FSC-klagomål.docx", "A 46214-2022")</f>
        <v/>
      </c>
      <c r="W153">
        <f>HYPERLINK("https://klasma.github.io/Logging_2281/klagomålsmail/A 46214-2022 FSC-klagomål mail.docx", "A 46214-2022")</f>
        <v/>
      </c>
      <c r="X153">
        <f>HYPERLINK("https://klasma.github.io/Logging_2281/tillsyn/A 46214-2022 tillsynsbegäran.docx", "A 46214-2022")</f>
        <v/>
      </c>
      <c r="Y153">
        <f>HYPERLINK("https://klasma.github.io/Logging_2281/tillsynsmail/A 46214-2022 tillsynsbegäran mail.docx", "A 46214-2022")</f>
        <v/>
      </c>
      <c r="Z153">
        <f>HYPERLINK("https://klasma.github.io/Logging_2281/fåglar/A 46214-2022 prioriterade fågelarter.docx", "A 46214-2022")</f>
        <v/>
      </c>
    </row>
    <row r="154" ht="15" customHeight="1">
      <c r="A154" t="inlineStr">
        <is>
          <t>A 52350-2022</t>
        </is>
      </c>
      <c r="B154" s="1" t="n">
        <v>44873</v>
      </c>
      <c r="C154" s="1" t="n">
        <v>45829</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52741-2022</t>
        </is>
      </c>
      <c r="B155" s="1" t="n">
        <v>44874</v>
      </c>
      <c r="C155" s="1" t="n">
        <v>45829</v>
      </c>
      <c r="D155" t="inlineStr">
        <is>
          <t>VÄSTERNORRLANDS LÄN</t>
        </is>
      </c>
      <c r="E155" t="inlineStr">
        <is>
          <t>SUNDSVALL</t>
        </is>
      </c>
      <c r="F155" t="inlineStr">
        <is>
          <t>SCA</t>
        </is>
      </c>
      <c r="G155" t="n">
        <v>5.2</v>
      </c>
      <c r="H155" t="n">
        <v>1</v>
      </c>
      <c r="I155" t="n">
        <v>1</v>
      </c>
      <c r="J155" t="n">
        <v>1</v>
      </c>
      <c r="K155" t="n">
        <v>0</v>
      </c>
      <c r="L155" t="n">
        <v>0</v>
      </c>
      <c r="M155" t="n">
        <v>0</v>
      </c>
      <c r="N155" t="n">
        <v>0</v>
      </c>
      <c r="O155" t="n">
        <v>1</v>
      </c>
      <c r="P155" t="n">
        <v>0</v>
      </c>
      <c r="Q155" t="n">
        <v>2</v>
      </c>
      <c r="R155" s="2" t="inlineStr">
        <is>
          <t>Videsparv
Skuggblåslav</t>
        </is>
      </c>
      <c r="S155">
        <f>HYPERLINK("https://klasma.github.io/Logging_2281/artfynd/A 52741-2022 artfynd.xlsx", "A 52741-2022")</f>
        <v/>
      </c>
      <c r="T155">
        <f>HYPERLINK("https://klasma.github.io/Logging_2281/kartor/A 52741-2022 karta.png", "A 52741-2022")</f>
        <v/>
      </c>
      <c r="V155">
        <f>HYPERLINK("https://klasma.github.io/Logging_2281/klagomål/A 52741-2022 FSC-klagomål.docx", "A 52741-2022")</f>
        <v/>
      </c>
      <c r="W155">
        <f>HYPERLINK("https://klasma.github.io/Logging_2281/klagomålsmail/A 52741-2022 FSC-klagomål mail.docx", "A 52741-2022")</f>
        <v/>
      </c>
      <c r="X155">
        <f>HYPERLINK("https://klasma.github.io/Logging_2281/tillsyn/A 52741-2022 tillsynsbegäran.docx", "A 52741-2022")</f>
        <v/>
      </c>
      <c r="Y155">
        <f>HYPERLINK("https://klasma.github.io/Logging_2281/tillsynsmail/A 52741-2022 tillsynsbegäran mail.docx", "A 52741-2022")</f>
        <v/>
      </c>
      <c r="Z155">
        <f>HYPERLINK("https://klasma.github.io/Logging_2281/fåglar/A 52741-2022 prioriterade fågelarter.docx", "A 52741-2022")</f>
        <v/>
      </c>
    </row>
    <row r="156" ht="15" customHeight="1">
      <c r="A156" t="inlineStr">
        <is>
          <t>A 53942-2022</t>
        </is>
      </c>
      <c r="B156" s="1" t="n">
        <v>44880</v>
      </c>
      <c r="C156" s="1" t="n">
        <v>45829</v>
      </c>
      <c r="D156" t="inlineStr">
        <is>
          <t>VÄSTERNORRLANDS LÄN</t>
        </is>
      </c>
      <c r="E156" t="inlineStr">
        <is>
          <t>SUNDSVALL</t>
        </is>
      </c>
      <c r="F156" t="inlineStr">
        <is>
          <t>SCA</t>
        </is>
      </c>
      <c r="G156" t="n">
        <v>3.5</v>
      </c>
      <c r="H156" t="n">
        <v>0</v>
      </c>
      <c r="I156" t="n">
        <v>1</v>
      </c>
      <c r="J156" t="n">
        <v>1</v>
      </c>
      <c r="K156" t="n">
        <v>0</v>
      </c>
      <c r="L156" t="n">
        <v>0</v>
      </c>
      <c r="M156" t="n">
        <v>0</v>
      </c>
      <c r="N156" t="n">
        <v>0</v>
      </c>
      <c r="O156" t="n">
        <v>1</v>
      </c>
      <c r="P156" t="n">
        <v>0</v>
      </c>
      <c r="Q156" t="n">
        <v>2</v>
      </c>
      <c r="R156" s="2" t="inlineStr">
        <is>
          <t>Lunglav
Vedticka</t>
        </is>
      </c>
      <c r="S156">
        <f>HYPERLINK("https://klasma.github.io/Logging_2281/artfynd/A 53942-2022 artfynd.xlsx", "A 53942-2022")</f>
        <v/>
      </c>
      <c r="T156">
        <f>HYPERLINK("https://klasma.github.io/Logging_2281/kartor/A 53942-2022 karta.png", "A 53942-2022")</f>
        <v/>
      </c>
      <c r="V156">
        <f>HYPERLINK("https://klasma.github.io/Logging_2281/klagomål/A 53942-2022 FSC-klagomål.docx", "A 53942-2022")</f>
        <v/>
      </c>
      <c r="W156">
        <f>HYPERLINK("https://klasma.github.io/Logging_2281/klagomålsmail/A 53942-2022 FSC-klagomål mail.docx", "A 53942-2022")</f>
        <v/>
      </c>
      <c r="X156">
        <f>HYPERLINK("https://klasma.github.io/Logging_2281/tillsyn/A 53942-2022 tillsynsbegäran.docx", "A 53942-2022")</f>
        <v/>
      </c>
      <c r="Y156">
        <f>HYPERLINK("https://klasma.github.io/Logging_2281/tillsynsmail/A 53942-2022 tillsynsbegäran mail.docx", "A 53942-2022")</f>
        <v/>
      </c>
    </row>
    <row r="157" ht="15" customHeight="1">
      <c r="A157" t="inlineStr">
        <is>
          <t>A 58191-2022</t>
        </is>
      </c>
      <c r="B157" s="1" t="n">
        <v>44900</v>
      </c>
      <c r="C157" s="1" t="n">
        <v>45829</v>
      </c>
      <c r="D157" t="inlineStr">
        <is>
          <t>VÄSTERNORRLANDS LÄN</t>
        </is>
      </c>
      <c r="E157" t="inlineStr">
        <is>
          <t>SUNDSVALL</t>
        </is>
      </c>
      <c r="F157" t="inlineStr">
        <is>
          <t>SCA</t>
        </is>
      </c>
      <c r="G157" t="n">
        <v>2</v>
      </c>
      <c r="H157" t="n">
        <v>1</v>
      </c>
      <c r="I157" t="n">
        <v>2</v>
      </c>
      <c r="J157" t="n">
        <v>0</v>
      </c>
      <c r="K157" t="n">
        <v>0</v>
      </c>
      <c r="L157" t="n">
        <v>0</v>
      </c>
      <c r="M157" t="n">
        <v>0</v>
      </c>
      <c r="N157" t="n">
        <v>0</v>
      </c>
      <c r="O157" t="n">
        <v>0</v>
      </c>
      <c r="P157" t="n">
        <v>0</v>
      </c>
      <c r="Q157" t="n">
        <v>2</v>
      </c>
      <c r="R157" s="2" t="inlineStr">
        <is>
          <t>Korallrot
Vedticka</t>
        </is>
      </c>
      <c r="S157">
        <f>HYPERLINK("https://klasma.github.io/Logging_2281/artfynd/A 58191-2022 artfynd.xlsx", "A 58191-2022")</f>
        <v/>
      </c>
      <c r="T157">
        <f>HYPERLINK("https://klasma.github.io/Logging_2281/kartor/A 58191-2022 karta.png", "A 58191-2022")</f>
        <v/>
      </c>
      <c r="U157">
        <f>HYPERLINK("https://klasma.github.io/Logging_2281/knärot/A 58191-2022 karta knärot.png", "A 58191-2022")</f>
        <v/>
      </c>
      <c r="V157">
        <f>HYPERLINK("https://klasma.github.io/Logging_2281/klagomål/A 58191-2022 FSC-klagomål.docx", "A 58191-2022")</f>
        <v/>
      </c>
      <c r="W157">
        <f>HYPERLINK("https://klasma.github.io/Logging_2281/klagomålsmail/A 58191-2022 FSC-klagomål mail.docx", "A 58191-2022")</f>
        <v/>
      </c>
      <c r="X157">
        <f>HYPERLINK("https://klasma.github.io/Logging_2281/tillsyn/A 58191-2022 tillsynsbegäran.docx", "A 58191-2022")</f>
        <v/>
      </c>
      <c r="Y157">
        <f>HYPERLINK("https://klasma.github.io/Logging_2281/tillsynsmail/A 58191-2022 tillsynsbegäran mail.docx", "A 58191-2022")</f>
        <v/>
      </c>
    </row>
    <row r="158" ht="15" customHeight="1">
      <c r="A158" t="inlineStr">
        <is>
          <t>A 18998-2023</t>
        </is>
      </c>
      <c r="B158" s="1" t="n">
        <v>45044</v>
      </c>
      <c r="C158" s="1" t="n">
        <v>45829</v>
      </c>
      <c r="D158" t="inlineStr">
        <is>
          <t>VÄSTERNORRLANDS LÄN</t>
        </is>
      </c>
      <c r="E158" t="inlineStr">
        <is>
          <t>SUNDSVALL</t>
        </is>
      </c>
      <c r="F158" t="inlineStr">
        <is>
          <t>SCA</t>
        </is>
      </c>
      <c r="G158" t="n">
        <v>17.7</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18998-2023 artfynd.xlsx", "A 18998-2023")</f>
        <v/>
      </c>
      <c r="T158">
        <f>HYPERLINK("https://klasma.github.io/Logging_2281/kartor/A 18998-2023 karta.png", "A 18998-2023")</f>
        <v/>
      </c>
      <c r="U158">
        <f>HYPERLINK("https://klasma.github.io/Logging_2281/knärot/A 18998-2023 karta knärot.png", "A 18998-2023")</f>
        <v/>
      </c>
      <c r="V158">
        <f>HYPERLINK("https://klasma.github.io/Logging_2281/klagomål/A 18998-2023 FSC-klagomål.docx", "A 18998-2023")</f>
        <v/>
      </c>
      <c r="W158">
        <f>HYPERLINK("https://klasma.github.io/Logging_2281/klagomålsmail/A 18998-2023 FSC-klagomål mail.docx", "A 18998-2023")</f>
        <v/>
      </c>
      <c r="X158">
        <f>HYPERLINK("https://klasma.github.io/Logging_2281/tillsyn/A 18998-2023 tillsynsbegäran.docx", "A 18998-2023")</f>
        <v/>
      </c>
      <c r="Y158">
        <f>HYPERLINK("https://klasma.github.io/Logging_2281/tillsynsmail/A 18998-2023 tillsynsbegäran mail.docx", "A 18998-2023")</f>
        <v/>
      </c>
    </row>
    <row r="159" ht="15" customHeight="1">
      <c r="A159" t="inlineStr">
        <is>
          <t>A 18991-2023</t>
        </is>
      </c>
      <c r="B159" s="1" t="n">
        <v>45044</v>
      </c>
      <c r="C159" s="1" t="n">
        <v>45829</v>
      </c>
      <c r="D159" t="inlineStr">
        <is>
          <t>VÄSTERNORRLANDS LÄN</t>
        </is>
      </c>
      <c r="E159" t="inlineStr">
        <is>
          <t>SUNDSVALL</t>
        </is>
      </c>
      <c r="F159" t="inlineStr">
        <is>
          <t>SCA</t>
        </is>
      </c>
      <c r="G159" t="n">
        <v>10</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18991-2023 artfynd.xlsx", "A 18991-2023")</f>
        <v/>
      </c>
      <c r="T159">
        <f>HYPERLINK("https://klasma.github.io/Logging_2281/kartor/A 18991-2023 karta.png", "A 18991-2023")</f>
        <v/>
      </c>
      <c r="V159">
        <f>HYPERLINK("https://klasma.github.io/Logging_2281/klagomål/A 18991-2023 FSC-klagomål.docx", "A 18991-2023")</f>
        <v/>
      </c>
      <c r="W159">
        <f>HYPERLINK("https://klasma.github.io/Logging_2281/klagomålsmail/A 18991-2023 FSC-klagomål mail.docx", "A 18991-2023")</f>
        <v/>
      </c>
      <c r="X159">
        <f>HYPERLINK("https://klasma.github.io/Logging_2281/tillsyn/A 18991-2023 tillsynsbegäran.docx", "A 18991-2023")</f>
        <v/>
      </c>
      <c r="Y159">
        <f>HYPERLINK("https://klasma.github.io/Logging_2281/tillsynsmail/A 18991-2023 tillsynsbegäran mail.docx", "A 18991-2023")</f>
        <v/>
      </c>
    </row>
    <row r="160" ht="15" customHeight="1">
      <c r="A160" t="inlineStr">
        <is>
          <t>A 20596-2023</t>
        </is>
      </c>
      <c r="B160" s="1" t="n">
        <v>45058</v>
      </c>
      <c r="C160" s="1" t="n">
        <v>45829</v>
      </c>
      <c r="D160" t="inlineStr">
        <is>
          <t>VÄSTERNORRLANDS LÄN</t>
        </is>
      </c>
      <c r="E160" t="inlineStr">
        <is>
          <t>SUNDSVALL</t>
        </is>
      </c>
      <c r="F160" t="inlineStr">
        <is>
          <t>SCA</t>
        </is>
      </c>
      <c r="G160" t="n">
        <v>4.3</v>
      </c>
      <c r="H160" t="n">
        <v>0</v>
      </c>
      <c r="I160" t="n">
        <v>0</v>
      </c>
      <c r="J160" t="n">
        <v>2</v>
      </c>
      <c r="K160" t="n">
        <v>0</v>
      </c>
      <c r="L160" t="n">
        <v>0</v>
      </c>
      <c r="M160" t="n">
        <v>0</v>
      </c>
      <c r="N160" t="n">
        <v>0</v>
      </c>
      <c r="O160" t="n">
        <v>2</v>
      </c>
      <c r="P160" t="n">
        <v>0</v>
      </c>
      <c r="Q160" t="n">
        <v>2</v>
      </c>
      <c r="R160" s="2" t="inlineStr">
        <is>
          <t>Ullticka
Vedflamlav</t>
        </is>
      </c>
      <c r="S160">
        <f>HYPERLINK("https://klasma.github.io/Logging_2281/artfynd/A 20596-2023 artfynd.xlsx", "A 20596-2023")</f>
        <v/>
      </c>
      <c r="T160">
        <f>HYPERLINK("https://klasma.github.io/Logging_2281/kartor/A 20596-2023 karta.png", "A 20596-2023")</f>
        <v/>
      </c>
      <c r="V160">
        <f>HYPERLINK("https://klasma.github.io/Logging_2281/klagomål/A 20596-2023 FSC-klagomål.docx", "A 20596-2023")</f>
        <v/>
      </c>
      <c r="W160">
        <f>HYPERLINK("https://klasma.github.io/Logging_2281/klagomålsmail/A 20596-2023 FSC-klagomål mail.docx", "A 20596-2023")</f>
        <v/>
      </c>
      <c r="X160">
        <f>HYPERLINK("https://klasma.github.io/Logging_2281/tillsyn/A 20596-2023 tillsynsbegäran.docx", "A 20596-2023")</f>
        <v/>
      </c>
      <c r="Y160">
        <f>HYPERLINK("https://klasma.github.io/Logging_2281/tillsynsmail/A 20596-2023 tillsynsbegäran mail.docx", "A 20596-2023")</f>
        <v/>
      </c>
    </row>
    <row r="161" ht="15" customHeight="1">
      <c r="A161" t="inlineStr">
        <is>
          <t>A 20888-2023</t>
        </is>
      </c>
      <c r="B161" s="1" t="n">
        <v>45058</v>
      </c>
      <c r="C161" s="1" t="n">
        <v>45829</v>
      </c>
      <c r="D161" t="inlineStr">
        <is>
          <t>VÄSTERNORRLANDS LÄN</t>
        </is>
      </c>
      <c r="E161" t="inlineStr">
        <is>
          <t>SUNDSVALL</t>
        </is>
      </c>
      <c r="F161" t="inlineStr">
        <is>
          <t>SCA</t>
        </is>
      </c>
      <c r="G161" t="n">
        <v>3.3</v>
      </c>
      <c r="H161" t="n">
        <v>0</v>
      </c>
      <c r="I161" t="n">
        <v>1</v>
      </c>
      <c r="J161" t="n">
        <v>1</v>
      </c>
      <c r="K161" t="n">
        <v>0</v>
      </c>
      <c r="L161" t="n">
        <v>0</v>
      </c>
      <c r="M161" t="n">
        <v>0</v>
      </c>
      <c r="N161" t="n">
        <v>0</v>
      </c>
      <c r="O161" t="n">
        <v>1</v>
      </c>
      <c r="P161" t="n">
        <v>0</v>
      </c>
      <c r="Q161" t="n">
        <v>2</v>
      </c>
      <c r="R161" s="2" t="inlineStr">
        <is>
          <t>Småflikig brosklav
Skinnlav</t>
        </is>
      </c>
      <c r="S161">
        <f>HYPERLINK("https://klasma.github.io/Logging_2281/artfynd/A 20888-2023 artfynd.xlsx", "A 20888-2023")</f>
        <v/>
      </c>
      <c r="T161">
        <f>HYPERLINK("https://klasma.github.io/Logging_2281/kartor/A 20888-2023 karta.png", "A 20888-2023")</f>
        <v/>
      </c>
      <c r="V161">
        <f>HYPERLINK("https://klasma.github.io/Logging_2281/klagomål/A 20888-2023 FSC-klagomål.docx", "A 20888-2023")</f>
        <v/>
      </c>
      <c r="W161">
        <f>HYPERLINK("https://klasma.github.io/Logging_2281/klagomålsmail/A 20888-2023 FSC-klagomål mail.docx", "A 20888-2023")</f>
        <v/>
      </c>
      <c r="X161">
        <f>HYPERLINK("https://klasma.github.io/Logging_2281/tillsyn/A 20888-2023 tillsynsbegäran.docx", "A 20888-2023")</f>
        <v/>
      </c>
      <c r="Y161">
        <f>HYPERLINK("https://klasma.github.io/Logging_2281/tillsynsmail/A 20888-2023 tillsynsbegäran mail.docx", "A 20888-2023")</f>
        <v/>
      </c>
    </row>
    <row r="162" ht="15" customHeight="1">
      <c r="A162" t="inlineStr">
        <is>
          <t>A 27385-2023</t>
        </is>
      </c>
      <c r="B162" s="1" t="n">
        <v>45096</v>
      </c>
      <c r="C162" s="1" t="n">
        <v>45829</v>
      </c>
      <c r="D162" t="inlineStr">
        <is>
          <t>VÄSTERNORRLANDS LÄN</t>
        </is>
      </c>
      <c r="E162" t="inlineStr">
        <is>
          <t>SUNDSVALL</t>
        </is>
      </c>
      <c r="F162" t="inlineStr">
        <is>
          <t>SCA</t>
        </is>
      </c>
      <c r="G162" t="n">
        <v>11</v>
      </c>
      <c r="H162" t="n">
        <v>1</v>
      </c>
      <c r="I162" t="n">
        <v>0</v>
      </c>
      <c r="J162" t="n">
        <v>1</v>
      </c>
      <c r="K162" t="n">
        <v>0</v>
      </c>
      <c r="L162" t="n">
        <v>0</v>
      </c>
      <c r="M162" t="n">
        <v>0</v>
      </c>
      <c r="N162" t="n">
        <v>0</v>
      </c>
      <c r="O162" t="n">
        <v>1</v>
      </c>
      <c r="P162" t="n">
        <v>0</v>
      </c>
      <c r="Q162" t="n">
        <v>2</v>
      </c>
      <c r="R162" s="2" t="inlineStr">
        <is>
          <t>Lunglav
Revlummer</t>
        </is>
      </c>
      <c r="S162">
        <f>HYPERLINK("https://klasma.github.io/Logging_2281/artfynd/A 27385-2023 artfynd.xlsx", "A 27385-2023")</f>
        <v/>
      </c>
      <c r="T162">
        <f>HYPERLINK("https://klasma.github.io/Logging_2281/kartor/A 27385-2023 karta.png", "A 27385-2023")</f>
        <v/>
      </c>
      <c r="V162">
        <f>HYPERLINK("https://klasma.github.io/Logging_2281/klagomål/A 27385-2023 FSC-klagomål.docx", "A 27385-2023")</f>
        <v/>
      </c>
      <c r="W162">
        <f>HYPERLINK("https://klasma.github.io/Logging_2281/klagomålsmail/A 27385-2023 FSC-klagomål mail.docx", "A 27385-2023")</f>
        <v/>
      </c>
      <c r="X162">
        <f>HYPERLINK("https://klasma.github.io/Logging_2281/tillsyn/A 27385-2023 tillsynsbegäran.docx", "A 27385-2023")</f>
        <v/>
      </c>
      <c r="Y162">
        <f>HYPERLINK("https://klasma.github.io/Logging_2281/tillsynsmail/A 27385-2023 tillsynsbegäran mail.docx", "A 27385-2023")</f>
        <v/>
      </c>
    </row>
    <row r="163" ht="15" customHeight="1">
      <c r="A163" t="inlineStr">
        <is>
          <t>A 27380-2023</t>
        </is>
      </c>
      <c r="B163" s="1" t="n">
        <v>45096</v>
      </c>
      <c r="C163" s="1" t="n">
        <v>45829</v>
      </c>
      <c r="D163" t="inlineStr">
        <is>
          <t>VÄSTERNORRLANDS LÄN</t>
        </is>
      </c>
      <c r="E163" t="inlineStr">
        <is>
          <t>SUNDSVALL</t>
        </is>
      </c>
      <c r="F163" t="inlineStr">
        <is>
          <t>Naturvårdsverket</t>
        </is>
      </c>
      <c r="G163" t="n">
        <v>6.2</v>
      </c>
      <c r="H163" t="n">
        <v>0</v>
      </c>
      <c r="I163" t="n">
        <v>0</v>
      </c>
      <c r="J163" t="n">
        <v>2</v>
      </c>
      <c r="K163" t="n">
        <v>0</v>
      </c>
      <c r="L163" t="n">
        <v>0</v>
      </c>
      <c r="M163" t="n">
        <v>0</v>
      </c>
      <c r="N163" t="n">
        <v>0</v>
      </c>
      <c r="O163" t="n">
        <v>2</v>
      </c>
      <c r="P163" t="n">
        <v>0</v>
      </c>
      <c r="Q163" t="n">
        <v>2</v>
      </c>
      <c r="R163" s="2" t="inlineStr">
        <is>
          <t>Granticka
Gränsticka</t>
        </is>
      </c>
      <c r="S163">
        <f>HYPERLINK("https://klasma.github.io/Logging_2281/artfynd/A 27380-2023 artfynd.xlsx", "A 27380-2023")</f>
        <v/>
      </c>
      <c r="T163">
        <f>HYPERLINK("https://klasma.github.io/Logging_2281/kartor/A 27380-2023 karta.png", "A 27380-2023")</f>
        <v/>
      </c>
      <c r="V163">
        <f>HYPERLINK("https://klasma.github.io/Logging_2281/klagomål/A 27380-2023 FSC-klagomål.docx", "A 27380-2023")</f>
        <v/>
      </c>
      <c r="W163">
        <f>HYPERLINK("https://klasma.github.io/Logging_2281/klagomålsmail/A 27380-2023 FSC-klagomål mail.docx", "A 27380-2023")</f>
        <v/>
      </c>
      <c r="X163">
        <f>HYPERLINK("https://klasma.github.io/Logging_2281/tillsyn/A 27380-2023 tillsynsbegäran.docx", "A 27380-2023")</f>
        <v/>
      </c>
      <c r="Y163">
        <f>HYPERLINK("https://klasma.github.io/Logging_2281/tillsynsmail/A 27380-2023 tillsynsbegäran mail.docx", "A 27380-2023")</f>
        <v/>
      </c>
    </row>
    <row r="164" ht="15" customHeight="1">
      <c r="A164" t="inlineStr">
        <is>
          <t>A 28010-2023</t>
        </is>
      </c>
      <c r="B164" s="1" t="n">
        <v>45098</v>
      </c>
      <c r="C164" s="1" t="n">
        <v>45829</v>
      </c>
      <c r="D164" t="inlineStr">
        <is>
          <t>VÄSTERNORRLANDS LÄN</t>
        </is>
      </c>
      <c r="E164" t="inlineStr">
        <is>
          <t>SUNDSVALL</t>
        </is>
      </c>
      <c r="F164" t="inlineStr">
        <is>
          <t>SCA</t>
        </is>
      </c>
      <c r="G164" t="n">
        <v>8.4</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28010-2023 artfynd.xlsx", "A 28010-2023")</f>
        <v/>
      </c>
      <c r="T164">
        <f>HYPERLINK("https://klasma.github.io/Logging_2281/kartor/A 28010-2023 karta.png", "A 28010-2023")</f>
        <v/>
      </c>
      <c r="V164">
        <f>HYPERLINK("https://klasma.github.io/Logging_2281/klagomål/A 28010-2023 FSC-klagomål.docx", "A 28010-2023")</f>
        <v/>
      </c>
      <c r="W164">
        <f>HYPERLINK("https://klasma.github.io/Logging_2281/klagomålsmail/A 28010-2023 FSC-klagomål mail.docx", "A 28010-2023")</f>
        <v/>
      </c>
      <c r="X164">
        <f>HYPERLINK("https://klasma.github.io/Logging_2281/tillsyn/A 28010-2023 tillsynsbegäran.docx", "A 28010-2023")</f>
        <v/>
      </c>
      <c r="Y164">
        <f>HYPERLINK("https://klasma.github.io/Logging_2281/tillsynsmail/A 28010-2023 tillsynsbegäran mail.docx", "A 28010-2023")</f>
        <v/>
      </c>
    </row>
    <row r="165" ht="15" customHeight="1">
      <c r="A165" t="inlineStr">
        <is>
          <t>A 37481-2023</t>
        </is>
      </c>
      <c r="B165" s="1" t="n">
        <v>45157</v>
      </c>
      <c r="C165" s="1" t="n">
        <v>45829</v>
      </c>
      <c r="D165" t="inlineStr">
        <is>
          <t>VÄSTERNORRLANDS LÄN</t>
        </is>
      </c>
      <c r="E165" t="inlineStr">
        <is>
          <t>SUNDSVALL</t>
        </is>
      </c>
      <c r="F165" t="inlineStr">
        <is>
          <t>SCA</t>
        </is>
      </c>
      <c r="G165" t="n">
        <v>6.9</v>
      </c>
      <c r="H165" t="n">
        <v>0</v>
      </c>
      <c r="I165" t="n">
        <v>0</v>
      </c>
      <c r="J165" t="n">
        <v>2</v>
      </c>
      <c r="K165" t="n">
        <v>0</v>
      </c>
      <c r="L165" t="n">
        <v>0</v>
      </c>
      <c r="M165" t="n">
        <v>0</v>
      </c>
      <c r="N165" t="n">
        <v>0</v>
      </c>
      <c r="O165" t="n">
        <v>2</v>
      </c>
      <c r="P165" t="n">
        <v>0</v>
      </c>
      <c r="Q165" t="n">
        <v>2</v>
      </c>
      <c r="R165" s="2" t="inlineStr">
        <is>
          <t>Garnlav
Kandelabersvamp</t>
        </is>
      </c>
      <c r="S165">
        <f>HYPERLINK("https://klasma.github.io/Logging_2281/artfynd/A 37481-2023 artfynd.xlsx", "A 37481-2023")</f>
        <v/>
      </c>
      <c r="T165">
        <f>HYPERLINK("https://klasma.github.io/Logging_2281/kartor/A 37481-2023 karta.png", "A 37481-2023")</f>
        <v/>
      </c>
      <c r="V165">
        <f>HYPERLINK("https://klasma.github.io/Logging_2281/klagomål/A 37481-2023 FSC-klagomål.docx", "A 37481-2023")</f>
        <v/>
      </c>
      <c r="W165">
        <f>HYPERLINK("https://klasma.github.io/Logging_2281/klagomålsmail/A 37481-2023 FSC-klagomål mail.docx", "A 37481-2023")</f>
        <v/>
      </c>
      <c r="X165">
        <f>HYPERLINK("https://klasma.github.io/Logging_2281/tillsyn/A 37481-2023 tillsynsbegäran.docx", "A 37481-2023")</f>
        <v/>
      </c>
      <c r="Y165">
        <f>HYPERLINK("https://klasma.github.io/Logging_2281/tillsynsmail/A 37481-2023 tillsynsbegäran mail.docx", "A 37481-2023")</f>
        <v/>
      </c>
    </row>
    <row r="166" ht="15" customHeight="1">
      <c r="A166" t="inlineStr">
        <is>
          <t>A 48506-2023</t>
        </is>
      </c>
      <c r="B166" s="1" t="n">
        <v>45207</v>
      </c>
      <c r="C166" s="1" t="n">
        <v>45829</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48506-2023 artfynd.xlsx", "A 48506-2023")</f>
        <v/>
      </c>
      <c r="T166">
        <f>HYPERLINK("https://klasma.github.io/Logging_2281/kartor/A 48506-2023 karta.png", "A 48506-2023")</f>
        <v/>
      </c>
      <c r="U166">
        <f>HYPERLINK("https://klasma.github.io/Logging_2281/knärot/A 48506-2023 karta knärot.png", "A 48506-2023")</f>
        <v/>
      </c>
      <c r="V166">
        <f>HYPERLINK("https://klasma.github.io/Logging_2281/klagomål/A 48506-2023 FSC-klagomål.docx", "A 48506-2023")</f>
        <v/>
      </c>
      <c r="W166">
        <f>HYPERLINK("https://klasma.github.io/Logging_2281/klagomålsmail/A 48506-2023 FSC-klagomål mail.docx", "A 48506-2023")</f>
        <v/>
      </c>
      <c r="X166">
        <f>HYPERLINK("https://klasma.github.io/Logging_2281/tillsyn/A 48506-2023 tillsynsbegäran.docx", "A 48506-2023")</f>
        <v/>
      </c>
      <c r="Y166">
        <f>HYPERLINK("https://klasma.github.io/Logging_2281/tillsynsmail/A 48506-2023 tillsynsbegäran mail.docx", "A 48506-2023")</f>
        <v/>
      </c>
    </row>
    <row r="167" ht="15" customHeight="1">
      <c r="A167" t="inlineStr">
        <is>
          <t>A 48783-2023</t>
        </is>
      </c>
      <c r="B167" s="1" t="n">
        <v>45208</v>
      </c>
      <c r="C167" s="1" t="n">
        <v>45829</v>
      </c>
      <c r="D167" t="inlineStr">
        <is>
          <t>VÄSTERNORRLANDS LÄN</t>
        </is>
      </c>
      <c r="E167" t="inlineStr">
        <is>
          <t>SUNDSVALL</t>
        </is>
      </c>
      <c r="F167" t="inlineStr">
        <is>
          <t>SCA</t>
        </is>
      </c>
      <c r="G167" t="n">
        <v>2.3</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48783-2023 artfynd.xlsx", "A 48783-2023")</f>
        <v/>
      </c>
      <c r="T167">
        <f>HYPERLINK("https://klasma.github.io/Logging_2281/kartor/A 48783-2023 karta.png", "A 48783-2023")</f>
        <v/>
      </c>
      <c r="U167">
        <f>HYPERLINK("https://klasma.github.io/Logging_2281/knärot/A 48783-2023 karta knärot.png", "A 48783-2023")</f>
        <v/>
      </c>
      <c r="V167">
        <f>HYPERLINK("https://klasma.github.io/Logging_2281/klagomål/A 48783-2023 FSC-klagomål.docx", "A 48783-2023")</f>
        <v/>
      </c>
      <c r="W167">
        <f>HYPERLINK("https://klasma.github.io/Logging_2281/klagomålsmail/A 48783-2023 FSC-klagomål mail.docx", "A 48783-2023")</f>
        <v/>
      </c>
      <c r="X167">
        <f>HYPERLINK("https://klasma.github.io/Logging_2281/tillsyn/A 48783-2023 tillsynsbegäran.docx", "A 48783-2023")</f>
        <v/>
      </c>
      <c r="Y167">
        <f>HYPERLINK("https://klasma.github.io/Logging_2281/tillsynsmail/A 48783-2023 tillsynsbegäran mail.docx", "A 48783-2023")</f>
        <v/>
      </c>
    </row>
    <row r="168" ht="15" customHeight="1">
      <c r="A168" t="inlineStr">
        <is>
          <t>A 49320-2023</t>
        </is>
      </c>
      <c r="B168" s="1" t="n">
        <v>45210</v>
      </c>
      <c r="C168" s="1" t="n">
        <v>45829</v>
      </c>
      <c r="D168" t="inlineStr">
        <is>
          <t>VÄSTERNORRLANDS LÄN</t>
        </is>
      </c>
      <c r="E168" t="inlineStr">
        <is>
          <t>SUNDSVALL</t>
        </is>
      </c>
      <c r="F168" t="inlineStr">
        <is>
          <t>SCA</t>
        </is>
      </c>
      <c r="G168" t="n">
        <v>1.3</v>
      </c>
      <c r="H168" t="n">
        <v>0</v>
      </c>
      <c r="I168" t="n">
        <v>0</v>
      </c>
      <c r="J168" t="n">
        <v>2</v>
      </c>
      <c r="K168" t="n">
        <v>0</v>
      </c>
      <c r="L168" t="n">
        <v>0</v>
      </c>
      <c r="M168" t="n">
        <v>0</v>
      </c>
      <c r="N168" t="n">
        <v>0</v>
      </c>
      <c r="O168" t="n">
        <v>2</v>
      </c>
      <c r="P168" t="n">
        <v>0</v>
      </c>
      <c r="Q168" t="n">
        <v>2</v>
      </c>
      <c r="R168" s="2" t="inlineStr">
        <is>
          <t>Garnlav
Rosenticka</t>
        </is>
      </c>
      <c r="S168">
        <f>HYPERLINK("https://klasma.github.io/Logging_2281/artfynd/A 49320-2023 artfynd.xlsx", "A 49320-2023")</f>
        <v/>
      </c>
      <c r="T168">
        <f>HYPERLINK("https://klasma.github.io/Logging_2281/kartor/A 49320-2023 karta.png", "A 49320-2023")</f>
        <v/>
      </c>
      <c r="V168">
        <f>HYPERLINK("https://klasma.github.io/Logging_2281/klagomål/A 49320-2023 FSC-klagomål.docx", "A 49320-2023")</f>
        <v/>
      </c>
      <c r="W168">
        <f>HYPERLINK("https://klasma.github.io/Logging_2281/klagomålsmail/A 49320-2023 FSC-klagomål mail.docx", "A 49320-2023")</f>
        <v/>
      </c>
      <c r="X168">
        <f>HYPERLINK("https://klasma.github.io/Logging_2281/tillsyn/A 49320-2023 tillsynsbegäran.docx", "A 49320-2023")</f>
        <v/>
      </c>
      <c r="Y168">
        <f>HYPERLINK("https://klasma.github.io/Logging_2281/tillsynsmail/A 49320-2023 tillsynsbegäran mail.docx", "A 49320-2023")</f>
        <v/>
      </c>
    </row>
    <row r="169" ht="15" customHeight="1">
      <c r="A169" t="inlineStr">
        <is>
          <t>A 57781-2023</t>
        </is>
      </c>
      <c r="B169" s="1" t="n">
        <v>45246</v>
      </c>
      <c r="C169" s="1" t="n">
        <v>45829</v>
      </c>
      <c r="D169" t="inlineStr">
        <is>
          <t>VÄSTERNORRLANDS LÄN</t>
        </is>
      </c>
      <c r="E169" t="inlineStr">
        <is>
          <t>SUNDSVALL</t>
        </is>
      </c>
      <c r="F169" t="inlineStr">
        <is>
          <t>SCA</t>
        </is>
      </c>
      <c r="G169" t="n">
        <v>4.9</v>
      </c>
      <c r="H169" t="n">
        <v>0</v>
      </c>
      <c r="I169" t="n">
        <v>1</v>
      </c>
      <c r="J169" t="n">
        <v>1</v>
      </c>
      <c r="K169" t="n">
        <v>0</v>
      </c>
      <c r="L169" t="n">
        <v>0</v>
      </c>
      <c r="M169" t="n">
        <v>0</v>
      </c>
      <c r="N169" t="n">
        <v>0</v>
      </c>
      <c r="O169" t="n">
        <v>1</v>
      </c>
      <c r="P169" t="n">
        <v>0</v>
      </c>
      <c r="Q169" t="n">
        <v>2</v>
      </c>
      <c r="R169" s="2" t="inlineStr">
        <is>
          <t>Tallticka
Bollvitmossa</t>
        </is>
      </c>
      <c r="S169">
        <f>HYPERLINK("https://klasma.github.io/Logging_2281/artfynd/A 57781-2023 artfynd.xlsx", "A 57781-2023")</f>
        <v/>
      </c>
      <c r="T169">
        <f>HYPERLINK("https://klasma.github.io/Logging_2281/kartor/A 57781-2023 karta.png", "A 57781-2023")</f>
        <v/>
      </c>
      <c r="V169">
        <f>HYPERLINK("https://klasma.github.io/Logging_2281/klagomål/A 57781-2023 FSC-klagomål.docx", "A 57781-2023")</f>
        <v/>
      </c>
      <c r="W169">
        <f>HYPERLINK("https://klasma.github.io/Logging_2281/klagomålsmail/A 57781-2023 FSC-klagomål mail.docx", "A 57781-2023")</f>
        <v/>
      </c>
      <c r="X169">
        <f>HYPERLINK("https://klasma.github.io/Logging_2281/tillsyn/A 57781-2023 tillsynsbegäran.docx", "A 57781-2023")</f>
        <v/>
      </c>
      <c r="Y169">
        <f>HYPERLINK("https://klasma.github.io/Logging_2281/tillsynsmail/A 57781-2023 tillsynsbegäran mail.docx", "A 57781-2023")</f>
        <v/>
      </c>
    </row>
    <row r="170" ht="15" customHeight="1">
      <c r="A170" t="inlineStr">
        <is>
          <t>A 60863-2023</t>
        </is>
      </c>
      <c r="B170" s="1" t="n">
        <v>45261</v>
      </c>
      <c r="C170" s="1" t="n">
        <v>45829</v>
      </c>
      <c r="D170" t="inlineStr">
        <is>
          <t>VÄSTERNORRLANDS LÄN</t>
        </is>
      </c>
      <c r="E170" t="inlineStr">
        <is>
          <t>SUNDSVALL</t>
        </is>
      </c>
      <c r="F170" t="inlineStr">
        <is>
          <t>SCA</t>
        </is>
      </c>
      <c r="G170" t="n">
        <v>5.6</v>
      </c>
      <c r="H170" t="n">
        <v>2</v>
      </c>
      <c r="I170" t="n">
        <v>0</v>
      </c>
      <c r="J170" t="n">
        <v>1</v>
      </c>
      <c r="K170" t="n">
        <v>0</v>
      </c>
      <c r="L170" t="n">
        <v>0</v>
      </c>
      <c r="M170" t="n">
        <v>0</v>
      </c>
      <c r="N170" t="n">
        <v>0</v>
      </c>
      <c r="O170" t="n">
        <v>1</v>
      </c>
      <c r="P170" t="n">
        <v>0</v>
      </c>
      <c r="Q170" t="n">
        <v>2</v>
      </c>
      <c r="R170" s="2" t="inlineStr">
        <is>
          <t>Tretåig hackspett
Vanlig groda</t>
        </is>
      </c>
      <c r="S170">
        <f>HYPERLINK("https://klasma.github.io/Logging_2281/artfynd/A 60863-2023 artfynd.xlsx", "A 60863-2023")</f>
        <v/>
      </c>
      <c r="T170">
        <f>HYPERLINK("https://klasma.github.io/Logging_2281/kartor/A 60863-2023 karta.png", "A 60863-2023")</f>
        <v/>
      </c>
      <c r="V170">
        <f>HYPERLINK("https://klasma.github.io/Logging_2281/klagomål/A 60863-2023 FSC-klagomål.docx", "A 60863-2023")</f>
        <v/>
      </c>
      <c r="W170">
        <f>HYPERLINK("https://klasma.github.io/Logging_2281/klagomålsmail/A 60863-2023 FSC-klagomål mail.docx", "A 60863-2023")</f>
        <v/>
      </c>
      <c r="X170">
        <f>HYPERLINK("https://klasma.github.io/Logging_2281/tillsyn/A 60863-2023 tillsynsbegäran.docx", "A 60863-2023")</f>
        <v/>
      </c>
      <c r="Y170">
        <f>HYPERLINK("https://klasma.github.io/Logging_2281/tillsynsmail/A 60863-2023 tillsynsbegäran mail.docx", "A 60863-2023")</f>
        <v/>
      </c>
      <c r="Z170">
        <f>HYPERLINK("https://klasma.github.io/Logging_2281/fåglar/A 60863-2023 prioriterade fågelarter.docx", "A 60863-2023")</f>
        <v/>
      </c>
    </row>
    <row r="171" ht="15" customHeight="1">
      <c r="A171" t="inlineStr">
        <is>
          <t>A 62532-2023</t>
        </is>
      </c>
      <c r="B171" s="1" t="n">
        <v>45268</v>
      </c>
      <c r="C171" s="1" t="n">
        <v>45829</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13675-2024</t>
        </is>
      </c>
      <c r="B172" s="1" t="n">
        <v>45390</v>
      </c>
      <c r="C172" s="1" t="n">
        <v>45829</v>
      </c>
      <c r="D172" t="inlineStr">
        <is>
          <t>VÄSTERNORRLANDS LÄN</t>
        </is>
      </c>
      <c r="E172" t="inlineStr">
        <is>
          <t>SUNDSVALL</t>
        </is>
      </c>
      <c r="G172" t="n">
        <v>1.7</v>
      </c>
      <c r="H172" t="n">
        <v>0</v>
      </c>
      <c r="I172" t="n">
        <v>2</v>
      </c>
      <c r="J172" t="n">
        <v>0</v>
      </c>
      <c r="K172" t="n">
        <v>0</v>
      </c>
      <c r="L172" t="n">
        <v>0</v>
      </c>
      <c r="M172" t="n">
        <v>0</v>
      </c>
      <c r="N172" t="n">
        <v>0</v>
      </c>
      <c r="O172" t="n">
        <v>0</v>
      </c>
      <c r="P172" t="n">
        <v>0</v>
      </c>
      <c r="Q172" t="n">
        <v>2</v>
      </c>
      <c r="R172" s="2" t="inlineStr">
        <is>
          <t>Svart trolldruva
Tibast</t>
        </is>
      </c>
      <c r="S172">
        <f>HYPERLINK("https://klasma.github.io/Logging_2281/artfynd/A 13675-2024 artfynd.xlsx", "A 13675-2024")</f>
        <v/>
      </c>
      <c r="T172">
        <f>HYPERLINK("https://klasma.github.io/Logging_2281/kartor/A 13675-2024 karta.png", "A 13675-2024")</f>
        <v/>
      </c>
      <c r="V172">
        <f>HYPERLINK("https://klasma.github.io/Logging_2281/klagomål/A 13675-2024 FSC-klagomål.docx", "A 13675-2024")</f>
        <v/>
      </c>
      <c r="W172">
        <f>HYPERLINK("https://klasma.github.io/Logging_2281/klagomålsmail/A 13675-2024 FSC-klagomål mail.docx", "A 13675-2024")</f>
        <v/>
      </c>
      <c r="X172">
        <f>HYPERLINK("https://klasma.github.io/Logging_2281/tillsyn/A 13675-2024 tillsynsbegäran.docx", "A 13675-2024")</f>
        <v/>
      </c>
      <c r="Y172">
        <f>HYPERLINK("https://klasma.github.io/Logging_2281/tillsynsmail/A 13675-2024 tillsynsbegäran mail.docx", "A 13675-2024")</f>
        <v/>
      </c>
    </row>
    <row r="173" ht="15" customHeight="1">
      <c r="A173" t="inlineStr">
        <is>
          <t>A 14725-2024</t>
        </is>
      </c>
      <c r="B173" s="1" t="n">
        <v>45397</v>
      </c>
      <c r="C173" s="1" t="n">
        <v>45829</v>
      </c>
      <c r="D173" t="inlineStr">
        <is>
          <t>VÄSTERNORRLANDS LÄN</t>
        </is>
      </c>
      <c r="E173" t="inlineStr">
        <is>
          <t>SUNDSVALL</t>
        </is>
      </c>
      <c r="G173" t="n">
        <v>6.9</v>
      </c>
      <c r="H173" t="n">
        <v>1</v>
      </c>
      <c r="I173" t="n">
        <v>1</v>
      </c>
      <c r="J173" t="n">
        <v>0</v>
      </c>
      <c r="K173" t="n">
        <v>1</v>
      </c>
      <c r="L173" t="n">
        <v>0</v>
      </c>
      <c r="M173" t="n">
        <v>0</v>
      </c>
      <c r="N173" t="n">
        <v>0</v>
      </c>
      <c r="O173" t="n">
        <v>1</v>
      </c>
      <c r="P173" t="n">
        <v>1</v>
      </c>
      <c r="Q173" t="n">
        <v>2</v>
      </c>
      <c r="R173" s="2" t="inlineStr">
        <is>
          <t>Knärot
Blodticka</t>
        </is>
      </c>
      <c r="S173">
        <f>HYPERLINK("https://klasma.github.io/Logging_2281/artfynd/A 14725-2024 artfynd.xlsx", "A 14725-2024")</f>
        <v/>
      </c>
      <c r="T173">
        <f>HYPERLINK("https://klasma.github.io/Logging_2281/kartor/A 14725-2024 karta.png", "A 14725-2024")</f>
        <v/>
      </c>
      <c r="U173">
        <f>HYPERLINK("https://klasma.github.io/Logging_2281/knärot/A 14725-2024 karta knärot.png", "A 14725-2024")</f>
        <v/>
      </c>
      <c r="V173">
        <f>HYPERLINK("https://klasma.github.io/Logging_2281/klagomål/A 14725-2024 FSC-klagomål.docx", "A 14725-2024")</f>
        <v/>
      </c>
      <c r="W173">
        <f>HYPERLINK("https://klasma.github.io/Logging_2281/klagomålsmail/A 14725-2024 FSC-klagomål mail.docx", "A 14725-2024")</f>
        <v/>
      </c>
      <c r="X173">
        <f>HYPERLINK("https://klasma.github.io/Logging_2281/tillsyn/A 14725-2024 tillsynsbegäran.docx", "A 14725-2024")</f>
        <v/>
      </c>
      <c r="Y173">
        <f>HYPERLINK("https://klasma.github.io/Logging_2281/tillsynsmail/A 14725-2024 tillsynsbegäran mail.docx", "A 14725-2024")</f>
        <v/>
      </c>
    </row>
    <row r="174" ht="15" customHeight="1">
      <c r="A174" t="inlineStr">
        <is>
          <t>A 21609-2024</t>
        </is>
      </c>
      <c r="B174" s="1" t="n">
        <v>45442</v>
      </c>
      <c r="C174" s="1" t="n">
        <v>45829</v>
      </c>
      <c r="D174" t="inlineStr">
        <is>
          <t>VÄSTERNORRLANDS LÄN</t>
        </is>
      </c>
      <c r="E174" t="inlineStr">
        <is>
          <t>SUNDSVALL</t>
        </is>
      </c>
      <c r="F174" t="inlineStr">
        <is>
          <t>SCA</t>
        </is>
      </c>
      <c r="G174" t="n">
        <v>11.4</v>
      </c>
      <c r="H174" t="n">
        <v>2</v>
      </c>
      <c r="I174" t="n">
        <v>0</v>
      </c>
      <c r="J174" t="n">
        <v>0</v>
      </c>
      <c r="K174" t="n">
        <v>0</v>
      </c>
      <c r="L174" t="n">
        <v>0</v>
      </c>
      <c r="M174" t="n">
        <v>0</v>
      </c>
      <c r="N174" t="n">
        <v>0</v>
      </c>
      <c r="O174" t="n">
        <v>0</v>
      </c>
      <c r="P174" t="n">
        <v>0</v>
      </c>
      <c r="Q174" t="n">
        <v>2</v>
      </c>
      <c r="R174" s="2" t="inlineStr">
        <is>
          <t>Fläcknycklar
Nattviol</t>
        </is>
      </c>
      <c r="S174">
        <f>HYPERLINK("https://klasma.github.io/Logging_2281/artfynd/A 21609-2024 artfynd.xlsx", "A 21609-2024")</f>
        <v/>
      </c>
      <c r="T174">
        <f>HYPERLINK("https://klasma.github.io/Logging_2281/kartor/A 21609-2024 karta.png", "A 21609-2024")</f>
        <v/>
      </c>
      <c r="V174">
        <f>HYPERLINK("https://klasma.github.io/Logging_2281/klagomål/A 21609-2024 FSC-klagomål.docx", "A 21609-2024")</f>
        <v/>
      </c>
      <c r="W174">
        <f>HYPERLINK("https://klasma.github.io/Logging_2281/klagomålsmail/A 21609-2024 FSC-klagomål mail.docx", "A 21609-2024")</f>
        <v/>
      </c>
      <c r="X174">
        <f>HYPERLINK("https://klasma.github.io/Logging_2281/tillsyn/A 21609-2024 tillsynsbegäran.docx", "A 21609-2024")</f>
        <v/>
      </c>
      <c r="Y174">
        <f>HYPERLINK("https://klasma.github.io/Logging_2281/tillsynsmail/A 21609-2024 tillsynsbegäran mail.docx", "A 21609-2024")</f>
        <v/>
      </c>
    </row>
    <row r="175" ht="15" customHeight="1">
      <c r="A175" t="inlineStr">
        <is>
          <t>A 26178-2024</t>
        </is>
      </c>
      <c r="B175" s="1" t="n">
        <v>45468</v>
      </c>
      <c r="C175" s="1" t="n">
        <v>45829</v>
      </c>
      <c r="D175" t="inlineStr">
        <is>
          <t>VÄSTERNORRLANDS LÄN</t>
        </is>
      </c>
      <c r="E175" t="inlineStr">
        <is>
          <t>SUNDSVALL</t>
        </is>
      </c>
      <c r="G175" t="n">
        <v>11.7</v>
      </c>
      <c r="H175" t="n">
        <v>2</v>
      </c>
      <c r="I175" t="n">
        <v>0</v>
      </c>
      <c r="J175" t="n">
        <v>1</v>
      </c>
      <c r="K175" t="n">
        <v>0</v>
      </c>
      <c r="L175" t="n">
        <v>0</v>
      </c>
      <c r="M175" t="n">
        <v>0</v>
      </c>
      <c r="N175" t="n">
        <v>0</v>
      </c>
      <c r="O175" t="n">
        <v>1</v>
      </c>
      <c r="P175" t="n">
        <v>0</v>
      </c>
      <c r="Q175" t="n">
        <v>2</v>
      </c>
      <c r="R175" s="2" t="inlineStr">
        <is>
          <t>Pilgrimsfalk
Sparvuggla</t>
        </is>
      </c>
      <c r="S175">
        <f>HYPERLINK("https://klasma.github.io/Logging_2281/artfynd/A 26178-2024 artfynd.xlsx", "A 26178-2024")</f>
        <v/>
      </c>
      <c r="T175">
        <f>HYPERLINK("https://klasma.github.io/Logging_2281/kartor/A 26178-2024 karta.png", "A 26178-2024")</f>
        <v/>
      </c>
      <c r="V175">
        <f>HYPERLINK("https://klasma.github.io/Logging_2281/klagomål/A 26178-2024 FSC-klagomål.docx", "A 26178-2024")</f>
        <v/>
      </c>
      <c r="W175">
        <f>HYPERLINK("https://klasma.github.io/Logging_2281/klagomålsmail/A 26178-2024 FSC-klagomål mail.docx", "A 26178-2024")</f>
        <v/>
      </c>
      <c r="X175">
        <f>HYPERLINK("https://klasma.github.io/Logging_2281/tillsyn/A 26178-2024 tillsynsbegäran.docx", "A 26178-2024")</f>
        <v/>
      </c>
      <c r="Y175">
        <f>HYPERLINK("https://klasma.github.io/Logging_2281/tillsynsmail/A 26178-2024 tillsynsbegäran mail.docx", "A 26178-2024")</f>
        <v/>
      </c>
      <c r="Z175">
        <f>HYPERLINK("https://klasma.github.io/Logging_2281/fåglar/A 26178-2024 prioriterade fågelarter.docx", "A 26178-2024")</f>
        <v/>
      </c>
    </row>
    <row r="176" ht="15" customHeight="1">
      <c r="A176" t="inlineStr">
        <is>
          <t>A 34766-2024</t>
        </is>
      </c>
      <c r="B176" s="1" t="n">
        <v>45526</v>
      </c>
      <c r="C176" s="1" t="n">
        <v>45829</v>
      </c>
      <c r="D176" t="inlineStr">
        <is>
          <t>VÄSTERNORRLANDS LÄN</t>
        </is>
      </c>
      <c r="E176" t="inlineStr">
        <is>
          <t>SUNDSVALL</t>
        </is>
      </c>
      <c r="F176" t="inlineStr">
        <is>
          <t>SCA</t>
        </is>
      </c>
      <c r="G176" t="n">
        <v>10</v>
      </c>
      <c r="H176" t="n">
        <v>1</v>
      </c>
      <c r="I176" t="n">
        <v>1</v>
      </c>
      <c r="J176" t="n">
        <v>0</v>
      </c>
      <c r="K176" t="n">
        <v>0</v>
      </c>
      <c r="L176" t="n">
        <v>0</v>
      </c>
      <c r="M176" t="n">
        <v>0</v>
      </c>
      <c r="N176" t="n">
        <v>0</v>
      </c>
      <c r="O176" t="n">
        <v>0</v>
      </c>
      <c r="P176" t="n">
        <v>0</v>
      </c>
      <c r="Q176" t="n">
        <v>2</v>
      </c>
      <c r="R176" s="2" t="inlineStr">
        <is>
          <t>Vårärt
Revlummer</t>
        </is>
      </c>
      <c r="S176">
        <f>HYPERLINK("https://klasma.github.io/Logging_2281/artfynd/A 34766-2024 artfynd.xlsx", "A 34766-2024")</f>
        <v/>
      </c>
      <c r="T176">
        <f>HYPERLINK("https://klasma.github.io/Logging_2281/kartor/A 34766-2024 karta.png", "A 34766-2024")</f>
        <v/>
      </c>
      <c r="V176">
        <f>HYPERLINK("https://klasma.github.io/Logging_2281/klagomål/A 34766-2024 FSC-klagomål.docx", "A 34766-2024")</f>
        <v/>
      </c>
      <c r="W176">
        <f>HYPERLINK("https://klasma.github.io/Logging_2281/klagomålsmail/A 34766-2024 FSC-klagomål mail.docx", "A 34766-2024")</f>
        <v/>
      </c>
      <c r="X176">
        <f>HYPERLINK("https://klasma.github.io/Logging_2281/tillsyn/A 34766-2024 tillsynsbegäran.docx", "A 34766-2024")</f>
        <v/>
      </c>
      <c r="Y176">
        <f>HYPERLINK("https://klasma.github.io/Logging_2281/tillsynsmail/A 34766-2024 tillsynsbegäran mail.docx", "A 34766-2024")</f>
        <v/>
      </c>
    </row>
    <row r="177" ht="15" customHeight="1">
      <c r="A177" t="inlineStr">
        <is>
          <t>A 41090-2024</t>
        </is>
      </c>
      <c r="B177" s="1" t="n">
        <v>45559</v>
      </c>
      <c r="C177" s="1" t="n">
        <v>45829</v>
      </c>
      <c r="D177" t="inlineStr">
        <is>
          <t>VÄSTERNORRLANDS LÄN</t>
        </is>
      </c>
      <c r="E177" t="inlineStr">
        <is>
          <t>SUNDSVALL</t>
        </is>
      </c>
      <c r="F177" t="inlineStr">
        <is>
          <t>SCA</t>
        </is>
      </c>
      <c r="G177" t="n">
        <v>1.7</v>
      </c>
      <c r="H177" t="n">
        <v>0</v>
      </c>
      <c r="I177" t="n">
        <v>1</v>
      </c>
      <c r="J177" t="n">
        <v>1</v>
      </c>
      <c r="K177" t="n">
        <v>0</v>
      </c>
      <c r="L177" t="n">
        <v>0</v>
      </c>
      <c r="M177" t="n">
        <v>0</v>
      </c>
      <c r="N177" t="n">
        <v>0</v>
      </c>
      <c r="O177" t="n">
        <v>1</v>
      </c>
      <c r="P177" t="n">
        <v>0</v>
      </c>
      <c r="Q177" t="n">
        <v>2</v>
      </c>
      <c r="R177" s="2" t="inlineStr">
        <is>
          <t>Lunglav
Stuplav</t>
        </is>
      </c>
      <c r="S177">
        <f>HYPERLINK("https://klasma.github.io/Logging_2281/artfynd/A 41090-2024 artfynd.xlsx", "A 41090-2024")</f>
        <v/>
      </c>
      <c r="T177">
        <f>HYPERLINK("https://klasma.github.io/Logging_2281/kartor/A 41090-2024 karta.png", "A 41090-2024")</f>
        <v/>
      </c>
      <c r="V177">
        <f>HYPERLINK("https://klasma.github.io/Logging_2281/klagomål/A 41090-2024 FSC-klagomål.docx", "A 41090-2024")</f>
        <v/>
      </c>
      <c r="W177">
        <f>HYPERLINK("https://klasma.github.io/Logging_2281/klagomålsmail/A 41090-2024 FSC-klagomål mail.docx", "A 41090-2024")</f>
        <v/>
      </c>
      <c r="X177">
        <f>HYPERLINK("https://klasma.github.io/Logging_2281/tillsyn/A 41090-2024 tillsynsbegäran.docx", "A 41090-2024")</f>
        <v/>
      </c>
      <c r="Y177">
        <f>HYPERLINK("https://klasma.github.io/Logging_2281/tillsynsmail/A 41090-2024 tillsynsbegäran mail.docx", "A 41090-2024")</f>
        <v/>
      </c>
    </row>
    <row r="178" ht="15" customHeight="1">
      <c r="A178" t="inlineStr">
        <is>
          <t>A 59994-2024</t>
        </is>
      </c>
      <c r="B178" s="1" t="n">
        <v>45642</v>
      </c>
      <c r="C178" s="1" t="n">
        <v>45829</v>
      </c>
      <c r="D178" t="inlineStr">
        <is>
          <t>VÄSTERNORRLANDS LÄN</t>
        </is>
      </c>
      <c r="E178" t="inlineStr">
        <is>
          <t>SUNDSVALL</t>
        </is>
      </c>
      <c r="G178" t="n">
        <v>2.1</v>
      </c>
      <c r="H178" t="n">
        <v>0</v>
      </c>
      <c r="I178" t="n">
        <v>0</v>
      </c>
      <c r="J178" t="n">
        <v>2</v>
      </c>
      <c r="K178" t="n">
        <v>0</v>
      </c>
      <c r="L178" t="n">
        <v>0</v>
      </c>
      <c r="M178" t="n">
        <v>0</v>
      </c>
      <c r="N178" t="n">
        <v>0</v>
      </c>
      <c r="O178" t="n">
        <v>2</v>
      </c>
      <c r="P178" t="n">
        <v>0</v>
      </c>
      <c r="Q178" t="n">
        <v>2</v>
      </c>
      <c r="R178" s="2" t="inlineStr">
        <is>
          <t>Rosenticka
Ullticka</t>
        </is>
      </c>
      <c r="S178">
        <f>HYPERLINK("https://klasma.github.io/Logging_2281/artfynd/A 59994-2024 artfynd.xlsx", "A 59994-2024")</f>
        <v/>
      </c>
      <c r="T178">
        <f>HYPERLINK("https://klasma.github.io/Logging_2281/kartor/A 59994-2024 karta.png", "A 59994-2024")</f>
        <v/>
      </c>
      <c r="U178">
        <f>HYPERLINK("https://klasma.github.io/Logging_2281/knärot/A 59994-2024 karta knärot.png", "A 59994-2024")</f>
        <v/>
      </c>
      <c r="V178">
        <f>HYPERLINK("https://klasma.github.io/Logging_2281/klagomål/A 59994-2024 FSC-klagomål.docx", "A 59994-2024")</f>
        <v/>
      </c>
      <c r="W178">
        <f>HYPERLINK("https://klasma.github.io/Logging_2281/klagomålsmail/A 59994-2024 FSC-klagomål mail.docx", "A 59994-2024")</f>
        <v/>
      </c>
      <c r="X178">
        <f>HYPERLINK("https://klasma.github.io/Logging_2281/tillsyn/A 59994-2024 tillsynsbegäran.docx", "A 59994-2024")</f>
        <v/>
      </c>
      <c r="Y178">
        <f>HYPERLINK("https://klasma.github.io/Logging_2281/tillsynsmail/A 59994-2024 tillsynsbegäran mail.docx", "A 59994-2024")</f>
        <v/>
      </c>
    </row>
    <row r="179" ht="15" customHeight="1">
      <c r="A179" t="inlineStr">
        <is>
          <t>A 166-2025</t>
        </is>
      </c>
      <c r="B179" s="1" t="n">
        <v>45649</v>
      </c>
      <c r="C179" s="1" t="n">
        <v>45829</v>
      </c>
      <c r="D179" t="inlineStr">
        <is>
          <t>VÄSTERNORRLANDS LÄN</t>
        </is>
      </c>
      <c r="E179" t="inlineStr">
        <is>
          <t>SUNDSVALL</t>
        </is>
      </c>
      <c r="G179" t="n">
        <v>17.1</v>
      </c>
      <c r="H179" t="n">
        <v>1</v>
      </c>
      <c r="I179" t="n">
        <v>1</v>
      </c>
      <c r="J179" t="n">
        <v>0</v>
      </c>
      <c r="K179" t="n">
        <v>0</v>
      </c>
      <c r="L179" t="n">
        <v>0</v>
      </c>
      <c r="M179" t="n">
        <v>0</v>
      </c>
      <c r="N179" t="n">
        <v>0</v>
      </c>
      <c r="O179" t="n">
        <v>0</v>
      </c>
      <c r="P179" t="n">
        <v>0</v>
      </c>
      <c r="Q179" t="n">
        <v>2</v>
      </c>
      <c r="R179" s="2" t="inlineStr">
        <is>
          <t>Bårdlav
Revlummer</t>
        </is>
      </c>
      <c r="S179">
        <f>HYPERLINK("https://klasma.github.io/Logging_2281/artfynd/A 166-2025 artfynd.xlsx", "A 166-2025")</f>
        <v/>
      </c>
      <c r="T179">
        <f>HYPERLINK("https://klasma.github.io/Logging_2281/kartor/A 166-2025 karta.png", "A 166-2025")</f>
        <v/>
      </c>
      <c r="V179">
        <f>HYPERLINK("https://klasma.github.io/Logging_2281/klagomål/A 166-2025 FSC-klagomål.docx", "A 166-2025")</f>
        <v/>
      </c>
      <c r="W179">
        <f>HYPERLINK("https://klasma.github.io/Logging_2281/klagomålsmail/A 166-2025 FSC-klagomål mail.docx", "A 166-2025")</f>
        <v/>
      </c>
      <c r="X179">
        <f>HYPERLINK("https://klasma.github.io/Logging_2281/tillsyn/A 166-2025 tillsynsbegäran.docx", "A 166-2025")</f>
        <v/>
      </c>
      <c r="Y179">
        <f>HYPERLINK("https://klasma.github.io/Logging_2281/tillsynsmail/A 166-2025 tillsynsbegäran mail.docx", "A 166-2025")</f>
        <v/>
      </c>
    </row>
    <row r="180" ht="15" customHeight="1">
      <c r="A180" t="inlineStr">
        <is>
          <t>A 4896-2025</t>
        </is>
      </c>
      <c r="B180" s="1" t="n">
        <v>45688</v>
      </c>
      <c r="C180" s="1" t="n">
        <v>45829</v>
      </c>
      <c r="D180" t="inlineStr">
        <is>
          <t>VÄSTERNORRLANDS LÄN</t>
        </is>
      </c>
      <c r="E180" t="inlineStr">
        <is>
          <t>SUNDSVALL</t>
        </is>
      </c>
      <c r="F180" t="inlineStr">
        <is>
          <t>SCA</t>
        </is>
      </c>
      <c r="G180" t="n">
        <v>6.9</v>
      </c>
      <c r="H180" t="n">
        <v>1</v>
      </c>
      <c r="I180" t="n">
        <v>1</v>
      </c>
      <c r="J180" t="n">
        <v>0</v>
      </c>
      <c r="K180" t="n">
        <v>0</v>
      </c>
      <c r="L180" t="n">
        <v>0</v>
      </c>
      <c r="M180" t="n">
        <v>0</v>
      </c>
      <c r="N180" t="n">
        <v>0</v>
      </c>
      <c r="O180" t="n">
        <v>0</v>
      </c>
      <c r="P180" t="n">
        <v>0</v>
      </c>
      <c r="Q180" t="n">
        <v>2</v>
      </c>
      <c r="R180" s="2" t="inlineStr">
        <is>
          <t>Tibast
Blåsippa</t>
        </is>
      </c>
      <c r="S180">
        <f>HYPERLINK("https://klasma.github.io/Logging_2281/artfynd/A 4896-2025 artfynd.xlsx", "A 4896-2025")</f>
        <v/>
      </c>
      <c r="T180">
        <f>HYPERLINK("https://klasma.github.io/Logging_2281/kartor/A 4896-2025 karta.png", "A 4896-2025")</f>
        <v/>
      </c>
      <c r="U180">
        <f>HYPERLINK("https://klasma.github.io/Logging_2281/knärot/A 4896-2025 karta knärot.png", "A 4896-2025")</f>
        <v/>
      </c>
      <c r="V180">
        <f>HYPERLINK("https://klasma.github.io/Logging_2281/klagomål/A 4896-2025 FSC-klagomål.docx", "A 4896-2025")</f>
        <v/>
      </c>
      <c r="W180">
        <f>HYPERLINK("https://klasma.github.io/Logging_2281/klagomålsmail/A 4896-2025 FSC-klagomål mail.docx", "A 4896-2025")</f>
        <v/>
      </c>
      <c r="X180">
        <f>HYPERLINK("https://klasma.github.io/Logging_2281/tillsyn/A 4896-2025 tillsynsbegäran.docx", "A 4896-2025")</f>
        <v/>
      </c>
      <c r="Y180">
        <f>HYPERLINK("https://klasma.github.io/Logging_2281/tillsynsmail/A 4896-2025 tillsynsbegäran mail.docx", "A 4896-2025")</f>
        <v/>
      </c>
    </row>
    <row r="181" ht="15" customHeight="1">
      <c r="A181" t="inlineStr">
        <is>
          <t>A 4871-2025</t>
        </is>
      </c>
      <c r="B181" s="1" t="n">
        <v>45688</v>
      </c>
      <c r="C181" s="1" t="n">
        <v>45829</v>
      </c>
      <c r="D181" t="inlineStr">
        <is>
          <t>VÄSTERNORRLANDS LÄN</t>
        </is>
      </c>
      <c r="E181" t="inlineStr">
        <is>
          <t>SUNDSVALL</t>
        </is>
      </c>
      <c r="F181" t="inlineStr">
        <is>
          <t>SCA</t>
        </is>
      </c>
      <c r="G181" t="n">
        <v>11.5</v>
      </c>
      <c r="H181" t="n">
        <v>1</v>
      </c>
      <c r="I181" t="n">
        <v>0</v>
      </c>
      <c r="J181" t="n">
        <v>2</v>
      </c>
      <c r="K181" t="n">
        <v>0</v>
      </c>
      <c r="L181" t="n">
        <v>0</v>
      </c>
      <c r="M181" t="n">
        <v>0</v>
      </c>
      <c r="N181" t="n">
        <v>0</v>
      </c>
      <c r="O181" t="n">
        <v>2</v>
      </c>
      <c r="P181" t="n">
        <v>0</v>
      </c>
      <c r="Q181" t="n">
        <v>2</v>
      </c>
      <c r="R181" s="2" t="inlineStr">
        <is>
          <t>Spillkråka
Ullticka</t>
        </is>
      </c>
      <c r="S181">
        <f>HYPERLINK("https://klasma.github.io/Logging_2281/artfynd/A 4871-2025 artfynd.xlsx", "A 4871-2025")</f>
        <v/>
      </c>
      <c r="T181">
        <f>HYPERLINK("https://klasma.github.io/Logging_2281/kartor/A 4871-2025 karta.png", "A 4871-2025")</f>
        <v/>
      </c>
      <c r="U181">
        <f>HYPERLINK("https://klasma.github.io/Logging_2281/knärot/A 4871-2025 karta knärot.png", "A 4871-2025")</f>
        <v/>
      </c>
      <c r="V181">
        <f>HYPERLINK("https://klasma.github.io/Logging_2281/klagomål/A 4871-2025 FSC-klagomål.docx", "A 4871-2025")</f>
        <v/>
      </c>
      <c r="W181">
        <f>HYPERLINK("https://klasma.github.io/Logging_2281/klagomålsmail/A 4871-2025 FSC-klagomål mail.docx", "A 4871-2025")</f>
        <v/>
      </c>
      <c r="X181">
        <f>HYPERLINK("https://klasma.github.io/Logging_2281/tillsyn/A 4871-2025 tillsynsbegäran.docx", "A 4871-2025")</f>
        <v/>
      </c>
      <c r="Y181">
        <f>HYPERLINK("https://klasma.github.io/Logging_2281/tillsynsmail/A 4871-2025 tillsynsbegäran mail.docx", "A 4871-2025")</f>
        <v/>
      </c>
      <c r="Z181">
        <f>HYPERLINK("https://klasma.github.io/Logging_2281/fåglar/A 4871-2025 prioriterade fågelarter.docx", "A 4871-2025")</f>
        <v/>
      </c>
    </row>
    <row r="182" ht="15" customHeight="1">
      <c r="A182" t="inlineStr">
        <is>
          <t>A 4900-2025</t>
        </is>
      </c>
      <c r="B182" s="1" t="n">
        <v>45688</v>
      </c>
      <c r="C182" s="1" t="n">
        <v>45829</v>
      </c>
      <c r="D182" t="inlineStr">
        <is>
          <t>VÄSTERNORRLANDS LÄN</t>
        </is>
      </c>
      <c r="E182" t="inlineStr">
        <is>
          <t>SUNDSVALL</t>
        </is>
      </c>
      <c r="F182" t="inlineStr">
        <is>
          <t>SCA</t>
        </is>
      </c>
      <c r="G182" t="n">
        <v>10.4</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4900-2025 artfynd.xlsx", "A 4900-2025")</f>
        <v/>
      </c>
      <c r="T182">
        <f>HYPERLINK("https://klasma.github.io/Logging_2281/kartor/A 4900-2025 karta.png", "A 4900-2025")</f>
        <v/>
      </c>
      <c r="U182">
        <f>HYPERLINK("https://klasma.github.io/Logging_2281/knärot/A 4900-2025 karta knärot.png", "A 4900-2025")</f>
        <v/>
      </c>
      <c r="V182">
        <f>HYPERLINK("https://klasma.github.io/Logging_2281/klagomål/A 4900-2025 FSC-klagomål.docx", "A 4900-2025")</f>
        <v/>
      </c>
      <c r="W182">
        <f>HYPERLINK("https://klasma.github.io/Logging_2281/klagomålsmail/A 4900-2025 FSC-klagomål mail.docx", "A 4900-2025")</f>
        <v/>
      </c>
      <c r="X182">
        <f>HYPERLINK("https://klasma.github.io/Logging_2281/tillsyn/A 4900-2025 tillsynsbegäran.docx", "A 4900-2025")</f>
        <v/>
      </c>
      <c r="Y182">
        <f>HYPERLINK("https://klasma.github.io/Logging_2281/tillsynsmail/A 4900-2025 tillsynsbegäran mail.docx", "A 4900-2025")</f>
        <v/>
      </c>
    </row>
    <row r="183" ht="15" customHeight="1">
      <c r="A183" t="inlineStr">
        <is>
          <t>A 6672-2025</t>
        </is>
      </c>
      <c r="B183" s="1" t="n">
        <v>45700</v>
      </c>
      <c r="C183" s="1" t="n">
        <v>45829</v>
      </c>
      <c r="D183" t="inlineStr">
        <is>
          <t>VÄSTERNORRLANDS LÄN</t>
        </is>
      </c>
      <c r="E183" t="inlineStr">
        <is>
          <t>SUNDSVALL</t>
        </is>
      </c>
      <c r="G183" t="n">
        <v>2.8</v>
      </c>
      <c r="H183" t="n">
        <v>0</v>
      </c>
      <c r="I183" t="n">
        <v>1</v>
      </c>
      <c r="J183" t="n">
        <v>1</v>
      </c>
      <c r="K183" t="n">
        <v>0</v>
      </c>
      <c r="L183" t="n">
        <v>0</v>
      </c>
      <c r="M183" t="n">
        <v>0</v>
      </c>
      <c r="N183" t="n">
        <v>0</v>
      </c>
      <c r="O183" t="n">
        <v>1</v>
      </c>
      <c r="P183" t="n">
        <v>0</v>
      </c>
      <c r="Q183" t="n">
        <v>2</v>
      </c>
      <c r="R183" s="2" t="inlineStr">
        <is>
          <t>Tallticka
Björksplintborre</t>
        </is>
      </c>
      <c r="S183">
        <f>HYPERLINK("https://klasma.github.io/Logging_2281/artfynd/A 6672-2025 artfynd.xlsx", "A 6672-2025")</f>
        <v/>
      </c>
      <c r="T183">
        <f>HYPERLINK("https://klasma.github.io/Logging_2281/kartor/A 6672-2025 karta.png", "A 6672-2025")</f>
        <v/>
      </c>
      <c r="V183">
        <f>HYPERLINK("https://klasma.github.io/Logging_2281/klagomål/A 6672-2025 FSC-klagomål.docx", "A 6672-2025")</f>
        <v/>
      </c>
      <c r="W183">
        <f>HYPERLINK("https://klasma.github.io/Logging_2281/klagomålsmail/A 6672-2025 FSC-klagomål mail.docx", "A 6672-2025")</f>
        <v/>
      </c>
      <c r="X183">
        <f>HYPERLINK("https://klasma.github.io/Logging_2281/tillsyn/A 6672-2025 tillsynsbegäran.docx", "A 6672-2025")</f>
        <v/>
      </c>
      <c r="Y183">
        <f>HYPERLINK("https://klasma.github.io/Logging_2281/tillsynsmail/A 6672-2025 tillsynsbegäran mail.docx", "A 6672-2025")</f>
        <v/>
      </c>
    </row>
    <row r="184" ht="15" customHeight="1">
      <c r="A184" t="inlineStr">
        <is>
          <t>A 13154-2025</t>
        </is>
      </c>
      <c r="B184" s="1" t="n">
        <v>45735</v>
      </c>
      <c r="C184" s="1" t="n">
        <v>45829</v>
      </c>
      <c r="D184" t="inlineStr">
        <is>
          <t>VÄSTERNORRLANDS LÄN</t>
        </is>
      </c>
      <c r="E184" t="inlineStr">
        <is>
          <t>SUNDSVALL</t>
        </is>
      </c>
      <c r="G184" t="n">
        <v>2.6</v>
      </c>
      <c r="H184" t="n">
        <v>0</v>
      </c>
      <c r="I184" t="n">
        <v>1</v>
      </c>
      <c r="J184" t="n">
        <v>1</v>
      </c>
      <c r="K184" t="n">
        <v>0</v>
      </c>
      <c r="L184" t="n">
        <v>0</v>
      </c>
      <c r="M184" t="n">
        <v>0</v>
      </c>
      <c r="N184" t="n">
        <v>0</v>
      </c>
      <c r="O184" t="n">
        <v>1</v>
      </c>
      <c r="P184" t="n">
        <v>0</v>
      </c>
      <c r="Q184" t="n">
        <v>2</v>
      </c>
      <c r="R184" s="2" t="inlineStr">
        <is>
          <t>Tallticka
Björksplintborre</t>
        </is>
      </c>
      <c r="S184">
        <f>HYPERLINK("https://klasma.github.io/Logging_222281/artfynd/A 13154-2025 artfynd.xlsx", "A 13154-2025")</f>
        <v/>
      </c>
      <c r="T184">
        <f>HYPERLINK("https://klasma.github.io/Logging_222281/kartor/A 13154-2025 karta.png", "A 13154-2025")</f>
        <v/>
      </c>
      <c r="V184">
        <f>HYPERLINK("https://klasma.github.io/Logging_222281/klagomål/A 13154-2025 FSC-klagomål.docx", "A 13154-2025")</f>
        <v/>
      </c>
      <c r="W184">
        <f>HYPERLINK("https://klasma.github.io/Logging_222281/klagomålsmail/A 13154-2025 FSC-klagomål mail.docx", "A 13154-2025")</f>
        <v/>
      </c>
      <c r="X184">
        <f>HYPERLINK("https://klasma.github.io/Logging_222281/tillsyn/A 13154-2025 tillsynsbegäran.docx", "A 13154-2025")</f>
        <v/>
      </c>
      <c r="Y184">
        <f>HYPERLINK("https://klasma.github.io/Logging_222281/tillsynsmail/A 13154-2025 tillsynsbegäran mail.docx", "A 13154-2025")</f>
        <v/>
      </c>
    </row>
    <row r="185" ht="15" customHeight="1">
      <c r="A185" t="inlineStr">
        <is>
          <t>A 13441-2025</t>
        </is>
      </c>
      <c r="B185" s="1" t="n">
        <v>45736</v>
      </c>
      <c r="C185" s="1" t="n">
        <v>45829</v>
      </c>
      <c r="D185" t="inlineStr">
        <is>
          <t>VÄSTERNORRLANDS LÄN</t>
        </is>
      </c>
      <c r="E185" t="inlineStr">
        <is>
          <t>SUNDSVALL</t>
        </is>
      </c>
      <c r="F185" t="inlineStr">
        <is>
          <t>SCA</t>
        </is>
      </c>
      <c r="G185" t="n">
        <v>0.8</v>
      </c>
      <c r="H185" t="n">
        <v>0</v>
      </c>
      <c r="I185" t="n">
        <v>1</v>
      </c>
      <c r="J185" t="n">
        <v>1</v>
      </c>
      <c r="K185" t="n">
        <v>0</v>
      </c>
      <c r="L185" t="n">
        <v>0</v>
      </c>
      <c r="M185" t="n">
        <v>0</v>
      </c>
      <c r="N185" t="n">
        <v>0</v>
      </c>
      <c r="O185" t="n">
        <v>1</v>
      </c>
      <c r="P185" t="n">
        <v>0</v>
      </c>
      <c r="Q185" t="n">
        <v>2</v>
      </c>
      <c r="R185" s="2" t="inlineStr">
        <is>
          <t>Vedtrappmossa
Vedticka</t>
        </is>
      </c>
      <c r="S185">
        <f>HYPERLINK("https://klasma.github.io/Logging_222281/artfynd/A 13441-2025 artfynd.xlsx", "A 13441-2025")</f>
        <v/>
      </c>
      <c r="T185">
        <f>HYPERLINK("https://klasma.github.io/Logging_222281/kartor/A 13441-2025 karta.png", "A 13441-2025")</f>
        <v/>
      </c>
      <c r="V185">
        <f>HYPERLINK("https://klasma.github.io/Logging_222281/klagomål/A 13441-2025 FSC-klagomål.docx", "A 13441-2025")</f>
        <v/>
      </c>
      <c r="W185">
        <f>HYPERLINK("https://klasma.github.io/Logging_222281/klagomålsmail/A 13441-2025 FSC-klagomål mail.docx", "A 13441-2025")</f>
        <v/>
      </c>
      <c r="X185">
        <f>HYPERLINK("https://klasma.github.io/Logging_222281/tillsyn/A 13441-2025 tillsynsbegäran.docx", "A 13441-2025")</f>
        <v/>
      </c>
      <c r="Y185">
        <f>HYPERLINK("https://klasma.github.io/Logging_222281/tillsynsmail/A 13441-2025 tillsynsbegäran mail.docx", "A 13441-2025")</f>
        <v/>
      </c>
    </row>
    <row r="186" ht="15" customHeight="1">
      <c r="A186" t="inlineStr">
        <is>
          <t>A 16043-2025</t>
        </is>
      </c>
      <c r="B186" s="1" t="n">
        <v>45749</v>
      </c>
      <c r="C186" s="1" t="n">
        <v>45829</v>
      </c>
      <c r="D186" t="inlineStr">
        <is>
          <t>VÄSTERNORRLANDS LÄN</t>
        </is>
      </c>
      <c r="E186" t="inlineStr">
        <is>
          <t>SUNDSVALL</t>
        </is>
      </c>
      <c r="G186" t="n">
        <v>10.5</v>
      </c>
      <c r="H186" t="n">
        <v>2</v>
      </c>
      <c r="I186" t="n">
        <v>0</v>
      </c>
      <c r="J186" t="n">
        <v>1</v>
      </c>
      <c r="K186" t="n">
        <v>0</v>
      </c>
      <c r="L186" t="n">
        <v>0</v>
      </c>
      <c r="M186" t="n">
        <v>0</v>
      </c>
      <c r="N186" t="n">
        <v>0</v>
      </c>
      <c r="O186" t="n">
        <v>1</v>
      </c>
      <c r="P186" t="n">
        <v>0</v>
      </c>
      <c r="Q186" t="n">
        <v>2</v>
      </c>
      <c r="R186" s="2" t="inlineStr">
        <is>
          <t>Pilgrimsfalk
Sparvuggla</t>
        </is>
      </c>
      <c r="S186">
        <f>HYPERLINK("https://klasma.github.io/Logging_222281/artfynd/A 16043-2025 artfynd.xlsx", "A 16043-2025")</f>
        <v/>
      </c>
      <c r="T186">
        <f>HYPERLINK("https://klasma.github.io/Logging_222281/kartor/A 16043-2025 karta.png", "A 16043-2025")</f>
        <v/>
      </c>
      <c r="V186">
        <f>HYPERLINK("https://klasma.github.io/Logging_222281/klagomål/A 16043-2025 FSC-klagomål.docx", "A 16043-2025")</f>
        <v/>
      </c>
      <c r="W186">
        <f>HYPERLINK("https://klasma.github.io/Logging_222281/klagomålsmail/A 16043-2025 FSC-klagomål mail.docx", "A 16043-2025")</f>
        <v/>
      </c>
      <c r="X186">
        <f>HYPERLINK("https://klasma.github.io/Logging_222281/tillsyn/A 16043-2025 tillsynsbegäran.docx", "A 16043-2025")</f>
        <v/>
      </c>
      <c r="Y186">
        <f>HYPERLINK("https://klasma.github.io/Logging_222281/tillsynsmail/A 16043-2025 tillsynsbegäran mail.docx", "A 16043-2025")</f>
        <v/>
      </c>
      <c r="Z186">
        <f>HYPERLINK("https://klasma.github.io/Logging_222281/fåglar/A 16043-2025 prioriterade fågelarter.docx", "A 16043-2025")</f>
        <v/>
      </c>
    </row>
    <row r="187" ht="15" customHeight="1">
      <c r="A187" t="inlineStr">
        <is>
          <t>A 21373-2025</t>
        </is>
      </c>
      <c r="B187" s="1" t="n">
        <v>45782</v>
      </c>
      <c r="C187" s="1" t="n">
        <v>45829</v>
      </c>
      <c r="D187" t="inlineStr">
        <is>
          <t>VÄSTERNORRLANDS LÄN</t>
        </is>
      </c>
      <c r="E187" t="inlineStr">
        <is>
          <t>SUNDSVALL</t>
        </is>
      </c>
      <c r="F187" t="inlineStr">
        <is>
          <t>Naturvårdsverket</t>
        </is>
      </c>
      <c r="G187" t="n">
        <v>3.1</v>
      </c>
      <c r="H187" t="n">
        <v>0</v>
      </c>
      <c r="I187" t="n">
        <v>0</v>
      </c>
      <c r="J187" t="n">
        <v>2</v>
      </c>
      <c r="K187" t="n">
        <v>0</v>
      </c>
      <c r="L187" t="n">
        <v>0</v>
      </c>
      <c r="M187" t="n">
        <v>0</v>
      </c>
      <c r="N187" t="n">
        <v>0</v>
      </c>
      <c r="O187" t="n">
        <v>2</v>
      </c>
      <c r="P187" t="n">
        <v>0</v>
      </c>
      <c r="Q187" t="n">
        <v>2</v>
      </c>
      <c r="R187" s="2" t="inlineStr">
        <is>
          <t>Kolflarnlav
Lunglav</t>
        </is>
      </c>
      <c r="S187">
        <f>HYPERLINK("https://klasma.github.io/Logging_222281/artfynd/A 21373-2025 artfynd.xlsx", "A 21373-2025")</f>
        <v/>
      </c>
      <c r="T187">
        <f>HYPERLINK("https://klasma.github.io/Logging_222281/kartor/A 21373-2025 karta.png", "A 21373-2025")</f>
        <v/>
      </c>
      <c r="V187">
        <f>HYPERLINK("https://klasma.github.io/Logging_222281/klagomål/A 21373-2025 FSC-klagomål.docx", "A 21373-2025")</f>
        <v/>
      </c>
      <c r="W187">
        <f>HYPERLINK("https://klasma.github.io/Logging_222281/klagomålsmail/A 21373-2025 FSC-klagomål mail.docx", "A 21373-2025")</f>
        <v/>
      </c>
      <c r="X187">
        <f>HYPERLINK("https://klasma.github.io/Logging_222281/tillsyn/A 21373-2025 tillsynsbegäran.docx", "A 21373-2025")</f>
        <v/>
      </c>
      <c r="Y187">
        <f>HYPERLINK("https://klasma.github.io/Logging_222281/tillsynsmail/A 21373-2025 tillsynsbegäran mail.docx", "A 21373-2025")</f>
        <v/>
      </c>
    </row>
    <row r="188" ht="15" customHeight="1">
      <c r="A188" t="inlineStr">
        <is>
          <t>A 21321-2025</t>
        </is>
      </c>
      <c r="B188" s="1" t="n">
        <v>45782</v>
      </c>
      <c r="C188" s="1" t="n">
        <v>45829</v>
      </c>
      <c r="D188" t="inlineStr">
        <is>
          <t>VÄSTERNORRLANDS LÄN</t>
        </is>
      </c>
      <c r="E188" t="inlineStr">
        <is>
          <t>SUNDSVALL</t>
        </is>
      </c>
      <c r="F188" t="inlineStr">
        <is>
          <t>Naturvårdsverket</t>
        </is>
      </c>
      <c r="G188" t="n">
        <v>1.4</v>
      </c>
      <c r="H188" t="n">
        <v>0</v>
      </c>
      <c r="I188" t="n">
        <v>0</v>
      </c>
      <c r="J188" t="n">
        <v>2</v>
      </c>
      <c r="K188" t="n">
        <v>0</v>
      </c>
      <c r="L188" t="n">
        <v>0</v>
      </c>
      <c r="M188" t="n">
        <v>0</v>
      </c>
      <c r="N188" t="n">
        <v>0</v>
      </c>
      <c r="O188" t="n">
        <v>2</v>
      </c>
      <c r="P188" t="n">
        <v>0</v>
      </c>
      <c r="Q188" t="n">
        <v>2</v>
      </c>
      <c r="R188" s="2" t="inlineStr">
        <is>
          <t>Tallticka
Vedskivlav</t>
        </is>
      </c>
      <c r="S188">
        <f>HYPERLINK("https://klasma.github.io/Logging_222281/artfynd/A 21321-2025 artfynd.xlsx", "A 21321-2025")</f>
        <v/>
      </c>
      <c r="T188">
        <f>HYPERLINK("https://klasma.github.io/Logging_222281/kartor/A 21321-2025 karta.png", "A 21321-2025")</f>
        <v/>
      </c>
      <c r="V188">
        <f>HYPERLINK("https://klasma.github.io/Logging_222281/klagomål/A 21321-2025 FSC-klagomål.docx", "A 21321-2025")</f>
        <v/>
      </c>
      <c r="W188">
        <f>HYPERLINK("https://klasma.github.io/Logging_222281/klagomålsmail/A 21321-2025 FSC-klagomål mail.docx", "A 21321-2025")</f>
        <v/>
      </c>
      <c r="X188">
        <f>HYPERLINK("https://klasma.github.io/Logging_222281/tillsyn/A 21321-2025 tillsynsbegäran.docx", "A 21321-2025")</f>
        <v/>
      </c>
      <c r="Y188">
        <f>HYPERLINK("https://klasma.github.io/Logging_222281/tillsynsmail/A 21321-2025 tillsynsbegäran mail.docx", "A 21321-2025")</f>
        <v/>
      </c>
    </row>
    <row r="189" ht="15" customHeight="1">
      <c r="A189" t="inlineStr">
        <is>
          <t>A 23364-2025</t>
        </is>
      </c>
      <c r="B189" s="1" t="n">
        <v>45791</v>
      </c>
      <c r="C189" s="1" t="n">
        <v>45829</v>
      </c>
      <c r="D189" t="inlineStr">
        <is>
          <t>VÄSTERNORRLANDS LÄN</t>
        </is>
      </c>
      <c r="E189" t="inlineStr">
        <is>
          <t>SUNDSVALL</t>
        </is>
      </c>
      <c r="F189" t="inlineStr">
        <is>
          <t>SCA</t>
        </is>
      </c>
      <c r="G189" t="n">
        <v>4</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HYPERLINK("https://klasma.github.io/Logging_222281/artfynd/A 23364-2025 artfynd.xlsx", "A 23364-2025")</f>
        <v/>
      </c>
      <c r="T189">
        <f>HYPERLINK("https://klasma.github.io/Logging_222281/kartor/A 23364-2025 karta.png", "A 23364-2025")</f>
        <v/>
      </c>
      <c r="V189">
        <f>HYPERLINK("https://klasma.github.io/Logging_222281/klagomål/A 23364-2025 FSC-klagomål.docx", "A 23364-2025")</f>
        <v/>
      </c>
      <c r="W189">
        <f>HYPERLINK("https://klasma.github.io/Logging_222281/klagomålsmail/A 23364-2025 FSC-klagomål mail.docx", "A 23364-2025")</f>
        <v/>
      </c>
      <c r="X189">
        <f>HYPERLINK("https://klasma.github.io/Logging_222281/tillsyn/A 23364-2025 tillsynsbegäran.docx", "A 23364-2025")</f>
        <v/>
      </c>
      <c r="Y189">
        <f>HYPERLINK("https://klasma.github.io/Logging_222281/tillsynsmail/A 23364-2025 tillsynsbegäran mail.docx", "A 23364-2025")</f>
        <v/>
      </c>
      <c r="Z189">
        <f>HYPERLINK("https://klasma.github.io/Logging_222281/fåglar/A 23364-2025 prioriterade fågelarter.docx", "A 23364-2025")</f>
        <v/>
      </c>
    </row>
    <row r="190" ht="15" customHeight="1">
      <c r="A190" t="inlineStr">
        <is>
          <t>A 25500-2025</t>
        </is>
      </c>
      <c r="B190" s="1" t="n">
        <v>45803</v>
      </c>
      <c r="C190" s="1" t="n">
        <v>45829</v>
      </c>
      <c r="D190" t="inlineStr">
        <is>
          <t>VÄSTERNORRLANDS LÄN</t>
        </is>
      </c>
      <c r="E190" t="inlineStr">
        <is>
          <t>SUNDSVALL</t>
        </is>
      </c>
      <c r="F190" t="inlineStr">
        <is>
          <t>SCA</t>
        </is>
      </c>
      <c r="G190" t="n">
        <v>1.6</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HYPERLINK("https://klasma.github.io/Logging_222281/artfynd/A 25500-2025 artfynd.xlsx", "A 25500-2025")</f>
        <v/>
      </c>
      <c r="T190">
        <f>HYPERLINK("https://klasma.github.io/Logging_222281/kartor/A 25500-2025 karta.png", "A 25500-2025")</f>
        <v/>
      </c>
      <c r="V190">
        <f>HYPERLINK("https://klasma.github.io/Logging_222281/klagomål/A 25500-2025 FSC-klagomål.docx", "A 25500-2025")</f>
        <v/>
      </c>
      <c r="W190">
        <f>HYPERLINK("https://klasma.github.io/Logging_222281/klagomålsmail/A 25500-2025 FSC-klagomål mail.docx", "A 25500-2025")</f>
        <v/>
      </c>
      <c r="X190">
        <f>HYPERLINK("https://klasma.github.io/Logging_222281/tillsyn/A 25500-2025 tillsynsbegäran.docx", "A 25500-2025")</f>
        <v/>
      </c>
      <c r="Y190">
        <f>HYPERLINK("https://klasma.github.io/Logging_222281/tillsynsmail/A 25500-2025 tillsynsbegäran mail.docx", "A 25500-2025")</f>
        <v/>
      </c>
      <c r="Z190">
        <f>HYPERLINK("https://klasma.github.io/Logging_222281/fåglar/A 25500-2025 prioriterade fågelarter.docx", "A 25500-2025")</f>
        <v/>
      </c>
    </row>
    <row r="191" ht="15" customHeight="1">
      <c r="A191" t="inlineStr">
        <is>
          <t>A 25870-2025</t>
        </is>
      </c>
      <c r="B191" s="1" t="n">
        <v>45804</v>
      </c>
      <c r="C191" s="1" t="n">
        <v>45829</v>
      </c>
      <c r="D191" t="inlineStr">
        <is>
          <t>VÄSTERNORRLANDS LÄN</t>
        </is>
      </c>
      <c r="E191" t="inlineStr">
        <is>
          <t>SUNDSVALL</t>
        </is>
      </c>
      <c r="F191" t="inlineStr">
        <is>
          <t>Naturvårdsverket</t>
        </is>
      </c>
      <c r="G191" t="n">
        <v>1.6</v>
      </c>
      <c r="H191" t="n">
        <v>1</v>
      </c>
      <c r="I191" t="n">
        <v>1</v>
      </c>
      <c r="J191" t="n">
        <v>1</v>
      </c>
      <c r="K191" t="n">
        <v>0</v>
      </c>
      <c r="L191" t="n">
        <v>0</v>
      </c>
      <c r="M191" t="n">
        <v>0</v>
      </c>
      <c r="N191" t="n">
        <v>0</v>
      </c>
      <c r="O191" t="n">
        <v>1</v>
      </c>
      <c r="P191" t="n">
        <v>0</v>
      </c>
      <c r="Q191" t="n">
        <v>2</v>
      </c>
      <c r="R191" s="2" t="inlineStr">
        <is>
          <t>Lunglav
Spindelblomster</t>
        </is>
      </c>
      <c r="S191">
        <f>HYPERLINK("https://klasma.github.io/Logging_222281/artfynd/A 25870-2025 artfynd.xlsx", "A 25870-2025")</f>
        <v/>
      </c>
      <c r="T191">
        <f>HYPERLINK("https://klasma.github.io/Logging_222281/kartor/A 25870-2025 karta.png", "A 25870-2025")</f>
        <v/>
      </c>
      <c r="V191">
        <f>HYPERLINK("https://klasma.github.io/Logging_222281/klagomål/A 25870-2025 FSC-klagomål.docx", "A 25870-2025")</f>
        <v/>
      </c>
      <c r="W191">
        <f>HYPERLINK("https://klasma.github.io/Logging_222281/klagomålsmail/A 25870-2025 FSC-klagomål mail.docx", "A 25870-2025")</f>
        <v/>
      </c>
      <c r="X191">
        <f>HYPERLINK("https://klasma.github.io/Logging_222281/tillsyn/A 25870-2025 tillsynsbegäran.docx", "A 25870-2025")</f>
        <v/>
      </c>
      <c r="Y191">
        <f>HYPERLINK("https://klasma.github.io/Logging_222281/tillsynsmail/A 25870-2025 tillsynsbegäran mail.docx", "A 25870-2025")</f>
        <v/>
      </c>
    </row>
    <row r="192" ht="15" customHeight="1">
      <c r="A192" t="inlineStr">
        <is>
          <t>A 26392-2025</t>
        </is>
      </c>
      <c r="B192" s="1" t="n">
        <v>45806</v>
      </c>
      <c r="C192" s="1" t="n">
        <v>45829</v>
      </c>
      <c r="D192" t="inlineStr">
        <is>
          <t>VÄSTERNORRLANDS LÄN</t>
        </is>
      </c>
      <c r="E192" t="inlineStr">
        <is>
          <t>SUNDSVALL</t>
        </is>
      </c>
      <c r="F192" t="inlineStr">
        <is>
          <t>Naturvårdsverket</t>
        </is>
      </c>
      <c r="G192" t="n">
        <v>7.5</v>
      </c>
      <c r="H192" t="n">
        <v>0</v>
      </c>
      <c r="I192" t="n">
        <v>0</v>
      </c>
      <c r="J192" t="n">
        <v>2</v>
      </c>
      <c r="K192" t="n">
        <v>0</v>
      </c>
      <c r="L192" t="n">
        <v>0</v>
      </c>
      <c r="M192" t="n">
        <v>0</v>
      </c>
      <c r="N192" t="n">
        <v>0</v>
      </c>
      <c r="O192" t="n">
        <v>2</v>
      </c>
      <c r="P192" t="n">
        <v>0</v>
      </c>
      <c r="Q192" t="n">
        <v>2</v>
      </c>
      <c r="R192" s="2" t="inlineStr">
        <is>
          <t>Doftskinn
Lunglav</t>
        </is>
      </c>
      <c r="S192">
        <f>HYPERLINK("https://klasma.github.io/Logging_222281/artfynd/A 26392-2025 artfynd.xlsx", "A 26392-2025")</f>
        <v/>
      </c>
      <c r="T192">
        <f>HYPERLINK("https://klasma.github.io/Logging_222281/kartor/A 26392-2025 karta.png", "A 26392-2025")</f>
        <v/>
      </c>
      <c r="V192">
        <f>HYPERLINK("https://klasma.github.io/Logging_222281/klagomål/A 26392-2025 FSC-klagomål.docx", "A 26392-2025")</f>
        <v/>
      </c>
      <c r="W192">
        <f>HYPERLINK("https://klasma.github.io/Logging_222281/klagomålsmail/A 26392-2025 FSC-klagomål mail.docx", "A 26392-2025")</f>
        <v/>
      </c>
      <c r="X192">
        <f>HYPERLINK("https://klasma.github.io/Logging_222281/tillsyn/A 26392-2025 tillsynsbegäran.docx", "A 26392-2025")</f>
        <v/>
      </c>
      <c r="Y192">
        <f>HYPERLINK("https://klasma.github.io/Logging_222281/tillsynsmail/A 26392-2025 tillsynsbegäran mail.docx", "A 26392-2025")</f>
        <v/>
      </c>
    </row>
    <row r="193" ht="15" customHeight="1">
      <c r="A193" t="inlineStr">
        <is>
          <t>A 26833-2025</t>
        </is>
      </c>
      <c r="B193" s="1" t="n">
        <v>45810</v>
      </c>
      <c r="C193" s="1" t="n">
        <v>45829</v>
      </c>
      <c r="D193" t="inlineStr">
        <is>
          <t>VÄSTERNORRLANDS LÄN</t>
        </is>
      </c>
      <c r="E193" t="inlineStr">
        <is>
          <t>SUNDSVALL</t>
        </is>
      </c>
      <c r="F193" t="inlineStr">
        <is>
          <t>SCA</t>
        </is>
      </c>
      <c r="G193" t="n">
        <v>6</v>
      </c>
      <c r="H193" t="n">
        <v>0</v>
      </c>
      <c r="I193" t="n">
        <v>0</v>
      </c>
      <c r="J193" t="n">
        <v>2</v>
      </c>
      <c r="K193" t="n">
        <v>0</v>
      </c>
      <c r="L193" t="n">
        <v>0</v>
      </c>
      <c r="M193" t="n">
        <v>0</v>
      </c>
      <c r="N193" t="n">
        <v>0</v>
      </c>
      <c r="O193" t="n">
        <v>2</v>
      </c>
      <c r="P193" t="n">
        <v>0</v>
      </c>
      <c r="Q193" t="n">
        <v>2</v>
      </c>
      <c r="R193" s="2" t="inlineStr">
        <is>
          <t>Kolflarnlav
Vedskivlav</t>
        </is>
      </c>
      <c r="S193">
        <f>HYPERLINK("https://klasma.github.io/Logging_222281/artfynd/A 26833-2025 artfynd.xlsx", "A 26833-2025")</f>
        <v/>
      </c>
      <c r="T193">
        <f>HYPERLINK("https://klasma.github.io/Logging_222281/kartor/A 26833-2025 karta.png", "A 26833-2025")</f>
        <v/>
      </c>
      <c r="V193">
        <f>HYPERLINK("https://klasma.github.io/Logging_222281/klagomål/A 26833-2025 FSC-klagomål.docx", "A 26833-2025")</f>
        <v/>
      </c>
      <c r="W193">
        <f>HYPERLINK("https://klasma.github.io/Logging_222281/klagomålsmail/A 26833-2025 FSC-klagomål mail.docx", "A 26833-2025")</f>
        <v/>
      </c>
      <c r="X193">
        <f>HYPERLINK("https://klasma.github.io/Logging_222281/tillsyn/A 26833-2025 tillsynsbegäran.docx", "A 26833-2025")</f>
        <v/>
      </c>
      <c r="Y193">
        <f>HYPERLINK("https://klasma.github.io/Logging_222281/tillsynsmail/A 26833-2025 tillsynsbegäran mail.docx", "A 26833-2025")</f>
        <v/>
      </c>
    </row>
    <row r="194" ht="15" customHeight="1">
      <c r="A194" t="inlineStr">
        <is>
          <t>A 26834-2025</t>
        </is>
      </c>
      <c r="B194" s="1" t="n">
        <v>45810</v>
      </c>
      <c r="C194" s="1" t="n">
        <v>45829</v>
      </c>
      <c r="D194" t="inlineStr">
        <is>
          <t>VÄSTERNORRLANDS LÄN</t>
        </is>
      </c>
      <c r="E194" t="inlineStr">
        <is>
          <t>SUNDSVALL</t>
        </is>
      </c>
      <c r="F194" t="inlineStr">
        <is>
          <t>SCA</t>
        </is>
      </c>
      <c r="G194" t="n">
        <v>1.9</v>
      </c>
      <c r="H194" t="n">
        <v>0</v>
      </c>
      <c r="I194" t="n">
        <v>0</v>
      </c>
      <c r="J194" t="n">
        <v>2</v>
      </c>
      <c r="K194" t="n">
        <v>0</v>
      </c>
      <c r="L194" t="n">
        <v>0</v>
      </c>
      <c r="M194" t="n">
        <v>0</v>
      </c>
      <c r="N194" t="n">
        <v>0</v>
      </c>
      <c r="O194" t="n">
        <v>2</v>
      </c>
      <c r="P194" t="n">
        <v>0</v>
      </c>
      <c r="Q194" t="n">
        <v>2</v>
      </c>
      <c r="R194" s="2" t="inlineStr">
        <is>
          <t>Garnlav
Kolflarnlav</t>
        </is>
      </c>
      <c r="S194">
        <f>HYPERLINK("https://klasma.github.io/Logging_222281/artfynd/A 26834-2025 artfynd.xlsx", "A 26834-2025")</f>
        <v/>
      </c>
      <c r="T194">
        <f>HYPERLINK("https://klasma.github.io/Logging_222281/kartor/A 26834-2025 karta.png", "A 26834-2025")</f>
        <v/>
      </c>
      <c r="V194">
        <f>HYPERLINK("https://klasma.github.io/Logging_222281/klagomål/A 26834-2025 FSC-klagomål.docx", "A 26834-2025")</f>
        <v/>
      </c>
      <c r="W194">
        <f>HYPERLINK("https://klasma.github.io/Logging_222281/klagomålsmail/A 26834-2025 FSC-klagomål mail.docx", "A 26834-2025")</f>
        <v/>
      </c>
      <c r="X194">
        <f>HYPERLINK("https://klasma.github.io/Logging_222281/tillsyn/A 26834-2025 tillsynsbegäran.docx", "A 26834-2025")</f>
        <v/>
      </c>
      <c r="Y194">
        <f>HYPERLINK("https://klasma.github.io/Logging_222281/tillsynsmail/A 26834-2025 tillsynsbegäran mail.docx", "A 26834-2025")</f>
        <v/>
      </c>
    </row>
    <row r="195" ht="15" customHeight="1">
      <c r="A195" t="inlineStr">
        <is>
          <t>A 27216-2019</t>
        </is>
      </c>
      <c r="B195" s="1" t="n">
        <v>43614</v>
      </c>
      <c r="C195" s="1" t="n">
        <v>45829</v>
      </c>
      <c r="D195" t="inlineStr">
        <is>
          <t>VÄSTERNORRLANDS LÄN</t>
        </is>
      </c>
      <c r="E195" t="inlineStr">
        <is>
          <t>SUNDSVALL</t>
        </is>
      </c>
      <c r="G195" t="n">
        <v>3.7</v>
      </c>
      <c r="H195" t="n">
        <v>1</v>
      </c>
      <c r="I195" t="n">
        <v>0</v>
      </c>
      <c r="J195" t="n">
        <v>0</v>
      </c>
      <c r="K195" t="n">
        <v>0</v>
      </c>
      <c r="L195" t="n">
        <v>0</v>
      </c>
      <c r="M195" t="n">
        <v>0</v>
      </c>
      <c r="N195" t="n">
        <v>0</v>
      </c>
      <c r="O195" t="n">
        <v>0</v>
      </c>
      <c r="P195" t="n">
        <v>0</v>
      </c>
      <c r="Q195" t="n">
        <v>1</v>
      </c>
      <c r="R195" s="2" t="inlineStr">
        <is>
          <t>Blåsippa</t>
        </is>
      </c>
      <c r="S195">
        <f>HYPERLINK("https://klasma.github.io/Logging_2281/artfynd/A 27216-2019 artfynd.xlsx", "A 27216-2019")</f>
        <v/>
      </c>
      <c r="T195">
        <f>HYPERLINK("https://klasma.github.io/Logging_2281/kartor/A 27216-2019 karta.png", "A 27216-2019")</f>
        <v/>
      </c>
      <c r="V195">
        <f>HYPERLINK("https://klasma.github.io/Logging_2281/klagomål/A 27216-2019 FSC-klagomål.docx", "A 27216-2019")</f>
        <v/>
      </c>
      <c r="W195">
        <f>HYPERLINK("https://klasma.github.io/Logging_2281/klagomålsmail/A 27216-2019 FSC-klagomål mail.docx", "A 27216-2019")</f>
        <v/>
      </c>
      <c r="X195">
        <f>HYPERLINK("https://klasma.github.io/Logging_2281/tillsyn/A 27216-2019 tillsynsbegäran.docx", "A 27216-2019")</f>
        <v/>
      </c>
      <c r="Y195">
        <f>HYPERLINK("https://klasma.github.io/Logging_2281/tillsynsmail/A 27216-2019 tillsynsbegäran mail.docx", "A 27216-2019")</f>
        <v/>
      </c>
    </row>
    <row r="196" ht="15" customHeight="1">
      <c r="A196" t="inlineStr">
        <is>
          <t>A 44609-2019</t>
        </is>
      </c>
      <c r="B196" s="1" t="n">
        <v>43711</v>
      </c>
      <c r="C196" s="1" t="n">
        <v>45829</v>
      </c>
      <c r="D196" t="inlineStr">
        <is>
          <t>VÄSTERNORRLANDS LÄN</t>
        </is>
      </c>
      <c r="E196" t="inlineStr">
        <is>
          <t>SUNDSVALL</t>
        </is>
      </c>
      <c r="G196" t="n">
        <v>0.9</v>
      </c>
      <c r="H196" t="n">
        <v>1</v>
      </c>
      <c r="I196" t="n">
        <v>0</v>
      </c>
      <c r="J196" t="n">
        <v>0</v>
      </c>
      <c r="K196" t="n">
        <v>0</v>
      </c>
      <c r="L196" t="n">
        <v>0</v>
      </c>
      <c r="M196" t="n">
        <v>0</v>
      </c>
      <c r="N196" t="n">
        <v>0</v>
      </c>
      <c r="O196" t="n">
        <v>0</v>
      </c>
      <c r="P196" t="n">
        <v>0</v>
      </c>
      <c r="Q196" t="n">
        <v>1</v>
      </c>
      <c r="R196" s="2" t="inlineStr">
        <is>
          <t>Nattviol</t>
        </is>
      </c>
      <c r="S196">
        <f>HYPERLINK("https://klasma.github.io/Logging_2281/artfynd/A 44609-2019 artfynd.xlsx", "A 44609-2019")</f>
        <v/>
      </c>
      <c r="T196">
        <f>HYPERLINK("https://klasma.github.io/Logging_2281/kartor/A 44609-2019 karta.png", "A 44609-2019")</f>
        <v/>
      </c>
      <c r="V196">
        <f>HYPERLINK("https://klasma.github.io/Logging_2281/klagomål/A 44609-2019 FSC-klagomål.docx", "A 44609-2019")</f>
        <v/>
      </c>
      <c r="W196">
        <f>HYPERLINK("https://klasma.github.io/Logging_2281/klagomålsmail/A 44609-2019 FSC-klagomål mail.docx", "A 44609-2019")</f>
        <v/>
      </c>
      <c r="X196">
        <f>HYPERLINK("https://klasma.github.io/Logging_2281/tillsyn/A 44609-2019 tillsynsbegäran.docx", "A 44609-2019")</f>
        <v/>
      </c>
      <c r="Y196">
        <f>HYPERLINK("https://klasma.github.io/Logging_2281/tillsynsmail/A 44609-2019 tillsynsbegäran mail.docx", "A 44609-2019")</f>
        <v/>
      </c>
    </row>
    <row r="197" ht="15" customHeight="1">
      <c r="A197" t="inlineStr">
        <is>
          <t>A 66374-2019</t>
        </is>
      </c>
      <c r="B197" s="1" t="n">
        <v>43808</v>
      </c>
      <c r="C197" s="1" t="n">
        <v>45829</v>
      </c>
      <c r="D197" t="inlineStr">
        <is>
          <t>VÄSTERNORRLANDS LÄN</t>
        </is>
      </c>
      <c r="E197" t="inlineStr">
        <is>
          <t>SUNDSVALL</t>
        </is>
      </c>
      <c r="G197" t="n">
        <v>0.6</v>
      </c>
      <c r="H197" t="n">
        <v>1</v>
      </c>
      <c r="I197" t="n">
        <v>0</v>
      </c>
      <c r="J197" t="n">
        <v>1</v>
      </c>
      <c r="K197" t="n">
        <v>0</v>
      </c>
      <c r="L197" t="n">
        <v>0</v>
      </c>
      <c r="M197" t="n">
        <v>0</v>
      </c>
      <c r="N197" t="n">
        <v>0</v>
      </c>
      <c r="O197" t="n">
        <v>1</v>
      </c>
      <c r="P197" t="n">
        <v>0</v>
      </c>
      <c r="Q197" t="n">
        <v>1</v>
      </c>
      <c r="R197" s="2" t="inlineStr">
        <is>
          <t>Fjällvråk</t>
        </is>
      </c>
      <c r="S197">
        <f>HYPERLINK("https://klasma.github.io/Logging_2281/artfynd/A 66374-2019 artfynd.xlsx", "A 66374-2019")</f>
        <v/>
      </c>
      <c r="T197">
        <f>HYPERLINK("https://klasma.github.io/Logging_2281/kartor/A 66374-2019 karta.png", "A 66374-2019")</f>
        <v/>
      </c>
      <c r="V197">
        <f>HYPERLINK("https://klasma.github.io/Logging_2281/klagomål/A 66374-2019 FSC-klagomål.docx", "A 66374-2019")</f>
        <v/>
      </c>
      <c r="W197">
        <f>HYPERLINK("https://klasma.github.io/Logging_2281/klagomålsmail/A 66374-2019 FSC-klagomål mail.docx", "A 66374-2019")</f>
        <v/>
      </c>
      <c r="X197">
        <f>HYPERLINK("https://klasma.github.io/Logging_2281/tillsyn/A 66374-2019 tillsynsbegäran.docx", "A 66374-2019")</f>
        <v/>
      </c>
      <c r="Y197">
        <f>HYPERLINK("https://klasma.github.io/Logging_2281/tillsynsmail/A 66374-2019 tillsynsbegäran mail.docx", "A 66374-2019")</f>
        <v/>
      </c>
      <c r="Z197">
        <f>HYPERLINK("https://klasma.github.io/Logging_2281/fåglar/A 66374-2019 prioriterade fågelarter.docx", "A 66374-2019")</f>
        <v/>
      </c>
    </row>
    <row r="198" ht="15" customHeight="1">
      <c r="A198" t="inlineStr">
        <is>
          <t>A 970-2020</t>
        </is>
      </c>
      <c r="B198" s="1" t="n">
        <v>43839</v>
      </c>
      <c r="C198" s="1" t="n">
        <v>45829</v>
      </c>
      <c r="D198" t="inlineStr">
        <is>
          <t>VÄSTERNORRLANDS LÄN</t>
        </is>
      </c>
      <c r="E198" t="inlineStr">
        <is>
          <t>SUNDSVALL</t>
        </is>
      </c>
      <c r="F198" t="inlineStr">
        <is>
          <t>Kommuner</t>
        </is>
      </c>
      <c r="G198" t="n">
        <v>0.8</v>
      </c>
      <c r="H198" t="n">
        <v>1</v>
      </c>
      <c r="I198" t="n">
        <v>0</v>
      </c>
      <c r="J198" t="n">
        <v>1</v>
      </c>
      <c r="K198" t="n">
        <v>0</v>
      </c>
      <c r="L198" t="n">
        <v>0</v>
      </c>
      <c r="M198" t="n">
        <v>0</v>
      </c>
      <c r="N198" t="n">
        <v>0</v>
      </c>
      <c r="O198" t="n">
        <v>1</v>
      </c>
      <c r="P198" t="n">
        <v>0</v>
      </c>
      <c r="Q198" t="n">
        <v>1</v>
      </c>
      <c r="R198" s="2" t="inlineStr">
        <is>
          <t>Rosenfink</t>
        </is>
      </c>
      <c r="S198">
        <f>HYPERLINK("https://klasma.github.io/Logging_2281/artfynd/A 970-2020 artfynd.xlsx", "A 970-2020")</f>
        <v/>
      </c>
      <c r="T198">
        <f>HYPERLINK("https://klasma.github.io/Logging_2281/kartor/A 970-2020 karta.png", "A 970-2020")</f>
        <v/>
      </c>
      <c r="V198">
        <f>HYPERLINK("https://klasma.github.io/Logging_2281/klagomål/A 970-2020 FSC-klagomål.docx", "A 970-2020")</f>
        <v/>
      </c>
      <c r="W198">
        <f>HYPERLINK("https://klasma.github.io/Logging_2281/klagomålsmail/A 970-2020 FSC-klagomål mail.docx", "A 970-2020")</f>
        <v/>
      </c>
      <c r="X198">
        <f>HYPERLINK("https://klasma.github.io/Logging_2281/tillsyn/A 970-2020 tillsynsbegäran.docx", "A 970-2020")</f>
        <v/>
      </c>
      <c r="Y198">
        <f>HYPERLINK("https://klasma.github.io/Logging_2281/tillsynsmail/A 970-2020 tillsynsbegäran mail.docx", "A 970-2020")</f>
        <v/>
      </c>
      <c r="Z198">
        <f>HYPERLINK("https://klasma.github.io/Logging_2281/fåglar/A 970-2020 prioriterade fågelarter.docx", "A 970-2020")</f>
        <v/>
      </c>
    </row>
    <row r="199" ht="15" customHeight="1">
      <c r="A199" t="inlineStr">
        <is>
          <t>A 7956-2020</t>
        </is>
      </c>
      <c r="B199" s="1" t="n">
        <v>43873</v>
      </c>
      <c r="C199" s="1" t="n">
        <v>45829</v>
      </c>
      <c r="D199" t="inlineStr">
        <is>
          <t>VÄSTERNORRLANDS LÄN</t>
        </is>
      </c>
      <c r="E199" t="inlineStr">
        <is>
          <t>SUNDSVALL</t>
        </is>
      </c>
      <c r="G199" t="n">
        <v>15.3</v>
      </c>
      <c r="H199" t="n">
        <v>0</v>
      </c>
      <c r="I199" t="n">
        <v>0</v>
      </c>
      <c r="J199" t="n">
        <v>1</v>
      </c>
      <c r="K199" t="n">
        <v>0</v>
      </c>
      <c r="L199" t="n">
        <v>0</v>
      </c>
      <c r="M199" t="n">
        <v>0</v>
      </c>
      <c r="N199" t="n">
        <v>0</v>
      </c>
      <c r="O199" t="n">
        <v>1</v>
      </c>
      <c r="P199" t="n">
        <v>0</v>
      </c>
      <c r="Q199" t="n">
        <v>1</v>
      </c>
      <c r="R199" s="2" t="inlineStr">
        <is>
          <t>Vedskivlav</t>
        </is>
      </c>
      <c r="S199">
        <f>HYPERLINK("https://klasma.github.io/Logging_2281/artfynd/A 7956-2020 artfynd.xlsx", "A 7956-2020")</f>
        <v/>
      </c>
      <c r="T199">
        <f>HYPERLINK("https://klasma.github.io/Logging_2281/kartor/A 7956-2020 karta.png", "A 7956-2020")</f>
        <v/>
      </c>
      <c r="V199">
        <f>HYPERLINK("https://klasma.github.io/Logging_2281/klagomål/A 7956-2020 FSC-klagomål.docx", "A 7956-2020")</f>
        <v/>
      </c>
      <c r="W199">
        <f>HYPERLINK("https://klasma.github.io/Logging_2281/klagomålsmail/A 7956-2020 FSC-klagomål mail.docx", "A 7956-2020")</f>
        <v/>
      </c>
      <c r="X199">
        <f>HYPERLINK("https://klasma.github.io/Logging_2281/tillsyn/A 7956-2020 tillsynsbegäran.docx", "A 7956-2020")</f>
        <v/>
      </c>
      <c r="Y199">
        <f>HYPERLINK("https://klasma.github.io/Logging_2281/tillsynsmail/A 7956-2020 tillsynsbegäran mail.docx", "A 7956-2020")</f>
        <v/>
      </c>
    </row>
    <row r="200" ht="15" customHeight="1">
      <c r="A200" t="inlineStr">
        <is>
          <t>A 13082-2020</t>
        </is>
      </c>
      <c r="B200" s="1" t="n">
        <v>43900</v>
      </c>
      <c r="C200" s="1" t="n">
        <v>45829</v>
      </c>
      <c r="D200" t="inlineStr">
        <is>
          <t>VÄSTERNORRLANDS LÄN</t>
        </is>
      </c>
      <c r="E200" t="inlineStr">
        <is>
          <t>SUNDSVALL</t>
        </is>
      </c>
      <c r="G200" t="n">
        <v>12.8</v>
      </c>
      <c r="H200" t="n">
        <v>1</v>
      </c>
      <c r="I200" t="n">
        <v>0</v>
      </c>
      <c r="J200" t="n">
        <v>0</v>
      </c>
      <c r="K200" t="n">
        <v>0</v>
      </c>
      <c r="L200" t="n">
        <v>0</v>
      </c>
      <c r="M200" t="n">
        <v>0</v>
      </c>
      <c r="N200" t="n">
        <v>0</v>
      </c>
      <c r="O200" t="n">
        <v>0</v>
      </c>
      <c r="P200" t="n">
        <v>0</v>
      </c>
      <c r="Q200" t="n">
        <v>1</v>
      </c>
      <c r="R200" s="2" t="inlineStr">
        <is>
          <t>Blåsippa</t>
        </is>
      </c>
      <c r="S200">
        <f>HYPERLINK("https://klasma.github.io/Logging_2281/artfynd/A 13082-2020 artfynd.xlsx", "A 13082-2020")</f>
        <v/>
      </c>
      <c r="T200">
        <f>HYPERLINK("https://klasma.github.io/Logging_2281/kartor/A 13082-2020 karta.png", "A 13082-2020")</f>
        <v/>
      </c>
      <c r="V200">
        <f>HYPERLINK("https://klasma.github.io/Logging_2281/klagomål/A 13082-2020 FSC-klagomål.docx", "A 13082-2020")</f>
        <v/>
      </c>
      <c r="W200">
        <f>HYPERLINK("https://klasma.github.io/Logging_2281/klagomålsmail/A 13082-2020 FSC-klagomål mail.docx", "A 13082-2020")</f>
        <v/>
      </c>
      <c r="X200">
        <f>HYPERLINK("https://klasma.github.io/Logging_2281/tillsyn/A 13082-2020 tillsynsbegäran.docx", "A 13082-2020")</f>
        <v/>
      </c>
      <c r="Y200">
        <f>HYPERLINK("https://klasma.github.io/Logging_2281/tillsynsmail/A 13082-2020 tillsynsbegäran mail.docx", "A 13082-2020")</f>
        <v/>
      </c>
    </row>
    <row r="201" ht="15" customHeight="1">
      <c r="A201" t="inlineStr">
        <is>
          <t>A 28764-2020</t>
        </is>
      </c>
      <c r="B201" s="1" t="n">
        <v>43999</v>
      </c>
      <c r="C201" s="1" t="n">
        <v>45829</v>
      </c>
      <c r="D201" t="inlineStr">
        <is>
          <t>VÄSTERNORRLANDS LÄN</t>
        </is>
      </c>
      <c r="E201" t="inlineStr">
        <is>
          <t>SUNDSVALL</t>
        </is>
      </c>
      <c r="F201" t="inlineStr">
        <is>
          <t>SCA</t>
        </is>
      </c>
      <c r="G201" t="n">
        <v>2.7</v>
      </c>
      <c r="H201" t="n">
        <v>1</v>
      </c>
      <c r="I201" t="n">
        <v>0</v>
      </c>
      <c r="J201" t="n">
        <v>1</v>
      </c>
      <c r="K201" t="n">
        <v>0</v>
      </c>
      <c r="L201" t="n">
        <v>0</v>
      </c>
      <c r="M201" t="n">
        <v>0</v>
      </c>
      <c r="N201" t="n">
        <v>0</v>
      </c>
      <c r="O201" t="n">
        <v>1</v>
      </c>
      <c r="P201" t="n">
        <v>0</v>
      </c>
      <c r="Q201" t="n">
        <v>1</v>
      </c>
      <c r="R201" s="2" t="inlineStr">
        <is>
          <t>Utter</t>
        </is>
      </c>
      <c r="S201">
        <f>HYPERLINK("https://klasma.github.io/Logging_2281/artfynd/A 28764-2020 artfynd.xlsx", "A 28764-2020")</f>
        <v/>
      </c>
      <c r="T201">
        <f>HYPERLINK("https://klasma.github.io/Logging_2281/kartor/A 28764-2020 karta.png", "A 28764-2020")</f>
        <v/>
      </c>
      <c r="V201">
        <f>HYPERLINK("https://klasma.github.io/Logging_2281/klagomål/A 28764-2020 FSC-klagomål.docx", "A 28764-2020")</f>
        <v/>
      </c>
      <c r="W201">
        <f>HYPERLINK("https://klasma.github.io/Logging_2281/klagomålsmail/A 28764-2020 FSC-klagomål mail.docx", "A 28764-2020")</f>
        <v/>
      </c>
      <c r="X201">
        <f>HYPERLINK("https://klasma.github.io/Logging_2281/tillsyn/A 28764-2020 tillsynsbegäran.docx", "A 28764-2020")</f>
        <v/>
      </c>
      <c r="Y201">
        <f>HYPERLINK("https://klasma.github.io/Logging_2281/tillsynsmail/A 28764-2020 tillsynsbegäran mail.docx", "A 28764-2020")</f>
        <v/>
      </c>
    </row>
    <row r="202" ht="15" customHeight="1">
      <c r="A202" t="inlineStr">
        <is>
          <t>A 50469-2020</t>
        </is>
      </c>
      <c r="B202" s="1" t="n">
        <v>44104</v>
      </c>
      <c r="C202" s="1" t="n">
        <v>45829</v>
      </c>
      <c r="D202" t="inlineStr">
        <is>
          <t>VÄSTERNORRLANDS LÄN</t>
        </is>
      </c>
      <c r="E202" t="inlineStr">
        <is>
          <t>SUNDSVALL</t>
        </is>
      </c>
      <c r="G202" t="n">
        <v>1.8</v>
      </c>
      <c r="H202" t="n">
        <v>1</v>
      </c>
      <c r="I202" t="n">
        <v>0</v>
      </c>
      <c r="J202" t="n">
        <v>1</v>
      </c>
      <c r="K202" t="n">
        <v>0</v>
      </c>
      <c r="L202" t="n">
        <v>0</v>
      </c>
      <c r="M202" t="n">
        <v>0</v>
      </c>
      <c r="N202" t="n">
        <v>0</v>
      </c>
      <c r="O202" t="n">
        <v>1</v>
      </c>
      <c r="P202" t="n">
        <v>0</v>
      </c>
      <c r="Q202" t="n">
        <v>1</v>
      </c>
      <c r="R202" s="2" t="inlineStr">
        <is>
          <t>Sötgräs</t>
        </is>
      </c>
      <c r="S202">
        <f>HYPERLINK("https://klasma.github.io/Logging_2281/artfynd/A 50469-2020 artfynd.xlsx", "A 50469-2020")</f>
        <v/>
      </c>
      <c r="T202">
        <f>HYPERLINK("https://klasma.github.io/Logging_2281/kartor/A 50469-2020 karta.png", "A 50469-2020")</f>
        <v/>
      </c>
      <c r="V202">
        <f>HYPERLINK("https://klasma.github.io/Logging_2281/klagomål/A 50469-2020 FSC-klagomål.docx", "A 50469-2020")</f>
        <v/>
      </c>
      <c r="W202">
        <f>HYPERLINK("https://klasma.github.io/Logging_2281/klagomålsmail/A 50469-2020 FSC-klagomål mail.docx", "A 50469-2020")</f>
        <v/>
      </c>
      <c r="X202">
        <f>HYPERLINK("https://klasma.github.io/Logging_2281/tillsyn/A 50469-2020 tillsynsbegäran.docx", "A 50469-2020")</f>
        <v/>
      </c>
      <c r="Y202">
        <f>HYPERLINK("https://klasma.github.io/Logging_2281/tillsynsmail/A 50469-2020 tillsynsbegäran mail.docx", "A 50469-2020")</f>
        <v/>
      </c>
    </row>
    <row r="203" ht="15" customHeight="1">
      <c r="A203" t="inlineStr">
        <is>
          <t>A 65632-2020</t>
        </is>
      </c>
      <c r="B203" s="1" t="n">
        <v>44173</v>
      </c>
      <c r="C203" s="1" t="n">
        <v>45829</v>
      </c>
      <c r="D203" t="inlineStr">
        <is>
          <t>VÄSTERNORRLANDS LÄN</t>
        </is>
      </c>
      <c r="E203" t="inlineStr">
        <is>
          <t>SUNDSVALL</t>
        </is>
      </c>
      <c r="F203" t="inlineStr">
        <is>
          <t>SCA</t>
        </is>
      </c>
      <c r="G203" t="n">
        <v>3.2</v>
      </c>
      <c r="H203" t="n">
        <v>0</v>
      </c>
      <c r="I203" t="n">
        <v>1</v>
      </c>
      <c r="J203" t="n">
        <v>0</v>
      </c>
      <c r="K203" t="n">
        <v>0</v>
      </c>
      <c r="L203" t="n">
        <v>0</v>
      </c>
      <c r="M203" t="n">
        <v>0</v>
      </c>
      <c r="N203" t="n">
        <v>0</v>
      </c>
      <c r="O203" t="n">
        <v>0</v>
      </c>
      <c r="P203" t="n">
        <v>0</v>
      </c>
      <c r="Q203" t="n">
        <v>1</v>
      </c>
      <c r="R203" s="2" t="inlineStr">
        <is>
          <t>Dropptaggsvamp</t>
        </is>
      </c>
      <c r="S203">
        <f>HYPERLINK("https://klasma.github.io/Logging_2281/artfynd/A 65632-2020 artfynd.xlsx", "A 65632-2020")</f>
        <v/>
      </c>
      <c r="T203">
        <f>HYPERLINK("https://klasma.github.io/Logging_2281/kartor/A 65632-2020 karta.png", "A 65632-2020")</f>
        <v/>
      </c>
      <c r="V203">
        <f>HYPERLINK("https://klasma.github.io/Logging_2281/klagomål/A 65632-2020 FSC-klagomål.docx", "A 65632-2020")</f>
        <v/>
      </c>
      <c r="W203">
        <f>HYPERLINK("https://klasma.github.io/Logging_2281/klagomålsmail/A 65632-2020 FSC-klagomål mail.docx", "A 65632-2020")</f>
        <v/>
      </c>
      <c r="X203">
        <f>HYPERLINK("https://klasma.github.io/Logging_2281/tillsyn/A 65632-2020 tillsynsbegäran.docx", "A 65632-2020")</f>
        <v/>
      </c>
      <c r="Y203">
        <f>HYPERLINK("https://klasma.github.io/Logging_2281/tillsynsmail/A 65632-2020 tillsynsbegäran mail.docx", "A 65632-2020")</f>
        <v/>
      </c>
    </row>
    <row r="204" ht="15" customHeight="1">
      <c r="A204" t="inlineStr">
        <is>
          <t>A 15775-2021</t>
        </is>
      </c>
      <c r="B204" s="1" t="n">
        <v>44286</v>
      </c>
      <c r="C204" s="1" t="n">
        <v>45829</v>
      </c>
      <c r="D204" t="inlineStr">
        <is>
          <t>VÄSTERNORRLANDS LÄN</t>
        </is>
      </c>
      <c r="E204" t="inlineStr">
        <is>
          <t>SUNDSVALL</t>
        </is>
      </c>
      <c r="F204" t="inlineStr">
        <is>
          <t>Kommuner</t>
        </is>
      </c>
      <c r="G204" t="n">
        <v>8.4</v>
      </c>
      <c r="H204" t="n">
        <v>1</v>
      </c>
      <c r="I204" t="n">
        <v>0</v>
      </c>
      <c r="J204" t="n">
        <v>0</v>
      </c>
      <c r="K204" t="n">
        <v>0</v>
      </c>
      <c r="L204" t="n">
        <v>0</v>
      </c>
      <c r="M204" t="n">
        <v>0</v>
      </c>
      <c r="N204" t="n">
        <v>0</v>
      </c>
      <c r="O204" t="n">
        <v>0</v>
      </c>
      <c r="P204" t="n">
        <v>0</v>
      </c>
      <c r="Q204" t="n">
        <v>1</v>
      </c>
      <c r="R204" s="2" t="inlineStr">
        <is>
          <t>Vanlig padda</t>
        </is>
      </c>
      <c r="S204">
        <f>HYPERLINK("https://klasma.github.io/Logging_2281/artfynd/A 15775-2021 artfynd.xlsx", "A 15775-2021")</f>
        <v/>
      </c>
      <c r="T204">
        <f>HYPERLINK("https://klasma.github.io/Logging_2281/kartor/A 15775-2021 karta.png", "A 15775-2021")</f>
        <v/>
      </c>
      <c r="V204">
        <f>HYPERLINK("https://klasma.github.io/Logging_2281/klagomål/A 15775-2021 FSC-klagomål.docx", "A 15775-2021")</f>
        <v/>
      </c>
      <c r="W204">
        <f>HYPERLINK("https://klasma.github.io/Logging_2281/klagomålsmail/A 15775-2021 FSC-klagomål mail.docx", "A 15775-2021")</f>
        <v/>
      </c>
      <c r="X204">
        <f>HYPERLINK("https://klasma.github.io/Logging_2281/tillsyn/A 15775-2021 tillsynsbegäran.docx", "A 15775-2021")</f>
        <v/>
      </c>
      <c r="Y204">
        <f>HYPERLINK("https://klasma.github.io/Logging_2281/tillsynsmail/A 15775-2021 tillsynsbegäran mail.docx", "A 15775-2021")</f>
        <v/>
      </c>
    </row>
    <row r="205" ht="15" customHeight="1">
      <c r="A205" t="inlineStr">
        <is>
          <t>A 17333-2021</t>
        </is>
      </c>
      <c r="B205" s="1" t="n">
        <v>44298</v>
      </c>
      <c r="C205" s="1" t="n">
        <v>45829</v>
      </c>
      <c r="D205" t="inlineStr">
        <is>
          <t>VÄSTERNORRLANDS LÄN</t>
        </is>
      </c>
      <c r="E205" t="inlineStr">
        <is>
          <t>SUNDSVALL</t>
        </is>
      </c>
      <c r="G205" t="n">
        <v>6.7</v>
      </c>
      <c r="H205" t="n">
        <v>1</v>
      </c>
      <c r="I205" t="n">
        <v>0</v>
      </c>
      <c r="J205" t="n">
        <v>1</v>
      </c>
      <c r="K205" t="n">
        <v>0</v>
      </c>
      <c r="L205" t="n">
        <v>0</v>
      </c>
      <c r="M205" t="n">
        <v>0</v>
      </c>
      <c r="N205" t="n">
        <v>0</v>
      </c>
      <c r="O205" t="n">
        <v>1</v>
      </c>
      <c r="P205" t="n">
        <v>0</v>
      </c>
      <c r="Q205" t="n">
        <v>1</v>
      </c>
      <c r="R205" s="2" t="inlineStr">
        <is>
          <t>Mindre hackspett</t>
        </is>
      </c>
      <c r="S205">
        <f>HYPERLINK("https://klasma.github.io/Logging_2281/artfynd/A 17333-2021 artfynd.xlsx", "A 17333-2021")</f>
        <v/>
      </c>
      <c r="T205">
        <f>HYPERLINK("https://klasma.github.io/Logging_2281/kartor/A 17333-2021 karta.png", "A 17333-2021")</f>
        <v/>
      </c>
      <c r="V205">
        <f>HYPERLINK("https://klasma.github.io/Logging_2281/klagomål/A 17333-2021 FSC-klagomål.docx", "A 17333-2021")</f>
        <v/>
      </c>
      <c r="W205">
        <f>HYPERLINK("https://klasma.github.io/Logging_2281/klagomålsmail/A 17333-2021 FSC-klagomål mail.docx", "A 17333-2021")</f>
        <v/>
      </c>
      <c r="X205">
        <f>HYPERLINK("https://klasma.github.io/Logging_2281/tillsyn/A 17333-2021 tillsynsbegäran.docx", "A 17333-2021")</f>
        <v/>
      </c>
      <c r="Y205">
        <f>HYPERLINK("https://klasma.github.io/Logging_2281/tillsynsmail/A 17333-2021 tillsynsbegäran mail.docx", "A 17333-2021")</f>
        <v/>
      </c>
      <c r="Z205">
        <f>HYPERLINK("https://klasma.github.io/Logging_2281/fåglar/A 17333-2021 prioriterade fågelarter.docx", "A 17333-2021")</f>
        <v/>
      </c>
    </row>
    <row r="206" ht="15" customHeight="1">
      <c r="A206" t="inlineStr">
        <is>
          <t>A 17331-2021</t>
        </is>
      </c>
      <c r="B206" s="1" t="n">
        <v>44298</v>
      </c>
      <c r="C206" s="1" t="n">
        <v>45829</v>
      </c>
      <c r="D206" t="inlineStr">
        <is>
          <t>VÄSTERNORRLANDS LÄN</t>
        </is>
      </c>
      <c r="E206" t="inlineStr">
        <is>
          <t>SUNDSVALL</t>
        </is>
      </c>
      <c r="G206" t="n">
        <v>3.7</v>
      </c>
      <c r="H206" t="n">
        <v>0</v>
      </c>
      <c r="I206" t="n">
        <v>0</v>
      </c>
      <c r="J206" t="n">
        <v>1</v>
      </c>
      <c r="K206" t="n">
        <v>0</v>
      </c>
      <c r="L206" t="n">
        <v>0</v>
      </c>
      <c r="M206" t="n">
        <v>0</v>
      </c>
      <c r="N206" t="n">
        <v>0</v>
      </c>
      <c r="O206" t="n">
        <v>1</v>
      </c>
      <c r="P206" t="n">
        <v>0</v>
      </c>
      <c r="Q206" t="n">
        <v>1</v>
      </c>
      <c r="R206" s="2" t="inlineStr">
        <is>
          <t>Myskmåra</t>
        </is>
      </c>
      <c r="S206">
        <f>HYPERLINK("https://klasma.github.io/Logging_2281/artfynd/A 17331-2021 artfynd.xlsx", "A 17331-2021")</f>
        <v/>
      </c>
      <c r="T206">
        <f>HYPERLINK("https://klasma.github.io/Logging_2281/kartor/A 17331-2021 karta.png", "A 17331-2021")</f>
        <v/>
      </c>
      <c r="V206">
        <f>HYPERLINK("https://klasma.github.io/Logging_2281/klagomål/A 17331-2021 FSC-klagomål.docx", "A 17331-2021")</f>
        <v/>
      </c>
      <c r="W206">
        <f>HYPERLINK("https://klasma.github.io/Logging_2281/klagomålsmail/A 17331-2021 FSC-klagomål mail.docx", "A 17331-2021")</f>
        <v/>
      </c>
      <c r="X206">
        <f>HYPERLINK("https://klasma.github.io/Logging_2281/tillsyn/A 17331-2021 tillsynsbegäran.docx", "A 17331-2021")</f>
        <v/>
      </c>
      <c r="Y206">
        <f>HYPERLINK("https://klasma.github.io/Logging_2281/tillsynsmail/A 17331-2021 tillsynsbegäran mail.docx", "A 17331-2021")</f>
        <v/>
      </c>
    </row>
    <row r="207" ht="15" customHeight="1">
      <c r="A207" t="inlineStr">
        <is>
          <t>A 22395-2021</t>
        </is>
      </c>
      <c r="B207" s="1" t="n">
        <v>44326</v>
      </c>
      <c r="C207" s="1" t="n">
        <v>45829</v>
      </c>
      <c r="D207" t="inlineStr">
        <is>
          <t>VÄSTERNORRLANDS LÄN</t>
        </is>
      </c>
      <c r="E207" t="inlineStr">
        <is>
          <t>SUNDSVALL</t>
        </is>
      </c>
      <c r="G207" t="n">
        <v>8.6</v>
      </c>
      <c r="H207" t="n">
        <v>1</v>
      </c>
      <c r="I207" t="n">
        <v>0</v>
      </c>
      <c r="J207" t="n">
        <v>0</v>
      </c>
      <c r="K207" t="n">
        <v>0</v>
      </c>
      <c r="L207" t="n">
        <v>0</v>
      </c>
      <c r="M207" t="n">
        <v>0</v>
      </c>
      <c r="N207" t="n">
        <v>0</v>
      </c>
      <c r="O207" t="n">
        <v>0</v>
      </c>
      <c r="P207" t="n">
        <v>0</v>
      </c>
      <c r="Q207" t="n">
        <v>1</v>
      </c>
      <c r="R207" s="2" t="inlineStr">
        <is>
          <t>Gröngöling</t>
        </is>
      </c>
      <c r="S207">
        <f>HYPERLINK("https://klasma.github.io/Logging_2281/artfynd/A 22395-2021 artfynd.xlsx", "A 22395-2021")</f>
        <v/>
      </c>
      <c r="T207">
        <f>HYPERLINK("https://klasma.github.io/Logging_2281/kartor/A 22395-2021 karta.png", "A 22395-2021")</f>
        <v/>
      </c>
      <c r="V207">
        <f>HYPERLINK("https://klasma.github.io/Logging_2281/klagomål/A 22395-2021 FSC-klagomål.docx", "A 22395-2021")</f>
        <v/>
      </c>
      <c r="W207">
        <f>HYPERLINK("https://klasma.github.io/Logging_2281/klagomålsmail/A 22395-2021 FSC-klagomål mail.docx", "A 22395-2021")</f>
        <v/>
      </c>
      <c r="X207">
        <f>HYPERLINK("https://klasma.github.io/Logging_2281/tillsyn/A 22395-2021 tillsynsbegäran.docx", "A 22395-2021")</f>
        <v/>
      </c>
      <c r="Y207">
        <f>HYPERLINK("https://klasma.github.io/Logging_2281/tillsynsmail/A 22395-2021 tillsynsbegäran mail.docx", "A 22395-2021")</f>
        <v/>
      </c>
      <c r="Z207">
        <f>HYPERLINK("https://klasma.github.io/Logging_2281/fåglar/A 22395-2021 prioriterade fågelarter.docx", "A 22395-2021")</f>
        <v/>
      </c>
    </row>
    <row r="208" ht="15" customHeight="1">
      <c r="A208" t="inlineStr">
        <is>
          <t>A 22420-2021</t>
        </is>
      </c>
      <c r="B208" s="1" t="n">
        <v>44326</v>
      </c>
      <c r="C208" s="1" t="n">
        <v>45829</v>
      </c>
      <c r="D208" t="inlineStr">
        <is>
          <t>VÄSTERNORRLANDS LÄN</t>
        </is>
      </c>
      <c r="E208" t="inlineStr">
        <is>
          <t>SUNDSVALL</t>
        </is>
      </c>
      <c r="F208" t="inlineStr">
        <is>
          <t>Kyrkan</t>
        </is>
      </c>
      <c r="G208" t="n">
        <v>21.9</v>
      </c>
      <c r="H208" t="n">
        <v>1</v>
      </c>
      <c r="I208" t="n">
        <v>0</v>
      </c>
      <c r="J208" t="n">
        <v>1</v>
      </c>
      <c r="K208" t="n">
        <v>0</v>
      </c>
      <c r="L208" t="n">
        <v>0</v>
      </c>
      <c r="M208" t="n">
        <v>0</v>
      </c>
      <c r="N208" t="n">
        <v>0</v>
      </c>
      <c r="O208" t="n">
        <v>1</v>
      </c>
      <c r="P208" t="n">
        <v>0</v>
      </c>
      <c r="Q208" t="n">
        <v>1</v>
      </c>
      <c r="R208" s="2" t="inlineStr">
        <is>
          <t>Järpe</t>
        </is>
      </c>
      <c r="S208">
        <f>HYPERLINK("https://klasma.github.io/Logging_2281/artfynd/A 22420-2021 artfynd.xlsx", "A 22420-2021")</f>
        <v/>
      </c>
      <c r="T208">
        <f>HYPERLINK("https://klasma.github.io/Logging_2281/kartor/A 22420-2021 karta.png", "A 22420-2021")</f>
        <v/>
      </c>
      <c r="V208">
        <f>HYPERLINK("https://klasma.github.io/Logging_2281/klagomål/A 22420-2021 FSC-klagomål.docx", "A 22420-2021")</f>
        <v/>
      </c>
      <c r="W208">
        <f>HYPERLINK("https://klasma.github.io/Logging_2281/klagomålsmail/A 22420-2021 FSC-klagomål mail.docx", "A 22420-2021")</f>
        <v/>
      </c>
      <c r="X208">
        <f>HYPERLINK("https://klasma.github.io/Logging_2281/tillsyn/A 22420-2021 tillsynsbegäran.docx", "A 22420-2021")</f>
        <v/>
      </c>
      <c r="Y208">
        <f>HYPERLINK("https://klasma.github.io/Logging_2281/tillsynsmail/A 22420-2021 tillsynsbegäran mail.docx", "A 22420-2021")</f>
        <v/>
      </c>
      <c r="Z208">
        <f>HYPERLINK("https://klasma.github.io/Logging_2281/fåglar/A 22420-2021 prioriterade fågelarter.docx", "A 22420-2021")</f>
        <v/>
      </c>
    </row>
    <row r="209" ht="15" customHeight="1">
      <c r="A209" t="inlineStr">
        <is>
          <t>A 28332-2021</t>
        </is>
      </c>
      <c r="B209" s="1" t="n">
        <v>44356</v>
      </c>
      <c r="C209" s="1" t="n">
        <v>45829</v>
      </c>
      <c r="D209" t="inlineStr">
        <is>
          <t>VÄSTERNORRLANDS LÄN</t>
        </is>
      </c>
      <c r="E209" t="inlineStr">
        <is>
          <t>SUNDSVALL</t>
        </is>
      </c>
      <c r="G209" t="n">
        <v>11.8</v>
      </c>
      <c r="H209" t="n">
        <v>0</v>
      </c>
      <c r="I209" t="n">
        <v>1</v>
      </c>
      <c r="J209" t="n">
        <v>0</v>
      </c>
      <c r="K209" t="n">
        <v>0</v>
      </c>
      <c r="L209" t="n">
        <v>0</v>
      </c>
      <c r="M209" t="n">
        <v>0</v>
      </c>
      <c r="N209" t="n">
        <v>0</v>
      </c>
      <c r="O209" t="n">
        <v>0</v>
      </c>
      <c r="P209" t="n">
        <v>0</v>
      </c>
      <c r="Q209" t="n">
        <v>1</v>
      </c>
      <c r="R209" s="2" t="inlineStr">
        <is>
          <t>Fjällig taggsvamp s.str.</t>
        </is>
      </c>
      <c r="S209">
        <f>HYPERLINK("https://klasma.github.io/Logging_2281/artfynd/A 28332-2021 artfynd.xlsx", "A 28332-2021")</f>
        <v/>
      </c>
      <c r="T209">
        <f>HYPERLINK("https://klasma.github.io/Logging_2281/kartor/A 28332-2021 karta.png", "A 28332-2021")</f>
        <v/>
      </c>
      <c r="V209">
        <f>HYPERLINK("https://klasma.github.io/Logging_2281/klagomål/A 28332-2021 FSC-klagomål.docx", "A 28332-2021")</f>
        <v/>
      </c>
      <c r="W209">
        <f>HYPERLINK("https://klasma.github.io/Logging_2281/klagomålsmail/A 28332-2021 FSC-klagomål mail.docx", "A 28332-2021")</f>
        <v/>
      </c>
      <c r="X209">
        <f>HYPERLINK("https://klasma.github.io/Logging_2281/tillsyn/A 28332-2021 tillsynsbegäran.docx", "A 28332-2021")</f>
        <v/>
      </c>
      <c r="Y209">
        <f>HYPERLINK("https://klasma.github.io/Logging_2281/tillsynsmail/A 28332-2021 tillsynsbegäran mail.docx", "A 28332-2021")</f>
        <v/>
      </c>
    </row>
    <row r="210" ht="15" customHeight="1">
      <c r="A210" t="inlineStr">
        <is>
          <t>A 37057-2021</t>
        </is>
      </c>
      <c r="B210" s="1" t="n">
        <v>44394</v>
      </c>
      <c r="C210" s="1" t="n">
        <v>45829</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37232-2021</t>
        </is>
      </c>
      <c r="B211" s="1" t="n">
        <v>44396</v>
      </c>
      <c r="C211" s="1" t="n">
        <v>45829</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37231-2021</t>
        </is>
      </c>
      <c r="B212" s="1" t="n">
        <v>44396</v>
      </c>
      <c r="C212" s="1" t="n">
        <v>45829</v>
      </c>
      <c r="D212" t="inlineStr">
        <is>
          <t>VÄSTERNORRLANDS LÄN</t>
        </is>
      </c>
      <c r="E212" t="inlineStr">
        <is>
          <t>SUNDSVALL</t>
        </is>
      </c>
      <c r="F212" t="inlineStr">
        <is>
          <t>SCA</t>
        </is>
      </c>
      <c r="G212" t="n">
        <v>7.3</v>
      </c>
      <c r="H212" t="n">
        <v>1</v>
      </c>
      <c r="I212" t="n">
        <v>0</v>
      </c>
      <c r="J212" t="n">
        <v>0</v>
      </c>
      <c r="K212" t="n">
        <v>0</v>
      </c>
      <c r="L212" t="n">
        <v>0</v>
      </c>
      <c r="M212" t="n">
        <v>0</v>
      </c>
      <c r="N212" t="n">
        <v>0</v>
      </c>
      <c r="O212" t="n">
        <v>0</v>
      </c>
      <c r="P212" t="n">
        <v>0</v>
      </c>
      <c r="Q212" t="n">
        <v>1</v>
      </c>
      <c r="R212" s="2" t="inlineStr">
        <is>
          <t>Orre</t>
        </is>
      </c>
      <c r="S212">
        <f>HYPERLINK("https://klasma.github.io/Logging_2281/artfynd/A 37231-2021 artfynd.xlsx", "A 37231-2021")</f>
        <v/>
      </c>
      <c r="T212">
        <f>HYPERLINK("https://klasma.github.io/Logging_2281/kartor/A 37231-2021 karta.png", "A 37231-2021")</f>
        <v/>
      </c>
      <c r="V212">
        <f>HYPERLINK("https://klasma.github.io/Logging_2281/klagomål/A 37231-2021 FSC-klagomål.docx", "A 37231-2021")</f>
        <v/>
      </c>
      <c r="W212">
        <f>HYPERLINK("https://klasma.github.io/Logging_2281/klagomålsmail/A 37231-2021 FSC-klagomål mail.docx", "A 37231-2021")</f>
        <v/>
      </c>
      <c r="X212">
        <f>HYPERLINK("https://klasma.github.io/Logging_2281/tillsyn/A 37231-2021 tillsynsbegäran.docx", "A 37231-2021")</f>
        <v/>
      </c>
      <c r="Y212">
        <f>HYPERLINK("https://klasma.github.io/Logging_2281/tillsynsmail/A 37231-2021 tillsynsbegäran mail.docx", "A 37231-2021")</f>
        <v/>
      </c>
      <c r="Z212">
        <f>HYPERLINK("https://klasma.github.io/Logging_2281/fåglar/A 37231-2021 prioriterade fågelarter.docx", "A 37231-2021")</f>
        <v/>
      </c>
    </row>
    <row r="213" ht="15" customHeight="1">
      <c r="A213" t="inlineStr">
        <is>
          <t>A 40123-2021</t>
        </is>
      </c>
      <c r="B213" s="1" t="n">
        <v>44418</v>
      </c>
      <c r="C213" s="1" t="n">
        <v>45829</v>
      </c>
      <c r="D213" t="inlineStr">
        <is>
          <t>VÄSTERNORRLANDS LÄN</t>
        </is>
      </c>
      <c r="E213" t="inlineStr">
        <is>
          <t>SUNDSVALL</t>
        </is>
      </c>
      <c r="G213" t="n">
        <v>12.2</v>
      </c>
      <c r="H213" t="n">
        <v>1</v>
      </c>
      <c r="I213" t="n">
        <v>0</v>
      </c>
      <c r="J213" t="n">
        <v>1</v>
      </c>
      <c r="K213" t="n">
        <v>0</v>
      </c>
      <c r="L213" t="n">
        <v>0</v>
      </c>
      <c r="M213" t="n">
        <v>0</v>
      </c>
      <c r="N213" t="n">
        <v>0</v>
      </c>
      <c r="O213" t="n">
        <v>1</v>
      </c>
      <c r="P213" t="n">
        <v>0</v>
      </c>
      <c r="Q213" t="n">
        <v>1</v>
      </c>
      <c r="R213" s="2" t="inlineStr">
        <is>
          <t>Skogsfru</t>
        </is>
      </c>
      <c r="S213">
        <f>HYPERLINK("https://klasma.github.io/Logging_2281/artfynd/A 40123-2021 artfynd.xlsx", "A 40123-2021")</f>
        <v/>
      </c>
      <c r="T213">
        <f>HYPERLINK("https://klasma.github.io/Logging_2281/kartor/A 40123-2021 karta.png", "A 40123-2021")</f>
        <v/>
      </c>
      <c r="V213">
        <f>HYPERLINK("https://klasma.github.io/Logging_2281/klagomål/A 40123-2021 FSC-klagomål.docx", "A 40123-2021")</f>
        <v/>
      </c>
      <c r="W213">
        <f>HYPERLINK("https://klasma.github.io/Logging_2281/klagomålsmail/A 40123-2021 FSC-klagomål mail.docx", "A 40123-2021")</f>
        <v/>
      </c>
      <c r="X213">
        <f>HYPERLINK("https://klasma.github.io/Logging_2281/tillsyn/A 40123-2021 tillsynsbegäran.docx", "A 40123-2021")</f>
        <v/>
      </c>
      <c r="Y213">
        <f>HYPERLINK("https://klasma.github.io/Logging_2281/tillsynsmail/A 40123-2021 tillsynsbegäran mail.docx", "A 40123-2021")</f>
        <v/>
      </c>
    </row>
    <row r="214" ht="15" customHeight="1">
      <c r="A214" t="inlineStr">
        <is>
          <t>A 56217-2021</t>
        </is>
      </c>
      <c r="B214" s="1" t="n">
        <v>44478</v>
      </c>
      <c r="C214" s="1" t="n">
        <v>45829</v>
      </c>
      <c r="D214" t="inlineStr">
        <is>
          <t>VÄSTERNORRLANDS LÄN</t>
        </is>
      </c>
      <c r="E214" t="inlineStr">
        <is>
          <t>SUNDSVALL</t>
        </is>
      </c>
      <c r="F214" t="inlineStr">
        <is>
          <t>SCA</t>
        </is>
      </c>
      <c r="G214" t="n">
        <v>4.5</v>
      </c>
      <c r="H214" t="n">
        <v>1</v>
      </c>
      <c r="I214" t="n">
        <v>0</v>
      </c>
      <c r="J214" t="n">
        <v>0</v>
      </c>
      <c r="K214" t="n">
        <v>0</v>
      </c>
      <c r="L214" t="n">
        <v>0</v>
      </c>
      <c r="M214" t="n">
        <v>0</v>
      </c>
      <c r="N214" t="n">
        <v>0</v>
      </c>
      <c r="O214" t="n">
        <v>0</v>
      </c>
      <c r="P214" t="n">
        <v>0</v>
      </c>
      <c r="Q214" t="n">
        <v>1</v>
      </c>
      <c r="R214" s="2" t="inlineStr">
        <is>
          <t>Tjäder</t>
        </is>
      </c>
      <c r="S214">
        <f>HYPERLINK("https://klasma.github.io/Logging_2281/artfynd/A 56217-2021 artfynd.xlsx", "A 56217-2021")</f>
        <v/>
      </c>
      <c r="T214">
        <f>HYPERLINK("https://klasma.github.io/Logging_2281/kartor/A 56217-2021 karta.png", "A 56217-2021")</f>
        <v/>
      </c>
      <c r="V214">
        <f>HYPERLINK("https://klasma.github.io/Logging_2281/klagomål/A 56217-2021 FSC-klagomål.docx", "A 56217-2021")</f>
        <v/>
      </c>
      <c r="W214">
        <f>HYPERLINK("https://klasma.github.io/Logging_2281/klagomålsmail/A 56217-2021 FSC-klagomål mail.docx", "A 56217-2021")</f>
        <v/>
      </c>
      <c r="X214">
        <f>HYPERLINK("https://klasma.github.io/Logging_2281/tillsyn/A 56217-2021 tillsynsbegäran.docx", "A 56217-2021")</f>
        <v/>
      </c>
      <c r="Y214">
        <f>HYPERLINK("https://klasma.github.io/Logging_2281/tillsynsmail/A 56217-2021 tillsynsbegäran mail.docx", "A 56217-2021")</f>
        <v/>
      </c>
      <c r="Z214">
        <f>HYPERLINK("https://klasma.github.io/Logging_2281/fåglar/A 56217-2021 prioriterade fågelarter.docx", "A 56217-2021")</f>
        <v/>
      </c>
    </row>
    <row r="215" ht="15" customHeight="1">
      <c r="A215" t="inlineStr">
        <is>
          <t>A 64922-2021</t>
        </is>
      </c>
      <c r="B215" s="1" t="n">
        <v>44512</v>
      </c>
      <c r="C215" s="1" t="n">
        <v>45829</v>
      </c>
      <c r="D215" t="inlineStr">
        <is>
          <t>VÄSTERNORRLANDS LÄN</t>
        </is>
      </c>
      <c r="E215" t="inlineStr">
        <is>
          <t>SUNDSVALL</t>
        </is>
      </c>
      <c r="F215" t="inlineStr">
        <is>
          <t>Kommuner</t>
        </is>
      </c>
      <c r="G215" t="n">
        <v>1.5</v>
      </c>
      <c r="H215" t="n">
        <v>1</v>
      </c>
      <c r="I215" t="n">
        <v>0</v>
      </c>
      <c r="J215" t="n">
        <v>0</v>
      </c>
      <c r="K215" t="n">
        <v>0</v>
      </c>
      <c r="L215" t="n">
        <v>0</v>
      </c>
      <c r="M215" t="n">
        <v>0</v>
      </c>
      <c r="N215" t="n">
        <v>0</v>
      </c>
      <c r="O215" t="n">
        <v>0</v>
      </c>
      <c r="P215" t="n">
        <v>0</v>
      </c>
      <c r="Q215" t="n">
        <v>1</v>
      </c>
      <c r="R215" s="2" t="inlineStr">
        <is>
          <t>Näktergal</t>
        </is>
      </c>
      <c r="S215">
        <f>HYPERLINK("https://klasma.github.io/Logging_2281/artfynd/A 64922-2021 artfynd.xlsx", "A 64922-2021")</f>
        <v/>
      </c>
      <c r="T215">
        <f>HYPERLINK("https://klasma.github.io/Logging_2281/kartor/A 64922-2021 karta.png", "A 64922-2021")</f>
        <v/>
      </c>
      <c r="V215">
        <f>HYPERLINK("https://klasma.github.io/Logging_2281/klagomål/A 64922-2021 FSC-klagomål.docx", "A 64922-2021")</f>
        <v/>
      </c>
      <c r="W215">
        <f>HYPERLINK("https://klasma.github.io/Logging_2281/klagomålsmail/A 64922-2021 FSC-klagomål mail.docx", "A 64922-2021")</f>
        <v/>
      </c>
      <c r="X215">
        <f>HYPERLINK("https://klasma.github.io/Logging_2281/tillsyn/A 64922-2021 tillsynsbegäran.docx", "A 64922-2021")</f>
        <v/>
      </c>
      <c r="Y215">
        <f>HYPERLINK("https://klasma.github.io/Logging_2281/tillsynsmail/A 64922-2021 tillsynsbegäran mail.docx", "A 64922-2021")</f>
        <v/>
      </c>
      <c r="Z215">
        <f>HYPERLINK("https://klasma.github.io/Logging_2281/fåglar/A 64922-2021 prioriterade fågelarter.docx", "A 64922-2021")</f>
        <v/>
      </c>
    </row>
    <row r="216" ht="15" customHeight="1">
      <c r="A216" t="inlineStr">
        <is>
          <t>A 3008-2022</t>
        </is>
      </c>
      <c r="B216" s="1" t="n">
        <v>44581</v>
      </c>
      <c r="C216" s="1" t="n">
        <v>45829</v>
      </c>
      <c r="D216" t="inlineStr">
        <is>
          <t>VÄSTERNORRLANDS LÄN</t>
        </is>
      </c>
      <c r="E216" t="inlineStr">
        <is>
          <t>SUNDSVALL</t>
        </is>
      </c>
      <c r="G216" t="n">
        <v>1</v>
      </c>
      <c r="H216" t="n">
        <v>0</v>
      </c>
      <c r="I216" t="n">
        <v>0</v>
      </c>
      <c r="J216" t="n">
        <v>1</v>
      </c>
      <c r="K216" t="n">
        <v>0</v>
      </c>
      <c r="L216" t="n">
        <v>0</v>
      </c>
      <c r="M216" t="n">
        <v>0</v>
      </c>
      <c r="N216" t="n">
        <v>0</v>
      </c>
      <c r="O216" t="n">
        <v>1</v>
      </c>
      <c r="P216" t="n">
        <v>0</v>
      </c>
      <c r="Q216" t="n">
        <v>1</v>
      </c>
      <c r="R216" s="2" t="inlineStr">
        <is>
          <t>Fjällhumla</t>
        </is>
      </c>
      <c r="S216">
        <f>HYPERLINK("https://klasma.github.io/Logging_2281/artfynd/A 3008-2022 artfynd.xlsx", "A 3008-2022")</f>
        <v/>
      </c>
      <c r="T216">
        <f>HYPERLINK("https://klasma.github.io/Logging_2281/kartor/A 3008-2022 karta.png", "A 3008-2022")</f>
        <v/>
      </c>
      <c r="V216">
        <f>HYPERLINK("https://klasma.github.io/Logging_2281/klagomål/A 3008-2022 FSC-klagomål.docx", "A 3008-2022")</f>
        <v/>
      </c>
      <c r="W216">
        <f>HYPERLINK("https://klasma.github.io/Logging_2281/klagomålsmail/A 3008-2022 FSC-klagomål mail.docx", "A 3008-2022")</f>
        <v/>
      </c>
      <c r="X216">
        <f>HYPERLINK("https://klasma.github.io/Logging_2281/tillsyn/A 3008-2022 tillsynsbegäran.docx", "A 3008-2022")</f>
        <v/>
      </c>
      <c r="Y216">
        <f>HYPERLINK("https://klasma.github.io/Logging_2281/tillsynsmail/A 3008-2022 tillsynsbegäran mail.docx", "A 3008-2022")</f>
        <v/>
      </c>
    </row>
    <row r="217" ht="15" customHeight="1">
      <c r="A217" t="inlineStr">
        <is>
          <t>A 9200-2022</t>
        </is>
      </c>
      <c r="B217" s="1" t="n">
        <v>44615</v>
      </c>
      <c r="C217" s="1" t="n">
        <v>45829</v>
      </c>
      <c r="D217" t="inlineStr">
        <is>
          <t>VÄSTERNORRLANDS LÄN</t>
        </is>
      </c>
      <c r="E217" t="inlineStr">
        <is>
          <t>SUNDSVALL</t>
        </is>
      </c>
      <c r="G217" t="n">
        <v>17.6</v>
      </c>
      <c r="H217" t="n">
        <v>0</v>
      </c>
      <c r="I217" t="n">
        <v>0</v>
      </c>
      <c r="J217" t="n">
        <v>1</v>
      </c>
      <c r="K217" t="n">
        <v>0</v>
      </c>
      <c r="L217" t="n">
        <v>0</v>
      </c>
      <c r="M217" t="n">
        <v>0</v>
      </c>
      <c r="N217" t="n">
        <v>0</v>
      </c>
      <c r="O217" t="n">
        <v>1</v>
      </c>
      <c r="P217" t="n">
        <v>0</v>
      </c>
      <c r="Q217" t="n">
        <v>1</v>
      </c>
      <c r="R217" s="2" t="inlineStr">
        <is>
          <t>Blå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14014-2022</t>
        </is>
      </c>
      <c r="B218" s="1" t="n">
        <v>44650</v>
      </c>
      <c r="C218" s="1" t="n">
        <v>45829</v>
      </c>
      <c r="D218" t="inlineStr">
        <is>
          <t>VÄSTERNORRLANDS LÄN</t>
        </is>
      </c>
      <c r="E218" t="inlineStr">
        <is>
          <t>SUNDSVALL</t>
        </is>
      </c>
      <c r="G218" t="n">
        <v>1.7</v>
      </c>
      <c r="H218" t="n">
        <v>0</v>
      </c>
      <c r="I218" t="n">
        <v>1</v>
      </c>
      <c r="J218" t="n">
        <v>0</v>
      </c>
      <c r="K218" t="n">
        <v>0</v>
      </c>
      <c r="L218" t="n">
        <v>0</v>
      </c>
      <c r="M218" t="n">
        <v>0</v>
      </c>
      <c r="N218" t="n">
        <v>0</v>
      </c>
      <c r="O218" t="n">
        <v>0</v>
      </c>
      <c r="P218" t="n">
        <v>0</v>
      </c>
      <c r="Q218" t="n">
        <v>1</v>
      </c>
      <c r="R218" s="2" t="inlineStr">
        <is>
          <t>Stor aspticka</t>
        </is>
      </c>
      <c r="S218">
        <f>HYPERLINK("https://klasma.github.io/Logging_2281/artfynd/A 14014-2022 artfynd.xlsx", "A 14014-2022")</f>
        <v/>
      </c>
      <c r="T218">
        <f>HYPERLINK("https://klasma.github.io/Logging_2281/kartor/A 14014-2022 karta.png", "A 14014-2022")</f>
        <v/>
      </c>
      <c r="V218">
        <f>HYPERLINK("https://klasma.github.io/Logging_2281/klagomål/A 14014-2022 FSC-klagomål.docx", "A 14014-2022")</f>
        <v/>
      </c>
      <c r="W218">
        <f>HYPERLINK("https://klasma.github.io/Logging_2281/klagomålsmail/A 14014-2022 FSC-klagomål mail.docx", "A 14014-2022")</f>
        <v/>
      </c>
      <c r="X218">
        <f>HYPERLINK("https://klasma.github.io/Logging_2281/tillsyn/A 14014-2022 tillsynsbegäran.docx", "A 14014-2022")</f>
        <v/>
      </c>
      <c r="Y218">
        <f>HYPERLINK("https://klasma.github.io/Logging_2281/tillsynsmail/A 14014-2022 tillsynsbegäran mail.docx", "A 14014-2022")</f>
        <v/>
      </c>
    </row>
    <row r="219" ht="15" customHeight="1">
      <c r="A219" t="inlineStr">
        <is>
          <t>A 14676-2022</t>
        </is>
      </c>
      <c r="B219" s="1" t="n">
        <v>44655</v>
      </c>
      <c r="C219" s="1" t="n">
        <v>45829</v>
      </c>
      <c r="D219" t="inlineStr">
        <is>
          <t>VÄSTERNORRLANDS LÄN</t>
        </is>
      </c>
      <c r="E219" t="inlineStr">
        <is>
          <t>SUNDSVALL</t>
        </is>
      </c>
      <c r="G219" t="n">
        <v>10.1</v>
      </c>
      <c r="H219" t="n">
        <v>0</v>
      </c>
      <c r="I219" t="n">
        <v>0</v>
      </c>
      <c r="J219" t="n">
        <v>1</v>
      </c>
      <c r="K219" t="n">
        <v>0</v>
      </c>
      <c r="L219" t="n">
        <v>0</v>
      </c>
      <c r="M219" t="n">
        <v>0</v>
      </c>
      <c r="N219" t="n">
        <v>0</v>
      </c>
      <c r="O219" t="n">
        <v>1</v>
      </c>
      <c r="P219" t="n">
        <v>0</v>
      </c>
      <c r="Q219" t="n">
        <v>1</v>
      </c>
      <c r="R219" s="2" t="inlineStr">
        <is>
          <t>Granticka</t>
        </is>
      </c>
      <c r="S219">
        <f>HYPERLINK("https://klasma.github.io/Logging_2281/artfynd/A 14676-2022 artfynd.xlsx", "A 14676-2022")</f>
        <v/>
      </c>
      <c r="T219">
        <f>HYPERLINK("https://klasma.github.io/Logging_2281/kartor/A 14676-2022 karta.png", "A 14676-2022")</f>
        <v/>
      </c>
      <c r="V219">
        <f>HYPERLINK("https://klasma.github.io/Logging_2281/klagomål/A 14676-2022 FSC-klagomål.docx", "A 14676-2022")</f>
        <v/>
      </c>
      <c r="W219">
        <f>HYPERLINK("https://klasma.github.io/Logging_2281/klagomålsmail/A 14676-2022 FSC-klagomål mail.docx", "A 14676-2022")</f>
        <v/>
      </c>
      <c r="X219">
        <f>HYPERLINK("https://klasma.github.io/Logging_2281/tillsyn/A 14676-2022 tillsynsbegäran.docx", "A 14676-2022")</f>
        <v/>
      </c>
      <c r="Y219">
        <f>HYPERLINK("https://klasma.github.io/Logging_2281/tillsynsmail/A 14676-2022 tillsynsbegäran mail.docx", "A 14676-2022")</f>
        <v/>
      </c>
    </row>
    <row r="220" ht="15" customHeight="1">
      <c r="A220" t="inlineStr">
        <is>
          <t>A 19305-2022</t>
        </is>
      </c>
      <c r="B220" s="1" t="n">
        <v>44692</v>
      </c>
      <c r="C220" s="1" t="n">
        <v>45829</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22556-2022</t>
        </is>
      </c>
      <c r="B221" s="1" t="n">
        <v>44714</v>
      </c>
      <c r="C221" s="1" t="n">
        <v>45829</v>
      </c>
      <c r="D221" t="inlineStr">
        <is>
          <t>VÄSTERNORRLANDS LÄN</t>
        </is>
      </c>
      <c r="E221" t="inlineStr">
        <is>
          <t>SUNDSVALL</t>
        </is>
      </c>
      <c r="F221" t="inlineStr">
        <is>
          <t>SCA</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HYPERLINK("https://klasma.github.io/Logging_2281/artfynd/A 22556-2022 artfynd.xlsx", "A 22556-2022")</f>
        <v/>
      </c>
      <c r="T221">
        <f>HYPERLINK("https://klasma.github.io/Logging_2281/kartor/A 22556-2022 karta.png", "A 22556-2022")</f>
        <v/>
      </c>
      <c r="V221">
        <f>HYPERLINK("https://klasma.github.io/Logging_2281/klagomål/A 22556-2022 FSC-klagomål.docx", "A 22556-2022")</f>
        <v/>
      </c>
      <c r="W221">
        <f>HYPERLINK("https://klasma.github.io/Logging_2281/klagomålsmail/A 22556-2022 FSC-klagomål mail.docx", "A 22556-2022")</f>
        <v/>
      </c>
      <c r="X221">
        <f>HYPERLINK("https://klasma.github.io/Logging_2281/tillsyn/A 22556-2022 tillsynsbegäran.docx", "A 22556-2022")</f>
        <v/>
      </c>
      <c r="Y221">
        <f>HYPERLINK("https://klasma.github.io/Logging_2281/tillsynsmail/A 22556-2022 tillsynsbegäran mail.docx", "A 22556-2022")</f>
        <v/>
      </c>
    </row>
    <row r="222" ht="15" customHeight="1">
      <c r="A222" t="inlineStr">
        <is>
          <t>A 23711-2022</t>
        </is>
      </c>
      <c r="B222" s="1" t="n">
        <v>44722</v>
      </c>
      <c r="C222" s="1" t="n">
        <v>45829</v>
      </c>
      <c r="D222" t="inlineStr">
        <is>
          <t>VÄSTERNORRLANDS LÄN</t>
        </is>
      </c>
      <c r="E222" t="inlineStr">
        <is>
          <t>SUNDSVALL</t>
        </is>
      </c>
      <c r="F222" t="inlineStr">
        <is>
          <t>Holmen skog AB</t>
        </is>
      </c>
      <c r="G222" t="n">
        <v>2.8</v>
      </c>
      <c r="H222" t="n">
        <v>0</v>
      </c>
      <c r="I222" t="n">
        <v>0</v>
      </c>
      <c r="J222" t="n">
        <v>1</v>
      </c>
      <c r="K222" t="n">
        <v>0</v>
      </c>
      <c r="L222" t="n">
        <v>0</v>
      </c>
      <c r="M222" t="n">
        <v>0</v>
      </c>
      <c r="N222" t="n">
        <v>0</v>
      </c>
      <c r="O222" t="n">
        <v>1</v>
      </c>
      <c r="P222" t="n">
        <v>0</v>
      </c>
      <c r="Q222" t="n">
        <v>1</v>
      </c>
      <c r="R222" s="2" t="inlineStr">
        <is>
          <t>Garnlav</t>
        </is>
      </c>
      <c r="S222">
        <f>HYPERLINK("https://klasma.github.io/Logging_2281/artfynd/A 23711-2022 artfynd.xlsx", "A 23711-2022")</f>
        <v/>
      </c>
      <c r="T222">
        <f>HYPERLINK("https://klasma.github.io/Logging_2281/kartor/A 23711-2022 karta.png", "A 23711-2022")</f>
        <v/>
      </c>
      <c r="V222">
        <f>HYPERLINK("https://klasma.github.io/Logging_2281/klagomål/A 23711-2022 FSC-klagomål.docx", "A 23711-2022")</f>
        <v/>
      </c>
      <c r="W222">
        <f>HYPERLINK("https://klasma.github.io/Logging_2281/klagomålsmail/A 23711-2022 FSC-klagomål mail.docx", "A 23711-2022")</f>
        <v/>
      </c>
      <c r="X222">
        <f>HYPERLINK("https://klasma.github.io/Logging_2281/tillsyn/A 23711-2022 tillsynsbegäran.docx", "A 23711-2022")</f>
        <v/>
      </c>
      <c r="Y222">
        <f>HYPERLINK("https://klasma.github.io/Logging_2281/tillsynsmail/A 23711-2022 tillsynsbegäran mail.docx", "A 23711-2022")</f>
        <v/>
      </c>
    </row>
    <row r="223" ht="15" customHeight="1">
      <c r="A223" t="inlineStr">
        <is>
          <t>A 25250-2022</t>
        </is>
      </c>
      <c r="B223" s="1" t="n">
        <v>44729</v>
      </c>
      <c r="C223" s="1" t="n">
        <v>45829</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Stor aspticka</t>
        </is>
      </c>
      <c r="S223">
        <f>HYPERLINK("https://klasma.github.io/Logging_2281/artfynd/A 25250-2022 artfynd.xlsx", "A 25250-2022")</f>
        <v/>
      </c>
      <c r="T223">
        <f>HYPERLINK("https://klasma.github.io/Logging_2281/kartor/A 25250-2022 karta.png", "A 25250-2022")</f>
        <v/>
      </c>
      <c r="V223">
        <f>HYPERLINK("https://klasma.github.io/Logging_2281/klagomål/A 25250-2022 FSC-klagomål.docx", "A 25250-2022")</f>
        <v/>
      </c>
      <c r="W223">
        <f>HYPERLINK("https://klasma.github.io/Logging_2281/klagomålsmail/A 25250-2022 FSC-klagomål mail.docx", "A 25250-2022")</f>
        <v/>
      </c>
      <c r="X223">
        <f>HYPERLINK("https://klasma.github.io/Logging_2281/tillsyn/A 25250-2022 tillsynsbegäran.docx", "A 25250-2022")</f>
        <v/>
      </c>
      <c r="Y223">
        <f>HYPERLINK("https://klasma.github.io/Logging_2281/tillsynsmail/A 25250-2022 tillsynsbegäran mail.docx", "A 25250-2022")</f>
        <v/>
      </c>
    </row>
    <row r="224" ht="15" customHeight="1">
      <c r="A224" t="inlineStr">
        <is>
          <t>A 28728-2022</t>
        </is>
      </c>
      <c r="B224" s="1" t="n">
        <v>44749</v>
      </c>
      <c r="C224" s="1" t="n">
        <v>45829</v>
      </c>
      <c r="D224" t="inlineStr">
        <is>
          <t>VÄSTERNORRLANDS LÄN</t>
        </is>
      </c>
      <c r="E224" t="inlineStr">
        <is>
          <t>SUNDSVALL</t>
        </is>
      </c>
      <c r="F224" t="inlineStr">
        <is>
          <t>SCA</t>
        </is>
      </c>
      <c r="G224" t="n">
        <v>3.4</v>
      </c>
      <c r="H224" t="n">
        <v>0</v>
      </c>
      <c r="I224" t="n">
        <v>0</v>
      </c>
      <c r="J224" t="n">
        <v>1</v>
      </c>
      <c r="K224" t="n">
        <v>0</v>
      </c>
      <c r="L224" t="n">
        <v>0</v>
      </c>
      <c r="M224" t="n">
        <v>0</v>
      </c>
      <c r="N224" t="n">
        <v>0</v>
      </c>
      <c r="O224" t="n">
        <v>1</v>
      </c>
      <c r="P224" t="n">
        <v>0</v>
      </c>
      <c r="Q224" t="n">
        <v>1</v>
      </c>
      <c r="R224" s="2" t="inlineStr">
        <is>
          <t>Garnlav</t>
        </is>
      </c>
      <c r="S224">
        <f>HYPERLINK("https://klasma.github.io/Logging_2281/artfynd/A 28728-2022 artfynd.xlsx", "A 28728-2022")</f>
        <v/>
      </c>
      <c r="T224">
        <f>HYPERLINK("https://klasma.github.io/Logging_2281/kartor/A 28728-2022 karta.png", "A 28728-2022")</f>
        <v/>
      </c>
      <c r="V224">
        <f>HYPERLINK("https://klasma.github.io/Logging_2281/klagomål/A 28728-2022 FSC-klagomål.docx", "A 28728-2022")</f>
        <v/>
      </c>
      <c r="W224">
        <f>HYPERLINK("https://klasma.github.io/Logging_2281/klagomålsmail/A 28728-2022 FSC-klagomål mail.docx", "A 28728-2022")</f>
        <v/>
      </c>
      <c r="X224">
        <f>HYPERLINK("https://klasma.github.io/Logging_2281/tillsyn/A 28728-2022 tillsynsbegäran.docx", "A 28728-2022")</f>
        <v/>
      </c>
      <c r="Y224">
        <f>HYPERLINK("https://klasma.github.io/Logging_2281/tillsynsmail/A 28728-2022 tillsynsbegäran mail.docx", "A 28728-2022")</f>
        <v/>
      </c>
    </row>
    <row r="225" ht="15" customHeight="1">
      <c r="A225" t="inlineStr">
        <is>
          <t>A 30933-2022</t>
        </is>
      </c>
      <c r="B225" s="1" t="n">
        <v>44768</v>
      </c>
      <c r="C225" s="1" t="n">
        <v>45829</v>
      </c>
      <c r="D225" t="inlineStr">
        <is>
          <t>VÄSTERNORRLANDS LÄN</t>
        </is>
      </c>
      <c r="E225" t="inlineStr">
        <is>
          <t>SUNDSVALL</t>
        </is>
      </c>
      <c r="F225" t="inlineStr">
        <is>
          <t>SCA</t>
        </is>
      </c>
      <c r="G225" t="n">
        <v>1.9</v>
      </c>
      <c r="H225" t="n">
        <v>1</v>
      </c>
      <c r="I225" t="n">
        <v>0</v>
      </c>
      <c r="J225" t="n">
        <v>1</v>
      </c>
      <c r="K225" t="n">
        <v>0</v>
      </c>
      <c r="L225" t="n">
        <v>0</v>
      </c>
      <c r="M225" t="n">
        <v>0</v>
      </c>
      <c r="N225" t="n">
        <v>0</v>
      </c>
      <c r="O225" t="n">
        <v>1</v>
      </c>
      <c r="P225" t="n">
        <v>0</v>
      </c>
      <c r="Q225" t="n">
        <v>1</v>
      </c>
      <c r="R225" s="2" t="inlineStr">
        <is>
          <t>Björktrast</t>
        </is>
      </c>
      <c r="S225">
        <f>HYPERLINK("https://klasma.github.io/Logging_2281/artfynd/A 30933-2022 artfynd.xlsx", "A 30933-2022")</f>
        <v/>
      </c>
      <c r="T225">
        <f>HYPERLINK("https://klasma.github.io/Logging_2281/kartor/A 30933-2022 karta.png", "A 30933-2022")</f>
        <v/>
      </c>
      <c r="V225">
        <f>HYPERLINK("https://klasma.github.io/Logging_2281/klagomål/A 30933-2022 FSC-klagomål.docx", "A 30933-2022")</f>
        <v/>
      </c>
      <c r="W225">
        <f>HYPERLINK("https://klasma.github.io/Logging_2281/klagomålsmail/A 30933-2022 FSC-klagomål mail.docx", "A 30933-2022")</f>
        <v/>
      </c>
      <c r="X225">
        <f>HYPERLINK("https://klasma.github.io/Logging_2281/tillsyn/A 30933-2022 tillsynsbegäran.docx", "A 30933-2022")</f>
        <v/>
      </c>
      <c r="Y225">
        <f>HYPERLINK("https://klasma.github.io/Logging_2281/tillsynsmail/A 30933-2022 tillsynsbegäran mail.docx", "A 30933-2022")</f>
        <v/>
      </c>
      <c r="Z225">
        <f>HYPERLINK("https://klasma.github.io/Logging_2281/fåglar/A 30933-2022 prioriterade fågelarter.docx", "A 30933-2022")</f>
        <v/>
      </c>
    </row>
    <row r="226" ht="15" customHeight="1">
      <c r="A226" t="inlineStr">
        <is>
          <t>A 47662-2022</t>
        </is>
      </c>
      <c r="B226" s="1" t="n">
        <v>44854</v>
      </c>
      <c r="C226" s="1" t="n">
        <v>45829</v>
      </c>
      <c r="D226" t="inlineStr">
        <is>
          <t>VÄSTERNORRLANDS LÄN</t>
        </is>
      </c>
      <c r="E226" t="inlineStr">
        <is>
          <t>SUNDSVALL</t>
        </is>
      </c>
      <c r="G226" t="n">
        <v>4.7</v>
      </c>
      <c r="H226" t="n">
        <v>1</v>
      </c>
      <c r="I226" t="n">
        <v>0</v>
      </c>
      <c r="J226" t="n">
        <v>0</v>
      </c>
      <c r="K226" t="n">
        <v>0</v>
      </c>
      <c r="L226" t="n">
        <v>0</v>
      </c>
      <c r="M226" t="n">
        <v>0</v>
      </c>
      <c r="N226" t="n">
        <v>0</v>
      </c>
      <c r="O226" t="n">
        <v>0</v>
      </c>
      <c r="P226" t="n">
        <v>0</v>
      </c>
      <c r="Q226" t="n">
        <v>1</v>
      </c>
      <c r="R226" s="2" t="inlineStr">
        <is>
          <t>Skogsödla</t>
        </is>
      </c>
      <c r="S226">
        <f>HYPERLINK("https://klasma.github.io/Logging_2281/artfynd/A 47662-2022 artfynd.xlsx", "A 47662-2022")</f>
        <v/>
      </c>
      <c r="T226">
        <f>HYPERLINK("https://klasma.github.io/Logging_2281/kartor/A 47662-2022 karta.png", "A 47662-2022")</f>
        <v/>
      </c>
      <c r="V226">
        <f>HYPERLINK("https://klasma.github.io/Logging_2281/klagomål/A 47662-2022 FSC-klagomål.docx", "A 47662-2022")</f>
        <v/>
      </c>
      <c r="W226">
        <f>HYPERLINK("https://klasma.github.io/Logging_2281/klagomålsmail/A 47662-2022 FSC-klagomål mail.docx", "A 47662-2022")</f>
        <v/>
      </c>
      <c r="X226">
        <f>HYPERLINK("https://klasma.github.io/Logging_2281/tillsyn/A 47662-2022 tillsynsbegäran.docx", "A 47662-2022")</f>
        <v/>
      </c>
      <c r="Y226">
        <f>HYPERLINK("https://klasma.github.io/Logging_2281/tillsynsmail/A 47662-2022 tillsynsbegäran mail.docx", "A 47662-2022")</f>
        <v/>
      </c>
    </row>
    <row r="227" ht="15" customHeight="1">
      <c r="A227" t="inlineStr">
        <is>
          <t>A 47807-2022</t>
        </is>
      </c>
      <c r="B227" s="1" t="n">
        <v>44854</v>
      </c>
      <c r="C227" s="1" t="n">
        <v>45829</v>
      </c>
      <c r="D227" t="inlineStr">
        <is>
          <t>VÄSTERNORRLANDS LÄN</t>
        </is>
      </c>
      <c r="E227" t="inlineStr">
        <is>
          <t>SUNDSVALL</t>
        </is>
      </c>
      <c r="F227" t="inlineStr">
        <is>
          <t>SCA</t>
        </is>
      </c>
      <c r="G227" t="n">
        <v>9.9</v>
      </c>
      <c r="H227" t="n">
        <v>0</v>
      </c>
      <c r="I227" t="n">
        <v>0</v>
      </c>
      <c r="J227" t="n">
        <v>1</v>
      </c>
      <c r="K227" t="n">
        <v>0</v>
      </c>
      <c r="L227" t="n">
        <v>0</v>
      </c>
      <c r="M227" t="n">
        <v>0</v>
      </c>
      <c r="N227" t="n">
        <v>0</v>
      </c>
      <c r="O227" t="n">
        <v>1</v>
      </c>
      <c r="P227" t="n">
        <v>0</v>
      </c>
      <c r="Q227" t="n">
        <v>1</v>
      </c>
      <c r="R227" s="2" t="inlineStr">
        <is>
          <t>Garnlav</t>
        </is>
      </c>
      <c r="S227">
        <f>HYPERLINK("https://klasma.github.io/Logging_2281/artfynd/A 47807-2022 artfynd.xlsx", "A 47807-2022")</f>
        <v/>
      </c>
      <c r="T227">
        <f>HYPERLINK("https://klasma.github.io/Logging_2281/kartor/A 47807-2022 karta.png", "A 47807-2022")</f>
        <v/>
      </c>
      <c r="V227">
        <f>HYPERLINK("https://klasma.github.io/Logging_2281/klagomål/A 47807-2022 FSC-klagomål.docx", "A 47807-2022")</f>
        <v/>
      </c>
      <c r="W227">
        <f>HYPERLINK("https://klasma.github.io/Logging_2281/klagomålsmail/A 47807-2022 FSC-klagomål mail.docx", "A 47807-2022")</f>
        <v/>
      </c>
      <c r="X227">
        <f>HYPERLINK("https://klasma.github.io/Logging_2281/tillsyn/A 47807-2022 tillsynsbegäran.docx", "A 47807-2022")</f>
        <v/>
      </c>
      <c r="Y227">
        <f>HYPERLINK("https://klasma.github.io/Logging_2281/tillsynsmail/A 47807-2022 tillsynsbegäran mail.docx", "A 47807-2022")</f>
        <v/>
      </c>
    </row>
    <row r="228" ht="15" customHeight="1">
      <c r="A228" t="inlineStr">
        <is>
          <t>A 49850-2022</t>
        </is>
      </c>
      <c r="B228" s="1" t="n">
        <v>44862</v>
      </c>
      <c r="C228" s="1" t="n">
        <v>45829</v>
      </c>
      <c r="D228" t="inlineStr">
        <is>
          <t>VÄSTERNORRLANDS LÄN</t>
        </is>
      </c>
      <c r="E228" t="inlineStr">
        <is>
          <t>SUNDSVALL</t>
        </is>
      </c>
      <c r="F228" t="inlineStr">
        <is>
          <t>SCA</t>
        </is>
      </c>
      <c r="G228" t="n">
        <v>5.5</v>
      </c>
      <c r="H228" t="n">
        <v>0</v>
      </c>
      <c r="I228" t="n">
        <v>0</v>
      </c>
      <c r="J228" t="n">
        <v>0</v>
      </c>
      <c r="K228" t="n">
        <v>1</v>
      </c>
      <c r="L228" t="n">
        <v>0</v>
      </c>
      <c r="M228" t="n">
        <v>0</v>
      </c>
      <c r="N228" t="n">
        <v>0</v>
      </c>
      <c r="O228" t="n">
        <v>1</v>
      </c>
      <c r="P228" t="n">
        <v>1</v>
      </c>
      <c r="Q228" t="n">
        <v>1</v>
      </c>
      <c r="R228" s="2" t="inlineStr">
        <is>
          <t>Rynkskinn</t>
        </is>
      </c>
      <c r="S228">
        <f>HYPERLINK("https://klasma.github.io/Logging_2281/artfynd/A 49850-2022 artfynd.xlsx", "A 49850-2022")</f>
        <v/>
      </c>
      <c r="T228">
        <f>HYPERLINK("https://klasma.github.io/Logging_2281/kartor/A 49850-2022 karta.png", "A 49850-2022")</f>
        <v/>
      </c>
      <c r="V228">
        <f>HYPERLINK("https://klasma.github.io/Logging_2281/klagomål/A 49850-2022 FSC-klagomål.docx", "A 49850-2022")</f>
        <v/>
      </c>
      <c r="W228">
        <f>HYPERLINK("https://klasma.github.io/Logging_2281/klagomålsmail/A 49850-2022 FSC-klagomål mail.docx", "A 49850-2022")</f>
        <v/>
      </c>
      <c r="X228">
        <f>HYPERLINK("https://klasma.github.io/Logging_2281/tillsyn/A 49850-2022 tillsynsbegäran.docx", "A 49850-2022")</f>
        <v/>
      </c>
      <c r="Y228">
        <f>HYPERLINK("https://klasma.github.io/Logging_2281/tillsynsmail/A 49850-2022 tillsynsbegäran mail.docx", "A 49850-2022")</f>
        <v/>
      </c>
    </row>
    <row r="229" ht="15" customHeight="1">
      <c r="A229" t="inlineStr">
        <is>
          <t>A 57281-2022</t>
        </is>
      </c>
      <c r="B229" s="1" t="n">
        <v>44895</v>
      </c>
      <c r="C229" s="1" t="n">
        <v>45829</v>
      </c>
      <c r="D229" t="inlineStr">
        <is>
          <t>VÄSTERNORRLANDS LÄN</t>
        </is>
      </c>
      <c r="E229" t="inlineStr">
        <is>
          <t>SUNDSVALL</t>
        </is>
      </c>
      <c r="F229" t="inlineStr">
        <is>
          <t>Naturvårdsverket</t>
        </is>
      </c>
      <c r="G229" t="n">
        <v>9.300000000000001</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57281-2022 artfynd.xlsx", "A 57281-2022")</f>
        <v/>
      </c>
      <c r="T229">
        <f>HYPERLINK("https://klasma.github.io/Logging_2281/kartor/A 57281-2022 karta.png", "A 57281-2022")</f>
        <v/>
      </c>
      <c r="V229">
        <f>HYPERLINK("https://klasma.github.io/Logging_2281/klagomål/A 57281-2022 FSC-klagomål.docx", "A 57281-2022")</f>
        <v/>
      </c>
      <c r="W229">
        <f>HYPERLINK("https://klasma.github.io/Logging_2281/klagomålsmail/A 57281-2022 FSC-klagomål mail.docx", "A 57281-2022")</f>
        <v/>
      </c>
      <c r="X229">
        <f>HYPERLINK("https://klasma.github.io/Logging_2281/tillsyn/A 57281-2022 tillsynsbegäran.docx", "A 57281-2022")</f>
        <v/>
      </c>
      <c r="Y229">
        <f>HYPERLINK("https://klasma.github.io/Logging_2281/tillsynsmail/A 57281-2022 tillsynsbegäran mail.docx", "A 57281-2022")</f>
        <v/>
      </c>
      <c r="Z229">
        <f>HYPERLINK("https://klasma.github.io/Logging_2281/fåglar/A 57281-2022 prioriterade fågelarter.docx", "A 57281-2022")</f>
        <v/>
      </c>
    </row>
    <row r="230" ht="15" customHeight="1">
      <c r="A230" t="inlineStr">
        <is>
          <t>A 58186-2022</t>
        </is>
      </c>
      <c r="B230" s="1" t="n">
        <v>44900</v>
      </c>
      <c r="C230" s="1" t="n">
        <v>45829</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311-2023</t>
        </is>
      </c>
      <c r="B231" s="1" t="n">
        <v>44929</v>
      </c>
      <c r="C231" s="1" t="n">
        <v>45829</v>
      </c>
      <c r="D231" t="inlineStr">
        <is>
          <t>VÄSTERNORRLANDS LÄN</t>
        </is>
      </c>
      <c r="E231" t="inlineStr">
        <is>
          <t>SUNDSVALL</t>
        </is>
      </c>
      <c r="G231" t="n">
        <v>16.5</v>
      </c>
      <c r="H231" t="n">
        <v>1</v>
      </c>
      <c r="I231" t="n">
        <v>0</v>
      </c>
      <c r="J231" t="n">
        <v>0</v>
      </c>
      <c r="K231" t="n">
        <v>0</v>
      </c>
      <c r="L231" t="n">
        <v>0</v>
      </c>
      <c r="M231" t="n">
        <v>0</v>
      </c>
      <c r="N231" t="n">
        <v>0</v>
      </c>
      <c r="O231" t="n">
        <v>0</v>
      </c>
      <c r="P231" t="n">
        <v>0</v>
      </c>
      <c r="Q231" t="n">
        <v>1</v>
      </c>
      <c r="R231" s="2" t="inlineStr">
        <is>
          <t>Tjäder</t>
        </is>
      </c>
      <c r="S231">
        <f>HYPERLINK("https://klasma.github.io/Logging_2281/artfynd/A 311-2023 artfynd.xlsx", "A 311-2023")</f>
        <v/>
      </c>
      <c r="T231">
        <f>HYPERLINK("https://klasma.github.io/Logging_2281/kartor/A 311-2023 karta.png", "A 311-2023")</f>
        <v/>
      </c>
      <c r="V231">
        <f>HYPERLINK("https://klasma.github.io/Logging_2281/klagomål/A 311-2023 FSC-klagomål.docx", "A 311-2023")</f>
        <v/>
      </c>
      <c r="W231">
        <f>HYPERLINK("https://klasma.github.io/Logging_2281/klagomålsmail/A 311-2023 FSC-klagomål mail.docx", "A 311-2023")</f>
        <v/>
      </c>
      <c r="X231">
        <f>HYPERLINK("https://klasma.github.io/Logging_2281/tillsyn/A 311-2023 tillsynsbegäran.docx", "A 311-2023")</f>
        <v/>
      </c>
      <c r="Y231">
        <f>HYPERLINK("https://klasma.github.io/Logging_2281/tillsynsmail/A 311-2023 tillsynsbegäran mail.docx", "A 311-2023")</f>
        <v/>
      </c>
      <c r="Z231">
        <f>HYPERLINK("https://klasma.github.io/Logging_2281/fåglar/A 311-2023 prioriterade fågelarter.docx", "A 311-2023")</f>
        <v/>
      </c>
    </row>
    <row r="232" ht="15" customHeight="1">
      <c r="A232" t="inlineStr">
        <is>
          <t>A 1220-2023</t>
        </is>
      </c>
      <c r="B232" s="1" t="n">
        <v>44935</v>
      </c>
      <c r="C232" s="1" t="n">
        <v>45829</v>
      </c>
      <c r="D232" t="inlineStr">
        <is>
          <t>VÄSTERNORRLANDS LÄN</t>
        </is>
      </c>
      <c r="E232" t="inlineStr">
        <is>
          <t>SUNDSVALL</t>
        </is>
      </c>
      <c r="G232" t="n">
        <v>2.7</v>
      </c>
      <c r="H232" t="n">
        <v>1</v>
      </c>
      <c r="I232" t="n">
        <v>0</v>
      </c>
      <c r="J232" t="n">
        <v>1</v>
      </c>
      <c r="K232" t="n">
        <v>0</v>
      </c>
      <c r="L232" t="n">
        <v>0</v>
      </c>
      <c r="M232" t="n">
        <v>0</v>
      </c>
      <c r="N232" t="n">
        <v>0</v>
      </c>
      <c r="O232" t="n">
        <v>1</v>
      </c>
      <c r="P232" t="n">
        <v>0</v>
      </c>
      <c r="Q232" t="n">
        <v>1</v>
      </c>
      <c r="R232" s="2" t="inlineStr">
        <is>
          <t>Spillkråka</t>
        </is>
      </c>
      <c r="S232">
        <f>HYPERLINK("https://klasma.github.io/Logging_2281/artfynd/A 1220-2023 artfynd.xlsx", "A 1220-2023")</f>
        <v/>
      </c>
      <c r="T232">
        <f>HYPERLINK("https://klasma.github.io/Logging_2281/kartor/A 1220-2023 karta.png", "A 1220-2023")</f>
        <v/>
      </c>
      <c r="V232">
        <f>HYPERLINK("https://klasma.github.io/Logging_2281/klagomål/A 1220-2023 FSC-klagomål.docx", "A 1220-2023")</f>
        <v/>
      </c>
      <c r="W232">
        <f>HYPERLINK("https://klasma.github.io/Logging_2281/klagomålsmail/A 1220-2023 FSC-klagomål mail.docx", "A 1220-2023")</f>
        <v/>
      </c>
      <c r="X232">
        <f>HYPERLINK("https://klasma.github.io/Logging_2281/tillsyn/A 1220-2023 tillsynsbegäran.docx", "A 1220-2023")</f>
        <v/>
      </c>
      <c r="Y232">
        <f>HYPERLINK("https://klasma.github.io/Logging_2281/tillsynsmail/A 1220-2023 tillsynsbegäran mail.docx", "A 1220-2023")</f>
        <v/>
      </c>
      <c r="Z232">
        <f>HYPERLINK("https://klasma.github.io/Logging_2281/fåglar/A 1220-2023 prioriterade fågelarter.docx", "A 1220-2023")</f>
        <v/>
      </c>
    </row>
    <row r="233" ht="15" customHeight="1">
      <c r="A233" t="inlineStr">
        <is>
          <t>A 7524-2023</t>
        </is>
      </c>
      <c r="B233" s="1" t="n">
        <v>44971</v>
      </c>
      <c r="C233" s="1" t="n">
        <v>45829</v>
      </c>
      <c r="D233" t="inlineStr">
        <is>
          <t>VÄSTERNORRLANDS LÄN</t>
        </is>
      </c>
      <c r="E233" t="inlineStr">
        <is>
          <t>SUNDSVALL</t>
        </is>
      </c>
      <c r="F233" t="inlineStr">
        <is>
          <t>Naturvårdsverket</t>
        </is>
      </c>
      <c r="G233" t="n">
        <v>5.2</v>
      </c>
      <c r="H233" t="n">
        <v>0</v>
      </c>
      <c r="I233" t="n">
        <v>0</v>
      </c>
      <c r="J233" t="n">
        <v>0</v>
      </c>
      <c r="K233" t="n">
        <v>1</v>
      </c>
      <c r="L233" t="n">
        <v>0</v>
      </c>
      <c r="M233" t="n">
        <v>0</v>
      </c>
      <c r="N233" t="n">
        <v>0</v>
      </c>
      <c r="O233" t="n">
        <v>1</v>
      </c>
      <c r="P233" t="n">
        <v>1</v>
      </c>
      <c r="Q233" t="n">
        <v>1</v>
      </c>
      <c r="R233" s="2" t="inlineStr">
        <is>
          <t>Rynkskinn</t>
        </is>
      </c>
      <c r="S233">
        <f>HYPERLINK("https://klasma.github.io/Logging_2281/artfynd/A 7524-2023 artfynd.xlsx", "A 7524-2023")</f>
        <v/>
      </c>
      <c r="T233">
        <f>HYPERLINK("https://klasma.github.io/Logging_2281/kartor/A 7524-2023 karta.png", "A 7524-2023")</f>
        <v/>
      </c>
      <c r="V233">
        <f>HYPERLINK("https://klasma.github.io/Logging_2281/klagomål/A 7524-2023 FSC-klagomål.docx", "A 7524-2023")</f>
        <v/>
      </c>
      <c r="W233">
        <f>HYPERLINK("https://klasma.github.io/Logging_2281/klagomålsmail/A 7524-2023 FSC-klagomål mail.docx", "A 7524-2023")</f>
        <v/>
      </c>
      <c r="X233">
        <f>HYPERLINK("https://klasma.github.io/Logging_2281/tillsyn/A 7524-2023 tillsynsbegäran.docx", "A 7524-2023")</f>
        <v/>
      </c>
      <c r="Y233">
        <f>HYPERLINK("https://klasma.github.io/Logging_2281/tillsynsmail/A 7524-2023 tillsynsbegäran mail.docx", "A 7524-2023")</f>
        <v/>
      </c>
    </row>
    <row r="234" ht="15" customHeight="1">
      <c r="A234" t="inlineStr">
        <is>
          <t>A 8032-2023</t>
        </is>
      </c>
      <c r="B234" s="1" t="n">
        <v>44973</v>
      </c>
      <c r="C234" s="1" t="n">
        <v>45829</v>
      </c>
      <c r="D234" t="inlineStr">
        <is>
          <t>VÄSTERNORRLANDS LÄN</t>
        </is>
      </c>
      <c r="E234" t="inlineStr">
        <is>
          <t>SUNDSVALL</t>
        </is>
      </c>
      <c r="F234" t="inlineStr">
        <is>
          <t>SCA</t>
        </is>
      </c>
      <c r="G234" t="n">
        <v>8.6</v>
      </c>
      <c r="H234" t="n">
        <v>1</v>
      </c>
      <c r="I234" t="n">
        <v>0</v>
      </c>
      <c r="J234" t="n">
        <v>0</v>
      </c>
      <c r="K234" t="n">
        <v>0</v>
      </c>
      <c r="L234" t="n">
        <v>0</v>
      </c>
      <c r="M234" t="n">
        <v>0</v>
      </c>
      <c r="N234" t="n">
        <v>0</v>
      </c>
      <c r="O234" t="n">
        <v>0</v>
      </c>
      <c r="P234" t="n">
        <v>0</v>
      </c>
      <c r="Q234" t="n">
        <v>1</v>
      </c>
      <c r="R234" s="2" t="inlineStr">
        <is>
          <t>Vanlig padda</t>
        </is>
      </c>
      <c r="S234">
        <f>HYPERLINK("https://klasma.github.io/Logging_2281/artfynd/A 8032-2023 artfynd.xlsx", "A 8032-2023")</f>
        <v/>
      </c>
      <c r="T234">
        <f>HYPERLINK("https://klasma.github.io/Logging_2281/kartor/A 8032-2023 karta.png", "A 8032-2023")</f>
        <v/>
      </c>
      <c r="V234">
        <f>HYPERLINK("https://klasma.github.io/Logging_2281/klagomål/A 8032-2023 FSC-klagomål.docx", "A 8032-2023")</f>
        <v/>
      </c>
      <c r="W234">
        <f>HYPERLINK("https://klasma.github.io/Logging_2281/klagomålsmail/A 8032-2023 FSC-klagomål mail.docx", "A 8032-2023")</f>
        <v/>
      </c>
      <c r="X234">
        <f>HYPERLINK("https://klasma.github.io/Logging_2281/tillsyn/A 8032-2023 tillsynsbegäran.docx", "A 8032-2023")</f>
        <v/>
      </c>
      <c r="Y234">
        <f>HYPERLINK("https://klasma.github.io/Logging_2281/tillsynsmail/A 8032-2023 tillsynsbegäran mail.docx", "A 8032-2023")</f>
        <v/>
      </c>
    </row>
    <row r="235" ht="15" customHeight="1">
      <c r="A235" t="inlineStr">
        <is>
          <t>A 9584-2023</t>
        </is>
      </c>
      <c r="B235" s="1" t="n">
        <v>44982</v>
      </c>
      <c r="C235" s="1" t="n">
        <v>45829</v>
      </c>
      <c r="D235" t="inlineStr">
        <is>
          <t>VÄSTERNORRLANDS LÄN</t>
        </is>
      </c>
      <c r="E235" t="inlineStr">
        <is>
          <t>SUNDSVALL</t>
        </is>
      </c>
      <c r="F235" t="inlineStr">
        <is>
          <t>SCA</t>
        </is>
      </c>
      <c r="G235" t="n">
        <v>3.7</v>
      </c>
      <c r="H235" t="n">
        <v>1</v>
      </c>
      <c r="I235" t="n">
        <v>0</v>
      </c>
      <c r="J235" t="n">
        <v>0</v>
      </c>
      <c r="K235" t="n">
        <v>0</v>
      </c>
      <c r="L235" t="n">
        <v>0</v>
      </c>
      <c r="M235" t="n">
        <v>0</v>
      </c>
      <c r="N235" t="n">
        <v>0</v>
      </c>
      <c r="O235" t="n">
        <v>0</v>
      </c>
      <c r="P235" t="n">
        <v>0</v>
      </c>
      <c r="Q235" t="n">
        <v>1</v>
      </c>
      <c r="R235" s="2" t="inlineStr">
        <is>
          <t>Orre</t>
        </is>
      </c>
      <c r="S235">
        <f>HYPERLINK("https://klasma.github.io/Logging_2281/artfynd/A 9584-2023 artfynd.xlsx", "A 9584-2023")</f>
        <v/>
      </c>
      <c r="T235">
        <f>HYPERLINK("https://klasma.github.io/Logging_2281/kartor/A 9584-2023 karta.png", "A 9584-2023")</f>
        <v/>
      </c>
      <c r="V235">
        <f>HYPERLINK("https://klasma.github.io/Logging_2281/klagomål/A 9584-2023 FSC-klagomål.docx", "A 9584-2023")</f>
        <v/>
      </c>
      <c r="W235">
        <f>HYPERLINK("https://klasma.github.io/Logging_2281/klagomålsmail/A 9584-2023 FSC-klagomål mail.docx", "A 9584-2023")</f>
        <v/>
      </c>
      <c r="X235">
        <f>HYPERLINK("https://klasma.github.io/Logging_2281/tillsyn/A 9584-2023 tillsynsbegäran.docx", "A 9584-2023")</f>
        <v/>
      </c>
      <c r="Y235">
        <f>HYPERLINK("https://klasma.github.io/Logging_2281/tillsynsmail/A 9584-2023 tillsynsbegäran mail.docx", "A 9584-2023")</f>
        <v/>
      </c>
      <c r="Z235">
        <f>HYPERLINK("https://klasma.github.io/Logging_2281/fåglar/A 9584-2023 prioriterade fågelarter.docx", "A 9584-2023")</f>
        <v/>
      </c>
    </row>
    <row r="236" ht="15" customHeight="1">
      <c r="A236" t="inlineStr">
        <is>
          <t>A 10774-2023</t>
        </is>
      </c>
      <c r="B236" s="1" t="n">
        <v>44988</v>
      </c>
      <c r="C236" s="1" t="n">
        <v>45829</v>
      </c>
      <c r="D236" t="inlineStr">
        <is>
          <t>VÄSTERNORRLANDS LÄN</t>
        </is>
      </c>
      <c r="E236" t="inlineStr">
        <is>
          <t>SUNDSVALL</t>
        </is>
      </c>
      <c r="F236" t="inlineStr">
        <is>
          <t>SCA</t>
        </is>
      </c>
      <c r="G236" t="n">
        <v>2</v>
      </c>
      <c r="H236" t="n">
        <v>1</v>
      </c>
      <c r="I236" t="n">
        <v>0</v>
      </c>
      <c r="J236" t="n">
        <v>1</v>
      </c>
      <c r="K236" t="n">
        <v>0</v>
      </c>
      <c r="L236" t="n">
        <v>0</v>
      </c>
      <c r="M236" t="n">
        <v>0</v>
      </c>
      <c r="N236" t="n">
        <v>0</v>
      </c>
      <c r="O236" t="n">
        <v>1</v>
      </c>
      <c r="P236" t="n">
        <v>0</v>
      </c>
      <c r="Q236" t="n">
        <v>1</v>
      </c>
      <c r="R236" s="2" t="inlineStr">
        <is>
          <t>Järpe</t>
        </is>
      </c>
      <c r="S236">
        <f>HYPERLINK("https://klasma.github.io/Logging_2281/artfynd/A 10774-2023 artfynd.xlsx", "A 10774-2023")</f>
        <v/>
      </c>
      <c r="T236">
        <f>HYPERLINK("https://klasma.github.io/Logging_2281/kartor/A 10774-2023 karta.png", "A 10774-2023")</f>
        <v/>
      </c>
      <c r="V236">
        <f>HYPERLINK("https://klasma.github.io/Logging_2281/klagomål/A 10774-2023 FSC-klagomål.docx", "A 10774-2023")</f>
        <v/>
      </c>
      <c r="W236">
        <f>HYPERLINK("https://klasma.github.io/Logging_2281/klagomålsmail/A 10774-2023 FSC-klagomål mail.docx", "A 10774-2023")</f>
        <v/>
      </c>
      <c r="X236">
        <f>HYPERLINK("https://klasma.github.io/Logging_2281/tillsyn/A 10774-2023 tillsynsbegäran.docx", "A 10774-2023")</f>
        <v/>
      </c>
      <c r="Y236">
        <f>HYPERLINK("https://klasma.github.io/Logging_2281/tillsynsmail/A 10774-2023 tillsynsbegäran mail.docx", "A 10774-2023")</f>
        <v/>
      </c>
      <c r="Z236">
        <f>HYPERLINK("https://klasma.github.io/Logging_2281/fåglar/A 10774-2023 prioriterade fågelarter.docx", "A 10774-2023")</f>
        <v/>
      </c>
    </row>
    <row r="237" ht="15" customHeight="1">
      <c r="A237" t="inlineStr">
        <is>
          <t>A 12049-2023</t>
        </is>
      </c>
      <c r="B237" s="1" t="n">
        <v>44996</v>
      </c>
      <c r="C237" s="1" t="n">
        <v>45829</v>
      </c>
      <c r="D237" t="inlineStr">
        <is>
          <t>VÄSTERNORRLANDS LÄN</t>
        </is>
      </c>
      <c r="E237" t="inlineStr">
        <is>
          <t>SUNDSVALL</t>
        </is>
      </c>
      <c r="F237" t="inlineStr">
        <is>
          <t>SCA</t>
        </is>
      </c>
      <c r="G237" t="n">
        <v>13</v>
      </c>
      <c r="H237" t="n">
        <v>1</v>
      </c>
      <c r="I237" t="n">
        <v>0</v>
      </c>
      <c r="J237" t="n">
        <v>0</v>
      </c>
      <c r="K237" t="n">
        <v>1</v>
      </c>
      <c r="L237" t="n">
        <v>0</v>
      </c>
      <c r="M237" t="n">
        <v>0</v>
      </c>
      <c r="N237" t="n">
        <v>0</v>
      </c>
      <c r="O237" t="n">
        <v>1</v>
      </c>
      <c r="P237" t="n">
        <v>1</v>
      </c>
      <c r="Q237" t="n">
        <v>1</v>
      </c>
      <c r="R237" s="2" t="inlineStr">
        <is>
          <t>Lappuggla</t>
        </is>
      </c>
      <c r="S237">
        <f>HYPERLINK("https://klasma.github.io/Logging_2281/artfynd/A 12049-2023 artfynd.xlsx", "A 12049-2023")</f>
        <v/>
      </c>
      <c r="T237">
        <f>HYPERLINK("https://klasma.github.io/Logging_2281/kartor/A 12049-2023 karta.png", "A 12049-2023")</f>
        <v/>
      </c>
      <c r="V237">
        <f>HYPERLINK("https://klasma.github.io/Logging_2281/klagomål/A 12049-2023 FSC-klagomål.docx", "A 12049-2023")</f>
        <v/>
      </c>
      <c r="W237">
        <f>HYPERLINK("https://klasma.github.io/Logging_2281/klagomålsmail/A 12049-2023 FSC-klagomål mail.docx", "A 12049-2023")</f>
        <v/>
      </c>
      <c r="X237">
        <f>HYPERLINK("https://klasma.github.io/Logging_2281/tillsyn/A 12049-2023 tillsynsbegäran.docx", "A 12049-2023")</f>
        <v/>
      </c>
      <c r="Y237">
        <f>HYPERLINK("https://klasma.github.io/Logging_2281/tillsynsmail/A 12049-2023 tillsynsbegäran mail.docx", "A 12049-2023")</f>
        <v/>
      </c>
      <c r="Z237">
        <f>HYPERLINK("https://klasma.github.io/Logging_2281/fåglar/A 12049-2023 prioriterade fågelarter.docx", "A 12049-2023")</f>
        <v/>
      </c>
    </row>
    <row r="238" ht="15" customHeight="1">
      <c r="A238" t="inlineStr">
        <is>
          <t>A 12058-2023</t>
        </is>
      </c>
      <c r="B238" s="1" t="n">
        <v>44995</v>
      </c>
      <c r="C238" s="1" t="n">
        <v>45829</v>
      </c>
      <c r="D238" t="inlineStr">
        <is>
          <t>VÄSTERNORRLANDS LÄN</t>
        </is>
      </c>
      <c r="E238" t="inlineStr">
        <is>
          <t>SUNDSVALL</t>
        </is>
      </c>
      <c r="F238" t="inlineStr">
        <is>
          <t>SCA</t>
        </is>
      </c>
      <c r="G238" t="n">
        <v>4</v>
      </c>
      <c r="H238" t="n">
        <v>1</v>
      </c>
      <c r="I238" t="n">
        <v>0</v>
      </c>
      <c r="J238" t="n">
        <v>1</v>
      </c>
      <c r="K238" t="n">
        <v>0</v>
      </c>
      <c r="L238" t="n">
        <v>0</v>
      </c>
      <c r="M238" t="n">
        <v>0</v>
      </c>
      <c r="N238" t="n">
        <v>0</v>
      </c>
      <c r="O238" t="n">
        <v>1</v>
      </c>
      <c r="P238" t="n">
        <v>0</v>
      </c>
      <c r="Q238" t="n">
        <v>1</v>
      </c>
      <c r="R238" s="2" t="inlineStr">
        <is>
          <t>Fiskmås</t>
        </is>
      </c>
      <c r="S238">
        <f>HYPERLINK("https://klasma.github.io/Logging_2281/artfynd/A 12058-2023 artfynd.xlsx", "A 12058-2023")</f>
        <v/>
      </c>
      <c r="T238">
        <f>HYPERLINK("https://klasma.github.io/Logging_2281/kartor/A 12058-2023 karta.png", "A 12058-2023")</f>
        <v/>
      </c>
      <c r="V238">
        <f>HYPERLINK("https://klasma.github.io/Logging_2281/klagomål/A 12058-2023 FSC-klagomål.docx", "A 12058-2023")</f>
        <v/>
      </c>
      <c r="W238">
        <f>HYPERLINK("https://klasma.github.io/Logging_2281/klagomålsmail/A 12058-2023 FSC-klagomål mail.docx", "A 12058-2023")</f>
        <v/>
      </c>
      <c r="X238">
        <f>HYPERLINK("https://klasma.github.io/Logging_2281/tillsyn/A 12058-2023 tillsynsbegäran.docx", "A 12058-2023")</f>
        <v/>
      </c>
      <c r="Y238">
        <f>HYPERLINK("https://klasma.github.io/Logging_2281/tillsynsmail/A 12058-2023 tillsynsbegäran mail.docx", "A 12058-2023")</f>
        <v/>
      </c>
    </row>
    <row r="239" ht="15" customHeight="1">
      <c r="A239" t="inlineStr">
        <is>
          <t>A 14665-2023</t>
        </is>
      </c>
      <c r="B239" s="1" t="n">
        <v>45014</v>
      </c>
      <c r="C239" s="1" t="n">
        <v>45829</v>
      </c>
      <c r="D239" t="inlineStr">
        <is>
          <t>VÄSTERNORRLANDS LÄN</t>
        </is>
      </c>
      <c r="E239" t="inlineStr">
        <is>
          <t>SUNDSVALL</t>
        </is>
      </c>
      <c r="G239" t="n">
        <v>1.8</v>
      </c>
      <c r="H239" t="n">
        <v>1</v>
      </c>
      <c r="I239" t="n">
        <v>0</v>
      </c>
      <c r="J239" t="n">
        <v>0</v>
      </c>
      <c r="K239" t="n">
        <v>0</v>
      </c>
      <c r="L239" t="n">
        <v>0</v>
      </c>
      <c r="M239" t="n">
        <v>0</v>
      </c>
      <c r="N239" t="n">
        <v>0</v>
      </c>
      <c r="O239" t="n">
        <v>0</v>
      </c>
      <c r="P239" t="n">
        <v>0</v>
      </c>
      <c r="Q239" t="n">
        <v>1</v>
      </c>
      <c r="R239" s="2" t="inlineStr">
        <is>
          <t>Trana</t>
        </is>
      </c>
      <c r="S239">
        <f>HYPERLINK("https://klasma.github.io/Logging_2281/artfynd/A 14665-2023 artfynd.xlsx", "A 14665-2023")</f>
        <v/>
      </c>
      <c r="T239">
        <f>HYPERLINK("https://klasma.github.io/Logging_2281/kartor/A 14665-2023 karta.png", "A 14665-2023")</f>
        <v/>
      </c>
      <c r="V239">
        <f>HYPERLINK("https://klasma.github.io/Logging_2281/klagomål/A 14665-2023 FSC-klagomål.docx", "A 14665-2023")</f>
        <v/>
      </c>
      <c r="W239">
        <f>HYPERLINK("https://klasma.github.io/Logging_2281/klagomålsmail/A 14665-2023 FSC-klagomål mail.docx", "A 14665-2023")</f>
        <v/>
      </c>
      <c r="X239">
        <f>HYPERLINK("https://klasma.github.io/Logging_2281/tillsyn/A 14665-2023 tillsynsbegäran.docx", "A 14665-2023")</f>
        <v/>
      </c>
      <c r="Y239">
        <f>HYPERLINK("https://klasma.github.io/Logging_2281/tillsynsmail/A 14665-2023 tillsynsbegäran mail.docx", "A 14665-2023")</f>
        <v/>
      </c>
      <c r="Z239">
        <f>HYPERLINK("https://klasma.github.io/Logging_2281/fåglar/A 14665-2023 prioriterade fågelarter.docx", "A 14665-2023")</f>
        <v/>
      </c>
    </row>
    <row r="240" ht="15" customHeight="1">
      <c r="A240" t="inlineStr">
        <is>
          <t>A 15346-2023</t>
        </is>
      </c>
      <c r="B240" s="1" t="n">
        <v>45016</v>
      </c>
      <c r="C240" s="1" t="n">
        <v>45829</v>
      </c>
      <c r="D240" t="inlineStr">
        <is>
          <t>VÄSTERNORRLANDS LÄN</t>
        </is>
      </c>
      <c r="E240" t="inlineStr">
        <is>
          <t>SUNDSVALL</t>
        </is>
      </c>
      <c r="G240" t="n">
        <v>3.8</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15346-2023 artfynd.xlsx", "A 15346-2023")</f>
        <v/>
      </c>
      <c r="T240">
        <f>HYPERLINK("https://klasma.github.io/Logging_2281/kartor/A 15346-2023 karta.png", "A 15346-2023")</f>
        <v/>
      </c>
      <c r="V240">
        <f>HYPERLINK("https://klasma.github.io/Logging_2281/klagomål/A 15346-2023 FSC-klagomål.docx", "A 15346-2023")</f>
        <v/>
      </c>
      <c r="W240">
        <f>HYPERLINK("https://klasma.github.io/Logging_2281/klagomålsmail/A 15346-2023 FSC-klagomål mail.docx", "A 15346-2023")</f>
        <v/>
      </c>
      <c r="X240">
        <f>HYPERLINK("https://klasma.github.io/Logging_2281/tillsyn/A 15346-2023 tillsynsbegäran.docx", "A 15346-2023")</f>
        <v/>
      </c>
      <c r="Y240">
        <f>HYPERLINK("https://klasma.github.io/Logging_2281/tillsynsmail/A 15346-2023 tillsynsbegäran mail.docx", "A 15346-2023")</f>
        <v/>
      </c>
      <c r="Z240">
        <f>HYPERLINK("https://klasma.github.io/Logging_2281/fåglar/A 15346-2023 prioriterade fågelarter.docx", "A 15346-2023")</f>
        <v/>
      </c>
    </row>
    <row r="241" ht="15" customHeight="1">
      <c r="A241" t="inlineStr">
        <is>
          <t>A 17772-2023</t>
        </is>
      </c>
      <c r="B241" s="1" t="n">
        <v>45036</v>
      </c>
      <c r="C241" s="1" t="n">
        <v>45829</v>
      </c>
      <c r="D241" t="inlineStr">
        <is>
          <t>VÄSTERNORRLANDS LÄN</t>
        </is>
      </c>
      <c r="E241" t="inlineStr">
        <is>
          <t>SUNDSVALL</t>
        </is>
      </c>
      <c r="G241" t="n">
        <v>4.2</v>
      </c>
      <c r="H241" t="n">
        <v>0</v>
      </c>
      <c r="I241" t="n">
        <v>0</v>
      </c>
      <c r="J241" t="n">
        <v>1</v>
      </c>
      <c r="K241" t="n">
        <v>0</v>
      </c>
      <c r="L241" t="n">
        <v>0</v>
      </c>
      <c r="M241" t="n">
        <v>0</v>
      </c>
      <c r="N241" t="n">
        <v>0</v>
      </c>
      <c r="O241" t="n">
        <v>1</v>
      </c>
      <c r="P241" t="n">
        <v>0</v>
      </c>
      <c r="Q241" t="n">
        <v>1</v>
      </c>
      <c r="R241" s="2" t="inlineStr">
        <is>
          <t>Garnlav</t>
        </is>
      </c>
      <c r="S241">
        <f>HYPERLINK("https://klasma.github.io/Logging_2281/artfynd/A 17772-2023 artfynd.xlsx", "A 17772-2023")</f>
        <v/>
      </c>
      <c r="T241">
        <f>HYPERLINK("https://klasma.github.io/Logging_2281/kartor/A 17772-2023 karta.png", "A 17772-2023")</f>
        <v/>
      </c>
      <c r="V241">
        <f>HYPERLINK("https://klasma.github.io/Logging_2281/klagomål/A 17772-2023 FSC-klagomål.docx", "A 17772-2023")</f>
        <v/>
      </c>
      <c r="W241">
        <f>HYPERLINK("https://klasma.github.io/Logging_2281/klagomålsmail/A 17772-2023 FSC-klagomål mail.docx", "A 17772-2023")</f>
        <v/>
      </c>
      <c r="X241">
        <f>HYPERLINK("https://klasma.github.io/Logging_2281/tillsyn/A 17772-2023 tillsynsbegäran.docx", "A 17772-2023")</f>
        <v/>
      </c>
      <c r="Y241">
        <f>HYPERLINK("https://klasma.github.io/Logging_2281/tillsynsmail/A 17772-2023 tillsynsbegäran mail.docx", "A 17772-2023")</f>
        <v/>
      </c>
    </row>
    <row r="242" ht="15" customHeight="1">
      <c r="A242" t="inlineStr">
        <is>
          <t>A 19441-2023</t>
        </is>
      </c>
      <c r="B242" s="1" t="n">
        <v>45049</v>
      </c>
      <c r="C242" s="1" t="n">
        <v>45829</v>
      </c>
      <c r="D242" t="inlineStr">
        <is>
          <t>VÄSTERNORRLANDS LÄN</t>
        </is>
      </c>
      <c r="E242" t="inlineStr">
        <is>
          <t>SUNDSVALL</t>
        </is>
      </c>
      <c r="F242" t="inlineStr">
        <is>
          <t>SCA</t>
        </is>
      </c>
      <c r="G242" t="n">
        <v>3.5</v>
      </c>
      <c r="H242" t="n">
        <v>0</v>
      </c>
      <c r="I242" t="n">
        <v>0</v>
      </c>
      <c r="J242" t="n">
        <v>1</v>
      </c>
      <c r="K242" t="n">
        <v>0</v>
      </c>
      <c r="L242" t="n">
        <v>0</v>
      </c>
      <c r="M242" t="n">
        <v>0</v>
      </c>
      <c r="N242" t="n">
        <v>0</v>
      </c>
      <c r="O242" t="n">
        <v>1</v>
      </c>
      <c r="P242" t="n">
        <v>0</v>
      </c>
      <c r="Q242" t="n">
        <v>1</v>
      </c>
      <c r="R242" s="2" t="inlineStr">
        <is>
          <t>Lunglav</t>
        </is>
      </c>
      <c r="S242">
        <f>HYPERLINK("https://klasma.github.io/Logging_2281/artfynd/A 19441-2023 artfynd.xlsx", "A 19441-2023")</f>
        <v/>
      </c>
      <c r="T242">
        <f>HYPERLINK("https://klasma.github.io/Logging_2281/kartor/A 19441-2023 karta.png", "A 19441-2023")</f>
        <v/>
      </c>
      <c r="V242">
        <f>HYPERLINK("https://klasma.github.io/Logging_2281/klagomål/A 19441-2023 FSC-klagomål.docx", "A 19441-2023")</f>
        <v/>
      </c>
      <c r="W242">
        <f>HYPERLINK("https://klasma.github.io/Logging_2281/klagomålsmail/A 19441-2023 FSC-klagomål mail.docx", "A 19441-2023")</f>
        <v/>
      </c>
      <c r="X242">
        <f>HYPERLINK("https://klasma.github.io/Logging_2281/tillsyn/A 19441-2023 tillsynsbegäran.docx", "A 19441-2023")</f>
        <v/>
      </c>
      <c r="Y242">
        <f>HYPERLINK("https://klasma.github.io/Logging_2281/tillsynsmail/A 19441-2023 tillsynsbegäran mail.docx", "A 19441-2023")</f>
        <v/>
      </c>
    </row>
    <row r="243" ht="15" customHeight="1">
      <c r="A243" t="inlineStr">
        <is>
          <t>A 19815-2023</t>
        </is>
      </c>
      <c r="B243" s="1" t="n">
        <v>45051</v>
      </c>
      <c r="C243" s="1" t="n">
        <v>45829</v>
      </c>
      <c r="D243" t="inlineStr">
        <is>
          <t>VÄSTERNORRLANDS LÄN</t>
        </is>
      </c>
      <c r="E243" t="inlineStr">
        <is>
          <t>SUNDSVALL</t>
        </is>
      </c>
      <c r="F243" t="inlineStr">
        <is>
          <t>SCA</t>
        </is>
      </c>
      <c r="G243" t="n">
        <v>3.4</v>
      </c>
      <c r="H243" t="n">
        <v>1</v>
      </c>
      <c r="I243" t="n">
        <v>0</v>
      </c>
      <c r="J243" t="n">
        <v>0</v>
      </c>
      <c r="K243" t="n">
        <v>1</v>
      </c>
      <c r="L243" t="n">
        <v>0</v>
      </c>
      <c r="M243" t="n">
        <v>0</v>
      </c>
      <c r="N243" t="n">
        <v>0</v>
      </c>
      <c r="O243" t="n">
        <v>1</v>
      </c>
      <c r="P243" t="n">
        <v>1</v>
      </c>
      <c r="Q243" t="n">
        <v>1</v>
      </c>
      <c r="R243" s="2" t="inlineStr">
        <is>
          <t>Knärot</t>
        </is>
      </c>
      <c r="S243">
        <f>HYPERLINK("https://klasma.github.io/Logging_2281/artfynd/A 19815-2023 artfynd.xlsx", "A 19815-2023")</f>
        <v/>
      </c>
      <c r="T243">
        <f>HYPERLINK("https://klasma.github.io/Logging_2281/kartor/A 19815-2023 karta.png", "A 19815-2023")</f>
        <v/>
      </c>
      <c r="U243">
        <f>HYPERLINK("https://klasma.github.io/Logging_2281/knärot/A 19815-2023 karta knärot.png", "A 19815-2023")</f>
        <v/>
      </c>
      <c r="V243">
        <f>HYPERLINK("https://klasma.github.io/Logging_2281/klagomål/A 19815-2023 FSC-klagomål.docx", "A 19815-2023")</f>
        <v/>
      </c>
      <c r="W243">
        <f>HYPERLINK("https://klasma.github.io/Logging_2281/klagomålsmail/A 19815-2023 FSC-klagomål mail.docx", "A 19815-2023")</f>
        <v/>
      </c>
      <c r="X243">
        <f>HYPERLINK("https://klasma.github.io/Logging_2281/tillsyn/A 19815-2023 tillsynsbegäran.docx", "A 19815-2023")</f>
        <v/>
      </c>
      <c r="Y243">
        <f>HYPERLINK("https://klasma.github.io/Logging_2281/tillsynsmail/A 19815-2023 tillsynsbegäran mail.docx", "A 19815-2023")</f>
        <v/>
      </c>
    </row>
    <row r="244" ht="15" customHeight="1">
      <c r="A244" t="inlineStr">
        <is>
          <t>A 22227-2023</t>
        </is>
      </c>
      <c r="B244" s="1" t="n">
        <v>45069</v>
      </c>
      <c r="C244" s="1" t="n">
        <v>45829</v>
      </c>
      <c r="D244" t="inlineStr">
        <is>
          <t>VÄSTERNORRLANDS LÄN</t>
        </is>
      </c>
      <c r="E244" t="inlineStr">
        <is>
          <t>SUNDSVALL</t>
        </is>
      </c>
      <c r="F244" t="inlineStr">
        <is>
          <t>Naturvårdsverket</t>
        </is>
      </c>
      <c r="G244" t="n">
        <v>6.7</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22227-2023 artfynd.xlsx", "A 22227-2023")</f>
        <v/>
      </c>
      <c r="T244">
        <f>HYPERLINK("https://klasma.github.io/Logging_2281/kartor/A 22227-2023 karta.png", "A 22227-2023")</f>
        <v/>
      </c>
      <c r="V244">
        <f>HYPERLINK("https://klasma.github.io/Logging_2281/klagomål/A 22227-2023 FSC-klagomål.docx", "A 22227-2023")</f>
        <v/>
      </c>
      <c r="W244">
        <f>HYPERLINK("https://klasma.github.io/Logging_2281/klagomålsmail/A 22227-2023 FSC-klagomål mail.docx", "A 22227-2023")</f>
        <v/>
      </c>
      <c r="X244">
        <f>HYPERLINK("https://klasma.github.io/Logging_2281/tillsyn/A 22227-2023 tillsynsbegäran.docx", "A 22227-2023")</f>
        <v/>
      </c>
      <c r="Y244">
        <f>HYPERLINK("https://klasma.github.io/Logging_2281/tillsynsmail/A 22227-2023 tillsynsbegäran mail.docx", "A 22227-2023")</f>
        <v/>
      </c>
      <c r="Z244">
        <f>HYPERLINK("https://klasma.github.io/Logging_2281/fåglar/A 22227-2023 prioriterade fågelarter.docx", "A 22227-2023")</f>
        <v/>
      </c>
    </row>
    <row r="245" ht="15" customHeight="1">
      <c r="A245" t="inlineStr">
        <is>
          <t>A 22993-2023</t>
        </is>
      </c>
      <c r="B245" s="1" t="n">
        <v>45072</v>
      </c>
      <c r="C245" s="1" t="n">
        <v>45829</v>
      </c>
      <c r="D245" t="inlineStr">
        <is>
          <t>VÄSTERNORRLANDS LÄN</t>
        </is>
      </c>
      <c r="E245" t="inlineStr">
        <is>
          <t>SUNDSVALL</t>
        </is>
      </c>
      <c r="F245" t="inlineStr">
        <is>
          <t>SCA</t>
        </is>
      </c>
      <c r="G245" t="n">
        <v>3.6</v>
      </c>
      <c r="H245" t="n">
        <v>0</v>
      </c>
      <c r="I245" t="n">
        <v>0</v>
      </c>
      <c r="J245" t="n">
        <v>1</v>
      </c>
      <c r="K245" t="n">
        <v>0</v>
      </c>
      <c r="L245" t="n">
        <v>0</v>
      </c>
      <c r="M245" t="n">
        <v>0</v>
      </c>
      <c r="N245" t="n">
        <v>0</v>
      </c>
      <c r="O245" t="n">
        <v>1</v>
      </c>
      <c r="P245" t="n">
        <v>0</v>
      </c>
      <c r="Q245" t="n">
        <v>1</v>
      </c>
      <c r="R245" s="2" t="inlineStr">
        <is>
          <t>Lunglav</t>
        </is>
      </c>
      <c r="S245">
        <f>HYPERLINK("https://klasma.github.io/Logging_2281/artfynd/A 22993-2023 artfynd.xlsx", "A 22993-2023")</f>
        <v/>
      </c>
      <c r="T245">
        <f>HYPERLINK("https://klasma.github.io/Logging_2281/kartor/A 22993-2023 karta.png", "A 22993-2023")</f>
        <v/>
      </c>
      <c r="V245">
        <f>HYPERLINK("https://klasma.github.io/Logging_2281/klagomål/A 22993-2023 FSC-klagomål.docx", "A 22993-2023")</f>
        <v/>
      </c>
      <c r="W245">
        <f>HYPERLINK("https://klasma.github.io/Logging_2281/klagomålsmail/A 22993-2023 FSC-klagomål mail.docx", "A 22993-2023")</f>
        <v/>
      </c>
      <c r="X245">
        <f>HYPERLINK("https://klasma.github.io/Logging_2281/tillsyn/A 22993-2023 tillsynsbegäran.docx", "A 22993-2023")</f>
        <v/>
      </c>
      <c r="Y245">
        <f>HYPERLINK("https://klasma.github.io/Logging_2281/tillsynsmail/A 22993-2023 tillsynsbegäran mail.docx", "A 22993-2023")</f>
        <v/>
      </c>
    </row>
    <row r="246" ht="15" customHeight="1">
      <c r="A246" t="inlineStr">
        <is>
          <t>A 28008-2023</t>
        </is>
      </c>
      <c r="B246" s="1" t="n">
        <v>45098</v>
      </c>
      <c r="C246" s="1" t="n">
        <v>45829</v>
      </c>
      <c r="D246" t="inlineStr">
        <is>
          <t>VÄSTERNORRLANDS LÄN</t>
        </is>
      </c>
      <c r="E246" t="inlineStr">
        <is>
          <t>SUNDSVALL</t>
        </is>
      </c>
      <c r="F246" t="inlineStr">
        <is>
          <t>SCA</t>
        </is>
      </c>
      <c r="G246" t="n">
        <v>6.4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28008-2023 artfynd.xlsx", "A 28008-2023")</f>
        <v/>
      </c>
      <c r="T246">
        <f>HYPERLINK("https://klasma.github.io/Logging_2281/kartor/A 28008-2023 karta.png", "A 28008-2023")</f>
        <v/>
      </c>
      <c r="V246">
        <f>HYPERLINK("https://klasma.github.io/Logging_2281/klagomål/A 28008-2023 FSC-klagomål.docx", "A 28008-2023")</f>
        <v/>
      </c>
      <c r="W246">
        <f>HYPERLINK("https://klasma.github.io/Logging_2281/klagomålsmail/A 28008-2023 FSC-klagomål mail.docx", "A 28008-2023")</f>
        <v/>
      </c>
      <c r="X246">
        <f>HYPERLINK("https://klasma.github.io/Logging_2281/tillsyn/A 28008-2023 tillsynsbegäran.docx", "A 28008-2023")</f>
        <v/>
      </c>
      <c r="Y246">
        <f>HYPERLINK("https://klasma.github.io/Logging_2281/tillsynsmail/A 28008-2023 tillsynsbegäran mail.docx", "A 28008-2023")</f>
        <v/>
      </c>
      <c r="Z246">
        <f>HYPERLINK("https://klasma.github.io/Logging_2281/fåglar/A 28008-2023 prioriterade fågelarter.docx", "A 28008-2023")</f>
        <v/>
      </c>
    </row>
    <row r="247" ht="15" customHeight="1">
      <c r="A247" t="inlineStr">
        <is>
          <t>A 32077-2023</t>
        </is>
      </c>
      <c r="B247" s="1" t="n">
        <v>45107</v>
      </c>
      <c r="C247" s="1" t="n">
        <v>45829</v>
      </c>
      <c r="D247" t="inlineStr">
        <is>
          <t>VÄSTERNORRLANDS LÄN</t>
        </is>
      </c>
      <c r="E247" t="inlineStr">
        <is>
          <t>SUNDSVALL</t>
        </is>
      </c>
      <c r="G247" t="n">
        <v>5.3</v>
      </c>
      <c r="H247" t="n">
        <v>0</v>
      </c>
      <c r="I247" t="n">
        <v>0</v>
      </c>
      <c r="J247" t="n">
        <v>1</v>
      </c>
      <c r="K247" t="n">
        <v>0</v>
      </c>
      <c r="L247" t="n">
        <v>0</v>
      </c>
      <c r="M247" t="n">
        <v>0</v>
      </c>
      <c r="N247" t="n">
        <v>0</v>
      </c>
      <c r="O247" t="n">
        <v>1</v>
      </c>
      <c r="P247" t="n">
        <v>0</v>
      </c>
      <c r="Q247" t="n">
        <v>1</v>
      </c>
      <c r="R247" s="2" t="inlineStr">
        <is>
          <t>Garnlav</t>
        </is>
      </c>
      <c r="S247">
        <f>HYPERLINK("https://klasma.github.io/Logging_2281/artfynd/A 32077-2023 artfynd.xlsx", "A 32077-2023")</f>
        <v/>
      </c>
      <c r="T247">
        <f>HYPERLINK("https://klasma.github.io/Logging_2281/kartor/A 32077-2023 karta.png", "A 32077-2023")</f>
        <v/>
      </c>
      <c r="V247">
        <f>HYPERLINK("https://klasma.github.io/Logging_2281/klagomål/A 32077-2023 FSC-klagomål.docx", "A 32077-2023")</f>
        <v/>
      </c>
      <c r="W247">
        <f>HYPERLINK("https://klasma.github.io/Logging_2281/klagomålsmail/A 32077-2023 FSC-klagomål mail.docx", "A 32077-2023")</f>
        <v/>
      </c>
      <c r="X247">
        <f>HYPERLINK("https://klasma.github.io/Logging_2281/tillsyn/A 32077-2023 tillsynsbegäran.docx", "A 32077-2023")</f>
        <v/>
      </c>
      <c r="Y247">
        <f>HYPERLINK("https://klasma.github.io/Logging_2281/tillsynsmail/A 32077-2023 tillsynsbegäran mail.docx", "A 32077-2023")</f>
        <v/>
      </c>
    </row>
    <row r="248" ht="15" customHeight="1">
      <c r="A248" t="inlineStr">
        <is>
          <t>A 30837-2023</t>
        </is>
      </c>
      <c r="B248" s="1" t="n">
        <v>45112</v>
      </c>
      <c r="C248" s="1" t="n">
        <v>45829</v>
      </c>
      <c r="D248" t="inlineStr">
        <is>
          <t>VÄSTERNORRLANDS LÄN</t>
        </is>
      </c>
      <c r="E248" t="inlineStr">
        <is>
          <t>SUNDSVALL</t>
        </is>
      </c>
      <c r="F248" t="inlineStr">
        <is>
          <t>SCA</t>
        </is>
      </c>
      <c r="G248" t="n">
        <v>5.6</v>
      </c>
      <c r="H248" t="n">
        <v>0</v>
      </c>
      <c r="I248" t="n">
        <v>0</v>
      </c>
      <c r="J248" t="n">
        <v>1</v>
      </c>
      <c r="K248" t="n">
        <v>0</v>
      </c>
      <c r="L248" t="n">
        <v>0</v>
      </c>
      <c r="M248" t="n">
        <v>0</v>
      </c>
      <c r="N248" t="n">
        <v>0</v>
      </c>
      <c r="O248" t="n">
        <v>1</v>
      </c>
      <c r="P248" t="n">
        <v>0</v>
      </c>
      <c r="Q248" t="n">
        <v>1</v>
      </c>
      <c r="R248" s="2" t="inlineStr">
        <is>
          <t>Garnlav</t>
        </is>
      </c>
      <c r="S248">
        <f>HYPERLINK("https://klasma.github.io/Logging_2281/artfynd/A 30837-2023 artfynd.xlsx", "A 30837-2023")</f>
        <v/>
      </c>
      <c r="T248">
        <f>HYPERLINK("https://klasma.github.io/Logging_2281/kartor/A 30837-2023 karta.png", "A 30837-2023")</f>
        <v/>
      </c>
      <c r="V248">
        <f>HYPERLINK("https://klasma.github.io/Logging_2281/klagomål/A 30837-2023 FSC-klagomål.docx", "A 30837-2023")</f>
        <v/>
      </c>
      <c r="W248">
        <f>HYPERLINK("https://klasma.github.io/Logging_2281/klagomålsmail/A 30837-2023 FSC-klagomål mail.docx", "A 30837-2023")</f>
        <v/>
      </c>
      <c r="X248">
        <f>HYPERLINK("https://klasma.github.io/Logging_2281/tillsyn/A 30837-2023 tillsynsbegäran.docx", "A 30837-2023")</f>
        <v/>
      </c>
      <c r="Y248">
        <f>HYPERLINK("https://klasma.github.io/Logging_2281/tillsynsmail/A 30837-2023 tillsynsbegäran mail.docx", "A 30837-2023")</f>
        <v/>
      </c>
    </row>
    <row r="249" ht="15" customHeight="1">
      <c r="A249" t="inlineStr">
        <is>
          <t>A 30827-2023</t>
        </is>
      </c>
      <c r="B249" s="1" t="n">
        <v>45112</v>
      </c>
      <c r="C249" s="1" t="n">
        <v>45829</v>
      </c>
      <c r="D249" t="inlineStr">
        <is>
          <t>VÄSTERNORRLANDS LÄN</t>
        </is>
      </c>
      <c r="E249" t="inlineStr">
        <is>
          <t>SUNDSVALL</t>
        </is>
      </c>
      <c r="F249" t="inlineStr">
        <is>
          <t>SCA</t>
        </is>
      </c>
      <c r="G249" t="n">
        <v>21.9</v>
      </c>
      <c r="H249" t="n">
        <v>0</v>
      </c>
      <c r="I249" t="n">
        <v>1</v>
      </c>
      <c r="J249" t="n">
        <v>0</v>
      </c>
      <c r="K249" t="n">
        <v>0</v>
      </c>
      <c r="L249" t="n">
        <v>0</v>
      </c>
      <c r="M249" t="n">
        <v>0</v>
      </c>
      <c r="N249" t="n">
        <v>0</v>
      </c>
      <c r="O249" t="n">
        <v>0</v>
      </c>
      <c r="P249" t="n">
        <v>0</v>
      </c>
      <c r="Q249" t="n">
        <v>1</v>
      </c>
      <c r="R249" s="2" t="inlineStr">
        <is>
          <t>Dropptaggsvamp</t>
        </is>
      </c>
      <c r="S249">
        <f>HYPERLINK("https://klasma.github.io/Logging_2281/artfynd/A 30827-2023 artfynd.xlsx", "A 30827-2023")</f>
        <v/>
      </c>
      <c r="T249">
        <f>HYPERLINK("https://klasma.github.io/Logging_2281/kartor/A 30827-2023 karta.png", "A 30827-2023")</f>
        <v/>
      </c>
      <c r="V249">
        <f>HYPERLINK("https://klasma.github.io/Logging_2281/klagomål/A 30827-2023 FSC-klagomål.docx", "A 30827-2023")</f>
        <v/>
      </c>
      <c r="W249">
        <f>HYPERLINK("https://klasma.github.io/Logging_2281/klagomålsmail/A 30827-2023 FSC-klagomål mail.docx", "A 30827-2023")</f>
        <v/>
      </c>
      <c r="X249">
        <f>HYPERLINK("https://klasma.github.io/Logging_2281/tillsyn/A 30827-2023 tillsynsbegäran.docx", "A 30827-2023")</f>
        <v/>
      </c>
      <c r="Y249">
        <f>HYPERLINK("https://klasma.github.io/Logging_2281/tillsynsmail/A 30827-2023 tillsynsbegäran mail.docx", "A 30827-2023")</f>
        <v/>
      </c>
    </row>
    <row r="250" ht="15" customHeight="1">
      <c r="A250" t="inlineStr">
        <is>
          <t>A 35751-2023</t>
        </is>
      </c>
      <c r="B250" s="1" t="n">
        <v>45147</v>
      </c>
      <c r="C250" s="1" t="n">
        <v>45829</v>
      </c>
      <c r="D250" t="inlineStr">
        <is>
          <t>VÄSTERNORRLANDS LÄN</t>
        </is>
      </c>
      <c r="E250" t="inlineStr">
        <is>
          <t>SUNDSVALL</t>
        </is>
      </c>
      <c r="F250" t="inlineStr">
        <is>
          <t>SCA</t>
        </is>
      </c>
      <c r="G250" t="n">
        <v>5</v>
      </c>
      <c r="H250" t="n">
        <v>1</v>
      </c>
      <c r="I250" t="n">
        <v>0</v>
      </c>
      <c r="J250" t="n">
        <v>1</v>
      </c>
      <c r="K250" t="n">
        <v>0</v>
      </c>
      <c r="L250" t="n">
        <v>0</v>
      </c>
      <c r="M250" t="n">
        <v>0</v>
      </c>
      <c r="N250" t="n">
        <v>0</v>
      </c>
      <c r="O250" t="n">
        <v>1</v>
      </c>
      <c r="P250" t="n">
        <v>0</v>
      </c>
      <c r="Q250" t="n">
        <v>1</v>
      </c>
      <c r="R250" s="2" t="inlineStr">
        <is>
          <t>Nordfladdermus</t>
        </is>
      </c>
      <c r="S250">
        <f>HYPERLINK("https://klasma.github.io/Logging_2281/artfynd/A 35751-2023 artfynd.xlsx", "A 35751-2023")</f>
        <v/>
      </c>
      <c r="T250">
        <f>HYPERLINK("https://klasma.github.io/Logging_2281/kartor/A 35751-2023 karta.png", "A 35751-2023")</f>
        <v/>
      </c>
      <c r="V250">
        <f>HYPERLINK("https://klasma.github.io/Logging_2281/klagomål/A 35751-2023 FSC-klagomål.docx", "A 35751-2023")</f>
        <v/>
      </c>
      <c r="W250">
        <f>HYPERLINK("https://klasma.github.io/Logging_2281/klagomålsmail/A 35751-2023 FSC-klagomål mail.docx", "A 35751-2023")</f>
        <v/>
      </c>
      <c r="X250">
        <f>HYPERLINK("https://klasma.github.io/Logging_2281/tillsyn/A 35751-2023 tillsynsbegäran.docx", "A 35751-2023")</f>
        <v/>
      </c>
      <c r="Y250">
        <f>HYPERLINK("https://klasma.github.io/Logging_2281/tillsynsmail/A 35751-2023 tillsynsbegäran mail.docx", "A 35751-2023")</f>
        <v/>
      </c>
    </row>
    <row r="251" ht="15" customHeight="1">
      <c r="A251" t="inlineStr">
        <is>
          <t>A 37253-2023</t>
        </is>
      </c>
      <c r="B251" s="1" t="n">
        <v>45156</v>
      </c>
      <c r="C251" s="1" t="n">
        <v>45829</v>
      </c>
      <c r="D251" t="inlineStr">
        <is>
          <t>VÄSTERNORRLANDS LÄN</t>
        </is>
      </c>
      <c r="E251" t="inlineStr">
        <is>
          <t>SUNDSVALL</t>
        </is>
      </c>
      <c r="F251" t="inlineStr">
        <is>
          <t>SCA</t>
        </is>
      </c>
      <c r="G251" t="n">
        <v>3.7</v>
      </c>
      <c r="H251" t="n">
        <v>0</v>
      </c>
      <c r="I251" t="n">
        <v>0</v>
      </c>
      <c r="J251" t="n">
        <v>1</v>
      </c>
      <c r="K251" t="n">
        <v>0</v>
      </c>
      <c r="L251" t="n">
        <v>0</v>
      </c>
      <c r="M251" t="n">
        <v>0</v>
      </c>
      <c r="N251" t="n">
        <v>0</v>
      </c>
      <c r="O251" t="n">
        <v>1</v>
      </c>
      <c r="P251" t="n">
        <v>0</v>
      </c>
      <c r="Q251" t="n">
        <v>1</v>
      </c>
      <c r="R251" s="2" t="inlineStr">
        <is>
          <t>Garnlav</t>
        </is>
      </c>
      <c r="S251">
        <f>HYPERLINK("https://klasma.github.io/Logging_2281/artfynd/A 37253-2023 artfynd.xlsx", "A 37253-2023")</f>
        <v/>
      </c>
      <c r="T251">
        <f>HYPERLINK("https://klasma.github.io/Logging_2281/kartor/A 37253-2023 karta.png", "A 37253-2023")</f>
        <v/>
      </c>
      <c r="V251">
        <f>HYPERLINK("https://klasma.github.io/Logging_2281/klagomål/A 37253-2023 FSC-klagomål.docx", "A 37253-2023")</f>
        <v/>
      </c>
      <c r="W251">
        <f>HYPERLINK("https://klasma.github.io/Logging_2281/klagomålsmail/A 37253-2023 FSC-klagomål mail.docx", "A 37253-2023")</f>
        <v/>
      </c>
      <c r="X251">
        <f>HYPERLINK("https://klasma.github.io/Logging_2281/tillsyn/A 37253-2023 tillsynsbegäran.docx", "A 37253-2023")</f>
        <v/>
      </c>
      <c r="Y251">
        <f>HYPERLINK("https://klasma.github.io/Logging_2281/tillsynsmail/A 37253-2023 tillsynsbegäran mail.docx", "A 37253-2023")</f>
        <v/>
      </c>
    </row>
    <row r="252" ht="15" customHeight="1">
      <c r="A252" t="inlineStr">
        <is>
          <t>A 42148-2023</t>
        </is>
      </c>
      <c r="B252" s="1" t="n">
        <v>45178</v>
      </c>
      <c r="C252" s="1" t="n">
        <v>45829</v>
      </c>
      <c r="D252" t="inlineStr">
        <is>
          <t>VÄSTERNORRLANDS LÄN</t>
        </is>
      </c>
      <c r="E252" t="inlineStr">
        <is>
          <t>SUNDSVALL</t>
        </is>
      </c>
      <c r="F252" t="inlineStr">
        <is>
          <t>SCA</t>
        </is>
      </c>
      <c r="G252" t="n">
        <v>4.2</v>
      </c>
      <c r="H252" t="n">
        <v>1</v>
      </c>
      <c r="I252" t="n">
        <v>0</v>
      </c>
      <c r="J252" t="n">
        <v>0</v>
      </c>
      <c r="K252" t="n">
        <v>0</v>
      </c>
      <c r="L252" t="n">
        <v>0</v>
      </c>
      <c r="M252" t="n">
        <v>0</v>
      </c>
      <c r="N252" t="n">
        <v>0</v>
      </c>
      <c r="O252" t="n">
        <v>0</v>
      </c>
      <c r="P252" t="n">
        <v>0</v>
      </c>
      <c r="Q252" t="n">
        <v>1</v>
      </c>
      <c r="R252" s="2" t="inlineStr">
        <is>
          <t>Tjäder</t>
        </is>
      </c>
      <c r="S252">
        <f>HYPERLINK("https://klasma.github.io/Logging_2281/artfynd/A 42148-2023 artfynd.xlsx", "A 42148-2023")</f>
        <v/>
      </c>
      <c r="T252">
        <f>HYPERLINK("https://klasma.github.io/Logging_2281/kartor/A 42148-2023 karta.png", "A 42148-2023")</f>
        <v/>
      </c>
      <c r="V252">
        <f>HYPERLINK("https://klasma.github.io/Logging_2281/klagomål/A 42148-2023 FSC-klagomål.docx", "A 42148-2023")</f>
        <v/>
      </c>
      <c r="W252">
        <f>HYPERLINK("https://klasma.github.io/Logging_2281/klagomålsmail/A 42148-2023 FSC-klagomål mail.docx", "A 42148-2023")</f>
        <v/>
      </c>
      <c r="X252">
        <f>HYPERLINK("https://klasma.github.io/Logging_2281/tillsyn/A 42148-2023 tillsynsbegäran.docx", "A 42148-2023")</f>
        <v/>
      </c>
      <c r="Y252">
        <f>HYPERLINK("https://klasma.github.io/Logging_2281/tillsynsmail/A 42148-2023 tillsynsbegäran mail.docx", "A 42148-2023")</f>
        <v/>
      </c>
      <c r="Z252">
        <f>HYPERLINK("https://klasma.github.io/Logging_2281/fåglar/A 42148-2023 prioriterade fågelarter.docx", "A 42148-2023")</f>
        <v/>
      </c>
    </row>
    <row r="253" ht="15" customHeight="1">
      <c r="A253" t="inlineStr">
        <is>
          <t>A 43424-2023</t>
        </is>
      </c>
      <c r="B253" s="1" t="n">
        <v>45183</v>
      </c>
      <c r="C253" s="1" t="n">
        <v>45829</v>
      </c>
      <c r="D253" t="inlineStr">
        <is>
          <t>VÄSTERNORRLANDS LÄN</t>
        </is>
      </c>
      <c r="E253" t="inlineStr">
        <is>
          <t>SUNDSVALL</t>
        </is>
      </c>
      <c r="F253" t="inlineStr">
        <is>
          <t>SCA</t>
        </is>
      </c>
      <c r="G253" t="n">
        <v>2.8</v>
      </c>
      <c r="H253" t="n">
        <v>0</v>
      </c>
      <c r="I253" t="n">
        <v>0</v>
      </c>
      <c r="J253" t="n">
        <v>1</v>
      </c>
      <c r="K253" t="n">
        <v>0</v>
      </c>
      <c r="L253" t="n">
        <v>0</v>
      </c>
      <c r="M253" t="n">
        <v>0</v>
      </c>
      <c r="N253" t="n">
        <v>0</v>
      </c>
      <c r="O253" t="n">
        <v>1</v>
      </c>
      <c r="P253" t="n">
        <v>0</v>
      </c>
      <c r="Q253" t="n">
        <v>1</v>
      </c>
      <c r="R253" s="2" t="inlineStr">
        <is>
          <t>Garnlav</t>
        </is>
      </c>
      <c r="S253">
        <f>HYPERLINK("https://klasma.github.io/Logging_2281/artfynd/A 43424-2023 artfynd.xlsx", "A 43424-2023")</f>
        <v/>
      </c>
      <c r="T253">
        <f>HYPERLINK("https://klasma.github.io/Logging_2281/kartor/A 43424-2023 karta.png", "A 43424-2023")</f>
        <v/>
      </c>
      <c r="V253">
        <f>HYPERLINK("https://klasma.github.io/Logging_2281/klagomål/A 43424-2023 FSC-klagomål.docx", "A 43424-2023")</f>
        <v/>
      </c>
      <c r="W253">
        <f>HYPERLINK("https://klasma.github.io/Logging_2281/klagomålsmail/A 43424-2023 FSC-klagomål mail.docx", "A 43424-2023")</f>
        <v/>
      </c>
      <c r="X253">
        <f>HYPERLINK("https://klasma.github.io/Logging_2281/tillsyn/A 43424-2023 tillsynsbegäran.docx", "A 43424-2023")</f>
        <v/>
      </c>
      <c r="Y253">
        <f>HYPERLINK("https://klasma.github.io/Logging_2281/tillsynsmail/A 43424-2023 tillsynsbegäran mail.docx", "A 43424-2023")</f>
        <v/>
      </c>
    </row>
    <row r="254" ht="15" customHeight="1">
      <c r="A254" t="inlineStr">
        <is>
          <t>A 44193-2023</t>
        </is>
      </c>
      <c r="B254" s="1" t="n">
        <v>45188</v>
      </c>
      <c r="C254" s="1" t="n">
        <v>45829</v>
      </c>
      <c r="D254" t="inlineStr">
        <is>
          <t>VÄSTERNORRLANDS LÄN</t>
        </is>
      </c>
      <c r="E254" t="inlineStr">
        <is>
          <t>SUNDSVALL</t>
        </is>
      </c>
      <c r="F254" t="inlineStr">
        <is>
          <t>Holmen skog AB</t>
        </is>
      </c>
      <c r="G254" t="n">
        <v>15.1</v>
      </c>
      <c r="H254" t="n">
        <v>1</v>
      </c>
      <c r="I254" t="n">
        <v>0</v>
      </c>
      <c r="J254" t="n">
        <v>0</v>
      </c>
      <c r="K254" t="n">
        <v>0</v>
      </c>
      <c r="L254" t="n">
        <v>0</v>
      </c>
      <c r="M254" t="n">
        <v>0</v>
      </c>
      <c r="N254" t="n">
        <v>0</v>
      </c>
      <c r="O254" t="n">
        <v>0</v>
      </c>
      <c r="P254" t="n">
        <v>0</v>
      </c>
      <c r="Q254" t="n">
        <v>1</v>
      </c>
      <c r="R254" s="2" t="inlineStr">
        <is>
          <t>Tjäder</t>
        </is>
      </c>
      <c r="S254">
        <f>HYPERLINK("https://klasma.github.io/Logging_2281/artfynd/A 44193-2023 artfynd.xlsx", "A 44193-2023")</f>
        <v/>
      </c>
      <c r="T254">
        <f>HYPERLINK("https://klasma.github.io/Logging_2281/kartor/A 44193-2023 karta.png", "A 44193-2023")</f>
        <v/>
      </c>
      <c r="V254">
        <f>HYPERLINK("https://klasma.github.io/Logging_2281/klagomål/A 44193-2023 FSC-klagomål.docx", "A 44193-2023")</f>
        <v/>
      </c>
      <c r="W254">
        <f>HYPERLINK("https://klasma.github.io/Logging_2281/klagomålsmail/A 44193-2023 FSC-klagomål mail.docx", "A 44193-2023")</f>
        <v/>
      </c>
      <c r="X254">
        <f>HYPERLINK("https://klasma.github.io/Logging_2281/tillsyn/A 44193-2023 tillsynsbegäran.docx", "A 44193-2023")</f>
        <v/>
      </c>
      <c r="Y254">
        <f>HYPERLINK("https://klasma.github.io/Logging_2281/tillsynsmail/A 44193-2023 tillsynsbegäran mail.docx", "A 44193-2023")</f>
        <v/>
      </c>
      <c r="Z254">
        <f>HYPERLINK("https://klasma.github.io/Logging_2281/fåglar/A 44193-2023 prioriterade fågelarter.docx", "A 44193-2023")</f>
        <v/>
      </c>
    </row>
    <row r="255" ht="15" customHeight="1">
      <c r="A255" t="inlineStr">
        <is>
          <t>A 45023-2023</t>
        </is>
      </c>
      <c r="B255" s="1" t="n">
        <v>45191</v>
      </c>
      <c r="C255" s="1" t="n">
        <v>45829</v>
      </c>
      <c r="D255" t="inlineStr">
        <is>
          <t>VÄSTERNORRLANDS LÄN</t>
        </is>
      </c>
      <c r="E255" t="inlineStr">
        <is>
          <t>SUNDSVALL</t>
        </is>
      </c>
      <c r="F255" t="inlineStr">
        <is>
          <t>SCA</t>
        </is>
      </c>
      <c r="G255" t="n">
        <v>2.2</v>
      </c>
      <c r="H255" t="n">
        <v>0</v>
      </c>
      <c r="I255" t="n">
        <v>0</v>
      </c>
      <c r="J255" t="n">
        <v>1</v>
      </c>
      <c r="K255" t="n">
        <v>0</v>
      </c>
      <c r="L255" t="n">
        <v>0</v>
      </c>
      <c r="M255" t="n">
        <v>0</v>
      </c>
      <c r="N255" t="n">
        <v>0</v>
      </c>
      <c r="O255" t="n">
        <v>1</v>
      </c>
      <c r="P255" t="n">
        <v>0</v>
      </c>
      <c r="Q255" t="n">
        <v>1</v>
      </c>
      <c r="R255" s="2" t="inlineStr">
        <is>
          <t>Skogshare</t>
        </is>
      </c>
      <c r="S255">
        <f>HYPERLINK("https://klasma.github.io/Logging_2281/artfynd/A 45023-2023 artfynd.xlsx", "A 45023-2023")</f>
        <v/>
      </c>
      <c r="T255">
        <f>HYPERLINK("https://klasma.github.io/Logging_2281/kartor/A 45023-2023 karta.png", "A 45023-2023")</f>
        <v/>
      </c>
      <c r="V255">
        <f>HYPERLINK("https://klasma.github.io/Logging_2281/klagomål/A 45023-2023 FSC-klagomål.docx", "A 45023-2023")</f>
        <v/>
      </c>
      <c r="W255">
        <f>HYPERLINK("https://klasma.github.io/Logging_2281/klagomålsmail/A 45023-2023 FSC-klagomål mail.docx", "A 45023-2023")</f>
        <v/>
      </c>
      <c r="X255">
        <f>HYPERLINK("https://klasma.github.io/Logging_2281/tillsyn/A 45023-2023 tillsynsbegäran.docx", "A 45023-2023")</f>
        <v/>
      </c>
      <c r="Y255">
        <f>HYPERLINK("https://klasma.github.io/Logging_2281/tillsynsmail/A 45023-2023 tillsynsbegäran mail.docx", "A 45023-2023")</f>
        <v/>
      </c>
    </row>
    <row r="256" ht="15" customHeight="1">
      <c r="A256" t="inlineStr">
        <is>
          <t>A 45332-2023</t>
        </is>
      </c>
      <c r="B256" s="1" t="n">
        <v>45191</v>
      </c>
      <c r="C256" s="1" t="n">
        <v>45829</v>
      </c>
      <c r="D256" t="inlineStr">
        <is>
          <t>VÄSTERNORRLANDS LÄN</t>
        </is>
      </c>
      <c r="E256" t="inlineStr">
        <is>
          <t>SUNDSVALL</t>
        </is>
      </c>
      <c r="F256" t="inlineStr">
        <is>
          <t>SCA</t>
        </is>
      </c>
      <c r="G256" t="n">
        <v>3.8</v>
      </c>
      <c r="H256" t="n">
        <v>1</v>
      </c>
      <c r="I256" t="n">
        <v>0</v>
      </c>
      <c r="J256" t="n">
        <v>0</v>
      </c>
      <c r="K256" t="n">
        <v>0</v>
      </c>
      <c r="L256" t="n">
        <v>0</v>
      </c>
      <c r="M256" t="n">
        <v>0</v>
      </c>
      <c r="N256" t="n">
        <v>0</v>
      </c>
      <c r="O256" t="n">
        <v>0</v>
      </c>
      <c r="P256" t="n">
        <v>0</v>
      </c>
      <c r="Q256" t="n">
        <v>1</v>
      </c>
      <c r="R256" s="2" t="inlineStr">
        <is>
          <t>Fläcknycklar</t>
        </is>
      </c>
      <c r="S256">
        <f>HYPERLINK("https://klasma.github.io/Logging_2281/artfynd/A 45332-2023 artfynd.xlsx", "A 45332-2023")</f>
        <v/>
      </c>
      <c r="T256">
        <f>HYPERLINK("https://klasma.github.io/Logging_2281/kartor/A 45332-2023 karta.png", "A 45332-2023")</f>
        <v/>
      </c>
      <c r="V256">
        <f>HYPERLINK("https://klasma.github.io/Logging_2281/klagomål/A 45332-2023 FSC-klagomål.docx", "A 45332-2023")</f>
        <v/>
      </c>
      <c r="W256">
        <f>HYPERLINK("https://klasma.github.io/Logging_2281/klagomålsmail/A 45332-2023 FSC-klagomål mail.docx", "A 45332-2023")</f>
        <v/>
      </c>
      <c r="X256">
        <f>HYPERLINK("https://klasma.github.io/Logging_2281/tillsyn/A 45332-2023 tillsynsbegäran.docx", "A 45332-2023")</f>
        <v/>
      </c>
      <c r="Y256">
        <f>HYPERLINK("https://klasma.github.io/Logging_2281/tillsynsmail/A 45332-2023 tillsynsbegäran mail.docx", "A 45332-2023")</f>
        <v/>
      </c>
    </row>
    <row r="257" ht="15" customHeight="1">
      <c r="A257" t="inlineStr">
        <is>
          <t>A 46260-2023</t>
        </is>
      </c>
      <c r="B257" s="1" t="n">
        <v>45196</v>
      </c>
      <c r="C257" s="1" t="n">
        <v>45829</v>
      </c>
      <c r="D257" t="inlineStr">
        <is>
          <t>VÄSTERNORRLANDS LÄN</t>
        </is>
      </c>
      <c r="E257" t="inlineStr">
        <is>
          <t>SUNDSVALL</t>
        </is>
      </c>
      <c r="F257" t="inlineStr">
        <is>
          <t>SCA</t>
        </is>
      </c>
      <c r="G257" t="n">
        <v>3</v>
      </c>
      <c r="H257" t="n">
        <v>1</v>
      </c>
      <c r="I257" t="n">
        <v>0</v>
      </c>
      <c r="J257" t="n">
        <v>1</v>
      </c>
      <c r="K257" t="n">
        <v>0</v>
      </c>
      <c r="L257" t="n">
        <v>0</v>
      </c>
      <c r="M257" t="n">
        <v>0</v>
      </c>
      <c r="N257" t="n">
        <v>0</v>
      </c>
      <c r="O257" t="n">
        <v>1</v>
      </c>
      <c r="P257" t="n">
        <v>0</v>
      </c>
      <c r="Q257" t="n">
        <v>1</v>
      </c>
      <c r="R257" s="2" t="inlineStr">
        <is>
          <t>Spillkråka</t>
        </is>
      </c>
      <c r="S257">
        <f>HYPERLINK("https://klasma.github.io/Logging_2281/artfynd/A 46260-2023 artfynd.xlsx", "A 46260-2023")</f>
        <v/>
      </c>
      <c r="T257">
        <f>HYPERLINK("https://klasma.github.io/Logging_2281/kartor/A 46260-2023 karta.png", "A 46260-2023")</f>
        <v/>
      </c>
      <c r="V257">
        <f>HYPERLINK("https://klasma.github.io/Logging_2281/klagomål/A 46260-2023 FSC-klagomål.docx", "A 46260-2023")</f>
        <v/>
      </c>
      <c r="W257">
        <f>HYPERLINK("https://klasma.github.io/Logging_2281/klagomålsmail/A 46260-2023 FSC-klagomål mail.docx", "A 46260-2023")</f>
        <v/>
      </c>
      <c r="X257">
        <f>HYPERLINK("https://klasma.github.io/Logging_2281/tillsyn/A 46260-2023 tillsynsbegäran.docx", "A 46260-2023")</f>
        <v/>
      </c>
      <c r="Y257">
        <f>HYPERLINK("https://klasma.github.io/Logging_2281/tillsynsmail/A 46260-2023 tillsynsbegäran mail.docx", "A 46260-2023")</f>
        <v/>
      </c>
      <c r="Z257">
        <f>HYPERLINK("https://klasma.github.io/Logging_2281/fåglar/A 46260-2023 prioriterade fågelarter.docx", "A 46260-2023")</f>
        <v/>
      </c>
    </row>
    <row r="258" ht="15" customHeight="1">
      <c r="A258" t="inlineStr">
        <is>
          <t>A 47245-2023</t>
        </is>
      </c>
      <c r="B258" s="1" t="n">
        <v>45202</v>
      </c>
      <c r="C258" s="1" t="n">
        <v>45829</v>
      </c>
      <c r="D258" t="inlineStr">
        <is>
          <t>VÄSTERNORRLANDS LÄN</t>
        </is>
      </c>
      <c r="E258" t="inlineStr">
        <is>
          <t>SUNDSVALL</t>
        </is>
      </c>
      <c r="G258" t="n">
        <v>1.6</v>
      </c>
      <c r="H258" t="n">
        <v>1</v>
      </c>
      <c r="I258" t="n">
        <v>1</v>
      </c>
      <c r="J258" t="n">
        <v>0</v>
      </c>
      <c r="K258" t="n">
        <v>0</v>
      </c>
      <c r="L258" t="n">
        <v>0</v>
      </c>
      <c r="M258" t="n">
        <v>0</v>
      </c>
      <c r="N258" t="n">
        <v>0</v>
      </c>
      <c r="O258" t="n">
        <v>0</v>
      </c>
      <c r="P258" t="n">
        <v>0</v>
      </c>
      <c r="Q258" t="n">
        <v>1</v>
      </c>
      <c r="R258" s="2" t="inlineStr">
        <is>
          <t>Tvåblad</t>
        </is>
      </c>
      <c r="S258">
        <f>HYPERLINK("https://klasma.github.io/Logging_2281/artfynd/A 47245-2023 artfynd.xlsx", "A 47245-2023")</f>
        <v/>
      </c>
      <c r="T258">
        <f>HYPERLINK("https://klasma.github.io/Logging_2281/kartor/A 47245-2023 karta.png", "A 47245-2023")</f>
        <v/>
      </c>
      <c r="V258">
        <f>HYPERLINK("https://klasma.github.io/Logging_2281/klagomål/A 47245-2023 FSC-klagomål.docx", "A 47245-2023")</f>
        <v/>
      </c>
      <c r="W258">
        <f>HYPERLINK("https://klasma.github.io/Logging_2281/klagomålsmail/A 47245-2023 FSC-klagomål mail.docx", "A 47245-2023")</f>
        <v/>
      </c>
      <c r="X258">
        <f>HYPERLINK("https://klasma.github.io/Logging_2281/tillsyn/A 47245-2023 tillsynsbegäran.docx", "A 47245-2023")</f>
        <v/>
      </c>
      <c r="Y258">
        <f>HYPERLINK("https://klasma.github.io/Logging_2281/tillsynsmail/A 47245-2023 tillsynsbegäran mail.docx", "A 47245-2023")</f>
        <v/>
      </c>
    </row>
    <row r="259" ht="15" customHeight="1">
      <c r="A259" t="inlineStr">
        <is>
          <t>A 49863-2023</t>
        </is>
      </c>
      <c r="B259" s="1" t="n">
        <v>45212</v>
      </c>
      <c r="C259" s="1" t="n">
        <v>45829</v>
      </c>
      <c r="D259" t="inlineStr">
        <is>
          <t>VÄSTERNORRLANDS LÄN</t>
        </is>
      </c>
      <c r="E259" t="inlineStr">
        <is>
          <t>SUNDSVALL</t>
        </is>
      </c>
      <c r="F259" t="inlineStr">
        <is>
          <t>SCA</t>
        </is>
      </c>
      <c r="G259" t="n">
        <v>2.3</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49863-2023 artfynd.xlsx", "A 49863-2023")</f>
        <v/>
      </c>
      <c r="T259">
        <f>HYPERLINK("https://klasma.github.io/Logging_2281/kartor/A 49863-2023 karta.png", "A 49863-2023")</f>
        <v/>
      </c>
      <c r="V259">
        <f>HYPERLINK("https://klasma.github.io/Logging_2281/klagomål/A 49863-2023 FSC-klagomål.docx", "A 49863-2023")</f>
        <v/>
      </c>
      <c r="W259">
        <f>HYPERLINK("https://klasma.github.io/Logging_2281/klagomålsmail/A 49863-2023 FSC-klagomål mail.docx", "A 49863-2023")</f>
        <v/>
      </c>
      <c r="X259">
        <f>HYPERLINK("https://klasma.github.io/Logging_2281/tillsyn/A 49863-2023 tillsynsbegäran.docx", "A 49863-2023")</f>
        <v/>
      </c>
      <c r="Y259">
        <f>HYPERLINK("https://klasma.github.io/Logging_2281/tillsynsmail/A 49863-2023 tillsynsbegäran mail.docx", "A 49863-2023")</f>
        <v/>
      </c>
      <c r="Z259">
        <f>HYPERLINK("https://klasma.github.io/Logging_2281/fåglar/A 49863-2023 prioriterade fågelarter.docx", "A 49863-2023")</f>
        <v/>
      </c>
    </row>
    <row r="260" ht="15" customHeight="1">
      <c r="A260" t="inlineStr">
        <is>
          <t>A 50214-2023</t>
        </is>
      </c>
      <c r="B260" s="1" t="n">
        <v>45216</v>
      </c>
      <c r="C260" s="1" t="n">
        <v>45829</v>
      </c>
      <c r="D260" t="inlineStr">
        <is>
          <t>VÄSTERNORRLANDS LÄN</t>
        </is>
      </c>
      <c r="E260" t="inlineStr">
        <is>
          <t>SUNDSVALL</t>
        </is>
      </c>
      <c r="F260" t="inlineStr">
        <is>
          <t>SCA</t>
        </is>
      </c>
      <c r="G260" t="n">
        <v>5.7</v>
      </c>
      <c r="H260" t="n">
        <v>1</v>
      </c>
      <c r="I260" t="n">
        <v>0</v>
      </c>
      <c r="J260" t="n">
        <v>1</v>
      </c>
      <c r="K260" t="n">
        <v>0</v>
      </c>
      <c r="L260" t="n">
        <v>0</v>
      </c>
      <c r="M260" t="n">
        <v>0</v>
      </c>
      <c r="N260" t="n">
        <v>0</v>
      </c>
      <c r="O260" t="n">
        <v>1</v>
      </c>
      <c r="P260" t="n">
        <v>0</v>
      </c>
      <c r="Q260" t="n">
        <v>1</v>
      </c>
      <c r="R260" s="2" t="inlineStr">
        <is>
          <t>Spillkråka</t>
        </is>
      </c>
      <c r="S260">
        <f>HYPERLINK("https://klasma.github.io/Logging_2281/artfynd/A 50214-2023 artfynd.xlsx", "A 50214-2023")</f>
        <v/>
      </c>
      <c r="T260">
        <f>HYPERLINK("https://klasma.github.io/Logging_2281/kartor/A 50214-2023 karta.png", "A 50214-2023")</f>
        <v/>
      </c>
      <c r="V260">
        <f>HYPERLINK("https://klasma.github.io/Logging_2281/klagomål/A 50214-2023 FSC-klagomål.docx", "A 50214-2023")</f>
        <v/>
      </c>
      <c r="W260">
        <f>HYPERLINK("https://klasma.github.io/Logging_2281/klagomålsmail/A 50214-2023 FSC-klagomål mail.docx", "A 50214-2023")</f>
        <v/>
      </c>
      <c r="X260">
        <f>HYPERLINK("https://klasma.github.io/Logging_2281/tillsyn/A 50214-2023 tillsynsbegäran.docx", "A 50214-2023")</f>
        <v/>
      </c>
      <c r="Y260">
        <f>HYPERLINK("https://klasma.github.io/Logging_2281/tillsynsmail/A 50214-2023 tillsynsbegäran mail.docx", "A 50214-2023")</f>
        <v/>
      </c>
      <c r="Z260">
        <f>HYPERLINK("https://klasma.github.io/Logging_2281/fåglar/A 50214-2023 prioriterade fågelarter.docx", "A 50214-2023")</f>
        <v/>
      </c>
    </row>
    <row r="261" ht="15" customHeight="1">
      <c r="A261" t="inlineStr">
        <is>
          <t>A 50213-2023</t>
        </is>
      </c>
      <c r="B261" s="1" t="n">
        <v>45216</v>
      </c>
      <c r="C261" s="1" t="n">
        <v>45829</v>
      </c>
      <c r="D261" t="inlineStr">
        <is>
          <t>VÄSTERNORRLANDS LÄN</t>
        </is>
      </c>
      <c r="E261" t="inlineStr">
        <is>
          <t>SUNDSVALL</t>
        </is>
      </c>
      <c r="F261" t="inlineStr">
        <is>
          <t>SCA</t>
        </is>
      </c>
      <c r="G261" t="n">
        <v>10.9</v>
      </c>
      <c r="H261" t="n">
        <v>1</v>
      </c>
      <c r="I261" t="n">
        <v>0</v>
      </c>
      <c r="J261" t="n">
        <v>1</v>
      </c>
      <c r="K261" t="n">
        <v>0</v>
      </c>
      <c r="L261" t="n">
        <v>0</v>
      </c>
      <c r="M261" t="n">
        <v>0</v>
      </c>
      <c r="N261" t="n">
        <v>0</v>
      </c>
      <c r="O261" t="n">
        <v>1</v>
      </c>
      <c r="P261" t="n">
        <v>0</v>
      </c>
      <c r="Q261" t="n">
        <v>1</v>
      </c>
      <c r="R261" s="2" t="inlineStr">
        <is>
          <t>Talltita</t>
        </is>
      </c>
      <c r="S261">
        <f>HYPERLINK("https://klasma.github.io/Logging_2281/artfynd/A 50213-2023 artfynd.xlsx", "A 50213-2023")</f>
        <v/>
      </c>
      <c r="T261">
        <f>HYPERLINK("https://klasma.github.io/Logging_2281/kartor/A 50213-2023 karta.png", "A 50213-2023")</f>
        <v/>
      </c>
      <c r="V261">
        <f>HYPERLINK("https://klasma.github.io/Logging_2281/klagomål/A 50213-2023 FSC-klagomål.docx", "A 50213-2023")</f>
        <v/>
      </c>
      <c r="W261">
        <f>HYPERLINK("https://klasma.github.io/Logging_2281/klagomålsmail/A 50213-2023 FSC-klagomål mail.docx", "A 50213-2023")</f>
        <v/>
      </c>
      <c r="X261">
        <f>HYPERLINK("https://klasma.github.io/Logging_2281/tillsyn/A 50213-2023 tillsynsbegäran.docx", "A 50213-2023")</f>
        <v/>
      </c>
      <c r="Y261">
        <f>HYPERLINK("https://klasma.github.io/Logging_2281/tillsynsmail/A 50213-2023 tillsynsbegäran mail.docx", "A 50213-2023")</f>
        <v/>
      </c>
      <c r="Z261">
        <f>HYPERLINK("https://klasma.github.io/Logging_2281/fåglar/A 50213-2023 prioriterade fågelarter.docx", "A 50213-2023")</f>
        <v/>
      </c>
    </row>
    <row r="262" ht="15" customHeight="1">
      <c r="A262" t="inlineStr">
        <is>
          <t>A 51737-2023</t>
        </is>
      </c>
      <c r="B262" s="1" t="n">
        <v>45222</v>
      </c>
      <c r="C262" s="1" t="n">
        <v>45829</v>
      </c>
      <c r="D262" t="inlineStr">
        <is>
          <t>VÄSTERNORRLANDS LÄN</t>
        </is>
      </c>
      <c r="E262" t="inlineStr">
        <is>
          <t>SUNDSVALL</t>
        </is>
      </c>
      <c r="G262" t="n">
        <v>10.9</v>
      </c>
      <c r="H262" t="n">
        <v>0</v>
      </c>
      <c r="I262" t="n">
        <v>0</v>
      </c>
      <c r="J262" t="n">
        <v>1</v>
      </c>
      <c r="K262" t="n">
        <v>0</v>
      </c>
      <c r="L262" t="n">
        <v>0</v>
      </c>
      <c r="M262" t="n">
        <v>0</v>
      </c>
      <c r="N262" t="n">
        <v>0</v>
      </c>
      <c r="O262" t="n">
        <v>1</v>
      </c>
      <c r="P262" t="n">
        <v>0</v>
      </c>
      <c r="Q262" t="n">
        <v>1</v>
      </c>
      <c r="R262" s="2" t="inlineStr">
        <is>
          <t>Garnlav</t>
        </is>
      </c>
      <c r="S262">
        <f>HYPERLINK("https://klasma.github.io/Logging_2281/artfynd/A 51737-2023 artfynd.xlsx", "A 51737-2023")</f>
        <v/>
      </c>
      <c r="T262">
        <f>HYPERLINK("https://klasma.github.io/Logging_2281/kartor/A 51737-2023 karta.png", "A 51737-2023")</f>
        <v/>
      </c>
      <c r="V262">
        <f>HYPERLINK("https://klasma.github.io/Logging_2281/klagomål/A 51737-2023 FSC-klagomål.docx", "A 51737-2023")</f>
        <v/>
      </c>
      <c r="W262">
        <f>HYPERLINK("https://klasma.github.io/Logging_2281/klagomålsmail/A 51737-2023 FSC-klagomål mail.docx", "A 51737-2023")</f>
        <v/>
      </c>
      <c r="X262">
        <f>HYPERLINK("https://klasma.github.io/Logging_2281/tillsyn/A 51737-2023 tillsynsbegäran.docx", "A 51737-2023")</f>
        <v/>
      </c>
      <c r="Y262">
        <f>HYPERLINK("https://klasma.github.io/Logging_2281/tillsynsmail/A 51737-2023 tillsynsbegäran mail.docx", "A 51737-2023")</f>
        <v/>
      </c>
    </row>
    <row r="263" ht="15" customHeight="1">
      <c r="A263" t="inlineStr">
        <is>
          <t>A 54325-2023</t>
        </is>
      </c>
      <c r="B263" s="1" t="n">
        <v>45232</v>
      </c>
      <c r="C263" s="1" t="n">
        <v>45829</v>
      </c>
      <c r="D263" t="inlineStr">
        <is>
          <t>VÄSTERNORRLANDS LÄN</t>
        </is>
      </c>
      <c r="E263" t="inlineStr">
        <is>
          <t>SUNDSVALL</t>
        </is>
      </c>
      <c r="F263" t="inlineStr">
        <is>
          <t>SCA</t>
        </is>
      </c>
      <c r="G263" t="n">
        <v>5.7</v>
      </c>
      <c r="H263" t="n">
        <v>0</v>
      </c>
      <c r="I263" t="n">
        <v>0</v>
      </c>
      <c r="J263" t="n">
        <v>1</v>
      </c>
      <c r="K263" t="n">
        <v>0</v>
      </c>
      <c r="L263" t="n">
        <v>0</v>
      </c>
      <c r="M263" t="n">
        <v>0</v>
      </c>
      <c r="N263" t="n">
        <v>0</v>
      </c>
      <c r="O263" t="n">
        <v>1</v>
      </c>
      <c r="P263" t="n">
        <v>0</v>
      </c>
      <c r="Q263" t="n">
        <v>1</v>
      </c>
      <c r="R263" s="2" t="inlineStr">
        <is>
          <t>Igelkott</t>
        </is>
      </c>
      <c r="S263">
        <f>HYPERLINK("https://klasma.github.io/Logging_2281/artfynd/A 54325-2023 artfynd.xlsx", "A 54325-2023")</f>
        <v/>
      </c>
      <c r="T263">
        <f>HYPERLINK("https://klasma.github.io/Logging_2281/kartor/A 54325-2023 karta.png", "A 54325-2023")</f>
        <v/>
      </c>
      <c r="V263">
        <f>HYPERLINK("https://klasma.github.io/Logging_2281/klagomål/A 54325-2023 FSC-klagomål.docx", "A 54325-2023")</f>
        <v/>
      </c>
      <c r="W263">
        <f>HYPERLINK("https://klasma.github.io/Logging_2281/klagomålsmail/A 54325-2023 FSC-klagomål mail.docx", "A 54325-2023")</f>
        <v/>
      </c>
      <c r="X263">
        <f>HYPERLINK("https://klasma.github.io/Logging_2281/tillsyn/A 54325-2023 tillsynsbegäran.docx", "A 54325-2023")</f>
        <v/>
      </c>
      <c r="Y263">
        <f>HYPERLINK("https://klasma.github.io/Logging_2281/tillsynsmail/A 54325-2023 tillsynsbegäran mail.docx", "A 54325-2023")</f>
        <v/>
      </c>
    </row>
    <row r="264" ht="15" customHeight="1">
      <c r="A264" t="inlineStr">
        <is>
          <t>A 56698-2023</t>
        </is>
      </c>
      <c r="B264" s="1" t="n">
        <v>45244</v>
      </c>
      <c r="C264" s="1" t="n">
        <v>45829</v>
      </c>
      <c r="D264" t="inlineStr">
        <is>
          <t>VÄSTERNORRLANDS LÄN</t>
        </is>
      </c>
      <c r="E264" t="inlineStr">
        <is>
          <t>SUNDSVALL</t>
        </is>
      </c>
      <c r="F264" t="inlineStr">
        <is>
          <t>SCA</t>
        </is>
      </c>
      <c r="G264" t="n">
        <v>3.1</v>
      </c>
      <c r="H264" t="n">
        <v>0</v>
      </c>
      <c r="I264" t="n">
        <v>0</v>
      </c>
      <c r="J264" t="n">
        <v>1</v>
      </c>
      <c r="K264" t="n">
        <v>0</v>
      </c>
      <c r="L264" t="n">
        <v>0</v>
      </c>
      <c r="M264" t="n">
        <v>0</v>
      </c>
      <c r="N264" t="n">
        <v>0</v>
      </c>
      <c r="O264" t="n">
        <v>1</v>
      </c>
      <c r="P264" t="n">
        <v>0</v>
      </c>
      <c r="Q264" t="n">
        <v>1</v>
      </c>
      <c r="R264" s="2" t="inlineStr">
        <is>
          <t>Granticka</t>
        </is>
      </c>
      <c r="S264">
        <f>HYPERLINK("https://klasma.github.io/Logging_2281/artfynd/A 56698-2023 artfynd.xlsx", "A 56698-2023")</f>
        <v/>
      </c>
      <c r="T264">
        <f>HYPERLINK("https://klasma.github.io/Logging_2281/kartor/A 56698-2023 karta.png", "A 56698-2023")</f>
        <v/>
      </c>
      <c r="V264">
        <f>HYPERLINK("https://klasma.github.io/Logging_2281/klagomål/A 56698-2023 FSC-klagomål.docx", "A 56698-2023")</f>
        <v/>
      </c>
      <c r="W264">
        <f>HYPERLINK("https://klasma.github.io/Logging_2281/klagomålsmail/A 56698-2023 FSC-klagomål mail.docx", "A 56698-2023")</f>
        <v/>
      </c>
      <c r="X264">
        <f>HYPERLINK("https://klasma.github.io/Logging_2281/tillsyn/A 56698-2023 tillsynsbegäran.docx", "A 56698-2023")</f>
        <v/>
      </c>
      <c r="Y264">
        <f>HYPERLINK("https://klasma.github.io/Logging_2281/tillsynsmail/A 56698-2023 tillsynsbegäran mail.docx", "A 56698-2023")</f>
        <v/>
      </c>
    </row>
    <row r="265" ht="15" customHeight="1">
      <c r="A265" t="inlineStr">
        <is>
          <t>A 58470-2023</t>
        </is>
      </c>
      <c r="B265" s="1" t="n">
        <v>45250</v>
      </c>
      <c r="C265" s="1" t="n">
        <v>45829</v>
      </c>
      <c r="D265" t="inlineStr">
        <is>
          <t>VÄSTERNORRLANDS LÄN</t>
        </is>
      </c>
      <c r="E265" t="inlineStr">
        <is>
          <t>SUNDSVALL</t>
        </is>
      </c>
      <c r="F265" t="inlineStr">
        <is>
          <t>SCA</t>
        </is>
      </c>
      <c r="G265" t="n">
        <v>3.7</v>
      </c>
      <c r="H265" t="n">
        <v>0</v>
      </c>
      <c r="I265" t="n">
        <v>0</v>
      </c>
      <c r="J265" t="n">
        <v>1</v>
      </c>
      <c r="K265" t="n">
        <v>0</v>
      </c>
      <c r="L265" t="n">
        <v>0</v>
      </c>
      <c r="M265" t="n">
        <v>0</v>
      </c>
      <c r="N265" t="n">
        <v>0</v>
      </c>
      <c r="O265" t="n">
        <v>1</v>
      </c>
      <c r="P265" t="n">
        <v>0</v>
      </c>
      <c r="Q265" t="n">
        <v>1</v>
      </c>
      <c r="R265" s="2" t="inlineStr">
        <is>
          <t>Granticka</t>
        </is>
      </c>
      <c r="S265">
        <f>HYPERLINK("https://klasma.github.io/Logging_2281/artfynd/A 58470-2023 artfynd.xlsx", "A 58470-2023")</f>
        <v/>
      </c>
      <c r="T265">
        <f>HYPERLINK("https://klasma.github.io/Logging_2281/kartor/A 58470-2023 karta.png", "A 58470-2023")</f>
        <v/>
      </c>
      <c r="V265">
        <f>HYPERLINK("https://klasma.github.io/Logging_2281/klagomål/A 58470-2023 FSC-klagomål.docx", "A 58470-2023")</f>
        <v/>
      </c>
      <c r="W265">
        <f>HYPERLINK("https://klasma.github.io/Logging_2281/klagomålsmail/A 58470-2023 FSC-klagomål mail.docx", "A 58470-2023")</f>
        <v/>
      </c>
      <c r="X265">
        <f>HYPERLINK("https://klasma.github.io/Logging_2281/tillsyn/A 58470-2023 tillsynsbegäran.docx", "A 58470-2023")</f>
        <v/>
      </c>
      <c r="Y265">
        <f>HYPERLINK("https://klasma.github.io/Logging_2281/tillsynsmail/A 58470-2023 tillsynsbegäran mail.docx", "A 58470-2023")</f>
        <v/>
      </c>
    </row>
    <row r="266" ht="15" customHeight="1">
      <c r="A266" t="inlineStr">
        <is>
          <t>A 59870-2023</t>
        </is>
      </c>
      <c r="B266" s="1" t="n">
        <v>45254</v>
      </c>
      <c r="C266" s="1" t="n">
        <v>45829</v>
      </c>
      <c r="D266" t="inlineStr">
        <is>
          <t>VÄSTERNORRLANDS LÄN</t>
        </is>
      </c>
      <c r="E266" t="inlineStr">
        <is>
          <t>SUNDSVALL</t>
        </is>
      </c>
      <c r="G266" t="n">
        <v>3.2</v>
      </c>
      <c r="H266" t="n">
        <v>0</v>
      </c>
      <c r="I266" t="n">
        <v>0</v>
      </c>
      <c r="J266" t="n">
        <v>1</v>
      </c>
      <c r="K266" t="n">
        <v>0</v>
      </c>
      <c r="L266" t="n">
        <v>0</v>
      </c>
      <c r="M266" t="n">
        <v>0</v>
      </c>
      <c r="N266" t="n">
        <v>0</v>
      </c>
      <c r="O266" t="n">
        <v>1</v>
      </c>
      <c r="P266" t="n">
        <v>0</v>
      </c>
      <c r="Q266" t="n">
        <v>1</v>
      </c>
      <c r="R266" s="2" t="inlineStr">
        <is>
          <t>Lunglav</t>
        </is>
      </c>
      <c r="S266">
        <f>HYPERLINK("https://klasma.github.io/Logging_2281/artfynd/A 59870-2023 artfynd.xlsx", "A 59870-2023")</f>
        <v/>
      </c>
      <c r="T266">
        <f>HYPERLINK("https://klasma.github.io/Logging_2281/kartor/A 59870-2023 karta.png", "A 59870-2023")</f>
        <v/>
      </c>
      <c r="V266">
        <f>HYPERLINK("https://klasma.github.io/Logging_2281/klagomål/A 59870-2023 FSC-klagomål.docx", "A 59870-2023")</f>
        <v/>
      </c>
      <c r="W266">
        <f>HYPERLINK("https://klasma.github.io/Logging_2281/klagomålsmail/A 59870-2023 FSC-klagomål mail.docx", "A 59870-2023")</f>
        <v/>
      </c>
      <c r="X266">
        <f>HYPERLINK("https://klasma.github.io/Logging_2281/tillsyn/A 59870-2023 tillsynsbegäran.docx", "A 59870-2023")</f>
        <v/>
      </c>
      <c r="Y266">
        <f>HYPERLINK("https://klasma.github.io/Logging_2281/tillsynsmail/A 59870-2023 tillsynsbegäran mail.docx", "A 59870-2023")</f>
        <v/>
      </c>
    </row>
    <row r="267" ht="15" customHeight="1">
      <c r="A267" t="inlineStr">
        <is>
          <t>A 64483-2023</t>
        </is>
      </c>
      <c r="B267" s="1" t="n">
        <v>45280</v>
      </c>
      <c r="C267" s="1" t="n">
        <v>45829</v>
      </c>
      <c r="D267" t="inlineStr">
        <is>
          <t>VÄSTERNORRLANDS LÄN</t>
        </is>
      </c>
      <c r="E267" t="inlineStr">
        <is>
          <t>SUNDSVALL</t>
        </is>
      </c>
      <c r="G267" t="n">
        <v>1.5</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64483-2023 artfynd.xlsx", "A 64483-2023")</f>
        <v/>
      </c>
      <c r="T267">
        <f>HYPERLINK("https://klasma.github.io/Logging_2281/kartor/A 64483-2023 karta.png", "A 64483-2023")</f>
        <v/>
      </c>
      <c r="V267">
        <f>HYPERLINK("https://klasma.github.io/Logging_2281/klagomål/A 64483-2023 FSC-klagomål.docx", "A 64483-2023")</f>
        <v/>
      </c>
      <c r="W267">
        <f>HYPERLINK("https://klasma.github.io/Logging_2281/klagomålsmail/A 64483-2023 FSC-klagomål mail.docx", "A 64483-2023")</f>
        <v/>
      </c>
      <c r="X267">
        <f>HYPERLINK("https://klasma.github.io/Logging_2281/tillsyn/A 64483-2023 tillsynsbegäran.docx", "A 64483-2023")</f>
        <v/>
      </c>
      <c r="Y267">
        <f>HYPERLINK("https://klasma.github.io/Logging_2281/tillsynsmail/A 64483-2023 tillsynsbegäran mail.docx", "A 64483-2023")</f>
        <v/>
      </c>
      <c r="Z267">
        <f>HYPERLINK("https://klasma.github.io/Logging_2281/fåglar/A 64483-2023 prioriterade fågelarter.docx", "A 64483-2023")</f>
        <v/>
      </c>
    </row>
    <row r="268" ht="15" customHeight="1">
      <c r="A268" t="inlineStr">
        <is>
          <t>A 233-2024</t>
        </is>
      </c>
      <c r="B268" s="1" t="n">
        <v>45294</v>
      </c>
      <c r="C268" s="1" t="n">
        <v>45829</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1058-2024</t>
        </is>
      </c>
      <c r="B269" s="1" t="n">
        <v>45301</v>
      </c>
      <c r="C269" s="1" t="n">
        <v>45829</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3819-2024</t>
        </is>
      </c>
      <c r="B270" s="1" t="n">
        <v>45321</v>
      </c>
      <c r="C270" s="1" t="n">
        <v>45829</v>
      </c>
      <c r="D270" t="inlineStr">
        <is>
          <t>VÄSTERNORRLANDS LÄN</t>
        </is>
      </c>
      <c r="E270" t="inlineStr">
        <is>
          <t>SUNDSVALL</t>
        </is>
      </c>
      <c r="G270" t="n">
        <v>13.5</v>
      </c>
      <c r="H270" t="n">
        <v>1</v>
      </c>
      <c r="I270" t="n">
        <v>0</v>
      </c>
      <c r="J270" t="n">
        <v>0</v>
      </c>
      <c r="K270" t="n">
        <v>1</v>
      </c>
      <c r="L270" t="n">
        <v>0</v>
      </c>
      <c r="M270" t="n">
        <v>0</v>
      </c>
      <c r="N270" t="n">
        <v>0</v>
      </c>
      <c r="O270" t="n">
        <v>1</v>
      </c>
      <c r="P270" t="n">
        <v>1</v>
      </c>
      <c r="Q270" t="n">
        <v>1</v>
      </c>
      <c r="R270" s="2" t="inlineStr">
        <is>
          <t>Bombmurkla</t>
        </is>
      </c>
      <c r="S270">
        <f>HYPERLINK("https://klasma.github.io/Logging_2281/artfynd/A 3819-2024 artfynd.xlsx", "A 3819-2024")</f>
        <v/>
      </c>
      <c r="T270">
        <f>HYPERLINK("https://klasma.github.io/Logging_2281/kartor/A 3819-2024 karta.png", "A 3819-2024")</f>
        <v/>
      </c>
      <c r="V270">
        <f>HYPERLINK("https://klasma.github.io/Logging_2281/klagomål/A 3819-2024 FSC-klagomål.docx", "A 3819-2024")</f>
        <v/>
      </c>
      <c r="W270">
        <f>HYPERLINK("https://klasma.github.io/Logging_2281/klagomålsmail/A 3819-2024 FSC-klagomål mail.docx", "A 3819-2024")</f>
        <v/>
      </c>
      <c r="X270">
        <f>HYPERLINK("https://klasma.github.io/Logging_2281/tillsyn/A 3819-2024 tillsynsbegäran.docx", "A 3819-2024")</f>
        <v/>
      </c>
      <c r="Y270">
        <f>HYPERLINK("https://klasma.github.io/Logging_2281/tillsynsmail/A 3819-2024 tillsynsbegäran mail.docx", "A 3819-2024")</f>
        <v/>
      </c>
    </row>
    <row r="271" ht="15" customHeight="1">
      <c r="A271" t="inlineStr">
        <is>
          <t>A 6629-2024</t>
        </is>
      </c>
      <c r="B271" s="1" t="n">
        <v>45341</v>
      </c>
      <c r="C271" s="1" t="n">
        <v>45829</v>
      </c>
      <c r="D271" t="inlineStr">
        <is>
          <t>VÄSTERNORRLANDS LÄN</t>
        </is>
      </c>
      <c r="E271" t="inlineStr">
        <is>
          <t>SUNDSVALL</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6629-2024 artfynd.xlsx", "A 6629-2024")</f>
        <v/>
      </c>
      <c r="T271">
        <f>HYPERLINK("https://klasma.github.io/Logging_2281/kartor/A 6629-2024 karta.png", "A 6629-2024")</f>
        <v/>
      </c>
      <c r="V271">
        <f>HYPERLINK("https://klasma.github.io/Logging_2281/klagomål/A 6629-2024 FSC-klagomål.docx", "A 6629-2024")</f>
        <v/>
      </c>
      <c r="W271">
        <f>HYPERLINK("https://klasma.github.io/Logging_2281/klagomålsmail/A 6629-2024 FSC-klagomål mail.docx", "A 6629-2024")</f>
        <v/>
      </c>
      <c r="X271">
        <f>HYPERLINK("https://klasma.github.io/Logging_2281/tillsyn/A 6629-2024 tillsynsbegäran.docx", "A 6629-2024")</f>
        <v/>
      </c>
      <c r="Y271">
        <f>HYPERLINK("https://klasma.github.io/Logging_2281/tillsynsmail/A 6629-2024 tillsynsbegäran mail.docx", "A 6629-2024")</f>
        <v/>
      </c>
      <c r="Z271">
        <f>HYPERLINK("https://klasma.github.io/Logging_2281/fåglar/A 6629-2024 prioriterade fågelarter.docx", "A 6629-2024")</f>
        <v/>
      </c>
    </row>
    <row r="272" ht="15" customHeight="1">
      <c r="A272" t="inlineStr">
        <is>
          <t>A 6897-2024</t>
        </is>
      </c>
      <c r="B272" s="1" t="n">
        <v>45342</v>
      </c>
      <c r="C272" s="1" t="n">
        <v>45829</v>
      </c>
      <c r="D272" t="inlineStr">
        <is>
          <t>VÄSTERNORRLANDS LÄN</t>
        </is>
      </c>
      <c r="E272" t="inlineStr">
        <is>
          <t>SUNDSVALL</t>
        </is>
      </c>
      <c r="G272" t="n">
        <v>22.7</v>
      </c>
      <c r="H272" t="n">
        <v>1</v>
      </c>
      <c r="I272" t="n">
        <v>0</v>
      </c>
      <c r="J272" t="n">
        <v>1</v>
      </c>
      <c r="K272" t="n">
        <v>0</v>
      </c>
      <c r="L272" t="n">
        <v>0</v>
      </c>
      <c r="M272" t="n">
        <v>0</v>
      </c>
      <c r="N272" t="n">
        <v>0</v>
      </c>
      <c r="O272" t="n">
        <v>1</v>
      </c>
      <c r="P272" t="n">
        <v>0</v>
      </c>
      <c r="Q272" t="n">
        <v>1</v>
      </c>
      <c r="R272" s="2" t="inlineStr">
        <is>
          <t>Utter</t>
        </is>
      </c>
      <c r="S272">
        <f>HYPERLINK("https://klasma.github.io/Logging_2281/artfynd/A 6897-2024 artfynd.xlsx", "A 6897-2024")</f>
        <v/>
      </c>
      <c r="T272">
        <f>HYPERLINK("https://klasma.github.io/Logging_2281/kartor/A 6897-2024 karta.png", "A 6897-2024")</f>
        <v/>
      </c>
      <c r="V272">
        <f>HYPERLINK("https://klasma.github.io/Logging_2281/klagomål/A 6897-2024 FSC-klagomål.docx", "A 6897-2024")</f>
        <v/>
      </c>
      <c r="W272">
        <f>HYPERLINK("https://klasma.github.io/Logging_2281/klagomålsmail/A 6897-2024 FSC-klagomål mail.docx", "A 6897-2024")</f>
        <v/>
      </c>
      <c r="X272">
        <f>HYPERLINK("https://klasma.github.io/Logging_2281/tillsyn/A 6897-2024 tillsynsbegäran.docx", "A 6897-2024")</f>
        <v/>
      </c>
      <c r="Y272">
        <f>HYPERLINK("https://klasma.github.io/Logging_2281/tillsynsmail/A 6897-2024 tillsynsbegäran mail.docx", "A 6897-2024")</f>
        <v/>
      </c>
    </row>
    <row r="273" ht="15" customHeight="1">
      <c r="A273" t="inlineStr">
        <is>
          <t>A 11681-2024</t>
        </is>
      </c>
      <c r="B273" s="1" t="n">
        <v>45373</v>
      </c>
      <c r="C273" s="1" t="n">
        <v>45829</v>
      </c>
      <c r="D273" t="inlineStr">
        <is>
          <t>VÄSTERNORRLANDS LÄN</t>
        </is>
      </c>
      <c r="E273" t="inlineStr">
        <is>
          <t>SUNDSVALL</t>
        </is>
      </c>
      <c r="F273" t="inlineStr">
        <is>
          <t>Holmen skog AB</t>
        </is>
      </c>
      <c r="G273" t="n">
        <v>9</v>
      </c>
      <c r="H273" t="n">
        <v>1</v>
      </c>
      <c r="I273" t="n">
        <v>0</v>
      </c>
      <c r="J273" t="n">
        <v>0</v>
      </c>
      <c r="K273" t="n">
        <v>0</v>
      </c>
      <c r="L273" t="n">
        <v>0</v>
      </c>
      <c r="M273" t="n">
        <v>0</v>
      </c>
      <c r="N273" t="n">
        <v>0</v>
      </c>
      <c r="O273" t="n">
        <v>0</v>
      </c>
      <c r="P273" t="n">
        <v>0</v>
      </c>
      <c r="Q273" t="n">
        <v>1</v>
      </c>
      <c r="R273" s="2" t="inlineStr">
        <is>
          <t>Tjäder</t>
        </is>
      </c>
      <c r="S273">
        <f>HYPERLINK("https://klasma.github.io/Logging_2281/artfynd/A 11681-2024 artfynd.xlsx", "A 11681-2024")</f>
        <v/>
      </c>
      <c r="T273">
        <f>HYPERLINK("https://klasma.github.io/Logging_2281/kartor/A 11681-2024 karta.png", "A 11681-2024")</f>
        <v/>
      </c>
      <c r="V273">
        <f>HYPERLINK("https://klasma.github.io/Logging_2281/klagomål/A 11681-2024 FSC-klagomål.docx", "A 11681-2024")</f>
        <v/>
      </c>
      <c r="W273">
        <f>HYPERLINK("https://klasma.github.io/Logging_2281/klagomålsmail/A 11681-2024 FSC-klagomål mail.docx", "A 11681-2024")</f>
        <v/>
      </c>
      <c r="X273">
        <f>HYPERLINK("https://klasma.github.io/Logging_2281/tillsyn/A 11681-2024 tillsynsbegäran.docx", "A 11681-2024")</f>
        <v/>
      </c>
      <c r="Y273">
        <f>HYPERLINK("https://klasma.github.io/Logging_2281/tillsynsmail/A 11681-2024 tillsynsbegäran mail.docx", "A 11681-2024")</f>
        <v/>
      </c>
      <c r="Z273">
        <f>HYPERLINK("https://klasma.github.io/Logging_2281/fåglar/A 11681-2024 prioriterade fågelarter.docx", "A 11681-2024")</f>
        <v/>
      </c>
    </row>
    <row r="274" ht="15" customHeight="1">
      <c r="A274" t="inlineStr">
        <is>
          <t>A 15151-2024</t>
        </is>
      </c>
      <c r="B274" s="1" t="n">
        <v>45400</v>
      </c>
      <c r="C274" s="1" t="n">
        <v>45829</v>
      </c>
      <c r="D274" t="inlineStr">
        <is>
          <t>VÄSTERNORRLANDS LÄN</t>
        </is>
      </c>
      <c r="E274" t="inlineStr">
        <is>
          <t>SUNDSVALL</t>
        </is>
      </c>
      <c r="F274" t="inlineStr">
        <is>
          <t>Naturvårdsverket</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HYPERLINK("https://klasma.github.io/Logging_2281/artfynd/A 15151-2024 artfynd.xlsx", "A 15151-2024")</f>
        <v/>
      </c>
      <c r="T274">
        <f>HYPERLINK("https://klasma.github.io/Logging_2281/kartor/A 15151-2024 karta.png", "A 15151-2024")</f>
        <v/>
      </c>
      <c r="U274">
        <f>HYPERLINK("https://klasma.github.io/Logging_2281/knärot/A 15151-2024 karta knärot.png", "A 15151-2024")</f>
        <v/>
      </c>
      <c r="V274">
        <f>HYPERLINK("https://klasma.github.io/Logging_2281/klagomål/A 15151-2024 FSC-klagomål.docx", "A 15151-2024")</f>
        <v/>
      </c>
      <c r="W274">
        <f>HYPERLINK("https://klasma.github.io/Logging_2281/klagomålsmail/A 15151-2024 FSC-klagomål mail.docx", "A 15151-2024")</f>
        <v/>
      </c>
      <c r="X274">
        <f>HYPERLINK("https://klasma.github.io/Logging_2281/tillsyn/A 15151-2024 tillsynsbegäran.docx", "A 15151-2024")</f>
        <v/>
      </c>
      <c r="Y274">
        <f>HYPERLINK("https://klasma.github.io/Logging_2281/tillsynsmail/A 15151-2024 tillsynsbegäran mail.docx", "A 15151-2024")</f>
        <v/>
      </c>
    </row>
    <row r="275" ht="15" customHeight="1">
      <c r="A275" t="inlineStr">
        <is>
          <t>A 15376-2024</t>
        </is>
      </c>
      <c r="B275" s="1" t="n">
        <v>45400</v>
      </c>
      <c r="C275" s="1" t="n">
        <v>45829</v>
      </c>
      <c r="D275" t="inlineStr">
        <is>
          <t>VÄSTERNORRLANDS LÄN</t>
        </is>
      </c>
      <c r="E275" t="inlineStr">
        <is>
          <t>SUNDSVALL</t>
        </is>
      </c>
      <c r="F275" t="inlineStr">
        <is>
          <t>Naturvårdsverket</t>
        </is>
      </c>
      <c r="G275" t="n">
        <v>1.2</v>
      </c>
      <c r="H275" t="n">
        <v>0</v>
      </c>
      <c r="I275" t="n">
        <v>0</v>
      </c>
      <c r="J275" t="n">
        <v>1</v>
      </c>
      <c r="K275" t="n">
        <v>0</v>
      </c>
      <c r="L275" t="n">
        <v>0</v>
      </c>
      <c r="M275" t="n">
        <v>0</v>
      </c>
      <c r="N275" t="n">
        <v>0</v>
      </c>
      <c r="O275" t="n">
        <v>1</v>
      </c>
      <c r="P275" t="n">
        <v>0</v>
      </c>
      <c r="Q275" t="n">
        <v>1</v>
      </c>
      <c r="R275" s="2" t="inlineStr">
        <is>
          <t>Granticka</t>
        </is>
      </c>
      <c r="S275">
        <f>HYPERLINK("https://klasma.github.io/Logging_2281/artfynd/A 15376-2024 artfynd.xlsx", "A 15376-2024")</f>
        <v/>
      </c>
      <c r="T275">
        <f>HYPERLINK("https://klasma.github.io/Logging_2281/kartor/A 15376-2024 karta.png", "A 15376-2024")</f>
        <v/>
      </c>
      <c r="V275">
        <f>HYPERLINK("https://klasma.github.io/Logging_2281/klagomål/A 15376-2024 FSC-klagomål.docx", "A 15376-2024")</f>
        <v/>
      </c>
      <c r="W275">
        <f>HYPERLINK("https://klasma.github.io/Logging_2281/klagomålsmail/A 15376-2024 FSC-klagomål mail.docx", "A 15376-2024")</f>
        <v/>
      </c>
      <c r="X275">
        <f>HYPERLINK("https://klasma.github.io/Logging_2281/tillsyn/A 15376-2024 tillsynsbegäran.docx", "A 15376-2024")</f>
        <v/>
      </c>
      <c r="Y275">
        <f>HYPERLINK("https://klasma.github.io/Logging_2281/tillsynsmail/A 15376-2024 tillsynsbegäran mail.docx", "A 15376-2024")</f>
        <v/>
      </c>
    </row>
    <row r="276" ht="15" customHeight="1">
      <c r="A276" t="inlineStr">
        <is>
          <t>A 20517-2024</t>
        </is>
      </c>
      <c r="B276" s="1" t="n">
        <v>45435</v>
      </c>
      <c r="C276" s="1" t="n">
        <v>45829</v>
      </c>
      <c r="D276" t="inlineStr">
        <is>
          <t>VÄSTERNORRLANDS LÄN</t>
        </is>
      </c>
      <c r="E276" t="inlineStr">
        <is>
          <t>SUNDSVALL</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HYPERLINK("https://klasma.github.io/Logging_2281/artfynd/A 20517-2024 artfynd.xlsx", "A 20517-2024")</f>
        <v/>
      </c>
      <c r="T276">
        <f>HYPERLINK("https://klasma.github.io/Logging_2281/kartor/A 20517-2024 karta.png", "A 20517-2024")</f>
        <v/>
      </c>
      <c r="V276">
        <f>HYPERLINK("https://klasma.github.io/Logging_2281/klagomål/A 20517-2024 FSC-klagomål.docx", "A 20517-2024")</f>
        <v/>
      </c>
      <c r="W276">
        <f>HYPERLINK("https://klasma.github.io/Logging_2281/klagomålsmail/A 20517-2024 FSC-klagomål mail.docx", "A 20517-2024")</f>
        <v/>
      </c>
      <c r="X276">
        <f>HYPERLINK("https://klasma.github.io/Logging_2281/tillsyn/A 20517-2024 tillsynsbegäran.docx", "A 20517-2024")</f>
        <v/>
      </c>
      <c r="Y276">
        <f>HYPERLINK("https://klasma.github.io/Logging_2281/tillsynsmail/A 20517-2024 tillsynsbegäran mail.docx", "A 20517-2024")</f>
        <v/>
      </c>
    </row>
    <row r="277" ht="15" customHeight="1">
      <c r="A277" t="inlineStr">
        <is>
          <t>A 25380-2024</t>
        </is>
      </c>
      <c r="B277" s="1" t="n">
        <v>45463</v>
      </c>
      <c r="C277" s="1" t="n">
        <v>45829</v>
      </c>
      <c r="D277" t="inlineStr">
        <is>
          <t>VÄSTERNORRLANDS LÄN</t>
        </is>
      </c>
      <c r="E277" t="inlineStr">
        <is>
          <t>SUNDSVALL</t>
        </is>
      </c>
      <c r="F277" t="inlineStr">
        <is>
          <t>SCA</t>
        </is>
      </c>
      <c r="G277" t="n">
        <v>3.3</v>
      </c>
      <c r="H277" t="n">
        <v>1</v>
      </c>
      <c r="I277" t="n">
        <v>0</v>
      </c>
      <c r="J277" t="n">
        <v>1</v>
      </c>
      <c r="K277" t="n">
        <v>0</v>
      </c>
      <c r="L277" t="n">
        <v>0</v>
      </c>
      <c r="M277" t="n">
        <v>0</v>
      </c>
      <c r="N277" t="n">
        <v>0</v>
      </c>
      <c r="O277" t="n">
        <v>1</v>
      </c>
      <c r="P277" t="n">
        <v>0</v>
      </c>
      <c r="Q277" t="n">
        <v>1</v>
      </c>
      <c r="R277" s="2" t="inlineStr">
        <is>
          <t>Nordfladdermus</t>
        </is>
      </c>
      <c r="S277">
        <f>HYPERLINK("https://klasma.github.io/Logging_2281/artfynd/A 25380-2024 artfynd.xlsx", "A 25380-2024")</f>
        <v/>
      </c>
      <c r="T277">
        <f>HYPERLINK("https://klasma.github.io/Logging_2281/kartor/A 25380-2024 karta.png", "A 25380-2024")</f>
        <v/>
      </c>
      <c r="V277">
        <f>HYPERLINK("https://klasma.github.io/Logging_2281/klagomål/A 25380-2024 FSC-klagomål.docx", "A 25380-2024")</f>
        <v/>
      </c>
      <c r="W277">
        <f>HYPERLINK("https://klasma.github.io/Logging_2281/klagomålsmail/A 25380-2024 FSC-klagomål mail.docx", "A 25380-2024")</f>
        <v/>
      </c>
      <c r="X277">
        <f>HYPERLINK("https://klasma.github.io/Logging_2281/tillsyn/A 25380-2024 tillsynsbegäran.docx", "A 25380-2024")</f>
        <v/>
      </c>
      <c r="Y277">
        <f>HYPERLINK("https://klasma.github.io/Logging_2281/tillsynsmail/A 25380-2024 tillsynsbegäran mail.docx", "A 25380-2024")</f>
        <v/>
      </c>
    </row>
    <row r="278" ht="15" customHeight="1">
      <c r="A278" t="inlineStr">
        <is>
          <t>A 26080-2024</t>
        </is>
      </c>
      <c r="B278" s="1" t="n">
        <v>45468</v>
      </c>
      <c r="C278" s="1" t="n">
        <v>45829</v>
      </c>
      <c r="D278" t="inlineStr">
        <is>
          <t>VÄSTERNORRLANDS LÄN</t>
        </is>
      </c>
      <c r="E278" t="inlineStr">
        <is>
          <t>SUNDSVALL</t>
        </is>
      </c>
      <c r="G278" t="n">
        <v>18.8</v>
      </c>
      <c r="H278" t="n">
        <v>0</v>
      </c>
      <c r="I278" t="n">
        <v>0</v>
      </c>
      <c r="J278" t="n">
        <v>1</v>
      </c>
      <c r="K278" t="n">
        <v>0</v>
      </c>
      <c r="L278" t="n">
        <v>0</v>
      </c>
      <c r="M278" t="n">
        <v>0</v>
      </c>
      <c r="N278" t="n">
        <v>0</v>
      </c>
      <c r="O278" t="n">
        <v>1</v>
      </c>
      <c r="P278" t="n">
        <v>0</v>
      </c>
      <c r="Q278" t="n">
        <v>1</v>
      </c>
      <c r="R278" s="2" t="inlineStr">
        <is>
          <t>Lunglav</t>
        </is>
      </c>
      <c r="S278">
        <f>HYPERLINK("https://klasma.github.io/Logging_2281/artfynd/A 26080-2024 artfynd.xlsx", "A 26080-2024")</f>
        <v/>
      </c>
      <c r="T278">
        <f>HYPERLINK("https://klasma.github.io/Logging_2281/kartor/A 26080-2024 karta.png", "A 26080-2024")</f>
        <v/>
      </c>
      <c r="V278">
        <f>HYPERLINK("https://klasma.github.io/Logging_2281/klagomål/A 26080-2024 FSC-klagomål.docx", "A 26080-2024")</f>
        <v/>
      </c>
      <c r="W278">
        <f>HYPERLINK("https://klasma.github.io/Logging_2281/klagomålsmail/A 26080-2024 FSC-klagomål mail.docx", "A 26080-2024")</f>
        <v/>
      </c>
      <c r="X278">
        <f>HYPERLINK("https://klasma.github.io/Logging_2281/tillsyn/A 26080-2024 tillsynsbegäran.docx", "A 26080-2024")</f>
        <v/>
      </c>
      <c r="Y278">
        <f>HYPERLINK("https://klasma.github.io/Logging_2281/tillsynsmail/A 26080-2024 tillsynsbegäran mail.docx", "A 26080-2024")</f>
        <v/>
      </c>
    </row>
    <row r="279" ht="15" customHeight="1">
      <c r="A279" t="inlineStr">
        <is>
          <t>A 27320-2024</t>
        </is>
      </c>
      <c r="B279" s="1" t="n">
        <v>45471</v>
      </c>
      <c r="C279" s="1" t="n">
        <v>45829</v>
      </c>
      <c r="D279" t="inlineStr">
        <is>
          <t>VÄSTERNORRLANDS LÄN</t>
        </is>
      </c>
      <c r="E279" t="inlineStr">
        <is>
          <t>SUNDSVALL</t>
        </is>
      </c>
      <c r="F279" t="inlineStr">
        <is>
          <t>SCA</t>
        </is>
      </c>
      <c r="G279" t="n">
        <v>4</v>
      </c>
      <c r="H279" t="n">
        <v>0</v>
      </c>
      <c r="I279" t="n">
        <v>0</v>
      </c>
      <c r="J279" t="n">
        <v>1</v>
      </c>
      <c r="K279" t="n">
        <v>0</v>
      </c>
      <c r="L279" t="n">
        <v>0</v>
      </c>
      <c r="M279" t="n">
        <v>0</v>
      </c>
      <c r="N279" t="n">
        <v>0</v>
      </c>
      <c r="O279" t="n">
        <v>1</v>
      </c>
      <c r="P279" t="n">
        <v>0</v>
      </c>
      <c r="Q279" t="n">
        <v>1</v>
      </c>
      <c r="R279" s="2" t="inlineStr">
        <is>
          <t>Småflikig brosklav</t>
        </is>
      </c>
      <c r="S279">
        <f>HYPERLINK("https://klasma.github.io/Logging_2281/artfynd/A 27320-2024 artfynd.xlsx", "A 27320-2024")</f>
        <v/>
      </c>
      <c r="T279">
        <f>HYPERLINK("https://klasma.github.io/Logging_2281/kartor/A 27320-2024 karta.png", "A 27320-2024")</f>
        <v/>
      </c>
      <c r="V279">
        <f>HYPERLINK("https://klasma.github.io/Logging_2281/klagomål/A 27320-2024 FSC-klagomål.docx", "A 27320-2024")</f>
        <v/>
      </c>
      <c r="W279">
        <f>HYPERLINK("https://klasma.github.io/Logging_2281/klagomålsmail/A 27320-2024 FSC-klagomål mail.docx", "A 27320-2024")</f>
        <v/>
      </c>
      <c r="X279">
        <f>HYPERLINK("https://klasma.github.io/Logging_2281/tillsyn/A 27320-2024 tillsynsbegäran.docx", "A 27320-2024")</f>
        <v/>
      </c>
      <c r="Y279">
        <f>HYPERLINK("https://klasma.github.io/Logging_2281/tillsynsmail/A 27320-2024 tillsynsbegäran mail.docx", "A 27320-2024")</f>
        <v/>
      </c>
    </row>
    <row r="280" ht="15" customHeight="1">
      <c r="A280" t="inlineStr">
        <is>
          <t>A 31438-2024</t>
        </is>
      </c>
      <c r="B280" s="1" t="n">
        <v>45505</v>
      </c>
      <c r="C280" s="1" t="n">
        <v>45829</v>
      </c>
      <c r="D280" t="inlineStr">
        <is>
          <t>VÄSTERNORRLANDS LÄN</t>
        </is>
      </c>
      <c r="E280" t="inlineStr">
        <is>
          <t>SUNDSVALL</t>
        </is>
      </c>
      <c r="G280" t="n">
        <v>1.2</v>
      </c>
      <c r="H280" t="n">
        <v>1</v>
      </c>
      <c r="I280" t="n">
        <v>0</v>
      </c>
      <c r="J280" t="n">
        <v>0</v>
      </c>
      <c r="K280" t="n">
        <v>0</v>
      </c>
      <c r="L280" t="n">
        <v>0</v>
      </c>
      <c r="M280" t="n">
        <v>0</v>
      </c>
      <c r="N280" t="n">
        <v>0</v>
      </c>
      <c r="O280" t="n">
        <v>0</v>
      </c>
      <c r="P280" t="n">
        <v>0</v>
      </c>
      <c r="Q280" t="n">
        <v>1</v>
      </c>
      <c r="R280" s="2" t="inlineStr">
        <is>
          <t>Fläcknycklar</t>
        </is>
      </c>
      <c r="S280">
        <f>HYPERLINK("https://klasma.github.io/Logging_2281/artfynd/A 31438-2024 artfynd.xlsx", "A 31438-2024")</f>
        <v/>
      </c>
      <c r="T280">
        <f>HYPERLINK("https://klasma.github.io/Logging_2281/kartor/A 31438-2024 karta.png", "A 31438-2024")</f>
        <v/>
      </c>
      <c r="V280">
        <f>HYPERLINK("https://klasma.github.io/Logging_2281/klagomål/A 31438-2024 FSC-klagomål.docx", "A 31438-2024")</f>
        <v/>
      </c>
      <c r="W280">
        <f>HYPERLINK("https://klasma.github.io/Logging_2281/klagomålsmail/A 31438-2024 FSC-klagomål mail.docx", "A 31438-2024")</f>
        <v/>
      </c>
      <c r="X280">
        <f>HYPERLINK("https://klasma.github.io/Logging_2281/tillsyn/A 31438-2024 tillsynsbegäran.docx", "A 31438-2024")</f>
        <v/>
      </c>
      <c r="Y280">
        <f>HYPERLINK("https://klasma.github.io/Logging_2281/tillsynsmail/A 31438-2024 tillsynsbegäran mail.docx", "A 31438-2024")</f>
        <v/>
      </c>
    </row>
    <row r="281" ht="15" customHeight="1">
      <c r="A281" t="inlineStr">
        <is>
          <t>A 31678-2024</t>
        </is>
      </c>
      <c r="B281" s="1" t="n">
        <v>45506</v>
      </c>
      <c r="C281" s="1" t="n">
        <v>45829</v>
      </c>
      <c r="D281" t="inlineStr">
        <is>
          <t>VÄSTERNORRLANDS LÄN</t>
        </is>
      </c>
      <c r="E281" t="inlineStr">
        <is>
          <t>SUNDSVALL</t>
        </is>
      </c>
      <c r="F281" t="inlineStr">
        <is>
          <t>SCA</t>
        </is>
      </c>
      <c r="G281" t="n">
        <v>4.5</v>
      </c>
      <c r="H281" t="n">
        <v>0</v>
      </c>
      <c r="I281" t="n">
        <v>1</v>
      </c>
      <c r="J281" t="n">
        <v>0</v>
      </c>
      <c r="K281" t="n">
        <v>0</v>
      </c>
      <c r="L281" t="n">
        <v>0</v>
      </c>
      <c r="M281" t="n">
        <v>0</v>
      </c>
      <c r="N281" t="n">
        <v>0</v>
      </c>
      <c r="O281" t="n">
        <v>0</v>
      </c>
      <c r="P281" t="n">
        <v>0</v>
      </c>
      <c r="Q281" t="n">
        <v>1</v>
      </c>
      <c r="R281" s="2" t="inlineStr">
        <is>
          <t>Rävticka</t>
        </is>
      </c>
      <c r="S281">
        <f>HYPERLINK("https://klasma.github.io/Logging_2281/artfynd/A 31678-2024 artfynd.xlsx", "A 31678-2024")</f>
        <v/>
      </c>
      <c r="T281">
        <f>HYPERLINK("https://klasma.github.io/Logging_2281/kartor/A 31678-2024 karta.png", "A 31678-2024")</f>
        <v/>
      </c>
      <c r="V281">
        <f>HYPERLINK("https://klasma.github.io/Logging_2281/klagomål/A 31678-2024 FSC-klagomål.docx", "A 31678-2024")</f>
        <v/>
      </c>
      <c r="W281">
        <f>HYPERLINK("https://klasma.github.io/Logging_2281/klagomålsmail/A 31678-2024 FSC-klagomål mail.docx", "A 31678-2024")</f>
        <v/>
      </c>
      <c r="X281">
        <f>HYPERLINK("https://klasma.github.io/Logging_2281/tillsyn/A 31678-2024 tillsynsbegäran.docx", "A 31678-2024")</f>
        <v/>
      </c>
      <c r="Y281">
        <f>HYPERLINK("https://klasma.github.io/Logging_2281/tillsynsmail/A 31678-2024 tillsynsbegäran mail.docx", "A 31678-2024")</f>
        <v/>
      </c>
    </row>
    <row r="282" ht="15" customHeight="1">
      <c r="A282" t="inlineStr">
        <is>
          <t>A 39004-2024</t>
        </is>
      </c>
      <c r="B282" s="1" t="n">
        <v>45548</v>
      </c>
      <c r="C282" s="1" t="n">
        <v>45829</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Liten parasollmossa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48315-2024</t>
        </is>
      </c>
      <c r="B283" s="1" t="n">
        <v>45590</v>
      </c>
      <c r="C283" s="1" t="n">
        <v>45829</v>
      </c>
      <c r="D283" t="inlineStr">
        <is>
          <t>VÄSTERNORRLANDS LÄN</t>
        </is>
      </c>
      <c r="E283" t="inlineStr">
        <is>
          <t>SUNDSVALL</t>
        </is>
      </c>
      <c r="F283" t="inlineStr">
        <is>
          <t>SCA</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HYPERLINK("https://klasma.github.io/Logging_2281/artfynd/A 48315-2024 artfynd.xlsx", "A 48315-2024")</f>
        <v/>
      </c>
      <c r="T283">
        <f>HYPERLINK("https://klasma.github.io/Logging_2281/kartor/A 48315-2024 karta.png", "A 48315-2024")</f>
        <v/>
      </c>
      <c r="U283">
        <f>HYPERLINK("https://klasma.github.io/Logging_2281/knärot/A 48315-2024 karta knärot.png", "A 48315-2024")</f>
        <v/>
      </c>
      <c r="V283">
        <f>HYPERLINK("https://klasma.github.io/Logging_2281/klagomål/A 48315-2024 FSC-klagomål.docx", "A 48315-2024")</f>
        <v/>
      </c>
      <c r="W283">
        <f>HYPERLINK("https://klasma.github.io/Logging_2281/klagomålsmail/A 48315-2024 FSC-klagomål mail.docx", "A 48315-2024")</f>
        <v/>
      </c>
      <c r="X283">
        <f>HYPERLINK("https://klasma.github.io/Logging_2281/tillsyn/A 48315-2024 tillsynsbegäran.docx", "A 48315-2024")</f>
        <v/>
      </c>
      <c r="Y283">
        <f>HYPERLINK("https://klasma.github.io/Logging_2281/tillsynsmail/A 48315-2024 tillsynsbegäran mail.docx", "A 48315-2024")</f>
        <v/>
      </c>
    </row>
    <row r="284" ht="15" customHeight="1">
      <c r="A284" t="inlineStr">
        <is>
          <t>A 50184-2024</t>
        </is>
      </c>
      <c r="B284" s="1" t="n">
        <v>45600</v>
      </c>
      <c r="C284" s="1" t="n">
        <v>45829</v>
      </c>
      <c r="D284" t="inlineStr">
        <is>
          <t>VÄSTERNORRLANDS LÄN</t>
        </is>
      </c>
      <c r="E284" t="inlineStr">
        <is>
          <t>SUNDSVALL</t>
        </is>
      </c>
      <c r="G284" t="n">
        <v>5.3</v>
      </c>
      <c r="H284" t="n">
        <v>0</v>
      </c>
      <c r="I284" t="n">
        <v>1</v>
      </c>
      <c r="J284" t="n">
        <v>0</v>
      </c>
      <c r="K284" t="n">
        <v>0</v>
      </c>
      <c r="L284" t="n">
        <v>0</v>
      </c>
      <c r="M284" t="n">
        <v>0</v>
      </c>
      <c r="N284" t="n">
        <v>0</v>
      </c>
      <c r="O284" t="n">
        <v>0</v>
      </c>
      <c r="P284" t="n">
        <v>0</v>
      </c>
      <c r="Q284" t="n">
        <v>1</v>
      </c>
      <c r="R284" s="2" t="inlineStr">
        <is>
          <t>Dropptaggsvamp</t>
        </is>
      </c>
      <c r="S284">
        <f>HYPERLINK("https://klasma.github.io/Logging_2281/artfynd/A 50184-2024 artfynd.xlsx", "A 50184-2024")</f>
        <v/>
      </c>
      <c r="T284">
        <f>HYPERLINK("https://klasma.github.io/Logging_2281/kartor/A 50184-2024 karta.png", "A 50184-2024")</f>
        <v/>
      </c>
      <c r="V284">
        <f>HYPERLINK("https://klasma.github.io/Logging_2281/klagomål/A 50184-2024 FSC-klagomål.docx", "A 50184-2024")</f>
        <v/>
      </c>
      <c r="W284">
        <f>HYPERLINK("https://klasma.github.io/Logging_2281/klagomålsmail/A 50184-2024 FSC-klagomål mail.docx", "A 50184-2024")</f>
        <v/>
      </c>
      <c r="X284">
        <f>HYPERLINK("https://klasma.github.io/Logging_2281/tillsyn/A 50184-2024 tillsynsbegäran.docx", "A 50184-2024")</f>
        <v/>
      </c>
      <c r="Y284">
        <f>HYPERLINK("https://klasma.github.io/Logging_2281/tillsynsmail/A 50184-2024 tillsynsbegäran mail.docx", "A 50184-2024")</f>
        <v/>
      </c>
    </row>
    <row r="285" ht="15" customHeight="1">
      <c r="A285" t="inlineStr">
        <is>
          <t>A 50396-2024</t>
        </is>
      </c>
      <c r="B285" s="1" t="n">
        <v>45601</v>
      </c>
      <c r="C285" s="1" t="n">
        <v>45829</v>
      </c>
      <c r="D285" t="inlineStr">
        <is>
          <t>VÄSTERNORRLANDS LÄN</t>
        </is>
      </c>
      <c r="E285" t="inlineStr">
        <is>
          <t>SUNDSVALL</t>
        </is>
      </c>
      <c r="F285" t="inlineStr">
        <is>
          <t>SCA</t>
        </is>
      </c>
      <c r="G285" t="n">
        <v>8</v>
      </c>
      <c r="H285" t="n">
        <v>1</v>
      </c>
      <c r="I285" t="n">
        <v>0</v>
      </c>
      <c r="J285" t="n">
        <v>1</v>
      </c>
      <c r="K285" t="n">
        <v>0</v>
      </c>
      <c r="L285" t="n">
        <v>0</v>
      </c>
      <c r="M285" t="n">
        <v>0</v>
      </c>
      <c r="N285" t="n">
        <v>0</v>
      </c>
      <c r="O285" t="n">
        <v>1</v>
      </c>
      <c r="P285" t="n">
        <v>0</v>
      </c>
      <c r="Q285" t="n">
        <v>1</v>
      </c>
      <c r="R285" s="2" t="inlineStr">
        <is>
          <t>Järpe</t>
        </is>
      </c>
      <c r="S285">
        <f>HYPERLINK("https://klasma.github.io/Logging_2281/artfynd/A 50396-2024 artfynd.xlsx", "A 50396-2024")</f>
        <v/>
      </c>
      <c r="T285">
        <f>HYPERLINK("https://klasma.github.io/Logging_2281/kartor/A 50396-2024 karta.png", "A 50396-2024")</f>
        <v/>
      </c>
      <c r="V285">
        <f>HYPERLINK("https://klasma.github.io/Logging_2281/klagomål/A 50396-2024 FSC-klagomål.docx", "A 50396-2024")</f>
        <v/>
      </c>
      <c r="W285">
        <f>HYPERLINK("https://klasma.github.io/Logging_2281/klagomålsmail/A 50396-2024 FSC-klagomål mail.docx", "A 50396-2024")</f>
        <v/>
      </c>
      <c r="X285">
        <f>HYPERLINK("https://klasma.github.io/Logging_2281/tillsyn/A 50396-2024 tillsynsbegäran.docx", "A 50396-2024")</f>
        <v/>
      </c>
      <c r="Y285">
        <f>HYPERLINK("https://klasma.github.io/Logging_2281/tillsynsmail/A 50396-2024 tillsynsbegäran mail.docx", "A 50396-2024")</f>
        <v/>
      </c>
      <c r="Z285">
        <f>HYPERLINK("https://klasma.github.io/Logging_2281/fåglar/A 50396-2024 prioriterade fågelarter.docx", "A 50396-2024")</f>
        <v/>
      </c>
    </row>
    <row r="286" ht="15" customHeight="1">
      <c r="A286" t="inlineStr">
        <is>
          <t>A 52342-2024</t>
        </is>
      </c>
      <c r="B286" s="1" t="n">
        <v>45609</v>
      </c>
      <c r="C286" s="1" t="n">
        <v>45829</v>
      </c>
      <c r="D286" t="inlineStr">
        <is>
          <t>VÄSTERNORRLANDS LÄN</t>
        </is>
      </c>
      <c r="E286" t="inlineStr">
        <is>
          <t>SUNDSVALL</t>
        </is>
      </c>
      <c r="G286" t="n">
        <v>4</v>
      </c>
      <c r="H286" t="n">
        <v>1</v>
      </c>
      <c r="I286" t="n">
        <v>0</v>
      </c>
      <c r="J286" t="n">
        <v>0</v>
      </c>
      <c r="K286" t="n">
        <v>0</v>
      </c>
      <c r="L286" t="n">
        <v>0</v>
      </c>
      <c r="M286" t="n">
        <v>0</v>
      </c>
      <c r="N286" t="n">
        <v>0</v>
      </c>
      <c r="O286" t="n">
        <v>0</v>
      </c>
      <c r="P286" t="n">
        <v>0</v>
      </c>
      <c r="Q286" t="n">
        <v>1</v>
      </c>
      <c r="R286" s="2" t="inlineStr">
        <is>
          <t>Orre</t>
        </is>
      </c>
      <c r="S286">
        <f>HYPERLINK("https://klasma.github.io/Logging_2281/artfynd/A 52342-2024 artfynd.xlsx", "A 52342-2024")</f>
        <v/>
      </c>
      <c r="T286">
        <f>HYPERLINK("https://klasma.github.io/Logging_2281/kartor/A 52342-2024 karta.png", "A 52342-2024")</f>
        <v/>
      </c>
      <c r="V286">
        <f>HYPERLINK("https://klasma.github.io/Logging_2281/klagomål/A 52342-2024 FSC-klagomål.docx", "A 52342-2024")</f>
        <v/>
      </c>
      <c r="W286">
        <f>HYPERLINK("https://klasma.github.io/Logging_2281/klagomålsmail/A 52342-2024 FSC-klagomål mail.docx", "A 52342-2024")</f>
        <v/>
      </c>
      <c r="X286">
        <f>HYPERLINK("https://klasma.github.io/Logging_2281/tillsyn/A 52342-2024 tillsynsbegäran.docx", "A 52342-2024")</f>
        <v/>
      </c>
      <c r="Y286">
        <f>HYPERLINK("https://klasma.github.io/Logging_2281/tillsynsmail/A 52342-2024 tillsynsbegäran mail.docx", "A 52342-2024")</f>
        <v/>
      </c>
      <c r="Z286">
        <f>HYPERLINK("https://klasma.github.io/Logging_2281/fåglar/A 52342-2024 prioriterade fågelarter.docx", "A 52342-2024")</f>
        <v/>
      </c>
    </row>
    <row r="287" ht="15" customHeight="1">
      <c r="A287" t="inlineStr">
        <is>
          <t>A 52515-2024</t>
        </is>
      </c>
      <c r="B287" s="1" t="n">
        <v>45609</v>
      </c>
      <c r="C287" s="1" t="n">
        <v>45829</v>
      </c>
      <c r="D287" t="inlineStr">
        <is>
          <t>VÄSTERNORRLANDS LÄN</t>
        </is>
      </c>
      <c r="E287" t="inlineStr">
        <is>
          <t>SUNDSVALL</t>
        </is>
      </c>
      <c r="G287" t="n">
        <v>2.4</v>
      </c>
      <c r="H287" t="n">
        <v>0</v>
      </c>
      <c r="I287" t="n">
        <v>1</v>
      </c>
      <c r="J287" t="n">
        <v>0</v>
      </c>
      <c r="K287" t="n">
        <v>0</v>
      </c>
      <c r="L287" t="n">
        <v>0</v>
      </c>
      <c r="M287" t="n">
        <v>0</v>
      </c>
      <c r="N287" t="n">
        <v>0</v>
      </c>
      <c r="O287" t="n">
        <v>0</v>
      </c>
      <c r="P287" t="n">
        <v>0</v>
      </c>
      <c r="Q287" t="n">
        <v>1</v>
      </c>
      <c r="R287" s="2" t="inlineStr">
        <is>
          <t>Tibast</t>
        </is>
      </c>
      <c r="S287">
        <f>HYPERLINK("https://klasma.github.io/Logging_2281/artfynd/A 52515-2024 artfynd.xlsx", "A 52515-2024")</f>
        <v/>
      </c>
      <c r="T287">
        <f>HYPERLINK("https://klasma.github.io/Logging_2281/kartor/A 52515-2024 karta.png", "A 52515-2024")</f>
        <v/>
      </c>
      <c r="V287">
        <f>HYPERLINK("https://klasma.github.io/Logging_2281/klagomål/A 52515-2024 FSC-klagomål.docx", "A 52515-2024")</f>
        <v/>
      </c>
      <c r="W287">
        <f>HYPERLINK("https://klasma.github.io/Logging_2281/klagomålsmail/A 52515-2024 FSC-klagomål mail.docx", "A 52515-2024")</f>
        <v/>
      </c>
      <c r="X287">
        <f>HYPERLINK("https://klasma.github.io/Logging_2281/tillsyn/A 52515-2024 tillsynsbegäran.docx", "A 52515-2024")</f>
        <v/>
      </c>
      <c r="Y287">
        <f>HYPERLINK("https://klasma.github.io/Logging_2281/tillsynsmail/A 52515-2024 tillsynsbegäran mail.docx", "A 52515-2024")</f>
        <v/>
      </c>
    </row>
    <row r="288" ht="15" customHeight="1">
      <c r="A288" t="inlineStr">
        <is>
          <t>A 58723-2024</t>
        </is>
      </c>
      <c r="B288" s="1" t="n">
        <v>45635</v>
      </c>
      <c r="C288" s="1" t="n">
        <v>45829</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59895-2024</t>
        </is>
      </c>
      <c r="B289" s="1" t="n">
        <v>45641</v>
      </c>
      <c r="C289" s="1" t="n">
        <v>45829</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60444-2024</t>
        </is>
      </c>
      <c r="B290" s="1" t="n">
        <v>45642</v>
      </c>
      <c r="C290" s="1" t="n">
        <v>45829</v>
      </c>
      <c r="D290" t="inlineStr">
        <is>
          <t>VÄSTERNORRLANDS LÄN</t>
        </is>
      </c>
      <c r="E290" t="inlineStr">
        <is>
          <t>SUNDSVALL</t>
        </is>
      </c>
      <c r="G290" t="n">
        <v>8.199999999999999</v>
      </c>
      <c r="H290" t="n">
        <v>1</v>
      </c>
      <c r="I290" t="n">
        <v>0</v>
      </c>
      <c r="J290" t="n">
        <v>0</v>
      </c>
      <c r="K290" t="n">
        <v>0</v>
      </c>
      <c r="L290" t="n">
        <v>0</v>
      </c>
      <c r="M290" t="n">
        <v>0</v>
      </c>
      <c r="N290" t="n">
        <v>0</v>
      </c>
      <c r="O290" t="n">
        <v>0</v>
      </c>
      <c r="P290" t="n">
        <v>0</v>
      </c>
      <c r="Q290" t="n">
        <v>1</v>
      </c>
      <c r="R290" s="2" t="inlineStr">
        <is>
          <t>Gråspett</t>
        </is>
      </c>
      <c r="S290">
        <f>HYPERLINK("https://klasma.github.io/Logging_2281/artfynd/A 60444-2024 artfynd.xlsx", "A 60444-2024")</f>
        <v/>
      </c>
      <c r="T290">
        <f>HYPERLINK("https://klasma.github.io/Logging_2281/kartor/A 60444-2024 karta.png", "A 60444-2024")</f>
        <v/>
      </c>
      <c r="V290">
        <f>HYPERLINK("https://klasma.github.io/Logging_2281/klagomål/A 60444-2024 FSC-klagomål.docx", "A 60444-2024")</f>
        <v/>
      </c>
      <c r="W290">
        <f>HYPERLINK("https://klasma.github.io/Logging_2281/klagomålsmail/A 60444-2024 FSC-klagomål mail.docx", "A 60444-2024")</f>
        <v/>
      </c>
      <c r="X290">
        <f>HYPERLINK("https://klasma.github.io/Logging_2281/tillsyn/A 60444-2024 tillsynsbegäran.docx", "A 60444-2024")</f>
        <v/>
      </c>
      <c r="Y290">
        <f>HYPERLINK("https://klasma.github.io/Logging_2281/tillsynsmail/A 60444-2024 tillsynsbegäran mail.docx", "A 60444-2024")</f>
        <v/>
      </c>
      <c r="Z290">
        <f>HYPERLINK("https://klasma.github.io/Logging_2281/fåglar/A 60444-2024 prioriterade fågelarter.docx", "A 60444-2024")</f>
        <v/>
      </c>
    </row>
    <row r="291" ht="15" customHeight="1">
      <c r="A291" t="inlineStr">
        <is>
          <t>A 3347-2025</t>
        </is>
      </c>
      <c r="B291" s="1" t="n">
        <v>45679</v>
      </c>
      <c r="C291" s="1" t="n">
        <v>45829</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3924-2025</t>
        </is>
      </c>
      <c r="B292" s="1" t="n">
        <v>45684</v>
      </c>
      <c r="C292" s="1" t="n">
        <v>45829</v>
      </c>
      <c r="D292" t="inlineStr">
        <is>
          <t>VÄSTERNORRLANDS LÄN</t>
        </is>
      </c>
      <c r="E292" t="inlineStr">
        <is>
          <t>SUNDSVALL</t>
        </is>
      </c>
      <c r="F292" t="inlineStr">
        <is>
          <t>SCA</t>
        </is>
      </c>
      <c r="G292" t="n">
        <v>5.9</v>
      </c>
      <c r="H292" t="n">
        <v>1</v>
      </c>
      <c r="I292" t="n">
        <v>0</v>
      </c>
      <c r="J292" t="n">
        <v>1</v>
      </c>
      <c r="K292" t="n">
        <v>0</v>
      </c>
      <c r="L292" t="n">
        <v>0</v>
      </c>
      <c r="M292" t="n">
        <v>0</v>
      </c>
      <c r="N292" t="n">
        <v>0</v>
      </c>
      <c r="O292" t="n">
        <v>1</v>
      </c>
      <c r="P292" t="n">
        <v>0</v>
      </c>
      <c r="Q292" t="n">
        <v>1</v>
      </c>
      <c r="R292" s="2" t="inlineStr">
        <is>
          <t>Järpe</t>
        </is>
      </c>
      <c r="S292">
        <f>HYPERLINK("https://klasma.github.io/Logging_2281/artfynd/A 3924-2025 artfynd.xlsx", "A 3924-2025")</f>
        <v/>
      </c>
      <c r="T292">
        <f>HYPERLINK("https://klasma.github.io/Logging_2281/kartor/A 3924-2025 karta.png", "A 3924-2025")</f>
        <v/>
      </c>
      <c r="V292">
        <f>HYPERLINK("https://klasma.github.io/Logging_2281/klagomål/A 3924-2025 FSC-klagomål.docx", "A 3924-2025")</f>
        <v/>
      </c>
      <c r="W292">
        <f>HYPERLINK("https://klasma.github.io/Logging_2281/klagomålsmail/A 3924-2025 FSC-klagomål mail.docx", "A 3924-2025")</f>
        <v/>
      </c>
      <c r="X292">
        <f>HYPERLINK("https://klasma.github.io/Logging_2281/tillsyn/A 3924-2025 tillsynsbegäran.docx", "A 3924-2025")</f>
        <v/>
      </c>
      <c r="Y292">
        <f>HYPERLINK("https://klasma.github.io/Logging_2281/tillsynsmail/A 3924-2025 tillsynsbegäran mail.docx", "A 3924-2025")</f>
        <v/>
      </c>
      <c r="Z292">
        <f>HYPERLINK("https://klasma.github.io/Logging_2281/fåglar/A 3924-2025 prioriterade fågelarter.docx", "A 3924-2025")</f>
        <v/>
      </c>
    </row>
    <row r="293" ht="15" customHeight="1">
      <c r="A293" t="inlineStr">
        <is>
          <t>A 7264-2025</t>
        </is>
      </c>
      <c r="B293" s="1" t="n">
        <v>45702</v>
      </c>
      <c r="C293" s="1" t="n">
        <v>45829</v>
      </c>
      <c r="D293" t="inlineStr">
        <is>
          <t>VÄSTERNORRLANDS LÄN</t>
        </is>
      </c>
      <c r="E293" t="inlineStr">
        <is>
          <t>SUNDSVALL</t>
        </is>
      </c>
      <c r="F293" t="inlineStr">
        <is>
          <t>SCA</t>
        </is>
      </c>
      <c r="G293" t="n">
        <v>2.1</v>
      </c>
      <c r="H293" t="n">
        <v>0</v>
      </c>
      <c r="I293" t="n">
        <v>0</v>
      </c>
      <c r="J293" t="n">
        <v>1</v>
      </c>
      <c r="K293" t="n">
        <v>0</v>
      </c>
      <c r="L293" t="n">
        <v>0</v>
      </c>
      <c r="M293" t="n">
        <v>0</v>
      </c>
      <c r="N293" t="n">
        <v>0</v>
      </c>
      <c r="O293" t="n">
        <v>1</v>
      </c>
      <c r="P293" t="n">
        <v>0</v>
      </c>
      <c r="Q293" t="n">
        <v>1</v>
      </c>
      <c r="R293" s="2" t="inlineStr">
        <is>
          <t>Ullticka</t>
        </is>
      </c>
      <c r="S293">
        <f>HYPERLINK("https://klasma.github.io/Logging_2281/artfynd/A 7264-2025 artfynd.xlsx", "A 7264-2025")</f>
        <v/>
      </c>
      <c r="T293">
        <f>HYPERLINK("https://klasma.github.io/Logging_2281/kartor/A 7264-2025 karta.png", "A 7264-2025")</f>
        <v/>
      </c>
      <c r="U293">
        <f>HYPERLINK("https://klasma.github.io/Logging_2281/knärot/A 7264-2025 karta knärot.png", "A 7264-2025")</f>
        <v/>
      </c>
      <c r="V293">
        <f>HYPERLINK("https://klasma.github.io/Logging_2281/klagomål/A 7264-2025 FSC-klagomål.docx", "A 7264-2025")</f>
        <v/>
      </c>
      <c r="W293">
        <f>HYPERLINK("https://klasma.github.io/Logging_2281/klagomålsmail/A 7264-2025 FSC-klagomål mail.docx", "A 7264-2025")</f>
        <v/>
      </c>
      <c r="X293">
        <f>HYPERLINK("https://klasma.github.io/Logging_2281/tillsyn/A 7264-2025 tillsynsbegäran.docx", "A 7264-2025")</f>
        <v/>
      </c>
      <c r="Y293">
        <f>HYPERLINK("https://klasma.github.io/Logging_2281/tillsynsmail/A 7264-2025 tillsynsbegäran mail.docx", "A 7264-2025")</f>
        <v/>
      </c>
    </row>
    <row r="294" ht="15" customHeight="1">
      <c r="A294" t="inlineStr">
        <is>
          <t>A 10683-2025</t>
        </is>
      </c>
      <c r="B294" s="1" t="n">
        <v>45721</v>
      </c>
      <c r="C294" s="1" t="n">
        <v>45829</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HYPERLINK("https://klasma.github.io/Logging_222281/artfynd/A 10683-2025 artfynd.xlsx", "A 10683-2025")</f>
        <v/>
      </c>
      <c r="T294">
        <f>HYPERLINK("https://klasma.github.io/Logging_222281/kartor/A 10683-2025 karta.png", "A 10683-2025")</f>
        <v/>
      </c>
      <c r="V294">
        <f>HYPERLINK("https://klasma.github.io/Logging_222281/klagomål/A 10683-2025 FSC-klagomål.docx", "A 10683-2025")</f>
        <v/>
      </c>
      <c r="W294">
        <f>HYPERLINK("https://klasma.github.io/Logging_222281/klagomålsmail/A 10683-2025 FSC-klagomål mail.docx", "A 10683-2025")</f>
        <v/>
      </c>
      <c r="X294">
        <f>HYPERLINK("https://klasma.github.io/Logging_222281/tillsyn/A 10683-2025 tillsynsbegäran.docx", "A 10683-2025")</f>
        <v/>
      </c>
      <c r="Y294">
        <f>HYPERLINK("https://klasma.github.io/Logging_222281/tillsynsmail/A 10683-2025 tillsynsbegäran mail.docx", "A 10683-2025")</f>
        <v/>
      </c>
      <c r="Z294">
        <f>HYPERLINK("https://klasma.github.io/Logging_222281/fåglar/A 10683-2025 prioriterade fågelarter.docx", "A 10683-2025")</f>
        <v/>
      </c>
    </row>
    <row r="295" ht="15" customHeight="1">
      <c r="A295" t="inlineStr">
        <is>
          <t>A 11146-2025</t>
        </is>
      </c>
      <c r="B295" s="1" t="n">
        <v>45723</v>
      </c>
      <c r="C295" s="1" t="n">
        <v>45829</v>
      </c>
      <c r="D295" t="inlineStr">
        <is>
          <t>VÄSTERNORRLANDS LÄN</t>
        </is>
      </c>
      <c r="E295" t="inlineStr">
        <is>
          <t>SUNDSVALL</t>
        </is>
      </c>
      <c r="F295" t="inlineStr">
        <is>
          <t>SCA</t>
        </is>
      </c>
      <c r="G295" t="n">
        <v>17.4</v>
      </c>
      <c r="H295" t="n">
        <v>0</v>
      </c>
      <c r="I295" t="n">
        <v>0</v>
      </c>
      <c r="J295" t="n">
        <v>1</v>
      </c>
      <c r="K295" t="n">
        <v>0</v>
      </c>
      <c r="L295" t="n">
        <v>0</v>
      </c>
      <c r="M295" t="n">
        <v>0</v>
      </c>
      <c r="N295" t="n">
        <v>0</v>
      </c>
      <c r="O295" t="n">
        <v>1</v>
      </c>
      <c r="P295" t="n">
        <v>0</v>
      </c>
      <c r="Q295" t="n">
        <v>1</v>
      </c>
      <c r="R295" s="2" t="inlineStr">
        <is>
          <t>Skogshare</t>
        </is>
      </c>
      <c r="S295">
        <f>HYPERLINK("https://klasma.github.io/Logging_222281/artfynd/A 11146-2025 artfynd.xlsx", "A 11146-2025")</f>
        <v/>
      </c>
      <c r="T295">
        <f>HYPERLINK("https://klasma.github.io/Logging_222281/kartor/A 11146-2025 karta.png", "A 11146-2025")</f>
        <v/>
      </c>
      <c r="V295">
        <f>HYPERLINK("https://klasma.github.io/Logging_222281/klagomål/A 11146-2025 FSC-klagomål.docx", "A 11146-2025")</f>
        <v/>
      </c>
      <c r="W295">
        <f>HYPERLINK("https://klasma.github.io/Logging_222281/klagomålsmail/A 11146-2025 FSC-klagomål mail.docx", "A 11146-2025")</f>
        <v/>
      </c>
      <c r="X295">
        <f>HYPERLINK("https://klasma.github.io/Logging_222281/tillsyn/A 11146-2025 tillsynsbegäran.docx", "A 11146-2025")</f>
        <v/>
      </c>
      <c r="Y295">
        <f>HYPERLINK("https://klasma.github.io/Logging_222281/tillsynsmail/A 11146-2025 tillsynsbegäran mail.docx", "A 11146-2025")</f>
        <v/>
      </c>
    </row>
    <row r="296" ht="15" customHeight="1">
      <c r="A296" t="inlineStr">
        <is>
          <t>A 13301-2025</t>
        </is>
      </c>
      <c r="B296" s="1" t="n">
        <v>45735</v>
      </c>
      <c r="C296" s="1" t="n">
        <v>45829</v>
      </c>
      <c r="D296" t="inlineStr">
        <is>
          <t>VÄSTERNORRLANDS LÄN</t>
        </is>
      </c>
      <c r="E296" t="inlineStr">
        <is>
          <t>SUNDSVALL</t>
        </is>
      </c>
      <c r="F296" t="inlineStr">
        <is>
          <t>SCA</t>
        </is>
      </c>
      <c r="G296" t="n">
        <v>13.4</v>
      </c>
      <c r="H296" t="n">
        <v>1</v>
      </c>
      <c r="I296" t="n">
        <v>0</v>
      </c>
      <c r="J296" t="n">
        <v>0</v>
      </c>
      <c r="K296" t="n">
        <v>0</v>
      </c>
      <c r="L296" t="n">
        <v>0</v>
      </c>
      <c r="M296" t="n">
        <v>0</v>
      </c>
      <c r="N296" t="n">
        <v>0</v>
      </c>
      <c r="O296" t="n">
        <v>0</v>
      </c>
      <c r="P296" t="n">
        <v>0</v>
      </c>
      <c r="Q296" t="n">
        <v>1</v>
      </c>
      <c r="R296" s="2" t="inlineStr">
        <is>
          <t>Blåsippa</t>
        </is>
      </c>
      <c r="S296">
        <f>HYPERLINK("https://klasma.github.io/Logging_222281/artfynd/A 13301-2025 artfynd.xlsx", "A 13301-2025")</f>
        <v/>
      </c>
      <c r="T296">
        <f>HYPERLINK("https://klasma.github.io/Logging_222281/kartor/A 13301-2025 karta.png", "A 13301-2025")</f>
        <v/>
      </c>
      <c r="V296">
        <f>HYPERLINK("https://klasma.github.io/Logging_222281/klagomål/A 13301-2025 FSC-klagomål.docx", "A 13301-2025")</f>
        <v/>
      </c>
      <c r="W296">
        <f>HYPERLINK("https://klasma.github.io/Logging_222281/klagomålsmail/A 13301-2025 FSC-klagomål mail.docx", "A 13301-2025")</f>
        <v/>
      </c>
      <c r="X296">
        <f>HYPERLINK("https://klasma.github.io/Logging_222281/tillsyn/A 13301-2025 tillsynsbegäran.docx", "A 13301-2025")</f>
        <v/>
      </c>
      <c r="Y296">
        <f>HYPERLINK("https://klasma.github.io/Logging_222281/tillsynsmail/A 13301-2025 tillsynsbegäran mail.docx", "A 13301-2025")</f>
        <v/>
      </c>
    </row>
    <row r="297" ht="15" customHeight="1">
      <c r="A297" t="inlineStr">
        <is>
          <t>A 13443-2025</t>
        </is>
      </c>
      <c r="B297" s="1" t="n">
        <v>45736</v>
      </c>
      <c r="C297" s="1" t="n">
        <v>45829</v>
      </c>
      <c r="D297" t="inlineStr">
        <is>
          <t>VÄSTERNORRLANDS LÄN</t>
        </is>
      </c>
      <c r="E297" t="inlineStr">
        <is>
          <t>SUNDSVALL</t>
        </is>
      </c>
      <c r="F297" t="inlineStr">
        <is>
          <t>SCA</t>
        </is>
      </c>
      <c r="G297" t="n">
        <v>12.5</v>
      </c>
      <c r="H297" t="n">
        <v>0</v>
      </c>
      <c r="I297" t="n">
        <v>1</v>
      </c>
      <c r="J297" t="n">
        <v>0</v>
      </c>
      <c r="K297" t="n">
        <v>0</v>
      </c>
      <c r="L297" t="n">
        <v>0</v>
      </c>
      <c r="M297" t="n">
        <v>0</v>
      </c>
      <c r="N297" t="n">
        <v>0</v>
      </c>
      <c r="O297" t="n">
        <v>0</v>
      </c>
      <c r="P297" t="n">
        <v>0</v>
      </c>
      <c r="Q297" t="n">
        <v>1</v>
      </c>
      <c r="R297" s="2" t="inlineStr">
        <is>
          <t>Kattfotslav</t>
        </is>
      </c>
      <c r="S297">
        <f>HYPERLINK("https://klasma.github.io/Logging_222281/artfynd/A 13443-2025 artfynd.xlsx", "A 13443-2025")</f>
        <v/>
      </c>
      <c r="T297">
        <f>HYPERLINK("https://klasma.github.io/Logging_222281/kartor/A 13443-2025 karta.png", "A 13443-2025")</f>
        <v/>
      </c>
      <c r="U297">
        <f>HYPERLINK("https://klasma.github.io/Logging_222281/knärot/A 13443-2025 karta knärot.png", "A 13443-2025")</f>
        <v/>
      </c>
      <c r="V297">
        <f>HYPERLINK("https://klasma.github.io/Logging_222281/klagomål/A 13443-2025 FSC-klagomål.docx", "A 13443-2025")</f>
        <v/>
      </c>
      <c r="W297">
        <f>HYPERLINK("https://klasma.github.io/Logging_222281/klagomålsmail/A 13443-2025 FSC-klagomål mail.docx", "A 13443-2025")</f>
        <v/>
      </c>
      <c r="X297">
        <f>HYPERLINK("https://klasma.github.io/Logging_222281/tillsyn/A 13443-2025 tillsynsbegäran.docx", "A 13443-2025")</f>
        <v/>
      </c>
      <c r="Y297">
        <f>HYPERLINK("https://klasma.github.io/Logging_222281/tillsynsmail/A 13443-2025 tillsynsbegäran mail.docx", "A 13443-2025")</f>
        <v/>
      </c>
    </row>
    <row r="298" ht="15" customHeight="1">
      <c r="A298" t="inlineStr">
        <is>
          <t>A 18007-2025</t>
        </is>
      </c>
      <c r="B298" s="1" t="n">
        <v>45761</v>
      </c>
      <c r="C298" s="1" t="n">
        <v>45829</v>
      </c>
      <c r="D298" t="inlineStr">
        <is>
          <t>VÄSTERNORRLANDS LÄN</t>
        </is>
      </c>
      <c r="E298" t="inlineStr">
        <is>
          <t>SUNDSVALL</t>
        </is>
      </c>
      <c r="F298" t="inlineStr">
        <is>
          <t>SCA</t>
        </is>
      </c>
      <c r="G298" t="n">
        <v>14.3</v>
      </c>
      <c r="H298" t="n">
        <v>1</v>
      </c>
      <c r="I298" t="n">
        <v>0</v>
      </c>
      <c r="J298" t="n">
        <v>0</v>
      </c>
      <c r="K298" t="n">
        <v>0</v>
      </c>
      <c r="L298" t="n">
        <v>0</v>
      </c>
      <c r="M298" t="n">
        <v>0</v>
      </c>
      <c r="N298" t="n">
        <v>0</v>
      </c>
      <c r="O298" t="n">
        <v>0</v>
      </c>
      <c r="P298" t="n">
        <v>0</v>
      </c>
      <c r="Q298" t="n">
        <v>1</v>
      </c>
      <c r="R298" s="2" t="inlineStr">
        <is>
          <t>Orre</t>
        </is>
      </c>
      <c r="S298">
        <f>HYPERLINK("https://klasma.github.io/Logging_222281/artfynd/A 18007-2025 artfynd.xlsx", "A 18007-2025")</f>
        <v/>
      </c>
      <c r="T298">
        <f>HYPERLINK("https://klasma.github.io/Logging_222281/kartor/A 18007-2025 karta.png", "A 18007-2025")</f>
        <v/>
      </c>
      <c r="V298">
        <f>HYPERLINK("https://klasma.github.io/Logging_222281/klagomål/A 18007-2025 FSC-klagomål.docx", "A 18007-2025")</f>
        <v/>
      </c>
      <c r="W298">
        <f>HYPERLINK("https://klasma.github.io/Logging_222281/klagomålsmail/A 18007-2025 FSC-klagomål mail.docx", "A 18007-2025")</f>
        <v/>
      </c>
      <c r="X298">
        <f>HYPERLINK("https://klasma.github.io/Logging_222281/tillsyn/A 18007-2025 tillsynsbegäran.docx", "A 18007-2025")</f>
        <v/>
      </c>
      <c r="Y298">
        <f>HYPERLINK("https://klasma.github.io/Logging_222281/tillsynsmail/A 18007-2025 tillsynsbegäran mail.docx", "A 18007-2025")</f>
        <v/>
      </c>
      <c r="Z298">
        <f>HYPERLINK("https://klasma.github.io/Logging_222281/fåglar/A 18007-2025 prioriterade fågelarter.docx", "A 18007-2025")</f>
        <v/>
      </c>
    </row>
    <row r="299" ht="15" customHeight="1">
      <c r="A299" t="inlineStr">
        <is>
          <t>A 19762-2025</t>
        </is>
      </c>
      <c r="B299" s="1" t="n">
        <v>45771</v>
      </c>
      <c r="C299" s="1" t="n">
        <v>45829</v>
      </c>
      <c r="D299" t="inlineStr">
        <is>
          <t>VÄSTERNORRLANDS LÄN</t>
        </is>
      </c>
      <c r="E299" t="inlineStr">
        <is>
          <t>SUNDSVALL</t>
        </is>
      </c>
      <c r="F299" t="inlineStr">
        <is>
          <t>Naturvårdsverket</t>
        </is>
      </c>
      <c r="G299" t="n">
        <v>2.3</v>
      </c>
      <c r="H299" t="n">
        <v>0</v>
      </c>
      <c r="I299" t="n">
        <v>1</v>
      </c>
      <c r="J299" t="n">
        <v>0</v>
      </c>
      <c r="K299" t="n">
        <v>0</v>
      </c>
      <c r="L299" t="n">
        <v>0</v>
      </c>
      <c r="M299" t="n">
        <v>0</v>
      </c>
      <c r="N299" t="n">
        <v>0</v>
      </c>
      <c r="O299" t="n">
        <v>0</v>
      </c>
      <c r="P299" t="n">
        <v>0</v>
      </c>
      <c r="Q299" t="n">
        <v>1</v>
      </c>
      <c r="R299" s="2" t="inlineStr">
        <is>
          <t>Barkticka</t>
        </is>
      </c>
      <c r="S299">
        <f>HYPERLINK("https://klasma.github.io/Logging_222281/artfynd/A 19762-2025 artfynd.xlsx", "A 19762-2025")</f>
        <v/>
      </c>
      <c r="T299">
        <f>HYPERLINK("https://klasma.github.io/Logging_222281/kartor/A 19762-2025 karta.png", "A 19762-2025")</f>
        <v/>
      </c>
      <c r="V299">
        <f>HYPERLINK("https://klasma.github.io/Logging_222281/klagomål/A 19762-2025 FSC-klagomål.docx", "A 19762-2025")</f>
        <v/>
      </c>
      <c r="W299">
        <f>HYPERLINK("https://klasma.github.io/Logging_222281/klagomålsmail/A 19762-2025 FSC-klagomål mail.docx", "A 19762-2025")</f>
        <v/>
      </c>
      <c r="X299">
        <f>HYPERLINK("https://klasma.github.io/Logging_222281/tillsyn/A 19762-2025 tillsynsbegäran.docx", "A 19762-2025")</f>
        <v/>
      </c>
      <c r="Y299">
        <f>HYPERLINK("https://klasma.github.io/Logging_222281/tillsynsmail/A 19762-2025 tillsynsbegäran mail.docx", "A 19762-2025")</f>
        <v/>
      </c>
    </row>
    <row r="300" ht="15" customHeight="1">
      <c r="A300" t="inlineStr">
        <is>
          <t>A 19826-2025</t>
        </is>
      </c>
      <c r="B300" s="1" t="n">
        <v>45771</v>
      </c>
      <c r="C300" s="1" t="n">
        <v>45829</v>
      </c>
      <c r="D300" t="inlineStr">
        <is>
          <t>VÄSTERNORRLANDS LÄN</t>
        </is>
      </c>
      <c r="E300" t="inlineStr">
        <is>
          <t>SUNDSVALL</t>
        </is>
      </c>
      <c r="F300" t="inlineStr">
        <is>
          <t>Naturvårdsverket</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HYPERLINK("https://klasma.github.io/Logging_222281/artfynd/A 19826-2025 artfynd.xlsx", "A 19826-2025")</f>
        <v/>
      </c>
      <c r="T300">
        <f>HYPERLINK("https://klasma.github.io/Logging_222281/kartor/A 19826-2025 karta.png", "A 19826-2025")</f>
        <v/>
      </c>
      <c r="V300">
        <f>HYPERLINK("https://klasma.github.io/Logging_222281/klagomål/A 19826-2025 FSC-klagomål.docx", "A 19826-2025")</f>
        <v/>
      </c>
      <c r="W300">
        <f>HYPERLINK("https://klasma.github.io/Logging_222281/klagomålsmail/A 19826-2025 FSC-klagomål mail.docx", "A 19826-2025")</f>
        <v/>
      </c>
      <c r="X300">
        <f>HYPERLINK("https://klasma.github.io/Logging_222281/tillsyn/A 19826-2025 tillsynsbegäran.docx", "A 19826-2025")</f>
        <v/>
      </c>
      <c r="Y300">
        <f>HYPERLINK("https://klasma.github.io/Logging_222281/tillsynsmail/A 19826-2025 tillsynsbegäran mail.docx", "A 19826-2025")</f>
        <v/>
      </c>
    </row>
    <row r="301" ht="15" customHeight="1">
      <c r="A301" t="inlineStr">
        <is>
          <t>A 20078-2025</t>
        </is>
      </c>
      <c r="B301" s="1" t="n">
        <v>45772</v>
      </c>
      <c r="C301" s="1" t="n">
        <v>45829</v>
      </c>
      <c r="D301" t="inlineStr">
        <is>
          <t>VÄSTERNORRLANDS LÄN</t>
        </is>
      </c>
      <c r="E301" t="inlineStr">
        <is>
          <t>SUNDSVALL</t>
        </is>
      </c>
      <c r="F301" t="inlineStr">
        <is>
          <t>Naturvårdsverket</t>
        </is>
      </c>
      <c r="G301" t="n">
        <v>6.9</v>
      </c>
      <c r="H301" t="n">
        <v>0</v>
      </c>
      <c r="I301" t="n">
        <v>0</v>
      </c>
      <c r="J301" t="n">
        <v>1</v>
      </c>
      <c r="K301" t="n">
        <v>0</v>
      </c>
      <c r="L301" t="n">
        <v>0</v>
      </c>
      <c r="M301" t="n">
        <v>0</v>
      </c>
      <c r="N301" t="n">
        <v>0</v>
      </c>
      <c r="O301" t="n">
        <v>1</v>
      </c>
      <c r="P301" t="n">
        <v>0</v>
      </c>
      <c r="Q301" t="n">
        <v>1</v>
      </c>
      <c r="R301" s="2" t="inlineStr">
        <is>
          <t>Lunglav</t>
        </is>
      </c>
      <c r="S301">
        <f>HYPERLINK("https://klasma.github.io/Logging_222281/artfynd/A 20078-2025 artfynd.xlsx", "A 20078-2025")</f>
        <v/>
      </c>
      <c r="T301">
        <f>HYPERLINK("https://klasma.github.io/Logging_222281/kartor/A 20078-2025 karta.png", "A 20078-2025")</f>
        <v/>
      </c>
      <c r="V301">
        <f>HYPERLINK("https://klasma.github.io/Logging_222281/klagomål/A 20078-2025 FSC-klagomål.docx", "A 20078-2025")</f>
        <v/>
      </c>
      <c r="W301">
        <f>HYPERLINK("https://klasma.github.io/Logging_222281/klagomålsmail/A 20078-2025 FSC-klagomål mail.docx", "A 20078-2025")</f>
        <v/>
      </c>
      <c r="X301">
        <f>HYPERLINK("https://klasma.github.io/Logging_222281/tillsyn/A 20078-2025 tillsynsbegäran.docx", "A 20078-2025")</f>
        <v/>
      </c>
      <c r="Y301">
        <f>HYPERLINK("https://klasma.github.io/Logging_222281/tillsynsmail/A 20078-2025 tillsynsbegäran mail.docx", "A 20078-2025")</f>
        <v/>
      </c>
    </row>
    <row r="302" ht="15" customHeight="1">
      <c r="A302" t="inlineStr">
        <is>
          <t>A 20075-2025</t>
        </is>
      </c>
      <c r="B302" s="1" t="n">
        <v>45772</v>
      </c>
      <c r="C302" s="1" t="n">
        <v>45829</v>
      </c>
      <c r="D302" t="inlineStr">
        <is>
          <t>VÄSTERNORRLANDS LÄN</t>
        </is>
      </c>
      <c r="E302" t="inlineStr">
        <is>
          <t>SUNDSVALL</t>
        </is>
      </c>
      <c r="F302" t="inlineStr">
        <is>
          <t>Naturvårdsverket</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HYPERLINK("https://klasma.github.io/Logging_222281/artfynd/A 20075-2025 artfynd.xlsx", "A 20075-2025")</f>
        <v/>
      </c>
      <c r="T302">
        <f>HYPERLINK("https://klasma.github.io/Logging_222281/kartor/A 20075-2025 karta.png", "A 20075-2025")</f>
        <v/>
      </c>
      <c r="V302">
        <f>HYPERLINK("https://klasma.github.io/Logging_222281/klagomål/A 20075-2025 FSC-klagomål.docx", "A 20075-2025")</f>
        <v/>
      </c>
      <c r="W302">
        <f>HYPERLINK("https://klasma.github.io/Logging_222281/klagomålsmail/A 20075-2025 FSC-klagomål mail.docx", "A 20075-2025")</f>
        <v/>
      </c>
      <c r="X302">
        <f>HYPERLINK("https://klasma.github.io/Logging_222281/tillsyn/A 20075-2025 tillsynsbegäran.docx", "A 20075-2025")</f>
        <v/>
      </c>
      <c r="Y302">
        <f>HYPERLINK("https://klasma.github.io/Logging_222281/tillsynsmail/A 20075-2025 tillsynsbegäran mail.docx", "A 20075-2025")</f>
        <v/>
      </c>
    </row>
    <row r="303" ht="15" customHeight="1">
      <c r="A303" t="inlineStr">
        <is>
          <t>A 20631-2025</t>
        </is>
      </c>
      <c r="B303" s="1" t="n">
        <v>45776</v>
      </c>
      <c r="C303" s="1" t="n">
        <v>45829</v>
      </c>
      <c r="D303" t="inlineStr">
        <is>
          <t>VÄSTERNORRLANDS LÄN</t>
        </is>
      </c>
      <c r="E303" t="inlineStr">
        <is>
          <t>SUNDSVALL</t>
        </is>
      </c>
      <c r="F303" t="inlineStr">
        <is>
          <t>Naturvårdsverket</t>
        </is>
      </c>
      <c r="G303" t="n">
        <v>9.6</v>
      </c>
      <c r="H303" t="n">
        <v>0</v>
      </c>
      <c r="I303" t="n">
        <v>0</v>
      </c>
      <c r="J303" t="n">
        <v>1</v>
      </c>
      <c r="K303" t="n">
        <v>0</v>
      </c>
      <c r="L303" t="n">
        <v>0</v>
      </c>
      <c r="M303" t="n">
        <v>0</v>
      </c>
      <c r="N303" t="n">
        <v>0</v>
      </c>
      <c r="O303" t="n">
        <v>1</v>
      </c>
      <c r="P303" t="n">
        <v>0</v>
      </c>
      <c r="Q303" t="n">
        <v>1</v>
      </c>
      <c r="R303" s="2" t="inlineStr">
        <is>
          <t>Nordtagging</t>
        </is>
      </c>
      <c r="S303">
        <f>HYPERLINK("https://klasma.github.io/Logging_222281/artfynd/A 20631-2025 artfynd.xlsx", "A 20631-2025")</f>
        <v/>
      </c>
      <c r="T303">
        <f>HYPERLINK("https://klasma.github.io/Logging_222281/kartor/A 20631-2025 karta.png", "A 20631-2025")</f>
        <v/>
      </c>
      <c r="V303">
        <f>HYPERLINK("https://klasma.github.io/Logging_222281/klagomål/A 20631-2025 FSC-klagomål.docx", "A 20631-2025")</f>
        <v/>
      </c>
      <c r="W303">
        <f>HYPERLINK("https://klasma.github.io/Logging_222281/klagomålsmail/A 20631-2025 FSC-klagomål mail.docx", "A 20631-2025")</f>
        <v/>
      </c>
      <c r="X303">
        <f>HYPERLINK("https://klasma.github.io/Logging_222281/tillsyn/A 20631-2025 tillsynsbegäran.docx", "A 20631-2025")</f>
        <v/>
      </c>
      <c r="Y303">
        <f>HYPERLINK("https://klasma.github.io/Logging_222281/tillsynsmail/A 20631-2025 tillsynsbegäran mail.docx", "A 20631-2025")</f>
        <v/>
      </c>
    </row>
    <row r="304" ht="15" customHeight="1">
      <c r="A304" t="inlineStr">
        <is>
          <t>A 21318-2025</t>
        </is>
      </c>
      <c r="B304" s="1" t="n">
        <v>45782</v>
      </c>
      <c r="C304" s="1" t="n">
        <v>45829</v>
      </c>
      <c r="D304" t="inlineStr">
        <is>
          <t>VÄSTERNORRLANDS LÄN</t>
        </is>
      </c>
      <c r="E304" t="inlineStr">
        <is>
          <t>SUNDSVALL</t>
        </is>
      </c>
      <c r="F304" t="inlineStr">
        <is>
          <t>Naturvårdsverket</t>
        </is>
      </c>
      <c r="G304" t="n">
        <v>3.7</v>
      </c>
      <c r="H304" t="n">
        <v>0</v>
      </c>
      <c r="I304" t="n">
        <v>0</v>
      </c>
      <c r="J304" t="n">
        <v>1</v>
      </c>
      <c r="K304" t="n">
        <v>0</v>
      </c>
      <c r="L304" t="n">
        <v>0</v>
      </c>
      <c r="M304" t="n">
        <v>0</v>
      </c>
      <c r="N304" t="n">
        <v>0</v>
      </c>
      <c r="O304" t="n">
        <v>1</v>
      </c>
      <c r="P304" t="n">
        <v>0</v>
      </c>
      <c r="Q304" t="n">
        <v>1</v>
      </c>
      <c r="R304" s="2" t="inlineStr">
        <is>
          <t>Reliktbock</t>
        </is>
      </c>
      <c r="S304">
        <f>HYPERLINK("https://klasma.github.io/Logging_222281/artfynd/A 21318-2025 artfynd.xlsx", "A 21318-2025")</f>
        <v/>
      </c>
      <c r="T304">
        <f>HYPERLINK("https://klasma.github.io/Logging_222281/kartor/A 21318-2025 karta.png", "A 21318-2025")</f>
        <v/>
      </c>
      <c r="V304">
        <f>HYPERLINK("https://klasma.github.io/Logging_222281/klagomål/A 21318-2025 FSC-klagomål.docx", "A 21318-2025")</f>
        <v/>
      </c>
      <c r="W304">
        <f>HYPERLINK("https://klasma.github.io/Logging_222281/klagomålsmail/A 21318-2025 FSC-klagomål mail.docx", "A 21318-2025")</f>
        <v/>
      </c>
      <c r="X304">
        <f>HYPERLINK("https://klasma.github.io/Logging_222281/tillsyn/A 21318-2025 tillsynsbegäran.docx", "A 21318-2025")</f>
        <v/>
      </c>
      <c r="Y304">
        <f>HYPERLINK("https://klasma.github.io/Logging_222281/tillsynsmail/A 21318-2025 tillsynsbegäran mail.docx", "A 21318-2025")</f>
        <v/>
      </c>
    </row>
    <row r="305" ht="15" customHeight="1">
      <c r="A305" t="inlineStr">
        <is>
          <t>A 21765-2025</t>
        </is>
      </c>
      <c r="B305" s="1" t="n">
        <v>45783</v>
      </c>
      <c r="C305" s="1" t="n">
        <v>45829</v>
      </c>
      <c r="D305" t="inlineStr">
        <is>
          <t>VÄSTERNORRLANDS LÄN</t>
        </is>
      </c>
      <c r="E305" t="inlineStr">
        <is>
          <t>SUNDSVALL</t>
        </is>
      </c>
      <c r="G305" t="n">
        <v>8</v>
      </c>
      <c r="H305" t="n">
        <v>1</v>
      </c>
      <c r="I305" t="n">
        <v>0</v>
      </c>
      <c r="J305" t="n">
        <v>0</v>
      </c>
      <c r="K305" t="n">
        <v>0</v>
      </c>
      <c r="L305" t="n">
        <v>0</v>
      </c>
      <c r="M305" t="n">
        <v>0</v>
      </c>
      <c r="N305" t="n">
        <v>0</v>
      </c>
      <c r="O305" t="n">
        <v>0</v>
      </c>
      <c r="P305" t="n">
        <v>0</v>
      </c>
      <c r="Q305" t="n">
        <v>1</v>
      </c>
      <c r="R305" s="2" t="inlineStr">
        <is>
          <t>Orre</t>
        </is>
      </c>
      <c r="S305">
        <f>HYPERLINK("https://klasma.github.io/Logging_222281/artfynd/A 21765-2025 artfynd.xlsx", "A 21765-2025")</f>
        <v/>
      </c>
      <c r="T305">
        <f>HYPERLINK("https://klasma.github.io/Logging_222281/kartor/A 21765-2025 karta.png", "A 21765-2025")</f>
        <v/>
      </c>
      <c r="V305">
        <f>HYPERLINK("https://klasma.github.io/Logging_222281/klagomål/A 21765-2025 FSC-klagomål.docx", "A 21765-2025")</f>
        <v/>
      </c>
      <c r="W305">
        <f>HYPERLINK("https://klasma.github.io/Logging_222281/klagomålsmail/A 21765-2025 FSC-klagomål mail.docx", "A 21765-2025")</f>
        <v/>
      </c>
      <c r="X305">
        <f>HYPERLINK("https://klasma.github.io/Logging_222281/tillsyn/A 21765-2025 tillsynsbegäran.docx", "A 21765-2025")</f>
        <v/>
      </c>
      <c r="Y305">
        <f>HYPERLINK("https://klasma.github.io/Logging_222281/tillsynsmail/A 21765-2025 tillsynsbegäran mail.docx", "A 21765-2025")</f>
        <v/>
      </c>
      <c r="Z305">
        <f>HYPERLINK("https://klasma.github.io/Logging_222281/fåglar/A 21765-2025 prioriterade fågelarter.docx", "A 21765-2025")</f>
        <v/>
      </c>
    </row>
    <row r="306" ht="15" customHeight="1">
      <c r="A306" t="inlineStr">
        <is>
          <t>A 24016-2025</t>
        </is>
      </c>
      <c r="B306" s="1" t="n">
        <v>45796</v>
      </c>
      <c r="C306" s="1" t="n">
        <v>45829</v>
      </c>
      <c r="D306" t="inlineStr">
        <is>
          <t>VÄSTERNORRLANDS LÄN</t>
        </is>
      </c>
      <c r="E306" t="inlineStr">
        <is>
          <t>SUNDSVALL</t>
        </is>
      </c>
      <c r="F306" t="inlineStr">
        <is>
          <t>Naturvårdsverket</t>
        </is>
      </c>
      <c r="G306" t="n">
        <v>4.1</v>
      </c>
      <c r="H306" t="n">
        <v>0</v>
      </c>
      <c r="I306" t="n">
        <v>0</v>
      </c>
      <c r="J306" t="n">
        <v>1</v>
      </c>
      <c r="K306" t="n">
        <v>0</v>
      </c>
      <c r="L306" t="n">
        <v>0</v>
      </c>
      <c r="M306" t="n">
        <v>0</v>
      </c>
      <c r="N306" t="n">
        <v>0</v>
      </c>
      <c r="O306" t="n">
        <v>1</v>
      </c>
      <c r="P306" t="n">
        <v>0</v>
      </c>
      <c r="Q306" t="n">
        <v>1</v>
      </c>
      <c r="R306" s="2" t="inlineStr">
        <is>
          <t>Kolflarnlav</t>
        </is>
      </c>
      <c r="S306">
        <f>HYPERLINK("https://klasma.github.io/Logging_222281/artfynd/A 24016-2025 artfynd.xlsx", "A 24016-2025")</f>
        <v/>
      </c>
      <c r="T306">
        <f>HYPERLINK("https://klasma.github.io/Logging_222281/kartor/A 24016-2025 karta.png", "A 24016-2025")</f>
        <v/>
      </c>
      <c r="V306">
        <f>HYPERLINK("https://klasma.github.io/Logging_222281/klagomål/A 24016-2025 FSC-klagomål.docx", "A 24016-2025")</f>
        <v/>
      </c>
      <c r="W306">
        <f>HYPERLINK("https://klasma.github.io/Logging_222281/klagomålsmail/A 24016-2025 FSC-klagomål mail.docx", "A 24016-2025")</f>
        <v/>
      </c>
      <c r="X306">
        <f>HYPERLINK("https://klasma.github.io/Logging_222281/tillsyn/A 24016-2025 tillsynsbegäran.docx", "A 24016-2025")</f>
        <v/>
      </c>
      <c r="Y306">
        <f>HYPERLINK("https://klasma.github.io/Logging_222281/tillsynsmail/A 24016-2025 tillsynsbegäran mail.docx", "A 24016-2025")</f>
        <v/>
      </c>
    </row>
    <row r="307" ht="15" customHeight="1">
      <c r="A307" t="inlineStr">
        <is>
          <t>A 24431-2025</t>
        </is>
      </c>
      <c r="B307" s="1" t="n">
        <v>45797</v>
      </c>
      <c r="C307" s="1" t="n">
        <v>45829</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HYPERLINK("https://klasma.github.io/Logging_222281/artfynd/A 24431-2025 artfynd.xlsx", "A 24431-2025")</f>
        <v/>
      </c>
      <c r="T307">
        <f>HYPERLINK("https://klasma.github.io/Logging_222281/kartor/A 24431-2025 karta.png", "A 24431-2025")</f>
        <v/>
      </c>
      <c r="V307">
        <f>HYPERLINK("https://klasma.github.io/Logging_222281/klagomål/A 24431-2025 FSC-klagomål.docx", "A 24431-2025")</f>
        <v/>
      </c>
      <c r="W307">
        <f>HYPERLINK("https://klasma.github.io/Logging_222281/klagomålsmail/A 24431-2025 FSC-klagomål mail.docx", "A 24431-2025")</f>
        <v/>
      </c>
      <c r="X307">
        <f>HYPERLINK("https://klasma.github.io/Logging_222281/tillsyn/A 24431-2025 tillsynsbegäran.docx", "A 24431-2025")</f>
        <v/>
      </c>
      <c r="Y307">
        <f>HYPERLINK("https://klasma.github.io/Logging_222281/tillsynsmail/A 24431-2025 tillsynsbegäran mail.docx", "A 24431-2025")</f>
        <v/>
      </c>
      <c r="Z307">
        <f>HYPERLINK("https://klasma.github.io/Logging_222281/fåglar/A 24431-2025 prioriterade fågelarter.docx", "A 24431-2025")</f>
        <v/>
      </c>
    </row>
    <row r="308" ht="15" customHeight="1">
      <c r="A308" t="inlineStr">
        <is>
          <t>A 25117-2025</t>
        </is>
      </c>
      <c r="B308" s="1" t="n">
        <v>45800</v>
      </c>
      <c r="C308" s="1" t="n">
        <v>45829</v>
      </c>
      <c r="D308" t="inlineStr">
        <is>
          <t>VÄSTERNORRLANDS LÄN</t>
        </is>
      </c>
      <c r="E308" t="inlineStr">
        <is>
          <t>SUNDSVALL</t>
        </is>
      </c>
      <c r="F308" t="inlineStr">
        <is>
          <t>SCA</t>
        </is>
      </c>
      <c r="G308" t="n">
        <v>2</v>
      </c>
      <c r="H308" t="n">
        <v>0</v>
      </c>
      <c r="I308" t="n">
        <v>0</v>
      </c>
      <c r="J308" t="n">
        <v>1</v>
      </c>
      <c r="K308" t="n">
        <v>0</v>
      </c>
      <c r="L308" t="n">
        <v>0</v>
      </c>
      <c r="M308" t="n">
        <v>0</v>
      </c>
      <c r="N308" t="n">
        <v>0</v>
      </c>
      <c r="O308" t="n">
        <v>1</v>
      </c>
      <c r="P308" t="n">
        <v>0</v>
      </c>
      <c r="Q308" t="n">
        <v>1</v>
      </c>
      <c r="R308" s="2" t="inlineStr">
        <is>
          <t>Garnlav</t>
        </is>
      </c>
      <c r="S308">
        <f>HYPERLINK("https://klasma.github.io/Logging_222281/artfynd/A 25117-2025 artfynd.xlsx", "A 25117-2025")</f>
        <v/>
      </c>
      <c r="T308">
        <f>HYPERLINK("https://klasma.github.io/Logging_222281/kartor/A 25117-2025 karta.png", "A 25117-2025")</f>
        <v/>
      </c>
      <c r="V308">
        <f>HYPERLINK("https://klasma.github.io/Logging_222281/klagomål/A 25117-2025 FSC-klagomål.docx", "A 25117-2025")</f>
        <v/>
      </c>
      <c r="W308">
        <f>HYPERLINK("https://klasma.github.io/Logging_222281/klagomålsmail/A 25117-2025 FSC-klagomål mail.docx", "A 25117-2025")</f>
        <v/>
      </c>
      <c r="X308">
        <f>HYPERLINK("https://klasma.github.io/Logging_222281/tillsyn/A 25117-2025 tillsynsbegäran.docx", "A 25117-2025")</f>
        <v/>
      </c>
      <c r="Y308">
        <f>HYPERLINK("https://klasma.github.io/Logging_222281/tillsynsmail/A 25117-2025 tillsynsbegäran mail.docx", "A 25117-2025")</f>
        <v/>
      </c>
    </row>
    <row r="309" ht="15" customHeight="1">
      <c r="A309" t="inlineStr">
        <is>
          <t>A 25791-2025</t>
        </is>
      </c>
      <c r="B309" s="1" t="n">
        <v>45804</v>
      </c>
      <c r="C309" s="1" t="n">
        <v>45829</v>
      </c>
      <c r="D309" t="inlineStr">
        <is>
          <t>VÄSTERNORRLANDS LÄN</t>
        </is>
      </c>
      <c r="E309" t="inlineStr">
        <is>
          <t>SUNDSVALL</t>
        </is>
      </c>
      <c r="G309" t="n">
        <v>2.8</v>
      </c>
      <c r="H309" t="n">
        <v>1</v>
      </c>
      <c r="I309" t="n">
        <v>0</v>
      </c>
      <c r="J309" t="n">
        <v>1</v>
      </c>
      <c r="K309" t="n">
        <v>0</v>
      </c>
      <c r="L309" t="n">
        <v>0</v>
      </c>
      <c r="M309" t="n">
        <v>0</v>
      </c>
      <c r="N309" t="n">
        <v>0</v>
      </c>
      <c r="O309" t="n">
        <v>1</v>
      </c>
      <c r="P309" t="n">
        <v>0</v>
      </c>
      <c r="Q309" t="n">
        <v>1</v>
      </c>
      <c r="R309" s="2" t="inlineStr">
        <is>
          <t>Hornuggla</t>
        </is>
      </c>
      <c r="S309">
        <f>HYPERLINK("https://klasma.github.io/Logging_222281/artfynd/A 25791-2025 artfynd.xlsx", "A 25791-2025")</f>
        <v/>
      </c>
      <c r="T309">
        <f>HYPERLINK("https://klasma.github.io/Logging_222281/kartor/A 25791-2025 karta.png", "A 25791-2025")</f>
        <v/>
      </c>
      <c r="V309">
        <f>HYPERLINK("https://klasma.github.io/Logging_222281/klagomål/A 25791-2025 FSC-klagomål.docx", "A 25791-2025")</f>
        <v/>
      </c>
      <c r="W309">
        <f>HYPERLINK("https://klasma.github.io/Logging_222281/klagomålsmail/A 25791-2025 FSC-klagomål mail.docx", "A 25791-2025")</f>
        <v/>
      </c>
      <c r="X309">
        <f>HYPERLINK("https://klasma.github.io/Logging_222281/tillsyn/A 25791-2025 tillsynsbegäran.docx", "A 25791-2025")</f>
        <v/>
      </c>
      <c r="Y309">
        <f>HYPERLINK("https://klasma.github.io/Logging_222281/tillsynsmail/A 25791-2025 tillsynsbegäran mail.docx", "A 25791-2025")</f>
        <v/>
      </c>
      <c r="Z309">
        <f>HYPERLINK("https://klasma.github.io/Logging_222281/fåglar/A 25791-2025 prioriterade fågelarter.docx", "A 25791-2025")</f>
        <v/>
      </c>
    </row>
    <row r="310" ht="15" customHeight="1">
      <c r="A310" t="inlineStr">
        <is>
          <t>A 27211-2025</t>
        </is>
      </c>
      <c r="B310" s="1" t="n">
        <v>45812</v>
      </c>
      <c r="C310" s="1" t="n">
        <v>45829</v>
      </c>
      <c r="D310" t="inlineStr">
        <is>
          <t>VÄSTERNORRLANDS LÄN</t>
        </is>
      </c>
      <c r="E310" t="inlineStr">
        <is>
          <t>SUNDSVALL</t>
        </is>
      </c>
      <c r="F310" t="inlineStr">
        <is>
          <t>SCA</t>
        </is>
      </c>
      <c r="G310" t="n">
        <v>0.6</v>
      </c>
      <c r="H310" t="n">
        <v>0</v>
      </c>
      <c r="I310" t="n">
        <v>0</v>
      </c>
      <c r="J310" t="n">
        <v>1</v>
      </c>
      <c r="K310" t="n">
        <v>0</v>
      </c>
      <c r="L310" t="n">
        <v>0</v>
      </c>
      <c r="M310" t="n">
        <v>0</v>
      </c>
      <c r="N310" t="n">
        <v>0</v>
      </c>
      <c r="O310" t="n">
        <v>1</v>
      </c>
      <c r="P310" t="n">
        <v>0</v>
      </c>
      <c r="Q310" t="n">
        <v>1</v>
      </c>
      <c r="R310" s="2" t="inlineStr">
        <is>
          <t>Garnlav</t>
        </is>
      </c>
      <c r="S310">
        <f>HYPERLINK("https://klasma.github.io/Logging_222281/artfynd/A 27211-2025 artfynd.xlsx", "A 27211-2025")</f>
        <v/>
      </c>
      <c r="T310">
        <f>HYPERLINK("https://klasma.github.io/Logging_222281/kartor/A 27211-2025 karta.png", "A 27211-2025")</f>
        <v/>
      </c>
      <c r="V310">
        <f>HYPERLINK("https://klasma.github.io/Logging_222281/klagomål/A 27211-2025 FSC-klagomål.docx", "A 27211-2025")</f>
        <v/>
      </c>
      <c r="W310">
        <f>HYPERLINK("https://klasma.github.io/Logging_222281/klagomålsmail/A 27211-2025 FSC-klagomål mail.docx", "A 27211-2025")</f>
        <v/>
      </c>
      <c r="X310">
        <f>HYPERLINK("https://klasma.github.io/Logging_222281/tillsyn/A 27211-2025 tillsynsbegäran.docx", "A 27211-2025")</f>
        <v/>
      </c>
      <c r="Y310">
        <f>HYPERLINK("https://klasma.github.io/Logging_222281/tillsynsmail/A 27211-2025 tillsynsbegäran mail.docx", "A 27211-2025")</f>
        <v/>
      </c>
    </row>
    <row r="311" ht="15" customHeight="1">
      <c r="A311" t="inlineStr">
        <is>
          <t>A 28145-2025</t>
        </is>
      </c>
      <c r="B311" s="1" t="n">
        <v>45818</v>
      </c>
      <c r="C311" s="1" t="n">
        <v>45829</v>
      </c>
      <c r="D311" t="inlineStr">
        <is>
          <t>VÄSTERNORRLANDS LÄN</t>
        </is>
      </c>
      <c r="E311" t="inlineStr">
        <is>
          <t>SUNDSVALL</t>
        </is>
      </c>
      <c r="F311" t="inlineStr">
        <is>
          <t>Naturvårdsverket</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HYPERLINK("https://klasma.github.io/Logging_222281/artfynd/A 28145-2025 artfynd.xlsx", "A 28145-2025")</f>
        <v/>
      </c>
      <c r="T311">
        <f>HYPERLINK("https://klasma.github.io/Logging_222281/kartor/A 28145-2025 karta.png", "A 28145-2025")</f>
        <v/>
      </c>
      <c r="V311">
        <f>HYPERLINK("https://klasma.github.io/Logging_222281/klagomål/A 28145-2025 FSC-klagomål.docx", "A 28145-2025")</f>
        <v/>
      </c>
      <c r="W311">
        <f>HYPERLINK("https://klasma.github.io/Logging_222281/klagomålsmail/A 28145-2025 FSC-klagomål mail.docx", "A 28145-2025")</f>
        <v/>
      </c>
      <c r="X311">
        <f>HYPERLINK("https://klasma.github.io/Logging_222281/tillsyn/A 28145-2025 tillsynsbegäran.docx", "A 28145-2025")</f>
        <v/>
      </c>
      <c r="Y311">
        <f>HYPERLINK("https://klasma.github.io/Logging_222281/tillsynsmail/A 28145-2025 tillsynsbegäran mail.docx", "A 28145-2025")</f>
        <v/>
      </c>
    </row>
    <row r="312" ht="15" customHeight="1">
      <c r="A312" t="inlineStr">
        <is>
          <t>A 28452-2025</t>
        </is>
      </c>
      <c r="B312" s="1" t="n">
        <v>45819</v>
      </c>
      <c r="C312" s="1" t="n">
        <v>45829</v>
      </c>
      <c r="D312" t="inlineStr">
        <is>
          <t>VÄSTERNORRLANDS LÄN</t>
        </is>
      </c>
      <c r="E312" t="inlineStr">
        <is>
          <t>SUNDSVALL</t>
        </is>
      </c>
      <c r="F312" t="inlineStr">
        <is>
          <t>Naturvårdsverket</t>
        </is>
      </c>
      <c r="G312" t="n">
        <v>11</v>
      </c>
      <c r="H312" t="n">
        <v>0</v>
      </c>
      <c r="I312" t="n">
        <v>0</v>
      </c>
      <c r="J312" t="n">
        <v>1</v>
      </c>
      <c r="K312" t="n">
        <v>0</v>
      </c>
      <c r="L312" t="n">
        <v>0</v>
      </c>
      <c r="M312" t="n">
        <v>0</v>
      </c>
      <c r="N312" t="n">
        <v>0</v>
      </c>
      <c r="O312" t="n">
        <v>1</v>
      </c>
      <c r="P312" t="n">
        <v>0</v>
      </c>
      <c r="Q312" t="n">
        <v>1</v>
      </c>
      <c r="R312" s="2" t="inlineStr">
        <is>
          <t>Lunglav</t>
        </is>
      </c>
      <c r="S312">
        <f>HYPERLINK("https://klasma.github.io/Logging_222281/artfynd/A 28452-2025 artfynd.xlsx", "A 28452-2025")</f>
        <v/>
      </c>
      <c r="T312">
        <f>HYPERLINK("https://klasma.github.io/Logging_222281/kartor/A 28452-2025 karta.png", "A 28452-2025")</f>
        <v/>
      </c>
      <c r="V312">
        <f>HYPERLINK("https://klasma.github.io/Logging_222281/klagomål/A 28452-2025 FSC-klagomål.docx", "A 28452-2025")</f>
        <v/>
      </c>
      <c r="W312">
        <f>HYPERLINK("https://klasma.github.io/Logging_222281/klagomålsmail/A 28452-2025 FSC-klagomål mail.docx", "A 28452-2025")</f>
        <v/>
      </c>
      <c r="X312">
        <f>HYPERLINK("https://klasma.github.io/Logging_222281/tillsyn/A 28452-2025 tillsynsbegäran.docx", "A 28452-2025")</f>
        <v/>
      </c>
      <c r="Y312">
        <f>HYPERLINK("https://klasma.github.io/Logging_222281/tillsynsmail/A 28452-2025 tillsynsbegäran mail.docx", "A 28452-2025")</f>
        <v/>
      </c>
    </row>
    <row r="313" ht="15" customHeight="1">
      <c r="A313" t="inlineStr">
        <is>
          <t>A 18070-2019</t>
        </is>
      </c>
      <c r="B313" s="1" t="n">
        <v>43557</v>
      </c>
      <c r="C313" s="1" t="n">
        <v>45829</v>
      </c>
      <c r="D313" t="inlineStr">
        <is>
          <t>VÄSTERNORRLANDS LÄN</t>
        </is>
      </c>
      <c r="E313" t="inlineStr">
        <is>
          <t>SUNDSVALL</t>
        </is>
      </c>
      <c r="G313" t="n">
        <v>7.5</v>
      </c>
      <c r="H313" t="n">
        <v>0</v>
      </c>
      <c r="I313" t="n">
        <v>0</v>
      </c>
      <c r="J313" t="n">
        <v>0</v>
      </c>
      <c r="K313" t="n">
        <v>0</v>
      </c>
      <c r="L313" t="n">
        <v>0</v>
      </c>
      <c r="M313" t="n">
        <v>0</v>
      </c>
      <c r="N313" t="n">
        <v>0</v>
      </c>
      <c r="O313" t="n">
        <v>0</v>
      </c>
      <c r="P313" t="n">
        <v>0</v>
      </c>
      <c r="Q313" t="n">
        <v>0</v>
      </c>
      <c r="R313" s="2" t="inlineStr"/>
    </row>
    <row r="314" ht="15" customHeight="1">
      <c r="A314" t="inlineStr">
        <is>
          <t>A 18198-2019</t>
        </is>
      </c>
      <c r="B314" s="1" t="n">
        <v>43558</v>
      </c>
      <c r="C314" s="1" t="n">
        <v>45829</v>
      </c>
      <c r="D314" t="inlineStr">
        <is>
          <t>VÄSTERNORRLANDS LÄN</t>
        </is>
      </c>
      <c r="E314" t="inlineStr">
        <is>
          <t>SUNDSVALL</t>
        </is>
      </c>
      <c r="F314" t="inlineStr">
        <is>
          <t>Holmen skog AB</t>
        </is>
      </c>
      <c r="G314" t="n">
        <v>5.4</v>
      </c>
      <c r="H314" t="n">
        <v>0</v>
      </c>
      <c r="I314" t="n">
        <v>0</v>
      </c>
      <c r="J314" t="n">
        <v>0</v>
      </c>
      <c r="K314" t="n">
        <v>0</v>
      </c>
      <c r="L314" t="n">
        <v>0</v>
      </c>
      <c r="M314" t="n">
        <v>0</v>
      </c>
      <c r="N314" t="n">
        <v>0</v>
      </c>
      <c r="O314" t="n">
        <v>0</v>
      </c>
      <c r="P314" t="n">
        <v>0</v>
      </c>
      <c r="Q314" t="n">
        <v>0</v>
      </c>
      <c r="R314" s="2" t="inlineStr"/>
    </row>
    <row r="315" ht="15" customHeight="1">
      <c r="A315" t="inlineStr">
        <is>
          <t>A 18745-2019</t>
        </is>
      </c>
      <c r="B315" s="1" t="n">
        <v>43560</v>
      </c>
      <c r="C315" s="1" t="n">
        <v>45829</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19544-2019</t>
        </is>
      </c>
      <c r="B316" s="1" t="n">
        <v>43565</v>
      </c>
      <c r="C316" s="1" t="n">
        <v>45829</v>
      </c>
      <c r="D316" t="inlineStr">
        <is>
          <t>VÄSTERNORRLANDS LÄN</t>
        </is>
      </c>
      <c r="E316" t="inlineStr">
        <is>
          <t>SUNDSVALL</t>
        </is>
      </c>
      <c r="F316" t="inlineStr">
        <is>
          <t>SCA</t>
        </is>
      </c>
      <c r="G316" t="n">
        <v>21.4</v>
      </c>
      <c r="H316" t="n">
        <v>0</v>
      </c>
      <c r="I316" t="n">
        <v>0</v>
      </c>
      <c r="J316" t="n">
        <v>0</v>
      </c>
      <c r="K316" t="n">
        <v>0</v>
      </c>
      <c r="L316" t="n">
        <v>0</v>
      </c>
      <c r="M316" t="n">
        <v>0</v>
      </c>
      <c r="N316" t="n">
        <v>0</v>
      </c>
      <c r="O316" t="n">
        <v>0</v>
      </c>
      <c r="P316" t="n">
        <v>0</v>
      </c>
      <c r="Q316" t="n">
        <v>0</v>
      </c>
      <c r="R316" s="2" t="inlineStr"/>
    </row>
    <row r="317" ht="15" customHeight="1">
      <c r="A317" t="inlineStr">
        <is>
          <t>A 19551-2019</t>
        </is>
      </c>
      <c r="B317" s="1" t="n">
        <v>43565</v>
      </c>
      <c r="C317" s="1" t="n">
        <v>45829</v>
      </c>
      <c r="D317" t="inlineStr">
        <is>
          <t>VÄSTERNORRLANDS LÄN</t>
        </is>
      </c>
      <c r="E317" t="inlineStr">
        <is>
          <t>SUNDSVALL</t>
        </is>
      </c>
      <c r="G317" t="n">
        <v>4.4</v>
      </c>
      <c r="H317" t="n">
        <v>0</v>
      </c>
      <c r="I317" t="n">
        <v>0</v>
      </c>
      <c r="J317" t="n">
        <v>0</v>
      </c>
      <c r="K317" t="n">
        <v>0</v>
      </c>
      <c r="L317" t="n">
        <v>0</v>
      </c>
      <c r="M317" t="n">
        <v>0</v>
      </c>
      <c r="N317" t="n">
        <v>0</v>
      </c>
      <c r="O317" t="n">
        <v>0</v>
      </c>
      <c r="P317" t="n">
        <v>0</v>
      </c>
      <c r="Q317" t="n">
        <v>0</v>
      </c>
      <c r="R317" s="2" t="inlineStr"/>
    </row>
    <row r="318" ht="15" customHeight="1">
      <c r="A318" t="inlineStr">
        <is>
          <t>A 19547-2019</t>
        </is>
      </c>
      <c r="B318" s="1" t="n">
        <v>43565</v>
      </c>
      <c r="C318" s="1" t="n">
        <v>45829</v>
      </c>
      <c r="D318" t="inlineStr">
        <is>
          <t>VÄSTERNORRLANDS LÄN</t>
        </is>
      </c>
      <c r="E318" t="inlineStr">
        <is>
          <t>SUNDSVALL</t>
        </is>
      </c>
      <c r="G318" t="n">
        <v>2.3</v>
      </c>
      <c r="H318" t="n">
        <v>0</v>
      </c>
      <c r="I318" t="n">
        <v>0</v>
      </c>
      <c r="J318" t="n">
        <v>0</v>
      </c>
      <c r="K318" t="n">
        <v>0</v>
      </c>
      <c r="L318" t="n">
        <v>0</v>
      </c>
      <c r="M318" t="n">
        <v>0</v>
      </c>
      <c r="N318" t="n">
        <v>0</v>
      </c>
      <c r="O318" t="n">
        <v>0</v>
      </c>
      <c r="P318" t="n">
        <v>0</v>
      </c>
      <c r="Q318" t="n">
        <v>0</v>
      </c>
      <c r="R318" s="2" t="inlineStr"/>
    </row>
    <row r="319" ht="15" customHeight="1">
      <c r="A319" t="inlineStr">
        <is>
          <t>A 19545-2019</t>
        </is>
      </c>
      <c r="B319" s="1" t="n">
        <v>43565</v>
      </c>
      <c r="C319" s="1" t="n">
        <v>45829</v>
      </c>
      <c r="D319" t="inlineStr">
        <is>
          <t>VÄSTERNORRLANDS LÄN</t>
        </is>
      </c>
      <c r="E319" t="inlineStr">
        <is>
          <t>SUNDSVALL</t>
        </is>
      </c>
      <c r="F319" t="inlineStr">
        <is>
          <t>SCA</t>
        </is>
      </c>
      <c r="G319" t="n">
        <v>28.6</v>
      </c>
      <c r="H319" t="n">
        <v>0</v>
      </c>
      <c r="I319" t="n">
        <v>0</v>
      </c>
      <c r="J319" t="n">
        <v>0</v>
      </c>
      <c r="K319" t="n">
        <v>0</v>
      </c>
      <c r="L319" t="n">
        <v>0</v>
      </c>
      <c r="M319" t="n">
        <v>0</v>
      </c>
      <c r="N319" t="n">
        <v>0</v>
      </c>
      <c r="O319" t="n">
        <v>0</v>
      </c>
      <c r="P319" t="n">
        <v>0</v>
      </c>
      <c r="Q319" t="n">
        <v>0</v>
      </c>
      <c r="R319" s="2" t="inlineStr"/>
    </row>
    <row r="320" ht="15" customHeight="1">
      <c r="A320" t="inlineStr">
        <is>
          <t>A 19548-2019</t>
        </is>
      </c>
      <c r="B320" s="1" t="n">
        <v>43565</v>
      </c>
      <c r="C320" s="1" t="n">
        <v>45829</v>
      </c>
      <c r="D320" t="inlineStr">
        <is>
          <t>VÄSTERNORRLANDS LÄN</t>
        </is>
      </c>
      <c r="E320" t="inlineStr">
        <is>
          <t>SUNDSVALL</t>
        </is>
      </c>
      <c r="G320" t="n">
        <v>4.7</v>
      </c>
      <c r="H320" t="n">
        <v>0</v>
      </c>
      <c r="I320" t="n">
        <v>0</v>
      </c>
      <c r="J320" t="n">
        <v>0</v>
      </c>
      <c r="K320" t="n">
        <v>0</v>
      </c>
      <c r="L320" t="n">
        <v>0</v>
      </c>
      <c r="M320" t="n">
        <v>0</v>
      </c>
      <c r="N320" t="n">
        <v>0</v>
      </c>
      <c r="O320" t="n">
        <v>0</v>
      </c>
      <c r="P320" t="n">
        <v>0</v>
      </c>
      <c r="Q320" t="n">
        <v>0</v>
      </c>
      <c r="R320" s="2" t="inlineStr"/>
    </row>
    <row r="321" ht="15" customHeight="1">
      <c r="A321" t="inlineStr">
        <is>
          <t>A 20563-2019</t>
        </is>
      </c>
      <c r="B321" s="1" t="n">
        <v>43572</v>
      </c>
      <c r="C321" s="1" t="n">
        <v>45829</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20651-2019</t>
        </is>
      </c>
      <c r="B322" s="1" t="n">
        <v>43572</v>
      </c>
      <c r="C322" s="1" t="n">
        <v>45829</v>
      </c>
      <c r="D322" t="inlineStr">
        <is>
          <t>VÄSTERNORRLANDS LÄN</t>
        </is>
      </c>
      <c r="E322" t="inlineStr">
        <is>
          <t>SUNDSVALL</t>
        </is>
      </c>
      <c r="G322" t="n">
        <v>4.5</v>
      </c>
      <c r="H322" t="n">
        <v>0</v>
      </c>
      <c r="I322" t="n">
        <v>0</v>
      </c>
      <c r="J322" t="n">
        <v>0</v>
      </c>
      <c r="K322" t="n">
        <v>0</v>
      </c>
      <c r="L322" t="n">
        <v>0</v>
      </c>
      <c r="M322" t="n">
        <v>0</v>
      </c>
      <c r="N322" t="n">
        <v>0</v>
      </c>
      <c r="O322" t="n">
        <v>0</v>
      </c>
      <c r="P322" t="n">
        <v>0</v>
      </c>
      <c r="Q322" t="n">
        <v>0</v>
      </c>
      <c r="R322" s="2" t="inlineStr"/>
    </row>
    <row r="323" ht="15" customHeight="1">
      <c r="A323" t="inlineStr">
        <is>
          <t>A 21698-2019</t>
        </is>
      </c>
      <c r="B323" s="1" t="n">
        <v>43581</v>
      </c>
      <c r="C323" s="1" t="n">
        <v>45829</v>
      </c>
      <c r="D323" t="inlineStr">
        <is>
          <t>VÄSTERNORRLANDS LÄN</t>
        </is>
      </c>
      <c r="E323" t="inlineStr">
        <is>
          <t>SUNDSVALL</t>
        </is>
      </c>
      <c r="G323" t="n">
        <v>3.1</v>
      </c>
      <c r="H323" t="n">
        <v>0</v>
      </c>
      <c r="I323" t="n">
        <v>0</v>
      </c>
      <c r="J323" t="n">
        <v>0</v>
      </c>
      <c r="K323" t="n">
        <v>0</v>
      </c>
      <c r="L323" t="n">
        <v>0</v>
      </c>
      <c r="M323" t="n">
        <v>0</v>
      </c>
      <c r="N323" t="n">
        <v>0</v>
      </c>
      <c r="O323" t="n">
        <v>0</v>
      </c>
      <c r="P323" t="n">
        <v>0</v>
      </c>
      <c r="Q323" t="n">
        <v>0</v>
      </c>
      <c r="R323" s="2" t="inlineStr"/>
    </row>
    <row r="324" ht="15" customHeight="1">
      <c r="A324" t="inlineStr">
        <is>
          <t>A 22089-2019</t>
        </is>
      </c>
      <c r="B324" s="1" t="n">
        <v>43584</v>
      </c>
      <c r="C324" s="1" t="n">
        <v>45829</v>
      </c>
      <c r="D324" t="inlineStr">
        <is>
          <t>VÄSTERNORRLANDS LÄN</t>
        </is>
      </c>
      <c r="E324" t="inlineStr">
        <is>
          <t>SUNDSVALL</t>
        </is>
      </c>
      <c r="G324" t="n">
        <v>12.9</v>
      </c>
      <c r="H324" t="n">
        <v>0</v>
      </c>
      <c r="I324" t="n">
        <v>0</v>
      </c>
      <c r="J324" t="n">
        <v>0</v>
      </c>
      <c r="K324" t="n">
        <v>0</v>
      </c>
      <c r="L324" t="n">
        <v>0</v>
      </c>
      <c r="M324" t="n">
        <v>0</v>
      </c>
      <c r="N324" t="n">
        <v>0</v>
      </c>
      <c r="O324" t="n">
        <v>0</v>
      </c>
      <c r="P324" t="n">
        <v>0</v>
      </c>
      <c r="Q324" t="n">
        <v>0</v>
      </c>
      <c r="R324" s="2" t="inlineStr"/>
    </row>
    <row r="325" ht="15" customHeight="1">
      <c r="A325" t="inlineStr">
        <is>
          <t>A 22603-2019</t>
        </is>
      </c>
      <c r="B325" s="1" t="n">
        <v>43588</v>
      </c>
      <c r="C325" s="1" t="n">
        <v>45829</v>
      </c>
      <c r="D325" t="inlineStr">
        <is>
          <t>VÄSTERNORRLANDS LÄN</t>
        </is>
      </c>
      <c r="E325" t="inlineStr">
        <is>
          <t>SUNDSVALL</t>
        </is>
      </c>
      <c r="G325" t="n">
        <v>23.7</v>
      </c>
      <c r="H325" t="n">
        <v>0</v>
      </c>
      <c r="I325" t="n">
        <v>0</v>
      </c>
      <c r="J325" t="n">
        <v>0</v>
      </c>
      <c r="K325" t="n">
        <v>0</v>
      </c>
      <c r="L325" t="n">
        <v>0</v>
      </c>
      <c r="M325" t="n">
        <v>0</v>
      </c>
      <c r="N325" t="n">
        <v>0</v>
      </c>
      <c r="O325" t="n">
        <v>0</v>
      </c>
      <c r="P325" t="n">
        <v>0</v>
      </c>
      <c r="Q325" t="n">
        <v>0</v>
      </c>
      <c r="R325" s="2" t="inlineStr"/>
    </row>
    <row r="326" ht="15" customHeight="1">
      <c r="A326" t="inlineStr">
        <is>
          <t>A 22782-2019</t>
        </is>
      </c>
      <c r="B326" s="1" t="n">
        <v>43589</v>
      </c>
      <c r="C326" s="1" t="n">
        <v>45829</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23077-2019</t>
        </is>
      </c>
      <c r="B327" s="1" t="n">
        <v>43591</v>
      </c>
      <c r="C327" s="1" t="n">
        <v>45829</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23073-2019</t>
        </is>
      </c>
      <c r="B328" s="1" t="n">
        <v>43591</v>
      </c>
      <c r="C328" s="1" t="n">
        <v>45829</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23078-2019</t>
        </is>
      </c>
      <c r="B329" s="1" t="n">
        <v>43591</v>
      </c>
      <c r="C329" s="1" t="n">
        <v>45829</v>
      </c>
      <c r="D329" t="inlineStr">
        <is>
          <t>VÄSTERNORRLANDS LÄN</t>
        </is>
      </c>
      <c r="E329" t="inlineStr">
        <is>
          <t>SUNDSVALL</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23455-2019</t>
        </is>
      </c>
      <c r="B330" s="1" t="n">
        <v>43593</v>
      </c>
      <c r="C330" s="1" t="n">
        <v>45829</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23790-2019</t>
        </is>
      </c>
      <c r="B331" s="1" t="n">
        <v>43595</v>
      </c>
      <c r="C331" s="1" t="n">
        <v>45829</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23929-2019</t>
        </is>
      </c>
      <c r="B332" s="1" t="n">
        <v>43595</v>
      </c>
      <c r="C332" s="1" t="n">
        <v>45829</v>
      </c>
      <c r="D332" t="inlineStr">
        <is>
          <t>VÄSTERNORRLANDS LÄN</t>
        </is>
      </c>
      <c r="E332" t="inlineStr">
        <is>
          <t>SUNDSVALL</t>
        </is>
      </c>
      <c r="G332" t="n">
        <v>1.1</v>
      </c>
      <c r="H332" t="n">
        <v>0</v>
      </c>
      <c r="I332" t="n">
        <v>0</v>
      </c>
      <c r="J332" t="n">
        <v>0</v>
      </c>
      <c r="K332" t="n">
        <v>0</v>
      </c>
      <c r="L332" t="n">
        <v>0</v>
      </c>
      <c r="M332" t="n">
        <v>0</v>
      </c>
      <c r="N332" t="n">
        <v>0</v>
      </c>
      <c r="O332" t="n">
        <v>0</v>
      </c>
      <c r="P332" t="n">
        <v>0</v>
      </c>
      <c r="Q332" t="n">
        <v>0</v>
      </c>
      <c r="R332" s="2" t="inlineStr"/>
    </row>
    <row r="333" ht="15" customHeight="1">
      <c r="A333" t="inlineStr">
        <is>
          <t>A 23931-2019</t>
        </is>
      </c>
      <c r="B333" s="1" t="n">
        <v>43595</v>
      </c>
      <c r="C333" s="1" t="n">
        <v>45829</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24271-2019</t>
        </is>
      </c>
      <c r="B334" s="1" t="n">
        <v>43599</v>
      </c>
      <c r="C334" s="1" t="n">
        <v>45829</v>
      </c>
      <c r="D334" t="inlineStr">
        <is>
          <t>VÄSTERNORRLANDS LÄN</t>
        </is>
      </c>
      <c r="E334" t="inlineStr">
        <is>
          <t>SUNDSVALL</t>
        </is>
      </c>
      <c r="G334" t="n">
        <v>7.8</v>
      </c>
      <c r="H334" t="n">
        <v>0</v>
      </c>
      <c r="I334" t="n">
        <v>0</v>
      </c>
      <c r="J334" t="n">
        <v>0</v>
      </c>
      <c r="K334" t="n">
        <v>0</v>
      </c>
      <c r="L334" t="n">
        <v>0</v>
      </c>
      <c r="M334" t="n">
        <v>0</v>
      </c>
      <c r="N334" t="n">
        <v>0</v>
      </c>
      <c r="O334" t="n">
        <v>0</v>
      </c>
      <c r="P334" t="n">
        <v>0</v>
      </c>
      <c r="Q334" t="n">
        <v>0</v>
      </c>
      <c r="R334" s="2" t="inlineStr"/>
    </row>
    <row r="335" ht="15" customHeight="1">
      <c r="A335" t="inlineStr">
        <is>
          <t>A 24583-2019</t>
        </is>
      </c>
      <c r="B335" s="1" t="n">
        <v>43600</v>
      </c>
      <c r="C335" s="1" t="n">
        <v>45829</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24585-2019</t>
        </is>
      </c>
      <c r="B336" s="1" t="n">
        <v>43600</v>
      </c>
      <c r="C336" s="1" t="n">
        <v>45829</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24783-2019</t>
        </is>
      </c>
      <c r="B337" s="1" t="n">
        <v>43601</v>
      </c>
      <c r="C337" s="1" t="n">
        <v>45829</v>
      </c>
      <c r="D337" t="inlineStr">
        <is>
          <t>VÄSTERNORRLANDS LÄN</t>
        </is>
      </c>
      <c r="E337" t="inlineStr">
        <is>
          <t>SUNDSVALL</t>
        </is>
      </c>
      <c r="G337" t="n">
        <v>2</v>
      </c>
      <c r="H337" t="n">
        <v>0</v>
      </c>
      <c r="I337" t="n">
        <v>0</v>
      </c>
      <c r="J337" t="n">
        <v>0</v>
      </c>
      <c r="K337" t="n">
        <v>0</v>
      </c>
      <c r="L337" t="n">
        <v>0</v>
      </c>
      <c r="M337" t="n">
        <v>0</v>
      </c>
      <c r="N337" t="n">
        <v>0</v>
      </c>
      <c r="O337" t="n">
        <v>0</v>
      </c>
      <c r="P337" t="n">
        <v>0</v>
      </c>
      <c r="Q337" t="n">
        <v>0</v>
      </c>
      <c r="R337" s="2" t="inlineStr"/>
    </row>
    <row r="338" ht="15" customHeight="1">
      <c r="A338" t="inlineStr">
        <is>
          <t>A 24771-2019</t>
        </is>
      </c>
      <c r="B338" s="1" t="n">
        <v>43601</v>
      </c>
      <c r="C338" s="1" t="n">
        <v>45829</v>
      </c>
      <c r="D338" t="inlineStr">
        <is>
          <t>VÄSTERNORRLANDS LÄN</t>
        </is>
      </c>
      <c r="E338" t="inlineStr">
        <is>
          <t>SUNDSVALL</t>
        </is>
      </c>
      <c r="F338" t="inlineStr">
        <is>
          <t>SCA</t>
        </is>
      </c>
      <c r="G338" t="n">
        <v>17.9</v>
      </c>
      <c r="H338" t="n">
        <v>0</v>
      </c>
      <c r="I338" t="n">
        <v>0</v>
      </c>
      <c r="J338" t="n">
        <v>0</v>
      </c>
      <c r="K338" t="n">
        <v>0</v>
      </c>
      <c r="L338" t="n">
        <v>0</v>
      </c>
      <c r="M338" t="n">
        <v>0</v>
      </c>
      <c r="N338" t="n">
        <v>0</v>
      </c>
      <c r="O338" t="n">
        <v>0</v>
      </c>
      <c r="P338" t="n">
        <v>0</v>
      </c>
      <c r="Q338" t="n">
        <v>0</v>
      </c>
      <c r="R338" s="2" t="inlineStr"/>
    </row>
    <row r="339" ht="15" customHeight="1">
      <c r="A339" t="inlineStr">
        <is>
          <t>A 24848-2019</t>
        </is>
      </c>
      <c r="B339" s="1" t="n">
        <v>43602</v>
      </c>
      <c r="C339" s="1" t="n">
        <v>45829</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25044-2019</t>
        </is>
      </c>
      <c r="B340" s="1" t="n">
        <v>43603</v>
      </c>
      <c r="C340" s="1" t="n">
        <v>45829</v>
      </c>
      <c r="D340" t="inlineStr">
        <is>
          <t>VÄSTERNORRLANDS LÄN</t>
        </is>
      </c>
      <c r="E340" t="inlineStr">
        <is>
          <t>SUNDSVALL</t>
        </is>
      </c>
      <c r="G340" t="n">
        <v>4.8</v>
      </c>
      <c r="H340" t="n">
        <v>0</v>
      </c>
      <c r="I340" t="n">
        <v>0</v>
      </c>
      <c r="J340" t="n">
        <v>0</v>
      </c>
      <c r="K340" t="n">
        <v>0</v>
      </c>
      <c r="L340" t="n">
        <v>0</v>
      </c>
      <c r="M340" t="n">
        <v>0</v>
      </c>
      <c r="N340" t="n">
        <v>0</v>
      </c>
      <c r="O340" t="n">
        <v>0</v>
      </c>
      <c r="P340" t="n">
        <v>0</v>
      </c>
      <c r="Q340" t="n">
        <v>0</v>
      </c>
      <c r="R340" s="2" t="inlineStr"/>
    </row>
    <row r="341" ht="15" customHeight="1">
      <c r="A341" t="inlineStr">
        <is>
          <t>A 25712-2019</t>
        </is>
      </c>
      <c r="B341" s="1" t="n">
        <v>43607</v>
      </c>
      <c r="C341" s="1" t="n">
        <v>45829</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25962-2019</t>
        </is>
      </c>
      <c r="B342" s="1" t="n">
        <v>43608</v>
      </c>
      <c r="C342" s="1" t="n">
        <v>45829</v>
      </c>
      <c r="D342" t="inlineStr">
        <is>
          <t>VÄSTERNORRLANDS LÄN</t>
        </is>
      </c>
      <c r="E342" t="inlineStr">
        <is>
          <t>SUNDSVALL</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26014-2019</t>
        </is>
      </c>
      <c r="B343" s="1" t="n">
        <v>43608</v>
      </c>
      <c r="C343" s="1" t="n">
        <v>45829</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27032-2019</t>
        </is>
      </c>
      <c r="B344" s="1" t="n">
        <v>43609</v>
      </c>
      <c r="C344" s="1" t="n">
        <v>45829</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28066-2019</t>
        </is>
      </c>
      <c r="B345" s="1" t="n">
        <v>43613</v>
      </c>
      <c r="C345" s="1" t="n">
        <v>45829</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27419-2019</t>
        </is>
      </c>
      <c r="B346" s="1" t="n">
        <v>43616</v>
      </c>
      <c r="C346" s="1" t="n">
        <v>45829</v>
      </c>
      <c r="D346" t="inlineStr">
        <is>
          <t>VÄSTERNORRLANDS LÄN</t>
        </is>
      </c>
      <c r="E346" t="inlineStr">
        <is>
          <t>SUNDSVALL</t>
        </is>
      </c>
      <c r="G346" t="n">
        <v>3.5</v>
      </c>
      <c r="H346" t="n">
        <v>0</v>
      </c>
      <c r="I346" t="n">
        <v>0</v>
      </c>
      <c r="J346" t="n">
        <v>0</v>
      </c>
      <c r="K346" t="n">
        <v>0</v>
      </c>
      <c r="L346" t="n">
        <v>0</v>
      </c>
      <c r="M346" t="n">
        <v>0</v>
      </c>
      <c r="N346" t="n">
        <v>0</v>
      </c>
      <c r="O346" t="n">
        <v>0</v>
      </c>
      <c r="P346" t="n">
        <v>0</v>
      </c>
      <c r="Q346" t="n">
        <v>0</v>
      </c>
      <c r="R346" s="2" t="inlineStr"/>
    </row>
    <row r="347" ht="15" customHeight="1">
      <c r="A347" t="inlineStr">
        <is>
          <t>A 27775-2019</t>
        </is>
      </c>
      <c r="B347" s="1" t="n">
        <v>43619</v>
      </c>
      <c r="C347" s="1" t="n">
        <v>45829</v>
      </c>
      <c r="D347" t="inlineStr">
        <is>
          <t>VÄSTERNORRLANDS LÄN</t>
        </is>
      </c>
      <c r="E347" t="inlineStr">
        <is>
          <t>SUNDSVALL</t>
        </is>
      </c>
      <c r="F347" t="inlineStr">
        <is>
          <t>SCA</t>
        </is>
      </c>
      <c r="G347" t="n">
        <v>13.8</v>
      </c>
      <c r="H347" t="n">
        <v>0</v>
      </c>
      <c r="I347" t="n">
        <v>0</v>
      </c>
      <c r="J347" t="n">
        <v>0</v>
      </c>
      <c r="K347" t="n">
        <v>0</v>
      </c>
      <c r="L347" t="n">
        <v>0</v>
      </c>
      <c r="M347" t="n">
        <v>0</v>
      </c>
      <c r="N347" t="n">
        <v>0</v>
      </c>
      <c r="O347" t="n">
        <v>0</v>
      </c>
      <c r="P347" t="n">
        <v>0</v>
      </c>
      <c r="Q347" t="n">
        <v>0</v>
      </c>
      <c r="R347" s="2" t="inlineStr"/>
    </row>
    <row r="348" ht="15" customHeight="1">
      <c r="A348" t="inlineStr">
        <is>
          <t>A 27981-2019</t>
        </is>
      </c>
      <c r="B348" s="1" t="n">
        <v>43620</v>
      </c>
      <c r="C348" s="1" t="n">
        <v>45829</v>
      </c>
      <c r="D348" t="inlineStr">
        <is>
          <t>VÄSTERNORRLANDS LÄN</t>
        </is>
      </c>
      <c r="E348" t="inlineStr">
        <is>
          <t>SUNDSVALL</t>
        </is>
      </c>
      <c r="G348" t="n">
        <v>2.1</v>
      </c>
      <c r="H348" t="n">
        <v>0</v>
      </c>
      <c r="I348" t="n">
        <v>0</v>
      </c>
      <c r="J348" t="n">
        <v>0</v>
      </c>
      <c r="K348" t="n">
        <v>0</v>
      </c>
      <c r="L348" t="n">
        <v>0</v>
      </c>
      <c r="M348" t="n">
        <v>0</v>
      </c>
      <c r="N348" t="n">
        <v>0</v>
      </c>
      <c r="O348" t="n">
        <v>0</v>
      </c>
      <c r="P348" t="n">
        <v>0</v>
      </c>
      <c r="Q348" t="n">
        <v>0</v>
      </c>
      <c r="R348" s="2" t="inlineStr"/>
    </row>
    <row r="349" ht="15" customHeight="1">
      <c r="A349" t="inlineStr">
        <is>
          <t>A 27983-2019</t>
        </is>
      </c>
      <c r="B349" s="1" t="n">
        <v>43620</v>
      </c>
      <c r="C349" s="1" t="n">
        <v>45829</v>
      </c>
      <c r="D349" t="inlineStr">
        <is>
          <t>VÄSTERNORRLANDS LÄN</t>
        </is>
      </c>
      <c r="E349" t="inlineStr">
        <is>
          <t>SUNDSVALL</t>
        </is>
      </c>
      <c r="G349" t="n">
        <v>2.5</v>
      </c>
      <c r="H349" t="n">
        <v>0</v>
      </c>
      <c r="I349" t="n">
        <v>0</v>
      </c>
      <c r="J349" t="n">
        <v>0</v>
      </c>
      <c r="K349" t="n">
        <v>0</v>
      </c>
      <c r="L349" t="n">
        <v>0</v>
      </c>
      <c r="M349" t="n">
        <v>0</v>
      </c>
      <c r="N349" t="n">
        <v>0</v>
      </c>
      <c r="O349" t="n">
        <v>0</v>
      </c>
      <c r="P349" t="n">
        <v>0</v>
      </c>
      <c r="Q349" t="n">
        <v>0</v>
      </c>
      <c r="R349" s="2" t="inlineStr"/>
    </row>
    <row r="350" ht="15" customHeight="1">
      <c r="A350" t="inlineStr">
        <is>
          <t>A 27982-2019</t>
        </is>
      </c>
      <c r="B350" s="1" t="n">
        <v>43620</v>
      </c>
      <c r="C350" s="1" t="n">
        <v>45829</v>
      </c>
      <c r="D350" t="inlineStr">
        <is>
          <t>VÄSTERNORRLANDS LÄN</t>
        </is>
      </c>
      <c r="E350" t="inlineStr">
        <is>
          <t>SUNDSVALL</t>
        </is>
      </c>
      <c r="G350" t="n">
        <v>5.7</v>
      </c>
      <c r="H350" t="n">
        <v>0</v>
      </c>
      <c r="I350" t="n">
        <v>0</v>
      </c>
      <c r="J350" t="n">
        <v>0</v>
      </c>
      <c r="K350" t="n">
        <v>0</v>
      </c>
      <c r="L350" t="n">
        <v>0</v>
      </c>
      <c r="M350" t="n">
        <v>0</v>
      </c>
      <c r="N350" t="n">
        <v>0</v>
      </c>
      <c r="O350" t="n">
        <v>0</v>
      </c>
      <c r="P350" t="n">
        <v>0</v>
      </c>
      <c r="Q350" t="n">
        <v>0</v>
      </c>
      <c r="R350" s="2" t="inlineStr"/>
    </row>
    <row r="351" ht="15" customHeight="1">
      <c r="A351" t="inlineStr">
        <is>
          <t>A 27986-2019</t>
        </is>
      </c>
      <c r="B351" s="1" t="n">
        <v>43620</v>
      </c>
      <c r="C351" s="1" t="n">
        <v>45829</v>
      </c>
      <c r="D351" t="inlineStr">
        <is>
          <t>VÄSTERNORRLANDS LÄN</t>
        </is>
      </c>
      <c r="E351" t="inlineStr">
        <is>
          <t>SUNDSVALL</t>
        </is>
      </c>
      <c r="G351" t="n">
        <v>4.9</v>
      </c>
      <c r="H351" t="n">
        <v>0</v>
      </c>
      <c r="I351" t="n">
        <v>0</v>
      </c>
      <c r="J351" t="n">
        <v>0</v>
      </c>
      <c r="K351" t="n">
        <v>0</v>
      </c>
      <c r="L351" t="n">
        <v>0</v>
      </c>
      <c r="M351" t="n">
        <v>0</v>
      </c>
      <c r="N351" t="n">
        <v>0</v>
      </c>
      <c r="O351" t="n">
        <v>0</v>
      </c>
      <c r="P351" t="n">
        <v>0</v>
      </c>
      <c r="Q351" t="n">
        <v>0</v>
      </c>
      <c r="R351" s="2" t="inlineStr"/>
    </row>
    <row r="352" ht="15" customHeight="1">
      <c r="A352" t="inlineStr">
        <is>
          <t>A 29168-2019</t>
        </is>
      </c>
      <c r="B352" s="1" t="n">
        <v>43628</v>
      </c>
      <c r="C352" s="1" t="n">
        <v>45829</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29978-2019</t>
        </is>
      </c>
      <c r="B353" s="1" t="n">
        <v>43630</v>
      </c>
      <c r="C353" s="1" t="n">
        <v>45829</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29985-2019</t>
        </is>
      </c>
      <c r="B354" s="1" t="n">
        <v>43630</v>
      </c>
      <c r="C354" s="1" t="n">
        <v>45829</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29813-2019</t>
        </is>
      </c>
      <c r="B355" s="1" t="n">
        <v>43633</v>
      </c>
      <c r="C355" s="1" t="n">
        <v>45829</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30253-2019</t>
        </is>
      </c>
      <c r="B356" s="1" t="n">
        <v>43634</v>
      </c>
      <c r="C356" s="1" t="n">
        <v>45829</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30608-2019</t>
        </is>
      </c>
      <c r="B357" s="1" t="n">
        <v>43635</v>
      </c>
      <c r="C357" s="1" t="n">
        <v>45829</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31064-2019</t>
        </is>
      </c>
      <c r="B358" s="1" t="n">
        <v>43636</v>
      </c>
      <c r="C358" s="1" t="n">
        <v>45829</v>
      </c>
      <c r="D358" t="inlineStr">
        <is>
          <t>VÄSTERNORRLANDS LÄN</t>
        </is>
      </c>
      <c r="E358" t="inlineStr">
        <is>
          <t>SUNDSVALL</t>
        </is>
      </c>
      <c r="G358" t="n">
        <v>5.4</v>
      </c>
      <c r="H358" t="n">
        <v>0</v>
      </c>
      <c r="I358" t="n">
        <v>0</v>
      </c>
      <c r="J358" t="n">
        <v>0</v>
      </c>
      <c r="K358" t="n">
        <v>0</v>
      </c>
      <c r="L358" t="n">
        <v>0</v>
      </c>
      <c r="M358" t="n">
        <v>0</v>
      </c>
      <c r="N358" t="n">
        <v>0</v>
      </c>
      <c r="O358" t="n">
        <v>0</v>
      </c>
      <c r="P358" t="n">
        <v>0</v>
      </c>
      <c r="Q358" t="n">
        <v>0</v>
      </c>
      <c r="R358" s="2" t="inlineStr"/>
    </row>
    <row r="359" ht="15" customHeight="1">
      <c r="A359" t="inlineStr">
        <is>
          <t>A 31285-2019</t>
        </is>
      </c>
      <c r="B359" s="1" t="n">
        <v>43640</v>
      </c>
      <c r="C359" s="1" t="n">
        <v>45829</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31578-2019</t>
        </is>
      </c>
      <c r="B360" s="1" t="n">
        <v>43641</v>
      </c>
      <c r="C360" s="1" t="n">
        <v>45829</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31572-2019</t>
        </is>
      </c>
      <c r="B361" s="1" t="n">
        <v>43641</v>
      </c>
      <c r="C361" s="1" t="n">
        <v>45829</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32207-2019</t>
        </is>
      </c>
      <c r="B362" s="1" t="n">
        <v>43643</v>
      </c>
      <c r="C362" s="1" t="n">
        <v>45829</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32259-2019</t>
        </is>
      </c>
      <c r="B363" s="1" t="n">
        <v>43644</v>
      </c>
      <c r="C363" s="1" t="n">
        <v>45829</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32268-2019</t>
        </is>
      </c>
      <c r="B364" s="1" t="n">
        <v>43644</v>
      </c>
      <c r="C364" s="1" t="n">
        <v>45829</v>
      </c>
      <c r="D364" t="inlineStr">
        <is>
          <t>VÄSTERNORRLANDS LÄN</t>
        </is>
      </c>
      <c r="E364" t="inlineStr">
        <is>
          <t>SUNDSVALL</t>
        </is>
      </c>
      <c r="G364" t="n">
        <v>1.8</v>
      </c>
      <c r="H364" t="n">
        <v>0</v>
      </c>
      <c r="I364" t="n">
        <v>0</v>
      </c>
      <c r="J364" t="n">
        <v>0</v>
      </c>
      <c r="K364" t="n">
        <v>0</v>
      </c>
      <c r="L364" t="n">
        <v>0</v>
      </c>
      <c r="M364" t="n">
        <v>0</v>
      </c>
      <c r="N364" t="n">
        <v>0</v>
      </c>
      <c r="O364" t="n">
        <v>0</v>
      </c>
      <c r="P364" t="n">
        <v>0</v>
      </c>
      <c r="Q364" t="n">
        <v>0</v>
      </c>
      <c r="R364" s="2" t="inlineStr"/>
    </row>
    <row r="365" ht="15" customHeight="1">
      <c r="A365" t="inlineStr">
        <is>
          <t>A 34006-2019</t>
        </is>
      </c>
      <c r="B365" s="1" t="n">
        <v>43647</v>
      </c>
      <c r="C365" s="1" t="n">
        <v>45829</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33993-2019</t>
        </is>
      </c>
      <c r="B366" s="1" t="n">
        <v>43647</v>
      </c>
      <c r="C366" s="1" t="n">
        <v>45829</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33486-2019</t>
        </is>
      </c>
      <c r="B367" s="1" t="n">
        <v>43650</v>
      </c>
      <c r="C367" s="1" t="n">
        <v>45829</v>
      </c>
      <c r="D367" t="inlineStr">
        <is>
          <t>VÄSTERNORRLANDS LÄN</t>
        </is>
      </c>
      <c r="E367" t="inlineStr">
        <is>
          <t>SUNDSVALL</t>
        </is>
      </c>
      <c r="G367" t="n">
        <v>3.5</v>
      </c>
      <c r="H367" t="n">
        <v>0</v>
      </c>
      <c r="I367" t="n">
        <v>0</v>
      </c>
      <c r="J367" t="n">
        <v>0</v>
      </c>
      <c r="K367" t="n">
        <v>0</v>
      </c>
      <c r="L367" t="n">
        <v>0</v>
      </c>
      <c r="M367" t="n">
        <v>0</v>
      </c>
      <c r="N367" t="n">
        <v>0</v>
      </c>
      <c r="O367" t="n">
        <v>0</v>
      </c>
      <c r="P367" t="n">
        <v>0</v>
      </c>
      <c r="Q367" t="n">
        <v>0</v>
      </c>
      <c r="R367" s="2" t="inlineStr"/>
    </row>
    <row r="368" ht="15" customHeight="1">
      <c r="A368" t="inlineStr">
        <is>
          <t>A 34136-2019</t>
        </is>
      </c>
      <c r="B368" s="1" t="n">
        <v>43654</v>
      </c>
      <c r="C368" s="1" t="n">
        <v>45829</v>
      </c>
      <c r="D368" t="inlineStr">
        <is>
          <t>VÄSTERNORRLANDS LÄN</t>
        </is>
      </c>
      <c r="E368" t="inlineStr">
        <is>
          <t>SUNDSVALL</t>
        </is>
      </c>
      <c r="G368" t="n">
        <v>6.4</v>
      </c>
      <c r="H368" t="n">
        <v>0</v>
      </c>
      <c r="I368" t="n">
        <v>0</v>
      </c>
      <c r="J368" t="n">
        <v>0</v>
      </c>
      <c r="K368" t="n">
        <v>0</v>
      </c>
      <c r="L368" t="n">
        <v>0</v>
      </c>
      <c r="M368" t="n">
        <v>0</v>
      </c>
      <c r="N368" t="n">
        <v>0</v>
      </c>
      <c r="O368" t="n">
        <v>0</v>
      </c>
      <c r="P368" t="n">
        <v>0</v>
      </c>
      <c r="Q368" t="n">
        <v>0</v>
      </c>
      <c r="R368" s="2" t="inlineStr"/>
    </row>
    <row r="369" ht="15" customHeight="1">
      <c r="A369" t="inlineStr">
        <is>
          <t>A 36074-2019</t>
        </is>
      </c>
      <c r="B369" s="1" t="n">
        <v>43657</v>
      </c>
      <c r="C369" s="1" t="n">
        <v>45829</v>
      </c>
      <c r="D369" t="inlineStr">
        <is>
          <t>VÄSTERNORRLANDS LÄN</t>
        </is>
      </c>
      <c r="E369" t="inlineStr">
        <is>
          <t>SUNDSVALL</t>
        </is>
      </c>
      <c r="G369" t="n">
        <v>1.1</v>
      </c>
      <c r="H369" t="n">
        <v>0</v>
      </c>
      <c r="I369" t="n">
        <v>0</v>
      </c>
      <c r="J369" t="n">
        <v>0</v>
      </c>
      <c r="K369" t="n">
        <v>0</v>
      </c>
      <c r="L369" t="n">
        <v>0</v>
      </c>
      <c r="M369" t="n">
        <v>0</v>
      </c>
      <c r="N369" t="n">
        <v>0</v>
      </c>
      <c r="O369" t="n">
        <v>0</v>
      </c>
      <c r="P369" t="n">
        <v>0</v>
      </c>
      <c r="Q369" t="n">
        <v>0</v>
      </c>
      <c r="R369" s="2" t="inlineStr"/>
    </row>
    <row r="370" ht="15" customHeight="1">
      <c r="A370" t="inlineStr">
        <is>
          <t>A 36077-2019</t>
        </is>
      </c>
      <c r="B370" s="1" t="n">
        <v>43657</v>
      </c>
      <c r="C370" s="1" t="n">
        <v>45829</v>
      </c>
      <c r="D370" t="inlineStr">
        <is>
          <t>VÄSTERNORRLANDS LÄN</t>
        </is>
      </c>
      <c r="E370" t="inlineStr">
        <is>
          <t>SUNDSVALL</t>
        </is>
      </c>
      <c r="G370" t="n">
        <v>5.1</v>
      </c>
      <c r="H370" t="n">
        <v>0</v>
      </c>
      <c r="I370" t="n">
        <v>0</v>
      </c>
      <c r="J370" t="n">
        <v>0</v>
      </c>
      <c r="K370" t="n">
        <v>0</v>
      </c>
      <c r="L370" t="n">
        <v>0</v>
      </c>
      <c r="M370" t="n">
        <v>0</v>
      </c>
      <c r="N370" t="n">
        <v>0</v>
      </c>
      <c r="O370" t="n">
        <v>0</v>
      </c>
      <c r="P370" t="n">
        <v>0</v>
      </c>
      <c r="Q370" t="n">
        <v>0</v>
      </c>
      <c r="R370" s="2" t="inlineStr"/>
    </row>
    <row r="371" ht="15" customHeight="1">
      <c r="A371" t="inlineStr">
        <is>
          <t>A 35171-2019</t>
        </is>
      </c>
      <c r="B371" s="1" t="n">
        <v>43661</v>
      </c>
      <c r="C371" s="1" t="n">
        <v>45829</v>
      </c>
      <c r="D371" t="inlineStr">
        <is>
          <t>VÄSTERNORRLANDS LÄN</t>
        </is>
      </c>
      <c r="E371" t="inlineStr">
        <is>
          <t>SUNDSVALL</t>
        </is>
      </c>
      <c r="G371" t="n">
        <v>2.3</v>
      </c>
      <c r="H371" t="n">
        <v>0</v>
      </c>
      <c r="I371" t="n">
        <v>0</v>
      </c>
      <c r="J371" t="n">
        <v>0</v>
      </c>
      <c r="K371" t="n">
        <v>0</v>
      </c>
      <c r="L371" t="n">
        <v>0</v>
      </c>
      <c r="M371" t="n">
        <v>0</v>
      </c>
      <c r="N371" t="n">
        <v>0</v>
      </c>
      <c r="O371" t="n">
        <v>0</v>
      </c>
      <c r="P371" t="n">
        <v>0</v>
      </c>
      <c r="Q371" t="n">
        <v>0</v>
      </c>
      <c r="R371" s="2" t="inlineStr"/>
    </row>
    <row r="372" ht="15" customHeight="1">
      <c r="A372" t="inlineStr">
        <is>
          <t>A 35170-2019</t>
        </is>
      </c>
      <c r="B372" s="1" t="n">
        <v>43661</v>
      </c>
      <c r="C372" s="1" t="n">
        <v>45829</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35966-2019</t>
        </is>
      </c>
      <c r="B373" s="1" t="n">
        <v>43665</v>
      </c>
      <c r="C373" s="1" t="n">
        <v>45829</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36026-2019</t>
        </is>
      </c>
      <c r="B374" s="1" t="n">
        <v>43668</v>
      </c>
      <c r="C374" s="1" t="n">
        <v>45829</v>
      </c>
      <c r="D374" t="inlineStr">
        <is>
          <t>VÄSTERNORRLANDS LÄN</t>
        </is>
      </c>
      <c r="E374" t="inlineStr">
        <is>
          <t>SUNDSVALL</t>
        </is>
      </c>
      <c r="G374" t="n">
        <v>4.4</v>
      </c>
      <c r="H374" t="n">
        <v>0</v>
      </c>
      <c r="I374" t="n">
        <v>0</v>
      </c>
      <c r="J374" t="n">
        <v>0</v>
      </c>
      <c r="K374" t="n">
        <v>0</v>
      </c>
      <c r="L374" t="n">
        <v>0</v>
      </c>
      <c r="M374" t="n">
        <v>0</v>
      </c>
      <c r="N374" t="n">
        <v>0</v>
      </c>
      <c r="O374" t="n">
        <v>0</v>
      </c>
      <c r="P374" t="n">
        <v>0</v>
      </c>
      <c r="Q374" t="n">
        <v>0</v>
      </c>
      <c r="R374" s="2" t="inlineStr"/>
    </row>
    <row r="375" ht="15" customHeight="1">
      <c r="A375" t="inlineStr">
        <is>
          <t>A 37069-2019</t>
        </is>
      </c>
      <c r="B375" s="1" t="n">
        <v>43676</v>
      </c>
      <c r="C375" s="1" t="n">
        <v>45829</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37378-2019</t>
        </is>
      </c>
      <c r="B376" s="1" t="n">
        <v>43678</v>
      </c>
      <c r="C376" s="1" t="n">
        <v>45829</v>
      </c>
      <c r="D376" t="inlineStr">
        <is>
          <t>VÄSTERNORRLANDS LÄN</t>
        </is>
      </c>
      <c r="E376" t="inlineStr">
        <is>
          <t>SUNDSVALL</t>
        </is>
      </c>
      <c r="G376" t="n">
        <v>6.5</v>
      </c>
      <c r="H376" t="n">
        <v>0</v>
      </c>
      <c r="I376" t="n">
        <v>0</v>
      </c>
      <c r="J376" t="n">
        <v>0</v>
      </c>
      <c r="K376" t="n">
        <v>0</v>
      </c>
      <c r="L376" t="n">
        <v>0</v>
      </c>
      <c r="M376" t="n">
        <v>0</v>
      </c>
      <c r="N376" t="n">
        <v>0</v>
      </c>
      <c r="O376" t="n">
        <v>0</v>
      </c>
      <c r="P376" t="n">
        <v>0</v>
      </c>
      <c r="Q376" t="n">
        <v>0</v>
      </c>
      <c r="R376" s="2" t="inlineStr"/>
    </row>
    <row r="377" ht="15" customHeight="1">
      <c r="A377" t="inlineStr">
        <is>
          <t>A 37891-2019</t>
        </is>
      </c>
      <c r="B377" s="1" t="n">
        <v>43682</v>
      </c>
      <c r="C377" s="1" t="n">
        <v>45829</v>
      </c>
      <c r="D377" t="inlineStr">
        <is>
          <t>VÄSTERNORRLANDS LÄN</t>
        </is>
      </c>
      <c r="E377" t="inlineStr">
        <is>
          <t>SUNDSVALL</t>
        </is>
      </c>
      <c r="F377" t="inlineStr">
        <is>
          <t>SCA</t>
        </is>
      </c>
      <c r="G377" t="n">
        <v>40.1</v>
      </c>
      <c r="H377" t="n">
        <v>0</v>
      </c>
      <c r="I377" t="n">
        <v>0</v>
      </c>
      <c r="J377" t="n">
        <v>0</v>
      </c>
      <c r="K377" t="n">
        <v>0</v>
      </c>
      <c r="L377" t="n">
        <v>0</v>
      </c>
      <c r="M377" t="n">
        <v>0</v>
      </c>
      <c r="N377" t="n">
        <v>0</v>
      </c>
      <c r="O377" t="n">
        <v>0</v>
      </c>
      <c r="P377" t="n">
        <v>0</v>
      </c>
      <c r="Q377" t="n">
        <v>0</v>
      </c>
      <c r="R377" s="2" t="inlineStr"/>
    </row>
    <row r="378" ht="15" customHeight="1">
      <c r="A378" t="inlineStr">
        <is>
          <t>A 37907-2019</t>
        </is>
      </c>
      <c r="B378" s="1" t="n">
        <v>43683</v>
      </c>
      <c r="C378" s="1" t="n">
        <v>45829</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38290-2019</t>
        </is>
      </c>
      <c r="B379" s="1" t="n">
        <v>43684</v>
      </c>
      <c r="C379" s="1" t="n">
        <v>45829</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40526-2019</t>
        </is>
      </c>
      <c r="B380" s="1" t="n">
        <v>43696</v>
      </c>
      <c r="C380" s="1" t="n">
        <v>45829</v>
      </c>
      <c r="D380" t="inlineStr">
        <is>
          <t>VÄSTERNORRLANDS LÄN</t>
        </is>
      </c>
      <c r="E380" t="inlineStr">
        <is>
          <t>SUNDSVALL</t>
        </is>
      </c>
      <c r="F380" t="inlineStr">
        <is>
          <t>SCA</t>
        </is>
      </c>
      <c r="G380" t="n">
        <v>13.1</v>
      </c>
      <c r="H380" t="n">
        <v>0</v>
      </c>
      <c r="I380" t="n">
        <v>0</v>
      </c>
      <c r="J380" t="n">
        <v>0</v>
      </c>
      <c r="K380" t="n">
        <v>0</v>
      </c>
      <c r="L380" t="n">
        <v>0</v>
      </c>
      <c r="M380" t="n">
        <v>0</v>
      </c>
      <c r="N380" t="n">
        <v>0</v>
      </c>
      <c r="O380" t="n">
        <v>0</v>
      </c>
      <c r="P380" t="n">
        <v>0</v>
      </c>
      <c r="Q380" t="n">
        <v>0</v>
      </c>
      <c r="R380" s="2" t="inlineStr"/>
    </row>
    <row r="381" ht="15" customHeight="1">
      <c r="A381" t="inlineStr">
        <is>
          <t>A 40549-2019</t>
        </is>
      </c>
      <c r="B381" s="1" t="n">
        <v>43696</v>
      </c>
      <c r="C381" s="1" t="n">
        <v>45829</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40487-2019</t>
        </is>
      </c>
      <c r="B382" s="1" t="n">
        <v>43696</v>
      </c>
      <c r="C382" s="1" t="n">
        <v>45829</v>
      </c>
      <c r="D382" t="inlineStr">
        <is>
          <t>VÄSTERNORRLANDS LÄN</t>
        </is>
      </c>
      <c r="E382" t="inlineStr">
        <is>
          <t>SUNDSVALL</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41895-2019</t>
        </is>
      </c>
      <c r="B383" s="1" t="n">
        <v>43697</v>
      </c>
      <c r="C383" s="1" t="n">
        <v>45829</v>
      </c>
      <c r="D383" t="inlineStr">
        <is>
          <t>VÄSTERNORRLANDS LÄN</t>
        </is>
      </c>
      <c r="E383" t="inlineStr">
        <is>
          <t>SUNDSVALL</t>
        </is>
      </c>
      <c r="F383" t="inlineStr">
        <is>
          <t>Kyrkan</t>
        </is>
      </c>
      <c r="G383" t="n">
        <v>6.8</v>
      </c>
      <c r="H383" t="n">
        <v>0</v>
      </c>
      <c r="I383" t="n">
        <v>0</v>
      </c>
      <c r="J383" t="n">
        <v>0</v>
      </c>
      <c r="K383" t="n">
        <v>0</v>
      </c>
      <c r="L383" t="n">
        <v>0</v>
      </c>
      <c r="M383" t="n">
        <v>0</v>
      </c>
      <c r="N383" t="n">
        <v>0</v>
      </c>
      <c r="O383" t="n">
        <v>0</v>
      </c>
      <c r="P383" t="n">
        <v>0</v>
      </c>
      <c r="Q383" t="n">
        <v>0</v>
      </c>
      <c r="R383" s="2" t="inlineStr"/>
    </row>
    <row r="384" ht="15" customHeight="1">
      <c r="A384" t="inlineStr">
        <is>
          <t>A 42217-2019</t>
        </is>
      </c>
      <c r="B384" s="1" t="n">
        <v>43699</v>
      </c>
      <c r="C384" s="1" t="n">
        <v>45829</v>
      </c>
      <c r="D384" t="inlineStr">
        <is>
          <t>VÄSTERNORRLANDS LÄN</t>
        </is>
      </c>
      <c r="E384" t="inlineStr">
        <is>
          <t>SUNDSVALL</t>
        </is>
      </c>
      <c r="G384" t="n">
        <v>10.7</v>
      </c>
      <c r="H384" t="n">
        <v>0</v>
      </c>
      <c r="I384" t="n">
        <v>0</v>
      </c>
      <c r="J384" t="n">
        <v>0</v>
      </c>
      <c r="K384" t="n">
        <v>0</v>
      </c>
      <c r="L384" t="n">
        <v>0</v>
      </c>
      <c r="M384" t="n">
        <v>0</v>
      </c>
      <c r="N384" t="n">
        <v>0</v>
      </c>
      <c r="O384" t="n">
        <v>0</v>
      </c>
      <c r="P384" t="n">
        <v>0</v>
      </c>
      <c r="Q384" t="n">
        <v>0</v>
      </c>
      <c r="R384" s="2" t="inlineStr"/>
    </row>
    <row r="385" ht="15" customHeight="1">
      <c r="A385" t="inlineStr">
        <is>
          <t>A 42361-2019</t>
        </is>
      </c>
      <c r="B385" s="1" t="n">
        <v>43703</v>
      </c>
      <c r="C385" s="1" t="n">
        <v>45829</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42305-2019</t>
        </is>
      </c>
      <c r="B386" s="1" t="n">
        <v>43703</v>
      </c>
      <c r="C386" s="1" t="n">
        <v>45829</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42375-2019</t>
        </is>
      </c>
      <c r="B387" s="1" t="n">
        <v>43703</v>
      </c>
      <c r="C387" s="1" t="n">
        <v>45829</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42372-2019</t>
        </is>
      </c>
      <c r="B388" s="1" t="n">
        <v>43703</v>
      </c>
      <c r="C388" s="1" t="n">
        <v>45829</v>
      </c>
      <c r="D388" t="inlineStr">
        <is>
          <t>VÄSTERNORRLANDS LÄN</t>
        </is>
      </c>
      <c r="E388" t="inlineStr">
        <is>
          <t>SUNDSVALL</t>
        </is>
      </c>
      <c r="G388" t="n">
        <v>3.4</v>
      </c>
      <c r="H388" t="n">
        <v>0</v>
      </c>
      <c r="I388" t="n">
        <v>0</v>
      </c>
      <c r="J388" t="n">
        <v>0</v>
      </c>
      <c r="K388" t="n">
        <v>0</v>
      </c>
      <c r="L388" t="n">
        <v>0</v>
      </c>
      <c r="M388" t="n">
        <v>0</v>
      </c>
      <c r="N388" t="n">
        <v>0</v>
      </c>
      <c r="O388" t="n">
        <v>0</v>
      </c>
      <c r="P388" t="n">
        <v>0</v>
      </c>
      <c r="Q388" t="n">
        <v>0</v>
      </c>
      <c r="R388" s="2" t="inlineStr"/>
    </row>
    <row r="389" ht="15" customHeight="1">
      <c r="A389" t="inlineStr">
        <is>
          <t>A 43193-2019</t>
        </is>
      </c>
      <c r="B389" s="1" t="n">
        <v>43705</v>
      </c>
      <c r="C389" s="1" t="n">
        <v>45829</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43880-2019</t>
        </is>
      </c>
      <c r="B390" s="1" t="n">
        <v>43707</v>
      </c>
      <c r="C390" s="1" t="n">
        <v>45829</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43796-2019</t>
        </is>
      </c>
      <c r="B391" s="1" t="n">
        <v>43707</v>
      </c>
      <c r="C391" s="1" t="n">
        <v>45829</v>
      </c>
      <c r="D391" t="inlineStr">
        <is>
          <t>VÄSTERNORRLANDS LÄN</t>
        </is>
      </c>
      <c r="E391" t="inlineStr">
        <is>
          <t>SUNDSVALL</t>
        </is>
      </c>
      <c r="G391" t="n">
        <v>2.2</v>
      </c>
      <c r="H391" t="n">
        <v>0</v>
      </c>
      <c r="I391" t="n">
        <v>0</v>
      </c>
      <c r="J391" t="n">
        <v>0</v>
      </c>
      <c r="K391" t="n">
        <v>0</v>
      </c>
      <c r="L391" t="n">
        <v>0</v>
      </c>
      <c r="M391" t="n">
        <v>0</v>
      </c>
      <c r="N391" t="n">
        <v>0</v>
      </c>
      <c r="O391" t="n">
        <v>0</v>
      </c>
      <c r="P391" t="n">
        <v>0</v>
      </c>
      <c r="Q391" t="n">
        <v>0</v>
      </c>
      <c r="R391" s="2" t="inlineStr"/>
    </row>
    <row r="392" ht="15" customHeight="1">
      <c r="A392" t="inlineStr">
        <is>
          <t>A 44321-2019</t>
        </is>
      </c>
      <c r="B392" s="1" t="n">
        <v>43710</v>
      </c>
      <c r="C392" s="1" t="n">
        <v>45829</v>
      </c>
      <c r="D392" t="inlineStr">
        <is>
          <t>VÄSTERNORRLANDS LÄN</t>
        </is>
      </c>
      <c r="E392" t="inlineStr">
        <is>
          <t>SUNDSVALL</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44325-2019</t>
        </is>
      </c>
      <c r="B393" s="1" t="n">
        <v>43710</v>
      </c>
      <c r="C393" s="1" t="n">
        <v>45829</v>
      </c>
      <c r="D393" t="inlineStr">
        <is>
          <t>VÄSTERNORRLANDS LÄN</t>
        </is>
      </c>
      <c r="E393" t="inlineStr">
        <is>
          <t>SUNDSVALL</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44416-2019</t>
        </is>
      </c>
      <c r="B394" s="1" t="n">
        <v>43711</v>
      </c>
      <c r="C394" s="1" t="n">
        <v>45829</v>
      </c>
      <c r="D394" t="inlineStr">
        <is>
          <t>VÄSTERNORRLANDS LÄN</t>
        </is>
      </c>
      <c r="E394" t="inlineStr">
        <is>
          <t>SUNDSVALL</t>
        </is>
      </c>
      <c r="G394" t="n">
        <v>7.8</v>
      </c>
      <c r="H394" t="n">
        <v>0</v>
      </c>
      <c r="I394" t="n">
        <v>0</v>
      </c>
      <c r="J394" t="n">
        <v>0</v>
      </c>
      <c r="K394" t="n">
        <v>0</v>
      </c>
      <c r="L394" t="n">
        <v>0</v>
      </c>
      <c r="M394" t="n">
        <v>0</v>
      </c>
      <c r="N394" t="n">
        <v>0</v>
      </c>
      <c r="O394" t="n">
        <v>0</v>
      </c>
      <c r="P394" t="n">
        <v>0</v>
      </c>
      <c r="Q394" t="n">
        <v>0</v>
      </c>
      <c r="R394" s="2" t="inlineStr"/>
      <c r="U394">
        <f>HYPERLINK("https://klasma.github.io/Logging_2281/knärot/A 44416-2019 karta knärot.png", "A 44416-2019")</f>
        <v/>
      </c>
      <c r="V394">
        <f>HYPERLINK("https://klasma.github.io/Logging_2281/klagomål/A 44416-2019 FSC-klagomål.docx", "A 44416-2019")</f>
        <v/>
      </c>
      <c r="W394">
        <f>HYPERLINK("https://klasma.github.io/Logging_2281/klagomålsmail/A 44416-2019 FSC-klagomål mail.docx", "A 44416-2019")</f>
        <v/>
      </c>
      <c r="X394">
        <f>HYPERLINK("https://klasma.github.io/Logging_2281/tillsyn/A 44416-2019 tillsynsbegäran.docx", "A 44416-2019")</f>
        <v/>
      </c>
      <c r="Y394">
        <f>HYPERLINK("https://klasma.github.io/Logging_2281/tillsynsmail/A 44416-2019 tillsynsbegäran mail.docx", "A 44416-2019")</f>
        <v/>
      </c>
    </row>
    <row r="395" ht="15" customHeight="1">
      <c r="A395" t="inlineStr">
        <is>
          <t>A 44608-2019</t>
        </is>
      </c>
      <c r="B395" s="1" t="n">
        <v>43711</v>
      </c>
      <c r="C395" s="1" t="n">
        <v>45829</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44610-2019</t>
        </is>
      </c>
      <c r="B396" s="1" t="n">
        <v>43711</v>
      </c>
      <c r="C396" s="1" t="n">
        <v>45829</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45960-2019</t>
        </is>
      </c>
      <c r="B397" s="1" t="n">
        <v>43712</v>
      </c>
      <c r="C397" s="1" t="n">
        <v>45829</v>
      </c>
      <c r="D397" t="inlineStr">
        <is>
          <t>VÄSTERNORRLANDS LÄN</t>
        </is>
      </c>
      <c r="E397" t="inlineStr">
        <is>
          <t>SUNDSVALL</t>
        </is>
      </c>
      <c r="F397" t="inlineStr">
        <is>
          <t>Kyrkan</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45964-2019</t>
        </is>
      </c>
      <c r="B398" s="1" t="n">
        <v>43712</v>
      </c>
      <c r="C398" s="1" t="n">
        <v>45829</v>
      </c>
      <c r="D398" t="inlineStr">
        <is>
          <t>VÄSTERNORRLANDS LÄN</t>
        </is>
      </c>
      <c r="E398" t="inlineStr">
        <is>
          <t>SUNDSVALL</t>
        </is>
      </c>
      <c r="F398" t="inlineStr">
        <is>
          <t>Kyrkan</t>
        </is>
      </c>
      <c r="G398" t="n">
        <v>1.9</v>
      </c>
      <c r="H398" t="n">
        <v>0</v>
      </c>
      <c r="I398" t="n">
        <v>0</v>
      </c>
      <c r="J398" t="n">
        <v>0</v>
      </c>
      <c r="K398" t="n">
        <v>0</v>
      </c>
      <c r="L398" t="n">
        <v>0</v>
      </c>
      <c r="M398" t="n">
        <v>0</v>
      </c>
      <c r="N398" t="n">
        <v>0</v>
      </c>
      <c r="O398" t="n">
        <v>0</v>
      </c>
      <c r="P398" t="n">
        <v>0</v>
      </c>
      <c r="Q398" t="n">
        <v>0</v>
      </c>
      <c r="R398" s="2" t="inlineStr"/>
    </row>
    <row r="399" ht="15" customHeight="1">
      <c r="A399" t="inlineStr">
        <is>
          <t>A 44967-2019</t>
        </is>
      </c>
      <c r="B399" s="1" t="n">
        <v>43713</v>
      </c>
      <c r="C399" s="1" t="n">
        <v>45829</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44971-2019</t>
        </is>
      </c>
      <c r="B400" s="1" t="n">
        <v>43713</v>
      </c>
      <c r="C400" s="1" t="n">
        <v>45829</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44922-2019</t>
        </is>
      </c>
      <c r="B401" s="1" t="n">
        <v>43713</v>
      </c>
      <c r="C401" s="1" t="n">
        <v>45829</v>
      </c>
      <c r="D401" t="inlineStr">
        <is>
          <t>VÄSTERNORRLANDS LÄN</t>
        </is>
      </c>
      <c r="E401" t="inlineStr">
        <is>
          <t>SUNDSVALL</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47076-2019</t>
        </is>
      </c>
      <c r="B402" s="1" t="n">
        <v>43720</v>
      </c>
      <c r="C402" s="1" t="n">
        <v>45829</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47807-2019</t>
        </is>
      </c>
      <c r="B403" s="1" t="n">
        <v>43724</v>
      </c>
      <c r="C403" s="1" t="n">
        <v>45829</v>
      </c>
      <c r="D403" t="inlineStr">
        <is>
          <t>VÄSTERNORRLANDS LÄN</t>
        </is>
      </c>
      <c r="E403" t="inlineStr">
        <is>
          <t>SUNDSVALL</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47809-2019</t>
        </is>
      </c>
      <c r="B404" s="1" t="n">
        <v>43724</v>
      </c>
      <c r="C404" s="1" t="n">
        <v>45829</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48715-2019</t>
        </is>
      </c>
      <c r="B405" s="1" t="n">
        <v>43727</v>
      </c>
      <c r="C405" s="1" t="n">
        <v>45829</v>
      </c>
      <c r="D405" t="inlineStr">
        <is>
          <t>VÄSTERNORRLANDS LÄN</t>
        </is>
      </c>
      <c r="E405" t="inlineStr">
        <is>
          <t>SUNDSVALL</t>
        </is>
      </c>
      <c r="F405" t="inlineStr">
        <is>
          <t>SCA</t>
        </is>
      </c>
      <c r="G405" t="n">
        <v>76.40000000000001</v>
      </c>
      <c r="H405" t="n">
        <v>0</v>
      </c>
      <c r="I405" t="n">
        <v>0</v>
      </c>
      <c r="J405" t="n">
        <v>0</v>
      </c>
      <c r="K405" t="n">
        <v>0</v>
      </c>
      <c r="L405" t="n">
        <v>0</v>
      </c>
      <c r="M405" t="n">
        <v>0</v>
      </c>
      <c r="N405" t="n">
        <v>0</v>
      </c>
      <c r="O405" t="n">
        <v>0</v>
      </c>
      <c r="P405" t="n">
        <v>0</v>
      </c>
      <c r="Q405" t="n">
        <v>0</v>
      </c>
      <c r="R405" s="2" t="inlineStr"/>
    </row>
    <row r="406" ht="15" customHeight="1">
      <c r="A406" t="inlineStr">
        <is>
          <t>A 49676-2019</t>
        </is>
      </c>
      <c r="B406" s="1" t="n">
        <v>43732</v>
      </c>
      <c r="C406" s="1" t="n">
        <v>45829</v>
      </c>
      <c r="D406" t="inlineStr">
        <is>
          <t>VÄSTERNORRLANDS LÄN</t>
        </is>
      </c>
      <c r="E406" t="inlineStr">
        <is>
          <t>SUNDSVALL</t>
        </is>
      </c>
      <c r="F406" t="inlineStr">
        <is>
          <t>SCA</t>
        </is>
      </c>
      <c r="G406" t="n">
        <v>13.3</v>
      </c>
      <c r="H406" t="n">
        <v>0</v>
      </c>
      <c r="I406" t="n">
        <v>0</v>
      </c>
      <c r="J406" t="n">
        <v>0</v>
      </c>
      <c r="K406" t="n">
        <v>0</v>
      </c>
      <c r="L406" t="n">
        <v>0</v>
      </c>
      <c r="M406" t="n">
        <v>0</v>
      </c>
      <c r="N406" t="n">
        <v>0</v>
      </c>
      <c r="O406" t="n">
        <v>0</v>
      </c>
      <c r="P406" t="n">
        <v>0</v>
      </c>
      <c r="Q406" t="n">
        <v>0</v>
      </c>
      <c r="R406" s="2" t="inlineStr"/>
    </row>
    <row r="407" ht="15" customHeight="1">
      <c r="A407" t="inlineStr">
        <is>
          <t>A 49978-2019</t>
        </is>
      </c>
      <c r="B407" s="1" t="n">
        <v>43733</v>
      </c>
      <c r="C407" s="1" t="n">
        <v>45829</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49990-2019</t>
        </is>
      </c>
      <c r="B408" s="1" t="n">
        <v>43733</v>
      </c>
      <c r="C408" s="1" t="n">
        <v>45829</v>
      </c>
      <c r="D408" t="inlineStr">
        <is>
          <t>VÄSTERNORRLANDS LÄN</t>
        </is>
      </c>
      <c r="E408" t="inlineStr">
        <is>
          <t>SUNDSVALL</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49984-2019</t>
        </is>
      </c>
      <c r="B409" s="1" t="n">
        <v>43733</v>
      </c>
      <c r="C409" s="1" t="n">
        <v>45829</v>
      </c>
      <c r="D409" t="inlineStr">
        <is>
          <t>VÄSTERNORRLANDS LÄN</t>
        </is>
      </c>
      <c r="E409" t="inlineStr">
        <is>
          <t>SUNDSVALL</t>
        </is>
      </c>
      <c r="G409" t="n">
        <v>1.9</v>
      </c>
      <c r="H409" t="n">
        <v>0</v>
      </c>
      <c r="I409" t="n">
        <v>0</v>
      </c>
      <c r="J409" t="n">
        <v>0</v>
      </c>
      <c r="K409" t="n">
        <v>0</v>
      </c>
      <c r="L409" t="n">
        <v>0</v>
      </c>
      <c r="M409" t="n">
        <v>0</v>
      </c>
      <c r="N409" t="n">
        <v>0</v>
      </c>
      <c r="O409" t="n">
        <v>0</v>
      </c>
      <c r="P409" t="n">
        <v>0</v>
      </c>
      <c r="Q409" t="n">
        <v>0</v>
      </c>
      <c r="R409" s="2" t="inlineStr"/>
    </row>
    <row r="410" ht="15" customHeight="1">
      <c r="A410" t="inlineStr">
        <is>
          <t>A 50118-2019</t>
        </is>
      </c>
      <c r="B410" s="1" t="n">
        <v>43734</v>
      </c>
      <c r="C410" s="1" t="n">
        <v>45829</v>
      </c>
      <c r="D410" t="inlineStr">
        <is>
          <t>VÄSTERNORRLANDS LÄN</t>
        </is>
      </c>
      <c r="E410" t="inlineStr">
        <is>
          <t>SUNDSVALL</t>
        </is>
      </c>
      <c r="G410" t="n">
        <v>1.4</v>
      </c>
      <c r="H410" t="n">
        <v>0</v>
      </c>
      <c r="I410" t="n">
        <v>0</v>
      </c>
      <c r="J410" t="n">
        <v>0</v>
      </c>
      <c r="K410" t="n">
        <v>0</v>
      </c>
      <c r="L410" t="n">
        <v>0</v>
      </c>
      <c r="M410" t="n">
        <v>0</v>
      </c>
      <c r="N410" t="n">
        <v>0</v>
      </c>
      <c r="O410" t="n">
        <v>0</v>
      </c>
      <c r="P410" t="n">
        <v>0</v>
      </c>
      <c r="Q410" t="n">
        <v>0</v>
      </c>
      <c r="R410" s="2" t="inlineStr"/>
    </row>
    <row r="411" ht="15" customHeight="1">
      <c r="A411" t="inlineStr">
        <is>
          <t>A 50530-2019</t>
        </is>
      </c>
      <c r="B411" s="1" t="n">
        <v>43735</v>
      </c>
      <c r="C411" s="1" t="n">
        <v>45829</v>
      </c>
      <c r="D411" t="inlineStr">
        <is>
          <t>VÄSTERNORRLANDS LÄN</t>
        </is>
      </c>
      <c r="E411" t="inlineStr">
        <is>
          <t>SUNDSVALL</t>
        </is>
      </c>
      <c r="G411" t="n">
        <v>3</v>
      </c>
      <c r="H411" t="n">
        <v>0</v>
      </c>
      <c r="I411" t="n">
        <v>0</v>
      </c>
      <c r="J411" t="n">
        <v>0</v>
      </c>
      <c r="K411" t="n">
        <v>0</v>
      </c>
      <c r="L411" t="n">
        <v>0</v>
      </c>
      <c r="M411" t="n">
        <v>0</v>
      </c>
      <c r="N411" t="n">
        <v>0</v>
      </c>
      <c r="O411" t="n">
        <v>0</v>
      </c>
      <c r="P411" t="n">
        <v>0</v>
      </c>
      <c r="Q411" t="n">
        <v>0</v>
      </c>
      <c r="R411" s="2" t="inlineStr"/>
    </row>
    <row r="412" ht="15" customHeight="1">
      <c r="A412" t="inlineStr">
        <is>
          <t>A 50605-2019</t>
        </is>
      </c>
      <c r="B412" s="1" t="n">
        <v>43735</v>
      </c>
      <c r="C412" s="1" t="n">
        <v>45829</v>
      </c>
      <c r="D412" t="inlineStr">
        <is>
          <t>VÄSTERNORRLANDS LÄN</t>
        </is>
      </c>
      <c r="E412" t="inlineStr">
        <is>
          <t>SUNDSVALL</t>
        </is>
      </c>
      <c r="G412" t="n">
        <v>5.1</v>
      </c>
      <c r="H412" t="n">
        <v>0</v>
      </c>
      <c r="I412" t="n">
        <v>0</v>
      </c>
      <c r="J412" t="n">
        <v>0</v>
      </c>
      <c r="K412" t="n">
        <v>0</v>
      </c>
      <c r="L412" t="n">
        <v>0</v>
      </c>
      <c r="M412" t="n">
        <v>0</v>
      </c>
      <c r="N412" t="n">
        <v>0</v>
      </c>
      <c r="O412" t="n">
        <v>0</v>
      </c>
      <c r="P412" t="n">
        <v>0</v>
      </c>
      <c r="Q412" t="n">
        <v>0</v>
      </c>
      <c r="R412" s="2" t="inlineStr"/>
    </row>
    <row r="413" ht="15" customHeight="1">
      <c r="A413" t="inlineStr">
        <is>
          <t>A 50965-2019</t>
        </is>
      </c>
      <c r="B413" s="1" t="n">
        <v>43738</v>
      </c>
      <c r="C413" s="1" t="n">
        <v>45829</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50992-2019</t>
        </is>
      </c>
      <c r="B414" s="1" t="n">
        <v>43738</v>
      </c>
      <c r="C414" s="1" t="n">
        <v>45829</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51072-2019</t>
        </is>
      </c>
      <c r="B415" s="1" t="n">
        <v>43738</v>
      </c>
      <c r="C415" s="1" t="n">
        <v>45829</v>
      </c>
      <c r="D415" t="inlineStr">
        <is>
          <t>VÄSTERNORRLANDS LÄN</t>
        </is>
      </c>
      <c r="E415" t="inlineStr">
        <is>
          <t>SUNDSVALL</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51685-2019</t>
        </is>
      </c>
      <c r="B416" s="1" t="n">
        <v>43740</v>
      </c>
      <c r="C416" s="1" t="n">
        <v>45829</v>
      </c>
      <c r="D416" t="inlineStr">
        <is>
          <t>VÄSTERNORRLANDS LÄN</t>
        </is>
      </c>
      <c r="E416" t="inlineStr">
        <is>
          <t>SUNDSVALL</t>
        </is>
      </c>
      <c r="G416" t="n">
        <v>8.6</v>
      </c>
      <c r="H416" t="n">
        <v>0</v>
      </c>
      <c r="I416" t="n">
        <v>0</v>
      </c>
      <c r="J416" t="n">
        <v>0</v>
      </c>
      <c r="K416" t="n">
        <v>0</v>
      </c>
      <c r="L416" t="n">
        <v>0</v>
      </c>
      <c r="M416" t="n">
        <v>0</v>
      </c>
      <c r="N416" t="n">
        <v>0</v>
      </c>
      <c r="O416" t="n">
        <v>0</v>
      </c>
      <c r="P416" t="n">
        <v>0</v>
      </c>
      <c r="Q416" t="n">
        <v>0</v>
      </c>
      <c r="R416" s="2" t="inlineStr"/>
    </row>
    <row r="417" ht="15" customHeight="1">
      <c r="A417" t="inlineStr">
        <is>
          <t>A 52576-2019</t>
        </is>
      </c>
      <c r="B417" s="1" t="n">
        <v>43745</v>
      </c>
      <c r="C417" s="1" t="n">
        <v>45829</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53087-2019</t>
        </is>
      </c>
      <c r="B418" s="1" t="n">
        <v>43747</v>
      </c>
      <c r="C418" s="1" t="n">
        <v>45829</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52952-2019</t>
        </is>
      </c>
      <c r="B419" s="1" t="n">
        <v>43747</v>
      </c>
      <c r="C419" s="1" t="n">
        <v>45829</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54030-2019</t>
        </is>
      </c>
      <c r="B420" s="1" t="n">
        <v>43752</v>
      </c>
      <c r="C420" s="1" t="n">
        <v>45829</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55268-2019</t>
        </is>
      </c>
      <c r="B421" s="1" t="n">
        <v>43753</v>
      </c>
      <c r="C421" s="1" t="n">
        <v>45829</v>
      </c>
      <c r="D421" t="inlineStr">
        <is>
          <t>VÄSTERNORRLANDS LÄN</t>
        </is>
      </c>
      <c r="E421" t="inlineStr">
        <is>
          <t>SUNDSVALL</t>
        </is>
      </c>
      <c r="G421" t="n">
        <v>6.2</v>
      </c>
      <c r="H421" t="n">
        <v>0</v>
      </c>
      <c r="I421" t="n">
        <v>0</v>
      </c>
      <c r="J421" t="n">
        <v>0</v>
      </c>
      <c r="K421" t="n">
        <v>0</v>
      </c>
      <c r="L421" t="n">
        <v>0</v>
      </c>
      <c r="M421" t="n">
        <v>0</v>
      </c>
      <c r="N421" t="n">
        <v>0</v>
      </c>
      <c r="O421" t="n">
        <v>0</v>
      </c>
      <c r="P421" t="n">
        <v>0</v>
      </c>
      <c r="Q421" t="n">
        <v>0</v>
      </c>
      <c r="R421" s="2" t="inlineStr"/>
    </row>
    <row r="422" ht="15" customHeight="1">
      <c r="A422" t="inlineStr">
        <is>
          <t>A 55420-2019</t>
        </is>
      </c>
      <c r="B422" s="1" t="n">
        <v>43758</v>
      </c>
      <c r="C422" s="1" t="n">
        <v>45829</v>
      </c>
      <c r="D422" t="inlineStr">
        <is>
          <t>VÄSTERNORRLANDS LÄN</t>
        </is>
      </c>
      <c r="E422" t="inlineStr">
        <is>
          <t>SUNDSVALL</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56751-2019</t>
        </is>
      </c>
      <c r="B423" s="1" t="n">
        <v>43759</v>
      </c>
      <c r="C423" s="1" t="n">
        <v>45829</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56701-2019</t>
        </is>
      </c>
      <c r="B424" s="1" t="n">
        <v>43759</v>
      </c>
      <c r="C424" s="1" t="n">
        <v>45829</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55600-2019</t>
        </is>
      </c>
      <c r="B425" s="1" t="n">
        <v>43760</v>
      </c>
      <c r="C425" s="1" t="n">
        <v>45829</v>
      </c>
      <c r="D425" t="inlineStr">
        <is>
          <t>VÄSTERNORRLANDS LÄN</t>
        </is>
      </c>
      <c r="E425" t="inlineStr">
        <is>
          <t>SUNDSVALL</t>
        </is>
      </c>
      <c r="G425" t="n">
        <v>13.4</v>
      </c>
      <c r="H425" t="n">
        <v>0</v>
      </c>
      <c r="I425" t="n">
        <v>0</v>
      </c>
      <c r="J425" t="n">
        <v>0</v>
      </c>
      <c r="K425" t="n">
        <v>0</v>
      </c>
      <c r="L425" t="n">
        <v>0</v>
      </c>
      <c r="M425" t="n">
        <v>0</v>
      </c>
      <c r="N425" t="n">
        <v>0</v>
      </c>
      <c r="O425" t="n">
        <v>0</v>
      </c>
      <c r="P425" t="n">
        <v>0</v>
      </c>
      <c r="Q425" t="n">
        <v>0</v>
      </c>
      <c r="R425" s="2" t="inlineStr"/>
    </row>
    <row r="426" ht="15" customHeight="1">
      <c r="A426" t="inlineStr">
        <is>
          <t>A 55603-2019</t>
        </is>
      </c>
      <c r="B426" s="1" t="n">
        <v>43760</v>
      </c>
      <c r="C426" s="1" t="n">
        <v>45829</v>
      </c>
      <c r="D426" t="inlineStr">
        <is>
          <t>VÄSTERNORRLANDS LÄN</t>
        </is>
      </c>
      <c r="E426" t="inlineStr">
        <is>
          <t>SUNDSVALL</t>
        </is>
      </c>
      <c r="G426" t="n">
        <v>13.1</v>
      </c>
      <c r="H426" t="n">
        <v>0</v>
      </c>
      <c r="I426" t="n">
        <v>0</v>
      </c>
      <c r="J426" t="n">
        <v>0</v>
      </c>
      <c r="K426" t="n">
        <v>0</v>
      </c>
      <c r="L426" t="n">
        <v>0</v>
      </c>
      <c r="M426" t="n">
        <v>0</v>
      </c>
      <c r="N426" t="n">
        <v>0</v>
      </c>
      <c r="O426" t="n">
        <v>0</v>
      </c>
      <c r="P426" t="n">
        <v>0</v>
      </c>
      <c r="Q426" t="n">
        <v>0</v>
      </c>
      <c r="R426" s="2" t="inlineStr"/>
    </row>
    <row r="427" ht="15" customHeight="1">
      <c r="A427" t="inlineStr">
        <is>
          <t>A 56016-2019</t>
        </is>
      </c>
      <c r="B427" s="1" t="n">
        <v>43761</v>
      </c>
      <c r="C427" s="1" t="n">
        <v>45829</v>
      </c>
      <c r="D427" t="inlineStr">
        <is>
          <t>VÄSTERNORRLANDS LÄN</t>
        </is>
      </c>
      <c r="E427" t="inlineStr">
        <is>
          <t>SUNDSVALL</t>
        </is>
      </c>
      <c r="G427" t="n">
        <v>7.4</v>
      </c>
      <c r="H427" t="n">
        <v>0</v>
      </c>
      <c r="I427" t="n">
        <v>0</v>
      </c>
      <c r="J427" t="n">
        <v>0</v>
      </c>
      <c r="K427" t="n">
        <v>0</v>
      </c>
      <c r="L427" t="n">
        <v>0</v>
      </c>
      <c r="M427" t="n">
        <v>0</v>
      </c>
      <c r="N427" t="n">
        <v>0</v>
      </c>
      <c r="O427" t="n">
        <v>0</v>
      </c>
      <c r="P427" t="n">
        <v>0</v>
      </c>
      <c r="Q427" t="n">
        <v>0</v>
      </c>
      <c r="R427" s="2" t="inlineStr"/>
    </row>
    <row r="428" ht="15" customHeight="1">
      <c r="A428" t="inlineStr">
        <is>
          <t>A 56071-2019</t>
        </is>
      </c>
      <c r="B428" s="1" t="n">
        <v>43761</v>
      </c>
      <c r="C428" s="1" t="n">
        <v>45829</v>
      </c>
      <c r="D428" t="inlineStr">
        <is>
          <t>VÄSTERNORRLANDS LÄN</t>
        </is>
      </c>
      <c r="E428" t="inlineStr">
        <is>
          <t>SUNDSVALL</t>
        </is>
      </c>
      <c r="G428" t="n">
        <v>12.1</v>
      </c>
      <c r="H428" t="n">
        <v>0</v>
      </c>
      <c r="I428" t="n">
        <v>0</v>
      </c>
      <c r="J428" t="n">
        <v>0</v>
      </c>
      <c r="K428" t="n">
        <v>0</v>
      </c>
      <c r="L428" t="n">
        <v>0</v>
      </c>
      <c r="M428" t="n">
        <v>0</v>
      </c>
      <c r="N428" t="n">
        <v>0</v>
      </c>
      <c r="O428" t="n">
        <v>0</v>
      </c>
      <c r="P428" t="n">
        <v>0</v>
      </c>
      <c r="Q428" t="n">
        <v>0</v>
      </c>
      <c r="R428" s="2" t="inlineStr"/>
    </row>
    <row r="429" ht="15" customHeight="1">
      <c r="A429" t="inlineStr">
        <is>
          <t>A 56180-2019</t>
        </is>
      </c>
      <c r="B429" s="1" t="n">
        <v>43761</v>
      </c>
      <c r="C429" s="1" t="n">
        <v>45829</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56185-2019</t>
        </is>
      </c>
      <c r="B430" s="1" t="n">
        <v>43761</v>
      </c>
      <c r="C430" s="1" t="n">
        <v>45829</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56024-2019</t>
        </is>
      </c>
      <c r="B431" s="1" t="n">
        <v>43761</v>
      </c>
      <c r="C431" s="1" t="n">
        <v>45829</v>
      </c>
      <c r="D431" t="inlineStr">
        <is>
          <t>VÄSTERNORRLANDS LÄN</t>
        </is>
      </c>
      <c r="E431" t="inlineStr">
        <is>
          <t>SUNDSVALL</t>
        </is>
      </c>
      <c r="G431" t="n">
        <v>7.6</v>
      </c>
      <c r="H431" t="n">
        <v>0</v>
      </c>
      <c r="I431" t="n">
        <v>0</v>
      </c>
      <c r="J431" t="n">
        <v>0</v>
      </c>
      <c r="K431" t="n">
        <v>0</v>
      </c>
      <c r="L431" t="n">
        <v>0</v>
      </c>
      <c r="M431" t="n">
        <v>0</v>
      </c>
      <c r="N431" t="n">
        <v>0</v>
      </c>
      <c r="O431" t="n">
        <v>0</v>
      </c>
      <c r="P431" t="n">
        <v>0</v>
      </c>
      <c r="Q431" t="n">
        <v>0</v>
      </c>
      <c r="R431" s="2" t="inlineStr"/>
    </row>
    <row r="432" ht="15" customHeight="1">
      <c r="A432" t="inlineStr">
        <is>
          <t>A 56274-2019</t>
        </is>
      </c>
      <c r="B432" s="1" t="n">
        <v>43762</v>
      </c>
      <c r="C432" s="1" t="n">
        <v>45829</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57797-2019</t>
        </is>
      </c>
      <c r="B433" s="1" t="n">
        <v>43762</v>
      </c>
      <c r="C433" s="1" t="n">
        <v>45829</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57758-2019</t>
        </is>
      </c>
      <c r="B434" s="1" t="n">
        <v>43762</v>
      </c>
      <c r="C434" s="1" t="n">
        <v>45829</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56534-2019</t>
        </is>
      </c>
      <c r="B435" s="1" t="n">
        <v>43763</v>
      </c>
      <c r="C435" s="1" t="n">
        <v>45829</v>
      </c>
      <c r="D435" t="inlineStr">
        <is>
          <t>VÄSTERNORRLANDS LÄN</t>
        </is>
      </c>
      <c r="E435" t="inlineStr">
        <is>
          <t>SUNDSVALL</t>
        </is>
      </c>
      <c r="G435" t="n">
        <v>3.6</v>
      </c>
      <c r="H435" t="n">
        <v>0</v>
      </c>
      <c r="I435" t="n">
        <v>0</v>
      </c>
      <c r="J435" t="n">
        <v>0</v>
      </c>
      <c r="K435" t="n">
        <v>0</v>
      </c>
      <c r="L435" t="n">
        <v>0</v>
      </c>
      <c r="M435" t="n">
        <v>0</v>
      </c>
      <c r="N435" t="n">
        <v>0</v>
      </c>
      <c r="O435" t="n">
        <v>0</v>
      </c>
      <c r="P435" t="n">
        <v>0</v>
      </c>
      <c r="Q435" t="n">
        <v>0</v>
      </c>
      <c r="R435" s="2" t="inlineStr"/>
    </row>
    <row r="436" ht="15" customHeight="1">
      <c r="A436" t="inlineStr">
        <is>
          <t>A 57177-2019</t>
        </is>
      </c>
      <c r="B436" s="1" t="n">
        <v>43766</v>
      </c>
      <c r="C436" s="1" t="n">
        <v>45829</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57175-2019</t>
        </is>
      </c>
      <c r="B437" s="1" t="n">
        <v>43766</v>
      </c>
      <c r="C437" s="1" t="n">
        <v>45829</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57180-2019</t>
        </is>
      </c>
      <c r="B438" s="1" t="n">
        <v>43766</v>
      </c>
      <c r="C438" s="1" t="n">
        <v>45829</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57866-2019</t>
        </is>
      </c>
      <c r="B439" s="1" t="n">
        <v>43768</v>
      </c>
      <c r="C439" s="1" t="n">
        <v>45829</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58171-2019</t>
        </is>
      </c>
      <c r="B440" s="1" t="n">
        <v>43769</v>
      </c>
      <c r="C440" s="1" t="n">
        <v>45829</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59523-2019</t>
        </is>
      </c>
      <c r="B441" s="1" t="n">
        <v>43773</v>
      </c>
      <c r="C441" s="1" t="n">
        <v>45829</v>
      </c>
      <c r="D441" t="inlineStr">
        <is>
          <t>VÄSTERNORRLANDS LÄN</t>
        </is>
      </c>
      <c r="E441" t="inlineStr">
        <is>
          <t>SUNDSVALL</t>
        </is>
      </c>
      <c r="F441" t="inlineStr">
        <is>
          <t>Kyrkan</t>
        </is>
      </c>
      <c r="G441" t="n">
        <v>16.6</v>
      </c>
      <c r="H441" t="n">
        <v>0</v>
      </c>
      <c r="I441" t="n">
        <v>0</v>
      </c>
      <c r="J441" t="n">
        <v>0</v>
      </c>
      <c r="K441" t="n">
        <v>0</v>
      </c>
      <c r="L441" t="n">
        <v>0</v>
      </c>
      <c r="M441" t="n">
        <v>0</v>
      </c>
      <c r="N441" t="n">
        <v>0</v>
      </c>
      <c r="O441" t="n">
        <v>0</v>
      </c>
      <c r="P441" t="n">
        <v>0</v>
      </c>
      <c r="Q441" t="n">
        <v>0</v>
      </c>
      <c r="R441" s="2" t="inlineStr"/>
    </row>
    <row r="442" ht="15" customHeight="1">
      <c r="A442" t="inlineStr">
        <is>
          <t>A 58866-2019</t>
        </is>
      </c>
      <c r="B442" s="1" t="n">
        <v>43774</v>
      </c>
      <c r="C442" s="1" t="n">
        <v>45829</v>
      </c>
      <c r="D442" t="inlineStr">
        <is>
          <t>VÄSTERNORRLANDS LÄN</t>
        </is>
      </c>
      <c r="E442" t="inlineStr">
        <is>
          <t>SUNDSVALL</t>
        </is>
      </c>
      <c r="G442" t="n">
        <v>7.8</v>
      </c>
      <c r="H442" t="n">
        <v>0</v>
      </c>
      <c r="I442" t="n">
        <v>0</v>
      </c>
      <c r="J442" t="n">
        <v>0</v>
      </c>
      <c r="K442" t="n">
        <v>0</v>
      </c>
      <c r="L442" t="n">
        <v>0</v>
      </c>
      <c r="M442" t="n">
        <v>0</v>
      </c>
      <c r="N442" t="n">
        <v>0</v>
      </c>
      <c r="O442" t="n">
        <v>0</v>
      </c>
      <c r="P442" t="n">
        <v>0</v>
      </c>
      <c r="Q442" t="n">
        <v>0</v>
      </c>
      <c r="R442" s="2" t="inlineStr"/>
    </row>
    <row r="443" ht="15" customHeight="1">
      <c r="A443" t="inlineStr">
        <is>
          <t>A 59770-2019</t>
        </is>
      </c>
      <c r="B443" s="1" t="n">
        <v>43776</v>
      </c>
      <c r="C443" s="1" t="n">
        <v>45829</v>
      </c>
      <c r="D443" t="inlineStr">
        <is>
          <t>VÄSTERNORRLANDS LÄN</t>
        </is>
      </c>
      <c r="E443" t="inlineStr">
        <is>
          <t>SUNDSVALL</t>
        </is>
      </c>
      <c r="G443" t="n">
        <v>3.6</v>
      </c>
      <c r="H443" t="n">
        <v>0</v>
      </c>
      <c r="I443" t="n">
        <v>0</v>
      </c>
      <c r="J443" t="n">
        <v>0</v>
      </c>
      <c r="K443" t="n">
        <v>0</v>
      </c>
      <c r="L443" t="n">
        <v>0</v>
      </c>
      <c r="M443" t="n">
        <v>0</v>
      </c>
      <c r="N443" t="n">
        <v>0</v>
      </c>
      <c r="O443" t="n">
        <v>0</v>
      </c>
      <c r="P443" t="n">
        <v>0</v>
      </c>
      <c r="Q443" t="n">
        <v>0</v>
      </c>
      <c r="R443" s="2" t="inlineStr"/>
    </row>
    <row r="444" ht="15" customHeight="1">
      <c r="A444" t="inlineStr">
        <is>
          <t>A 59771-2019</t>
        </is>
      </c>
      <c r="B444" s="1" t="n">
        <v>43776</v>
      </c>
      <c r="C444" s="1" t="n">
        <v>45829</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59772-2019</t>
        </is>
      </c>
      <c r="B445" s="1" t="n">
        <v>43776</v>
      </c>
      <c r="C445" s="1" t="n">
        <v>45829</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60115-2019</t>
        </is>
      </c>
      <c r="B446" s="1" t="n">
        <v>43777</v>
      </c>
      <c r="C446" s="1" t="n">
        <v>45829</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60341-2019</t>
        </is>
      </c>
      <c r="B447" s="1" t="n">
        <v>43780</v>
      </c>
      <c r="C447" s="1" t="n">
        <v>45829</v>
      </c>
      <c r="D447" t="inlineStr">
        <is>
          <t>VÄSTERNORRLANDS LÄN</t>
        </is>
      </c>
      <c r="E447" t="inlineStr">
        <is>
          <t>SUNDSVALL</t>
        </is>
      </c>
      <c r="G447" t="n">
        <v>5</v>
      </c>
      <c r="H447" t="n">
        <v>0</v>
      </c>
      <c r="I447" t="n">
        <v>0</v>
      </c>
      <c r="J447" t="n">
        <v>0</v>
      </c>
      <c r="K447" t="n">
        <v>0</v>
      </c>
      <c r="L447" t="n">
        <v>0</v>
      </c>
      <c r="M447" t="n">
        <v>0</v>
      </c>
      <c r="N447" t="n">
        <v>0</v>
      </c>
      <c r="O447" t="n">
        <v>0</v>
      </c>
      <c r="P447" t="n">
        <v>0</v>
      </c>
      <c r="Q447" t="n">
        <v>0</v>
      </c>
      <c r="R447" s="2" t="inlineStr"/>
    </row>
    <row r="448" ht="15" customHeight="1">
      <c r="A448" t="inlineStr">
        <is>
          <t>A 60588-2019</t>
        </is>
      </c>
      <c r="B448" s="1" t="n">
        <v>43781</v>
      </c>
      <c r="C448" s="1" t="n">
        <v>45829</v>
      </c>
      <c r="D448" t="inlineStr">
        <is>
          <t>VÄSTERNORRLANDS LÄN</t>
        </is>
      </c>
      <c r="E448" t="inlineStr">
        <is>
          <t>SUNDSVALL</t>
        </is>
      </c>
      <c r="G448" t="n">
        <v>5.4</v>
      </c>
      <c r="H448" t="n">
        <v>0</v>
      </c>
      <c r="I448" t="n">
        <v>0</v>
      </c>
      <c r="J448" t="n">
        <v>0</v>
      </c>
      <c r="K448" t="n">
        <v>0</v>
      </c>
      <c r="L448" t="n">
        <v>0</v>
      </c>
      <c r="M448" t="n">
        <v>0</v>
      </c>
      <c r="N448" t="n">
        <v>0</v>
      </c>
      <c r="O448" t="n">
        <v>0</v>
      </c>
      <c r="P448" t="n">
        <v>0</v>
      </c>
      <c r="Q448" t="n">
        <v>0</v>
      </c>
      <c r="R448" s="2" t="inlineStr"/>
    </row>
    <row r="449" ht="15" customHeight="1">
      <c r="A449" t="inlineStr">
        <is>
          <t>A 61197-2019</t>
        </is>
      </c>
      <c r="B449" s="1" t="n">
        <v>43782</v>
      </c>
      <c r="C449" s="1" t="n">
        <v>45829</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61966-2019</t>
        </is>
      </c>
      <c r="B450" s="1" t="n">
        <v>43787</v>
      </c>
      <c r="C450" s="1" t="n">
        <v>45829</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62715-2019</t>
        </is>
      </c>
      <c r="B451" s="1" t="n">
        <v>43789</v>
      </c>
      <c r="C451" s="1" t="n">
        <v>45829</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62833-2019</t>
        </is>
      </c>
      <c r="B452" s="1" t="n">
        <v>43790</v>
      </c>
      <c r="C452" s="1" t="n">
        <v>45829</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62826-2019</t>
        </is>
      </c>
      <c r="B453" s="1" t="n">
        <v>43790</v>
      </c>
      <c r="C453" s="1" t="n">
        <v>45829</v>
      </c>
      <c r="D453" t="inlineStr">
        <is>
          <t>VÄSTERNORRLANDS LÄN</t>
        </is>
      </c>
      <c r="E453" t="inlineStr">
        <is>
          <t>SUNDSVALL</t>
        </is>
      </c>
      <c r="G453" t="n">
        <v>1.6</v>
      </c>
      <c r="H453" t="n">
        <v>0</v>
      </c>
      <c r="I453" t="n">
        <v>0</v>
      </c>
      <c r="J453" t="n">
        <v>0</v>
      </c>
      <c r="K453" t="n">
        <v>0</v>
      </c>
      <c r="L453" t="n">
        <v>0</v>
      </c>
      <c r="M453" t="n">
        <v>0</v>
      </c>
      <c r="N453" t="n">
        <v>0</v>
      </c>
      <c r="O453" t="n">
        <v>0</v>
      </c>
      <c r="P453" t="n">
        <v>0</v>
      </c>
      <c r="Q453" t="n">
        <v>0</v>
      </c>
      <c r="R453" s="2" t="inlineStr"/>
    </row>
    <row r="454" ht="15" customHeight="1">
      <c r="A454" t="inlineStr">
        <is>
          <t>A 63007-2019</t>
        </is>
      </c>
      <c r="B454" s="1" t="n">
        <v>43790</v>
      </c>
      <c r="C454" s="1" t="n">
        <v>45829</v>
      </c>
      <c r="D454" t="inlineStr">
        <is>
          <t>VÄSTERNORRLANDS LÄN</t>
        </is>
      </c>
      <c r="E454" t="inlineStr">
        <is>
          <t>SUNDSVALL</t>
        </is>
      </c>
      <c r="F454" t="inlineStr">
        <is>
          <t>Naturvårdsverket</t>
        </is>
      </c>
      <c r="G454" t="n">
        <v>23.6</v>
      </c>
      <c r="H454" t="n">
        <v>0</v>
      </c>
      <c r="I454" t="n">
        <v>0</v>
      </c>
      <c r="J454" t="n">
        <v>0</v>
      </c>
      <c r="K454" t="n">
        <v>0</v>
      </c>
      <c r="L454" t="n">
        <v>0</v>
      </c>
      <c r="M454" t="n">
        <v>0</v>
      </c>
      <c r="N454" t="n">
        <v>0</v>
      </c>
      <c r="O454" t="n">
        <v>0</v>
      </c>
      <c r="P454" t="n">
        <v>0</v>
      </c>
      <c r="Q454" t="n">
        <v>0</v>
      </c>
      <c r="R454" s="2" t="inlineStr"/>
    </row>
    <row r="455" ht="15" customHeight="1">
      <c r="A455" t="inlineStr">
        <is>
          <t>A 63175-2019</t>
        </is>
      </c>
      <c r="B455" s="1" t="n">
        <v>43791</v>
      </c>
      <c r="C455" s="1" t="n">
        <v>45829</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63111-2019</t>
        </is>
      </c>
      <c r="B456" s="1" t="n">
        <v>43791</v>
      </c>
      <c r="C456" s="1" t="n">
        <v>45829</v>
      </c>
      <c r="D456" t="inlineStr">
        <is>
          <t>VÄSTERNORRLANDS LÄN</t>
        </is>
      </c>
      <c r="E456" t="inlineStr">
        <is>
          <t>SUNDSVALL</t>
        </is>
      </c>
      <c r="G456" t="n">
        <v>1.4</v>
      </c>
      <c r="H456" t="n">
        <v>0</v>
      </c>
      <c r="I456" t="n">
        <v>0</v>
      </c>
      <c r="J456" t="n">
        <v>0</v>
      </c>
      <c r="K456" t="n">
        <v>0</v>
      </c>
      <c r="L456" t="n">
        <v>0</v>
      </c>
      <c r="M456" t="n">
        <v>0</v>
      </c>
      <c r="N456" t="n">
        <v>0</v>
      </c>
      <c r="O456" t="n">
        <v>0</v>
      </c>
      <c r="P456" t="n">
        <v>0</v>
      </c>
      <c r="Q456" t="n">
        <v>0</v>
      </c>
      <c r="R456" s="2" t="inlineStr"/>
    </row>
    <row r="457" ht="15" customHeight="1">
      <c r="A457" t="inlineStr">
        <is>
          <t>A 63315-2019</t>
        </is>
      </c>
      <c r="B457" s="1" t="n">
        <v>43794</v>
      </c>
      <c r="C457" s="1" t="n">
        <v>45829</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63427-2019</t>
        </is>
      </c>
      <c r="B458" s="1" t="n">
        <v>43794</v>
      </c>
      <c r="C458" s="1" t="n">
        <v>45829</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64130-2019</t>
        </is>
      </c>
      <c r="B459" s="1" t="n">
        <v>43796</v>
      </c>
      <c r="C459" s="1" t="n">
        <v>45829</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64245-2019</t>
        </is>
      </c>
      <c r="B460" s="1" t="n">
        <v>43797</v>
      </c>
      <c r="C460" s="1" t="n">
        <v>45829</v>
      </c>
      <c r="D460" t="inlineStr">
        <is>
          <t>VÄSTERNORRLANDS LÄN</t>
        </is>
      </c>
      <c r="E460" t="inlineStr">
        <is>
          <t>SUNDSVALL</t>
        </is>
      </c>
      <c r="G460" t="n">
        <v>4.5</v>
      </c>
      <c r="H460" t="n">
        <v>0</v>
      </c>
      <c r="I460" t="n">
        <v>0</v>
      </c>
      <c r="J460" t="n">
        <v>0</v>
      </c>
      <c r="K460" t="n">
        <v>0</v>
      </c>
      <c r="L460" t="n">
        <v>0</v>
      </c>
      <c r="M460" t="n">
        <v>0</v>
      </c>
      <c r="N460" t="n">
        <v>0</v>
      </c>
      <c r="O460" t="n">
        <v>0</v>
      </c>
      <c r="P460" t="n">
        <v>0</v>
      </c>
      <c r="Q460" t="n">
        <v>0</v>
      </c>
      <c r="R460" s="2" t="inlineStr"/>
    </row>
    <row r="461" ht="15" customHeight="1">
      <c r="A461" t="inlineStr">
        <is>
          <t>A 64405-2019</t>
        </is>
      </c>
      <c r="B461" s="1" t="n">
        <v>43797</v>
      </c>
      <c r="C461" s="1" t="n">
        <v>45829</v>
      </c>
      <c r="D461" t="inlineStr">
        <is>
          <t>VÄSTERNORRLANDS LÄN</t>
        </is>
      </c>
      <c r="E461" t="inlineStr">
        <is>
          <t>SUNDSVALL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64473-2019</t>
        </is>
      </c>
      <c r="B462" s="1" t="n">
        <v>43797</v>
      </c>
      <c r="C462" s="1" t="n">
        <v>45829</v>
      </c>
      <c r="D462" t="inlineStr">
        <is>
          <t>VÄSTERNORRLANDS LÄN</t>
        </is>
      </c>
      <c r="E462" t="inlineStr">
        <is>
          <t>SUNDSVALL</t>
        </is>
      </c>
      <c r="G462" t="n">
        <v>3.3</v>
      </c>
      <c r="H462" t="n">
        <v>0</v>
      </c>
      <c r="I462" t="n">
        <v>0</v>
      </c>
      <c r="J462" t="n">
        <v>0</v>
      </c>
      <c r="K462" t="n">
        <v>0</v>
      </c>
      <c r="L462" t="n">
        <v>0</v>
      </c>
      <c r="M462" t="n">
        <v>0</v>
      </c>
      <c r="N462" t="n">
        <v>0</v>
      </c>
      <c r="O462" t="n">
        <v>0</v>
      </c>
      <c r="P462" t="n">
        <v>0</v>
      </c>
      <c r="Q462" t="n">
        <v>0</v>
      </c>
      <c r="R462" s="2" t="inlineStr"/>
    </row>
    <row r="463" ht="15" customHeight="1">
      <c r="A463" t="inlineStr">
        <is>
          <t>A 64474-2019</t>
        </is>
      </c>
      <c r="B463" s="1" t="n">
        <v>43797</v>
      </c>
      <c r="C463" s="1" t="n">
        <v>45829</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64558-2019</t>
        </is>
      </c>
      <c r="B464" s="1" t="n">
        <v>43798</v>
      </c>
      <c r="C464" s="1" t="n">
        <v>45829</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65039-2019</t>
        </is>
      </c>
      <c r="B465" s="1" t="n">
        <v>43801</v>
      </c>
      <c r="C465" s="1" t="n">
        <v>45829</v>
      </c>
      <c r="D465" t="inlineStr">
        <is>
          <t>VÄSTERNORRLANDS LÄN</t>
        </is>
      </c>
      <c r="E465" t="inlineStr">
        <is>
          <t>SUNDSVALL</t>
        </is>
      </c>
      <c r="G465" t="n">
        <v>4</v>
      </c>
      <c r="H465" t="n">
        <v>0</v>
      </c>
      <c r="I465" t="n">
        <v>0</v>
      </c>
      <c r="J465" t="n">
        <v>0</v>
      </c>
      <c r="K465" t="n">
        <v>0</v>
      </c>
      <c r="L465" t="n">
        <v>0</v>
      </c>
      <c r="M465" t="n">
        <v>0</v>
      </c>
      <c r="N465" t="n">
        <v>0</v>
      </c>
      <c r="O465" t="n">
        <v>0</v>
      </c>
      <c r="P465" t="n">
        <v>0</v>
      </c>
      <c r="Q465" t="n">
        <v>0</v>
      </c>
      <c r="R465" s="2" t="inlineStr"/>
    </row>
    <row r="466" ht="15" customHeight="1">
      <c r="A466" t="inlineStr">
        <is>
          <t>A 65030-2019</t>
        </is>
      </c>
      <c r="B466" s="1" t="n">
        <v>43801</v>
      </c>
      <c r="C466" s="1" t="n">
        <v>45829</v>
      </c>
      <c r="D466" t="inlineStr">
        <is>
          <t>VÄSTERNORRLANDS LÄN</t>
        </is>
      </c>
      <c r="E466" t="inlineStr">
        <is>
          <t>SUNDSVALL</t>
        </is>
      </c>
      <c r="G466" t="n">
        <v>4.7</v>
      </c>
      <c r="H466" t="n">
        <v>0</v>
      </c>
      <c r="I466" t="n">
        <v>0</v>
      </c>
      <c r="J466" t="n">
        <v>0</v>
      </c>
      <c r="K466" t="n">
        <v>0</v>
      </c>
      <c r="L466" t="n">
        <v>0</v>
      </c>
      <c r="M466" t="n">
        <v>0</v>
      </c>
      <c r="N466" t="n">
        <v>0</v>
      </c>
      <c r="O466" t="n">
        <v>0</v>
      </c>
      <c r="P466" t="n">
        <v>0</v>
      </c>
      <c r="Q466" t="n">
        <v>0</v>
      </c>
      <c r="R466" s="2" t="inlineStr"/>
    </row>
    <row r="467" ht="15" customHeight="1">
      <c r="A467" t="inlineStr">
        <is>
          <t>A 66000-2019</t>
        </is>
      </c>
      <c r="B467" s="1" t="n">
        <v>43801</v>
      </c>
      <c r="C467" s="1" t="n">
        <v>45829</v>
      </c>
      <c r="D467" t="inlineStr">
        <is>
          <t>VÄSTERNORRLANDS LÄN</t>
        </is>
      </c>
      <c r="E467" t="inlineStr">
        <is>
          <t>SUNDSVALL</t>
        </is>
      </c>
      <c r="F467" t="inlineStr">
        <is>
          <t>Övriga statliga verk och myndigheter</t>
        </is>
      </c>
      <c r="G467" t="n">
        <v>1.8</v>
      </c>
      <c r="H467" t="n">
        <v>0</v>
      </c>
      <c r="I467" t="n">
        <v>0</v>
      </c>
      <c r="J467" t="n">
        <v>0</v>
      </c>
      <c r="K467" t="n">
        <v>0</v>
      </c>
      <c r="L467" t="n">
        <v>0</v>
      </c>
      <c r="M467" t="n">
        <v>0</v>
      </c>
      <c r="N467" t="n">
        <v>0</v>
      </c>
      <c r="O467" t="n">
        <v>0</v>
      </c>
      <c r="P467" t="n">
        <v>0</v>
      </c>
      <c r="Q467" t="n">
        <v>0</v>
      </c>
      <c r="R467" s="2" t="inlineStr"/>
    </row>
    <row r="468" ht="15" customHeight="1">
      <c r="A468" t="inlineStr">
        <is>
          <t>A 65458-2019</t>
        </is>
      </c>
      <c r="B468" s="1" t="n">
        <v>43803</v>
      </c>
      <c r="C468" s="1" t="n">
        <v>45829</v>
      </c>
      <c r="D468" t="inlineStr">
        <is>
          <t>VÄSTERNORRLANDS LÄN</t>
        </is>
      </c>
      <c r="E468" t="inlineStr">
        <is>
          <t>SUNDSVALL</t>
        </is>
      </c>
      <c r="G468" t="n">
        <v>5</v>
      </c>
      <c r="H468" t="n">
        <v>0</v>
      </c>
      <c r="I468" t="n">
        <v>0</v>
      </c>
      <c r="J468" t="n">
        <v>0</v>
      </c>
      <c r="K468" t="n">
        <v>0</v>
      </c>
      <c r="L468" t="n">
        <v>0</v>
      </c>
      <c r="M468" t="n">
        <v>0</v>
      </c>
      <c r="N468" t="n">
        <v>0</v>
      </c>
      <c r="O468" t="n">
        <v>0</v>
      </c>
      <c r="P468" t="n">
        <v>0</v>
      </c>
      <c r="Q468" t="n">
        <v>0</v>
      </c>
      <c r="R468" s="2" t="inlineStr"/>
    </row>
    <row r="469" ht="15" customHeight="1">
      <c r="A469" t="inlineStr">
        <is>
          <t>A 65919-2019</t>
        </is>
      </c>
      <c r="B469" s="1" t="n">
        <v>43804</v>
      </c>
      <c r="C469" s="1" t="n">
        <v>45829</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66704-2019</t>
        </is>
      </c>
      <c r="B470" s="1" t="n">
        <v>43809</v>
      </c>
      <c r="C470" s="1" t="n">
        <v>45829</v>
      </c>
      <c r="D470" t="inlineStr">
        <is>
          <t>VÄSTERNORRLANDS LÄN</t>
        </is>
      </c>
      <c r="E470" t="inlineStr">
        <is>
          <t>SUNDSVALL</t>
        </is>
      </c>
      <c r="F470" t="inlineStr">
        <is>
          <t>Naturvårdsverket</t>
        </is>
      </c>
      <c r="G470" t="n">
        <v>3.7</v>
      </c>
      <c r="H470" t="n">
        <v>0</v>
      </c>
      <c r="I470" t="n">
        <v>0</v>
      </c>
      <c r="J470" t="n">
        <v>0</v>
      </c>
      <c r="K470" t="n">
        <v>0</v>
      </c>
      <c r="L470" t="n">
        <v>0</v>
      </c>
      <c r="M470" t="n">
        <v>0</v>
      </c>
      <c r="N470" t="n">
        <v>0</v>
      </c>
      <c r="O470" t="n">
        <v>0</v>
      </c>
      <c r="P470" t="n">
        <v>0</v>
      </c>
      <c r="Q470" t="n">
        <v>0</v>
      </c>
      <c r="R470" s="2" t="inlineStr"/>
    </row>
    <row r="471" ht="15" customHeight="1">
      <c r="A471" t="inlineStr">
        <is>
          <t>A 66699-2019</t>
        </is>
      </c>
      <c r="B471" s="1" t="n">
        <v>43809</v>
      </c>
      <c r="C471" s="1" t="n">
        <v>45829</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66707-2019</t>
        </is>
      </c>
      <c r="B472" s="1" t="n">
        <v>43809</v>
      </c>
      <c r="C472" s="1" t="n">
        <v>45829</v>
      </c>
      <c r="D472" t="inlineStr">
        <is>
          <t>VÄSTERNORRLANDS LÄN</t>
        </is>
      </c>
      <c r="E472" t="inlineStr">
        <is>
          <t>SUNDSVALL</t>
        </is>
      </c>
      <c r="F472" t="inlineStr">
        <is>
          <t>Naturvårdsverket</t>
        </is>
      </c>
      <c r="G472" t="n">
        <v>1.1</v>
      </c>
      <c r="H472" t="n">
        <v>0</v>
      </c>
      <c r="I472" t="n">
        <v>0</v>
      </c>
      <c r="J472" t="n">
        <v>0</v>
      </c>
      <c r="K472" t="n">
        <v>0</v>
      </c>
      <c r="L472" t="n">
        <v>0</v>
      </c>
      <c r="M472" t="n">
        <v>0</v>
      </c>
      <c r="N472" t="n">
        <v>0</v>
      </c>
      <c r="O472" t="n">
        <v>0</v>
      </c>
      <c r="P472" t="n">
        <v>0</v>
      </c>
      <c r="Q472" t="n">
        <v>0</v>
      </c>
      <c r="R472" s="2" t="inlineStr"/>
    </row>
    <row r="473" ht="15" customHeight="1">
      <c r="A473" t="inlineStr">
        <is>
          <t>A 66706-2019</t>
        </is>
      </c>
      <c r="B473" s="1" t="n">
        <v>43809</v>
      </c>
      <c r="C473" s="1" t="n">
        <v>45829</v>
      </c>
      <c r="D473" t="inlineStr">
        <is>
          <t>VÄSTERNORRLANDS LÄN</t>
        </is>
      </c>
      <c r="E473" t="inlineStr">
        <is>
          <t>SUNDSVALL</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66708-2019</t>
        </is>
      </c>
      <c r="B474" s="1" t="n">
        <v>43809</v>
      </c>
      <c r="C474" s="1" t="n">
        <v>45829</v>
      </c>
      <c r="D474" t="inlineStr">
        <is>
          <t>VÄSTERNORRLANDS LÄN</t>
        </is>
      </c>
      <c r="E474" t="inlineStr">
        <is>
          <t>SUNDSVALL</t>
        </is>
      </c>
      <c r="F474" t="inlineStr">
        <is>
          <t>Naturvårdsverket</t>
        </is>
      </c>
      <c r="G474" t="n">
        <v>0.9</v>
      </c>
      <c r="H474" t="n">
        <v>0</v>
      </c>
      <c r="I474" t="n">
        <v>0</v>
      </c>
      <c r="J474" t="n">
        <v>0</v>
      </c>
      <c r="K474" t="n">
        <v>0</v>
      </c>
      <c r="L474" t="n">
        <v>0</v>
      </c>
      <c r="M474" t="n">
        <v>0</v>
      </c>
      <c r="N474" t="n">
        <v>0</v>
      </c>
      <c r="O474" t="n">
        <v>0</v>
      </c>
      <c r="P474" t="n">
        <v>0</v>
      </c>
      <c r="Q474" t="n">
        <v>0</v>
      </c>
      <c r="R474" s="2" t="inlineStr"/>
    </row>
    <row r="475" ht="15" customHeight="1">
      <c r="A475" t="inlineStr">
        <is>
          <t>A 66705-2019</t>
        </is>
      </c>
      <c r="B475" s="1" t="n">
        <v>43809</v>
      </c>
      <c r="C475" s="1" t="n">
        <v>45829</v>
      </c>
      <c r="D475" t="inlineStr">
        <is>
          <t>VÄSTERNORRLANDS LÄN</t>
        </is>
      </c>
      <c r="E475" t="inlineStr">
        <is>
          <t>SUNDSVALL</t>
        </is>
      </c>
      <c r="F475" t="inlineStr">
        <is>
          <t>Naturvårdsverket</t>
        </is>
      </c>
      <c r="G475" t="n">
        <v>1.4</v>
      </c>
      <c r="H475" t="n">
        <v>0</v>
      </c>
      <c r="I475" t="n">
        <v>0</v>
      </c>
      <c r="J475" t="n">
        <v>0</v>
      </c>
      <c r="K475" t="n">
        <v>0</v>
      </c>
      <c r="L475" t="n">
        <v>0</v>
      </c>
      <c r="M475" t="n">
        <v>0</v>
      </c>
      <c r="N475" t="n">
        <v>0</v>
      </c>
      <c r="O475" t="n">
        <v>0</v>
      </c>
      <c r="P475" t="n">
        <v>0</v>
      </c>
      <c r="Q475" t="n">
        <v>0</v>
      </c>
      <c r="R475" s="2" t="inlineStr"/>
    </row>
    <row r="476" ht="15" customHeight="1">
      <c r="A476" t="inlineStr">
        <is>
          <t>A 66969-2019</t>
        </is>
      </c>
      <c r="B476" s="1" t="n">
        <v>43810</v>
      </c>
      <c r="C476" s="1" t="n">
        <v>45829</v>
      </c>
      <c r="D476" t="inlineStr">
        <is>
          <t>VÄSTERNORRLANDS LÄN</t>
        </is>
      </c>
      <c r="E476" t="inlineStr">
        <is>
          <t>SUNDSVALL</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66998-2019</t>
        </is>
      </c>
      <c r="B477" s="1" t="n">
        <v>43811</v>
      </c>
      <c r="C477" s="1" t="n">
        <v>45829</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68788-2019</t>
        </is>
      </c>
      <c r="B478" s="1" t="n">
        <v>43815</v>
      </c>
      <c r="C478" s="1" t="n">
        <v>45829</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69043-2019</t>
        </is>
      </c>
      <c r="B479" s="1" t="n">
        <v>43826</v>
      </c>
      <c r="C479" s="1" t="n">
        <v>45829</v>
      </c>
      <c r="D479" t="inlineStr">
        <is>
          <t>VÄSTERNORRLANDS LÄN</t>
        </is>
      </c>
      <c r="E479" t="inlineStr">
        <is>
          <t>SUNDSVALL</t>
        </is>
      </c>
      <c r="F479" t="inlineStr">
        <is>
          <t>Kommuner</t>
        </is>
      </c>
      <c r="G479" t="n">
        <v>3.9</v>
      </c>
      <c r="H479" t="n">
        <v>0</v>
      </c>
      <c r="I479" t="n">
        <v>0</v>
      </c>
      <c r="J479" t="n">
        <v>0</v>
      </c>
      <c r="K479" t="n">
        <v>0</v>
      </c>
      <c r="L479" t="n">
        <v>0</v>
      </c>
      <c r="M479" t="n">
        <v>0</v>
      </c>
      <c r="N479" t="n">
        <v>0</v>
      </c>
      <c r="O479" t="n">
        <v>0</v>
      </c>
      <c r="P479" t="n">
        <v>0</v>
      </c>
      <c r="Q479" t="n">
        <v>0</v>
      </c>
      <c r="R479" s="2" t="inlineStr"/>
    </row>
    <row r="480" ht="15" customHeight="1">
      <c r="A480" t="inlineStr">
        <is>
          <t>A 69040-2019</t>
        </is>
      </c>
      <c r="B480" s="1" t="n">
        <v>43826</v>
      </c>
      <c r="C480" s="1" t="n">
        <v>45829</v>
      </c>
      <c r="D480" t="inlineStr">
        <is>
          <t>VÄSTERNORRLANDS LÄN</t>
        </is>
      </c>
      <c r="E480" t="inlineStr">
        <is>
          <t>SUNDSVALL</t>
        </is>
      </c>
      <c r="F480" t="inlineStr">
        <is>
          <t>Kommuner</t>
        </is>
      </c>
      <c r="G480" t="n">
        <v>6.1</v>
      </c>
      <c r="H480" t="n">
        <v>0</v>
      </c>
      <c r="I480" t="n">
        <v>0</v>
      </c>
      <c r="J480" t="n">
        <v>0</v>
      </c>
      <c r="K480" t="n">
        <v>0</v>
      </c>
      <c r="L480" t="n">
        <v>0</v>
      </c>
      <c r="M480" t="n">
        <v>0</v>
      </c>
      <c r="N480" t="n">
        <v>0</v>
      </c>
      <c r="O480" t="n">
        <v>0</v>
      </c>
      <c r="P480" t="n">
        <v>0</v>
      </c>
      <c r="Q480" t="n">
        <v>0</v>
      </c>
      <c r="R480" s="2" t="inlineStr"/>
    </row>
    <row r="481" ht="15" customHeight="1">
      <c r="A481" t="inlineStr">
        <is>
          <t>A 69042-2019</t>
        </is>
      </c>
      <c r="B481" s="1" t="n">
        <v>43826</v>
      </c>
      <c r="C481" s="1" t="n">
        <v>45829</v>
      </c>
      <c r="D481" t="inlineStr">
        <is>
          <t>VÄSTERNORRLANDS LÄN</t>
        </is>
      </c>
      <c r="E481" t="inlineStr">
        <is>
          <t>SUNDSVALL</t>
        </is>
      </c>
      <c r="F481" t="inlineStr">
        <is>
          <t>Kommuner</t>
        </is>
      </c>
      <c r="G481" t="n">
        <v>5.5</v>
      </c>
      <c r="H481" t="n">
        <v>0</v>
      </c>
      <c r="I481" t="n">
        <v>0</v>
      </c>
      <c r="J481" t="n">
        <v>0</v>
      </c>
      <c r="K481" t="n">
        <v>0</v>
      </c>
      <c r="L481" t="n">
        <v>0</v>
      </c>
      <c r="M481" t="n">
        <v>0</v>
      </c>
      <c r="N481" t="n">
        <v>0</v>
      </c>
      <c r="O481" t="n">
        <v>0</v>
      </c>
      <c r="P481" t="n">
        <v>0</v>
      </c>
      <c r="Q481" t="n">
        <v>0</v>
      </c>
      <c r="R481" s="2" t="inlineStr"/>
    </row>
    <row r="482" ht="15" customHeight="1">
      <c r="A482" t="inlineStr">
        <is>
          <t>A 113-2020</t>
        </is>
      </c>
      <c r="B482" s="1" t="n">
        <v>43832</v>
      </c>
      <c r="C482" s="1" t="n">
        <v>45829</v>
      </c>
      <c r="D482" t="inlineStr">
        <is>
          <t>VÄSTERNORRLANDS LÄN</t>
        </is>
      </c>
      <c r="E482" t="inlineStr">
        <is>
          <t>SUNDSVALL</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503-2020</t>
        </is>
      </c>
      <c r="B483" s="1" t="n">
        <v>43837</v>
      </c>
      <c r="C483" s="1" t="n">
        <v>45829</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473-2020</t>
        </is>
      </c>
      <c r="B484" s="1" t="n">
        <v>43837</v>
      </c>
      <c r="C484" s="1" t="n">
        <v>45829</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803-2020</t>
        </is>
      </c>
      <c r="B485" s="1" t="n">
        <v>43838</v>
      </c>
      <c r="C485" s="1" t="n">
        <v>45829</v>
      </c>
      <c r="D485" t="inlineStr">
        <is>
          <t>VÄSTERNORRLANDS LÄN</t>
        </is>
      </c>
      <c r="E485" t="inlineStr">
        <is>
          <t>SUNDSVALL</t>
        </is>
      </c>
      <c r="G485" t="n">
        <v>7</v>
      </c>
      <c r="H485" t="n">
        <v>0</v>
      </c>
      <c r="I485" t="n">
        <v>0</v>
      </c>
      <c r="J485" t="n">
        <v>0</v>
      </c>
      <c r="K485" t="n">
        <v>0</v>
      </c>
      <c r="L485" t="n">
        <v>0</v>
      </c>
      <c r="M485" t="n">
        <v>0</v>
      </c>
      <c r="N485" t="n">
        <v>0</v>
      </c>
      <c r="O485" t="n">
        <v>0</v>
      </c>
      <c r="P485" t="n">
        <v>0</v>
      </c>
      <c r="Q485" t="n">
        <v>0</v>
      </c>
      <c r="R485" s="2" t="inlineStr"/>
    </row>
    <row r="486" ht="15" customHeight="1">
      <c r="A486" t="inlineStr">
        <is>
          <t>A 805-2020</t>
        </is>
      </c>
      <c r="B486" s="1" t="n">
        <v>43838</v>
      </c>
      <c r="C486" s="1" t="n">
        <v>45829</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1280-2020</t>
        </is>
      </c>
      <c r="B487" s="1" t="n">
        <v>43842</v>
      </c>
      <c r="C487" s="1" t="n">
        <v>45829</v>
      </c>
      <c r="D487" t="inlineStr">
        <is>
          <t>VÄSTERNORRLANDS LÄN</t>
        </is>
      </c>
      <c r="E487" t="inlineStr">
        <is>
          <t>SUNDSVALL</t>
        </is>
      </c>
      <c r="G487" t="n">
        <v>1</v>
      </c>
      <c r="H487" t="n">
        <v>0</v>
      </c>
      <c r="I487" t="n">
        <v>0</v>
      </c>
      <c r="J487" t="n">
        <v>0</v>
      </c>
      <c r="K487" t="n">
        <v>0</v>
      </c>
      <c r="L487" t="n">
        <v>0</v>
      </c>
      <c r="M487" t="n">
        <v>0</v>
      </c>
      <c r="N487" t="n">
        <v>0</v>
      </c>
      <c r="O487" t="n">
        <v>0</v>
      </c>
      <c r="P487" t="n">
        <v>0</v>
      </c>
      <c r="Q487" t="n">
        <v>0</v>
      </c>
      <c r="R487" s="2" t="inlineStr"/>
    </row>
    <row r="488" ht="15" customHeight="1">
      <c r="A488" t="inlineStr">
        <is>
          <t>A 1856-2020</t>
        </is>
      </c>
      <c r="B488" s="1" t="n">
        <v>43844</v>
      </c>
      <c r="C488" s="1" t="n">
        <v>45829</v>
      </c>
      <c r="D488" t="inlineStr">
        <is>
          <t>VÄSTERNORRLANDS LÄN</t>
        </is>
      </c>
      <c r="E488" t="inlineStr">
        <is>
          <t>SUNDSVALL</t>
        </is>
      </c>
      <c r="G488" t="n">
        <v>3.8</v>
      </c>
      <c r="H488" t="n">
        <v>0</v>
      </c>
      <c r="I488" t="n">
        <v>0</v>
      </c>
      <c r="J488" t="n">
        <v>0</v>
      </c>
      <c r="K488" t="n">
        <v>0</v>
      </c>
      <c r="L488" t="n">
        <v>0</v>
      </c>
      <c r="M488" t="n">
        <v>0</v>
      </c>
      <c r="N488" t="n">
        <v>0</v>
      </c>
      <c r="O488" t="n">
        <v>0</v>
      </c>
      <c r="P488" t="n">
        <v>0</v>
      </c>
      <c r="Q488" t="n">
        <v>0</v>
      </c>
      <c r="R488" s="2" t="inlineStr"/>
    </row>
    <row r="489" ht="15" customHeight="1">
      <c r="A489" t="inlineStr">
        <is>
          <t>A 1655-2020</t>
        </is>
      </c>
      <c r="B489" s="1" t="n">
        <v>43844</v>
      </c>
      <c r="C489" s="1" t="n">
        <v>45829</v>
      </c>
      <c r="D489" t="inlineStr">
        <is>
          <t>VÄSTERNORRLANDS LÄN</t>
        </is>
      </c>
      <c r="E489" t="inlineStr">
        <is>
          <t>SUNDSVALL</t>
        </is>
      </c>
      <c r="G489" t="n">
        <v>4.3</v>
      </c>
      <c r="H489" t="n">
        <v>0</v>
      </c>
      <c r="I489" t="n">
        <v>0</v>
      </c>
      <c r="J489" t="n">
        <v>0</v>
      </c>
      <c r="K489" t="n">
        <v>0</v>
      </c>
      <c r="L489" t="n">
        <v>0</v>
      </c>
      <c r="M489" t="n">
        <v>0</v>
      </c>
      <c r="N489" t="n">
        <v>0</v>
      </c>
      <c r="O489" t="n">
        <v>0</v>
      </c>
      <c r="P489" t="n">
        <v>0</v>
      </c>
      <c r="Q489" t="n">
        <v>0</v>
      </c>
      <c r="R489" s="2" t="inlineStr"/>
    </row>
    <row r="490" ht="15" customHeight="1">
      <c r="A490" t="inlineStr">
        <is>
          <t>A 1639-2020</t>
        </is>
      </c>
      <c r="B490" s="1" t="n">
        <v>43844</v>
      </c>
      <c r="C490" s="1" t="n">
        <v>45829</v>
      </c>
      <c r="D490" t="inlineStr">
        <is>
          <t>VÄSTERNORRLANDS LÄN</t>
        </is>
      </c>
      <c r="E490" t="inlineStr">
        <is>
          <t>SUNDSVALL</t>
        </is>
      </c>
      <c r="G490" t="n">
        <v>5.2</v>
      </c>
      <c r="H490" t="n">
        <v>0</v>
      </c>
      <c r="I490" t="n">
        <v>0</v>
      </c>
      <c r="J490" t="n">
        <v>0</v>
      </c>
      <c r="K490" t="n">
        <v>0</v>
      </c>
      <c r="L490" t="n">
        <v>0</v>
      </c>
      <c r="M490" t="n">
        <v>0</v>
      </c>
      <c r="N490" t="n">
        <v>0</v>
      </c>
      <c r="O490" t="n">
        <v>0</v>
      </c>
      <c r="P490" t="n">
        <v>0</v>
      </c>
      <c r="Q490" t="n">
        <v>0</v>
      </c>
      <c r="R490" s="2" t="inlineStr"/>
    </row>
    <row r="491" ht="15" customHeight="1">
      <c r="A491" t="inlineStr">
        <is>
          <t>A 1946-2020</t>
        </is>
      </c>
      <c r="B491" s="1" t="n">
        <v>43845</v>
      </c>
      <c r="C491" s="1" t="n">
        <v>45829</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2052-2020</t>
        </is>
      </c>
      <c r="B492" s="1" t="n">
        <v>43845</v>
      </c>
      <c r="C492" s="1" t="n">
        <v>45829</v>
      </c>
      <c r="D492" t="inlineStr">
        <is>
          <t>VÄSTERNORRLANDS LÄN</t>
        </is>
      </c>
      <c r="E492" t="inlineStr">
        <is>
          <t>SUNDSVALL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2100-2020</t>
        </is>
      </c>
      <c r="B493" s="1" t="n">
        <v>43845</v>
      </c>
      <c r="C493" s="1" t="n">
        <v>45829</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1919-2020</t>
        </is>
      </c>
      <c r="B494" s="1" t="n">
        <v>43845</v>
      </c>
      <c r="C494" s="1" t="n">
        <v>45829</v>
      </c>
      <c r="D494" t="inlineStr">
        <is>
          <t>VÄSTERNORRLANDS LÄN</t>
        </is>
      </c>
      <c r="E494" t="inlineStr">
        <is>
          <t>SUNDSVALL</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1928-2020</t>
        </is>
      </c>
      <c r="B495" s="1" t="n">
        <v>43845</v>
      </c>
      <c r="C495" s="1" t="n">
        <v>45829</v>
      </c>
      <c r="D495" t="inlineStr">
        <is>
          <t>VÄSTERNORRLANDS LÄN</t>
        </is>
      </c>
      <c r="E495" t="inlineStr">
        <is>
          <t>SUNDSVALL</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1937-2020</t>
        </is>
      </c>
      <c r="B496" s="1" t="n">
        <v>43845</v>
      </c>
      <c r="C496" s="1" t="n">
        <v>45829</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2065-2020</t>
        </is>
      </c>
      <c r="B497" s="1" t="n">
        <v>43845</v>
      </c>
      <c r="C497" s="1" t="n">
        <v>45829</v>
      </c>
      <c r="D497" t="inlineStr">
        <is>
          <t>VÄSTERNORRLANDS LÄN</t>
        </is>
      </c>
      <c r="E497" t="inlineStr">
        <is>
          <t>SUNDSVALL</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1979-2020</t>
        </is>
      </c>
      <c r="B498" s="1" t="n">
        <v>43845</v>
      </c>
      <c r="C498" s="1" t="n">
        <v>45829</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3550-2020</t>
        </is>
      </c>
      <c r="B499" s="1" t="n">
        <v>43845</v>
      </c>
      <c r="C499" s="1" t="n">
        <v>45829</v>
      </c>
      <c r="D499" t="inlineStr">
        <is>
          <t>VÄSTERNORRLANDS LÄN</t>
        </is>
      </c>
      <c r="E499" t="inlineStr">
        <is>
          <t>SUNDSVALL</t>
        </is>
      </c>
      <c r="F499" t="inlineStr">
        <is>
          <t>Övriga statliga verk och myndigheter</t>
        </is>
      </c>
      <c r="G499" t="n">
        <v>0.9</v>
      </c>
      <c r="H499" t="n">
        <v>0</v>
      </c>
      <c r="I499" t="n">
        <v>0</v>
      </c>
      <c r="J499" t="n">
        <v>0</v>
      </c>
      <c r="K499" t="n">
        <v>0</v>
      </c>
      <c r="L499" t="n">
        <v>0</v>
      </c>
      <c r="M499" t="n">
        <v>0</v>
      </c>
      <c r="N499" t="n">
        <v>0</v>
      </c>
      <c r="O499" t="n">
        <v>0</v>
      </c>
      <c r="P499" t="n">
        <v>0</v>
      </c>
      <c r="Q499" t="n">
        <v>0</v>
      </c>
      <c r="R499" s="2" t="inlineStr"/>
    </row>
    <row r="500" ht="15" customHeight="1">
      <c r="A500" t="inlineStr">
        <is>
          <t>A 2106-2020</t>
        </is>
      </c>
      <c r="B500" s="1" t="n">
        <v>43845</v>
      </c>
      <c r="C500" s="1" t="n">
        <v>45829</v>
      </c>
      <c r="D500" t="inlineStr">
        <is>
          <t>VÄSTERNORRLANDS LÄN</t>
        </is>
      </c>
      <c r="E500" t="inlineStr">
        <is>
          <t>SUNDSVALL</t>
        </is>
      </c>
      <c r="F500" t="inlineStr">
        <is>
          <t>Naturvårdsverket</t>
        </is>
      </c>
      <c r="G500" t="n">
        <v>3.8</v>
      </c>
      <c r="H500" t="n">
        <v>0</v>
      </c>
      <c r="I500" t="n">
        <v>0</v>
      </c>
      <c r="J500" t="n">
        <v>0</v>
      </c>
      <c r="K500" t="n">
        <v>0</v>
      </c>
      <c r="L500" t="n">
        <v>0</v>
      </c>
      <c r="M500" t="n">
        <v>0</v>
      </c>
      <c r="N500" t="n">
        <v>0</v>
      </c>
      <c r="O500" t="n">
        <v>0</v>
      </c>
      <c r="P500" t="n">
        <v>0</v>
      </c>
      <c r="Q500" t="n">
        <v>0</v>
      </c>
      <c r="R500" s="2" t="inlineStr"/>
    </row>
    <row r="501" ht="15" customHeight="1">
      <c r="A501" t="inlineStr">
        <is>
          <t>A 2314-2020</t>
        </is>
      </c>
      <c r="B501" s="1" t="n">
        <v>43846</v>
      </c>
      <c r="C501" s="1" t="n">
        <v>45829</v>
      </c>
      <c r="D501" t="inlineStr">
        <is>
          <t>VÄSTERNORRLANDS LÄN</t>
        </is>
      </c>
      <c r="E501" t="inlineStr">
        <is>
          <t>SUNDSVALL</t>
        </is>
      </c>
      <c r="G501" t="n">
        <v>2.9</v>
      </c>
      <c r="H501" t="n">
        <v>0</v>
      </c>
      <c r="I501" t="n">
        <v>0</v>
      </c>
      <c r="J501" t="n">
        <v>0</v>
      </c>
      <c r="K501" t="n">
        <v>0</v>
      </c>
      <c r="L501" t="n">
        <v>0</v>
      </c>
      <c r="M501" t="n">
        <v>0</v>
      </c>
      <c r="N501" t="n">
        <v>0</v>
      </c>
      <c r="O501" t="n">
        <v>0</v>
      </c>
      <c r="P501" t="n">
        <v>0</v>
      </c>
      <c r="Q501" t="n">
        <v>0</v>
      </c>
      <c r="R501" s="2" t="inlineStr"/>
    </row>
    <row r="502" ht="15" customHeight="1">
      <c r="A502" t="inlineStr">
        <is>
          <t>A 2631-2020</t>
        </is>
      </c>
      <c r="B502" s="1" t="n">
        <v>43847</v>
      </c>
      <c r="C502" s="1" t="n">
        <v>45829</v>
      </c>
      <c r="D502" t="inlineStr">
        <is>
          <t>VÄSTERNORRLANDS LÄN</t>
        </is>
      </c>
      <c r="E502" t="inlineStr">
        <is>
          <t>SUNDSVALL</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2630-2020</t>
        </is>
      </c>
      <c r="B503" s="1" t="n">
        <v>43847</v>
      </c>
      <c r="C503" s="1" t="n">
        <v>45829</v>
      </c>
      <c r="D503" t="inlineStr">
        <is>
          <t>VÄSTERNORRLANDS LÄN</t>
        </is>
      </c>
      <c r="E503" t="inlineStr">
        <is>
          <t>SUNDSVALL</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2478-2020</t>
        </is>
      </c>
      <c r="B504" s="1" t="n">
        <v>43847</v>
      </c>
      <c r="C504" s="1" t="n">
        <v>45829</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3003-2020</t>
        </is>
      </c>
      <c r="B505" s="1" t="n">
        <v>43850</v>
      </c>
      <c r="C505" s="1" t="n">
        <v>45829</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3092-2020</t>
        </is>
      </c>
      <c r="B506" s="1" t="n">
        <v>43851</v>
      </c>
      <c r="C506" s="1" t="n">
        <v>45829</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3415-2020</t>
        </is>
      </c>
      <c r="B507" s="1" t="n">
        <v>43852</v>
      </c>
      <c r="C507" s="1" t="n">
        <v>45829</v>
      </c>
      <c r="D507" t="inlineStr">
        <is>
          <t>VÄSTERNORRLANDS LÄN</t>
        </is>
      </c>
      <c r="E507" t="inlineStr">
        <is>
          <t>SUNDSVALL</t>
        </is>
      </c>
      <c r="F507" t="inlineStr">
        <is>
          <t>Kommuner</t>
        </is>
      </c>
      <c r="G507" t="n">
        <v>6.3</v>
      </c>
      <c r="H507" t="n">
        <v>0</v>
      </c>
      <c r="I507" t="n">
        <v>0</v>
      </c>
      <c r="J507" t="n">
        <v>0</v>
      </c>
      <c r="K507" t="n">
        <v>0</v>
      </c>
      <c r="L507" t="n">
        <v>0</v>
      </c>
      <c r="M507" t="n">
        <v>0</v>
      </c>
      <c r="N507" t="n">
        <v>0</v>
      </c>
      <c r="O507" t="n">
        <v>0</v>
      </c>
      <c r="P507" t="n">
        <v>0</v>
      </c>
      <c r="Q507" t="n">
        <v>0</v>
      </c>
      <c r="R507" s="2" t="inlineStr"/>
    </row>
    <row r="508" ht="15" customHeight="1">
      <c r="A508" t="inlineStr">
        <is>
          <t>A 3538-2020</t>
        </is>
      </c>
      <c r="B508" s="1" t="n">
        <v>43853</v>
      </c>
      <c r="C508" s="1" t="n">
        <v>45829</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4528-2020</t>
        </is>
      </c>
      <c r="B509" s="1" t="n">
        <v>43858</v>
      </c>
      <c r="C509" s="1" t="n">
        <v>45829</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5631-2020</t>
        </is>
      </c>
      <c r="B510" s="1" t="n">
        <v>43860</v>
      </c>
      <c r="C510" s="1" t="n">
        <v>45829</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5528-2020</t>
        </is>
      </c>
      <c r="B511" s="1" t="n">
        <v>43861</v>
      </c>
      <c r="C511" s="1" t="n">
        <v>45829</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5705-2020</t>
        </is>
      </c>
      <c r="B512" s="1" t="n">
        <v>43861</v>
      </c>
      <c r="C512" s="1" t="n">
        <v>45829</v>
      </c>
      <c r="D512" t="inlineStr">
        <is>
          <t>VÄSTERNORRLANDS LÄN</t>
        </is>
      </c>
      <c r="E512" t="inlineStr">
        <is>
          <t>SUNDSVALL</t>
        </is>
      </c>
      <c r="G512" t="n">
        <v>0.5</v>
      </c>
      <c r="H512" t="n">
        <v>0</v>
      </c>
      <c r="I512" t="n">
        <v>0</v>
      </c>
      <c r="J512" t="n">
        <v>0</v>
      </c>
      <c r="K512" t="n">
        <v>0</v>
      </c>
      <c r="L512" t="n">
        <v>0</v>
      </c>
      <c r="M512" t="n">
        <v>0</v>
      </c>
      <c r="N512" t="n">
        <v>0</v>
      </c>
      <c r="O512" t="n">
        <v>0</v>
      </c>
      <c r="P512" t="n">
        <v>0</v>
      </c>
      <c r="Q512" t="n">
        <v>0</v>
      </c>
      <c r="R512" s="2" t="inlineStr"/>
    </row>
    <row r="513" ht="15" customHeight="1">
      <c r="A513" t="inlineStr">
        <is>
          <t>A 5711-2020</t>
        </is>
      </c>
      <c r="B513" s="1" t="n">
        <v>43861</v>
      </c>
      <c r="C513" s="1" t="n">
        <v>45829</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5773-2020</t>
        </is>
      </c>
      <c r="B514" s="1" t="n">
        <v>43864</v>
      </c>
      <c r="C514" s="1" t="n">
        <v>45829</v>
      </c>
      <c r="D514" t="inlineStr">
        <is>
          <t>VÄSTERNORRLANDS LÄN</t>
        </is>
      </c>
      <c r="E514" t="inlineStr">
        <is>
          <t>SUNDSVALL</t>
        </is>
      </c>
      <c r="G514" t="n">
        <v>4.7</v>
      </c>
      <c r="H514" t="n">
        <v>0</v>
      </c>
      <c r="I514" t="n">
        <v>0</v>
      </c>
      <c r="J514" t="n">
        <v>0</v>
      </c>
      <c r="K514" t="n">
        <v>0</v>
      </c>
      <c r="L514" t="n">
        <v>0</v>
      </c>
      <c r="M514" t="n">
        <v>0</v>
      </c>
      <c r="N514" t="n">
        <v>0</v>
      </c>
      <c r="O514" t="n">
        <v>0</v>
      </c>
      <c r="P514" t="n">
        <v>0</v>
      </c>
      <c r="Q514" t="n">
        <v>0</v>
      </c>
      <c r="R514" s="2" t="inlineStr"/>
    </row>
    <row r="515" ht="15" customHeight="1">
      <c r="A515" t="inlineStr">
        <is>
          <t>A 5815-2020</t>
        </is>
      </c>
      <c r="B515" s="1" t="n">
        <v>43864</v>
      </c>
      <c r="C515" s="1" t="n">
        <v>45829</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5963-2020</t>
        </is>
      </c>
      <c r="B516" s="1" t="n">
        <v>43864</v>
      </c>
      <c r="C516" s="1" t="n">
        <v>45829</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5966-2020</t>
        </is>
      </c>
      <c r="B517" s="1" t="n">
        <v>43864</v>
      </c>
      <c r="C517" s="1" t="n">
        <v>45829</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6292-2020</t>
        </is>
      </c>
      <c r="B518" s="1" t="n">
        <v>43866</v>
      </c>
      <c r="C518" s="1" t="n">
        <v>45829</v>
      </c>
      <c r="D518" t="inlineStr">
        <is>
          <t>VÄSTERNORRLANDS LÄN</t>
        </is>
      </c>
      <c r="E518" t="inlineStr">
        <is>
          <t>SUNDSVALL</t>
        </is>
      </c>
      <c r="G518" t="n">
        <v>2.1</v>
      </c>
      <c r="H518" t="n">
        <v>0</v>
      </c>
      <c r="I518" t="n">
        <v>0</v>
      </c>
      <c r="J518" t="n">
        <v>0</v>
      </c>
      <c r="K518" t="n">
        <v>0</v>
      </c>
      <c r="L518" t="n">
        <v>0</v>
      </c>
      <c r="M518" t="n">
        <v>0</v>
      </c>
      <c r="N518" t="n">
        <v>0</v>
      </c>
      <c r="O518" t="n">
        <v>0</v>
      </c>
      <c r="P518" t="n">
        <v>0</v>
      </c>
      <c r="Q518" t="n">
        <v>0</v>
      </c>
      <c r="R518" s="2" t="inlineStr"/>
    </row>
    <row r="519" ht="15" customHeight="1">
      <c r="A519" t="inlineStr">
        <is>
          <t>A 6807-2020</t>
        </is>
      </c>
      <c r="B519" s="1" t="n">
        <v>43867</v>
      </c>
      <c r="C519" s="1" t="n">
        <v>45829</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7497-2020</t>
        </is>
      </c>
      <c r="B520" s="1" t="n">
        <v>43871</v>
      </c>
      <c r="C520" s="1" t="n">
        <v>45829</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7502-2020</t>
        </is>
      </c>
      <c r="B521" s="1" t="n">
        <v>43871</v>
      </c>
      <c r="C521" s="1" t="n">
        <v>45829</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7499-2020</t>
        </is>
      </c>
      <c r="B522" s="1" t="n">
        <v>43871</v>
      </c>
      <c r="C522" s="1" t="n">
        <v>45829</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7505-2020</t>
        </is>
      </c>
      <c r="B523" s="1" t="n">
        <v>43871</v>
      </c>
      <c r="C523" s="1" t="n">
        <v>45829</v>
      </c>
      <c r="D523" t="inlineStr">
        <is>
          <t>VÄSTERNORRLANDS LÄN</t>
        </is>
      </c>
      <c r="E523" t="inlineStr">
        <is>
          <t>SUNDSVALL</t>
        </is>
      </c>
      <c r="G523" t="n">
        <v>10</v>
      </c>
      <c r="H523" t="n">
        <v>0</v>
      </c>
      <c r="I523" t="n">
        <v>0</v>
      </c>
      <c r="J523" t="n">
        <v>0</v>
      </c>
      <c r="K523" t="n">
        <v>0</v>
      </c>
      <c r="L523" t="n">
        <v>0</v>
      </c>
      <c r="M523" t="n">
        <v>0</v>
      </c>
      <c r="N523" t="n">
        <v>0</v>
      </c>
      <c r="O523" t="n">
        <v>0</v>
      </c>
      <c r="P523" t="n">
        <v>0</v>
      </c>
      <c r="Q523" t="n">
        <v>0</v>
      </c>
      <c r="R523" s="2" t="inlineStr"/>
    </row>
    <row r="524" ht="15" customHeight="1">
      <c r="A524" t="inlineStr">
        <is>
          <t>A 7501-2020</t>
        </is>
      </c>
      <c r="B524" s="1" t="n">
        <v>43871</v>
      </c>
      <c r="C524" s="1" t="n">
        <v>45829</v>
      </c>
      <c r="D524" t="inlineStr">
        <is>
          <t>VÄSTERNORRLANDS LÄN</t>
        </is>
      </c>
      <c r="E524" t="inlineStr">
        <is>
          <t>SUNDSVALL</t>
        </is>
      </c>
      <c r="G524" t="n">
        <v>0.1</v>
      </c>
      <c r="H524" t="n">
        <v>0</v>
      </c>
      <c r="I524" t="n">
        <v>0</v>
      </c>
      <c r="J524" t="n">
        <v>0</v>
      </c>
      <c r="K524" t="n">
        <v>0</v>
      </c>
      <c r="L524" t="n">
        <v>0</v>
      </c>
      <c r="M524" t="n">
        <v>0</v>
      </c>
      <c r="N524" t="n">
        <v>0</v>
      </c>
      <c r="O524" t="n">
        <v>0</v>
      </c>
      <c r="P524" t="n">
        <v>0</v>
      </c>
      <c r="Q524" t="n">
        <v>0</v>
      </c>
      <c r="R524" s="2" t="inlineStr"/>
    </row>
    <row r="525" ht="15" customHeight="1">
      <c r="A525" t="inlineStr">
        <is>
          <t>A 7498-2020</t>
        </is>
      </c>
      <c r="B525" s="1" t="n">
        <v>43871</v>
      </c>
      <c r="C525" s="1" t="n">
        <v>45829</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7503-2020</t>
        </is>
      </c>
      <c r="B526" s="1" t="n">
        <v>43871</v>
      </c>
      <c r="C526" s="1" t="n">
        <v>45829</v>
      </c>
      <c r="D526" t="inlineStr">
        <is>
          <t>VÄSTERNORRLANDS LÄN</t>
        </is>
      </c>
      <c r="E526" t="inlineStr">
        <is>
          <t>SUNDSVALL</t>
        </is>
      </c>
      <c r="G526" t="n">
        <v>0.2</v>
      </c>
      <c r="H526" t="n">
        <v>0</v>
      </c>
      <c r="I526" t="n">
        <v>0</v>
      </c>
      <c r="J526" t="n">
        <v>0</v>
      </c>
      <c r="K526" t="n">
        <v>0</v>
      </c>
      <c r="L526" t="n">
        <v>0</v>
      </c>
      <c r="M526" t="n">
        <v>0</v>
      </c>
      <c r="N526" t="n">
        <v>0</v>
      </c>
      <c r="O526" t="n">
        <v>0</v>
      </c>
      <c r="P526" t="n">
        <v>0</v>
      </c>
      <c r="Q526" t="n">
        <v>0</v>
      </c>
      <c r="R526" s="2" t="inlineStr"/>
    </row>
    <row r="527" ht="15" customHeight="1">
      <c r="A527" t="inlineStr">
        <is>
          <t>A 7961-2020</t>
        </is>
      </c>
      <c r="B527" s="1" t="n">
        <v>43873</v>
      </c>
      <c r="C527" s="1" t="n">
        <v>45829</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7944-2020</t>
        </is>
      </c>
      <c r="B528" s="1" t="n">
        <v>43873</v>
      </c>
      <c r="C528" s="1" t="n">
        <v>45829</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8527-2020</t>
        </is>
      </c>
      <c r="B529" s="1" t="n">
        <v>43875</v>
      </c>
      <c r="C529" s="1" t="n">
        <v>45829</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8531-2020</t>
        </is>
      </c>
      <c r="B530" s="1" t="n">
        <v>43875</v>
      </c>
      <c r="C530" s="1" t="n">
        <v>45829</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8882-2020</t>
        </is>
      </c>
      <c r="B531" s="1" t="n">
        <v>43878</v>
      </c>
      <c r="C531" s="1" t="n">
        <v>45829</v>
      </c>
      <c r="D531" t="inlineStr">
        <is>
          <t>VÄSTERNORRLANDS LÄN</t>
        </is>
      </c>
      <c r="E531" t="inlineStr">
        <is>
          <t>SUNDSVALL</t>
        </is>
      </c>
      <c r="G531" t="n">
        <v>7.2</v>
      </c>
      <c r="H531" t="n">
        <v>0</v>
      </c>
      <c r="I531" t="n">
        <v>0</v>
      </c>
      <c r="J531" t="n">
        <v>0</v>
      </c>
      <c r="K531" t="n">
        <v>0</v>
      </c>
      <c r="L531" t="n">
        <v>0</v>
      </c>
      <c r="M531" t="n">
        <v>0</v>
      </c>
      <c r="N531" t="n">
        <v>0</v>
      </c>
      <c r="O531" t="n">
        <v>0</v>
      </c>
      <c r="P531" t="n">
        <v>0</v>
      </c>
      <c r="Q531" t="n">
        <v>0</v>
      </c>
      <c r="R531" s="2" t="inlineStr"/>
    </row>
    <row r="532" ht="15" customHeight="1">
      <c r="A532" t="inlineStr">
        <is>
          <t>A 8924-2020</t>
        </is>
      </c>
      <c r="B532" s="1" t="n">
        <v>43878</v>
      </c>
      <c r="C532" s="1" t="n">
        <v>45829</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8943-2020</t>
        </is>
      </c>
      <c r="B533" s="1" t="n">
        <v>43878</v>
      </c>
      <c r="C533" s="1" t="n">
        <v>45829</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9486-2020</t>
        </is>
      </c>
      <c r="B534" s="1" t="n">
        <v>43880</v>
      </c>
      <c r="C534" s="1" t="n">
        <v>45829</v>
      </c>
      <c r="D534" t="inlineStr">
        <is>
          <t>VÄSTERNORRLANDS LÄN</t>
        </is>
      </c>
      <c r="E534" t="inlineStr">
        <is>
          <t>SUNDSVALL</t>
        </is>
      </c>
      <c r="G534" t="n">
        <v>1.5</v>
      </c>
      <c r="H534" t="n">
        <v>0</v>
      </c>
      <c r="I534" t="n">
        <v>0</v>
      </c>
      <c r="J534" t="n">
        <v>0</v>
      </c>
      <c r="K534" t="n">
        <v>0</v>
      </c>
      <c r="L534" t="n">
        <v>0</v>
      </c>
      <c r="M534" t="n">
        <v>0</v>
      </c>
      <c r="N534" t="n">
        <v>0</v>
      </c>
      <c r="O534" t="n">
        <v>0</v>
      </c>
      <c r="P534" t="n">
        <v>0</v>
      </c>
      <c r="Q534" t="n">
        <v>0</v>
      </c>
      <c r="R534" s="2" t="inlineStr"/>
    </row>
    <row r="535" ht="15" customHeight="1">
      <c r="A535" t="inlineStr">
        <is>
          <t>A 9554-2020</t>
        </is>
      </c>
      <c r="B535" s="1" t="n">
        <v>43881</v>
      </c>
      <c r="C535" s="1" t="n">
        <v>45829</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9837-2020</t>
        </is>
      </c>
      <c r="B536" s="1" t="n">
        <v>43881</v>
      </c>
      <c r="C536" s="1" t="n">
        <v>45829</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9841-2020</t>
        </is>
      </c>
      <c r="B537" s="1" t="n">
        <v>43881</v>
      </c>
      <c r="C537" s="1" t="n">
        <v>45829</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9915-2020</t>
        </is>
      </c>
      <c r="B538" s="1" t="n">
        <v>43882</v>
      </c>
      <c r="C538" s="1" t="n">
        <v>45829</v>
      </c>
      <c r="D538" t="inlineStr">
        <is>
          <t>VÄSTERNORRLANDS LÄN</t>
        </is>
      </c>
      <c r="E538" t="inlineStr">
        <is>
          <t>SUNDSVALL</t>
        </is>
      </c>
      <c r="G538" t="n">
        <v>2.7</v>
      </c>
      <c r="H538" t="n">
        <v>0</v>
      </c>
      <c r="I538" t="n">
        <v>0</v>
      </c>
      <c r="J538" t="n">
        <v>0</v>
      </c>
      <c r="K538" t="n">
        <v>0</v>
      </c>
      <c r="L538" t="n">
        <v>0</v>
      </c>
      <c r="M538" t="n">
        <v>0</v>
      </c>
      <c r="N538" t="n">
        <v>0</v>
      </c>
      <c r="O538" t="n">
        <v>0</v>
      </c>
      <c r="P538" t="n">
        <v>0</v>
      </c>
      <c r="Q538" t="n">
        <v>0</v>
      </c>
      <c r="R538" s="2" t="inlineStr"/>
    </row>
    <row r="539" ht="15" customHeight="1">
      <c r="A539" t="inlineStr">
        <is>
          <t>A 10455-2020</t>
        </is>
      </c>
      <c r="B539" s="1" t="n">
        <v>43886</v>
      </c>
      <c r="C539" s="1" t="n">
        <v>45829</v>
      </c>
      <c r="D539" t="inlineStr">
        <is>
          <t>VÄSTERNORRLANDS LÄN</t>
        </is>
      </c>
      <c r="E539" t="inlineStr">
        <is>
          <t>SUNDSVALL</t>
        </is>
      </c>
      <c r="G539" t="n">
        <v>6.7</v>
      </c>
      <c r="H539" t="n">
        <v>0</v>
      </c>
      <c r="I539" t="n">
        <v>0</v>
      </c>
      <c r="J539" t="n">
        <v>0</v>
      </c>
      <c r="K539" t="n">
        <v>0</v>
      </c>
      <c r="L539" t="n">
        <v>0</v>
      </c>
      <c r="M539" t="n">
        <v>0</v>
      </c>
      <c r="N539" t="n">
        <v>0</v>
      </c>
      <c r="O539" t="n">
        <v>0</v>
      </c>
      <c r="P539" t="n">
        <v>0</v>
      </c>
      <c r="Q539" t="n">
        <v>0</v>
      </c>
      <c r="R539" s="2" t="inlineStr"/>
    </row>
    <row r="540" ht="15" customHeight="1">
      <c r="A540" t="inlineStr">
        <is>
          <t>A 10456-2020</t>
        </is>
      </c>
      <c r="B540" s="1" t="n">
        <v>43886</v>
      </c>
      <c r="C540" s="1" t="n">
        <v>45829</v>
      </c>
      <c r="D540" t="inlineStr">
        <is>
          <t>VÄSTERNORRLANDS LÄN</t>
        </is>
      </c>
      <c r="E540" t="inlineStr">
        <is>
          <t>SUNDSVALL</t>
        </is>
      </c>
      <c r="G540" t="n">
        <v>2.4</v>
      </c>
      <c r="H540" t="n">
        <v>0</v>
      </c>
      <c r="I540" t="n">
        <v>0</v>
      </c>
      <c r="J540" t="n">
        <v>0</v>
      </c>
      <c r="K540" t="n">
        <v>0</v>
      </c>
      <c r="L540" t="n">
        <v>0</v>
      </c>
      <c r="M540" t="n">
        <v>0</v>
      </c>
      <c r="N540" t="n">
        <v>0</v>
      </c>
      <c r="O540" t="n">
        <v>0</v>
      </c>
      <c r="P540" t="n">
        <v>0</v>
      </c>
      <c r="Q540" t="n">
        <v>0</v>
      </c>
      <c r="R540" s="2" t="inlineStr"/>
    </row>
    <row r="541" ht="15" customHeight="1">
      <c r="A541" t="inlineStr">
        <is>
          <t>A 10571-2020</t>
        </is>
      </c>
      <c r="B541" s="1" t="n">
        <v>43887</v>
      </c>
      <c r="C541" s="1" t="n">
        <v>45829</v>
      </c>
      <c r="D541" t="inlineStr">
        <is>
          <t>VÄSTERNORRLANDS LÄN</t>
        </is>
      </c>
      <c r="E541" t="inlineStr">
        <is>
          <t>SUNDSVALL</t>
        </is>
      </c>
      <c r="G541" t="n">
        <v>5.1</v>
      </c>
      <c r="H541" t="n">
        <v>0</v>
      </c>
      <c r="I541" t="n">
        <v>0</v>
      </c>
      <c r="J541" t="n">
        <v>0</v>
      </c>
      <c r="K541" t="n">
        <v>0</v>
      </c>
      <c r="L541" t="n">
        <v>0</v>
      </c>
      <c r="M541" t="n">
        <v>0</v>
      </c>
      <c r="N541" t="n">
        <v>0</v>
      </c>
      <c r="O541" t="n">
        <v>0</v>
      </c>
      <c r="P541" t="n">
        <v>0</v>
      </c>
      <c r="Q541" t="n">
        <v>0</v>
      </c>
      <c r="R541" s="2" t="inlineStr"/>
    </row>
    <row r="542" ht="15" customHeight="1">
      <c r="A542" t="inlineStr">
        <is>
          <t>A 10649-2020</t>
        </is>
      </c>
      <c r="B542" s="1" t="n">
        <v>43887</v>
      </c>
      <c r="C542" s="1" t="n">
        <v>45829</v>
      </c>
      <c r="D542" t="inlineStr">
        <is>
          <t>VÄSTERNORRLANDS LÄN</t>
        </is>
      </c>
      <c r="E542" t="inlineStr">
        <is>
          <t>SUNDSVALL</t>
        </is>
      </c>
      <c r="G542" t="n">
        <v>5.8</v>
      </c>
      <c r="H542" t="n">
        <v>0</v>
      </c>
      <c r="I542" t="n">
        <v>0</v>
      </c>
      <c r="J542" t="n">
        <v>0</v>
      </c>
      <c r="K542" t="n">
        <v>0</v>
      </c>
      <c r="L542" t="n">
        <v>0</v>
      </c>
      <c r="M542" t="n">
        <v>0</v>
      </c>
      <c r="N542" t="n">
        <v>0</v>
      </c>
      <c r="O542" t="n">
        <v>0</v>
      </c>
      <c r="P542" t="n">
        <v>0</v>
      </c>
      <c r="Q542" t="n">
        <v>0</v>
      </c>
      <c r="R542" s="2" t="inlineStr"/>
    </row>
    <row r="543" ht="15" customHeight="1">
      <c r="A543" t="inlineStr">
        <is>
          <t>A 10904-2020</t>
        </is>
      </c>
      <c r="B543" s="1" t="n">
        <v>43889</v>
      </c>
      <c r="C543" s="1" t="n">
        <v>45829</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11426-2020</t>
        </is>
      </c>
      <c r="B544" s="1" t="n">
        <v>43892</v>
      </c>
      <c r="C544" s="1" t="n">
        <v>45829</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11277-2020</t>
        </is>
      </c>
      <c r="B545" s="1" t="n">
        <v>43892</v>
      </c>
      <c r="C545" s="1" t="n">
        <v>45829</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11413-2020</t>
        </is>
      </c>
      <c r="B546" s="1" t="n">
        <v>43892</v>
      </c>
      <c r="C546" s="1" t="n">
        <v>45829</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11411-2020</t>
        </is>
      </c>
      <c r="B547" s="1" t="n">
        <v>43892</v>
      </c>
      <c r="C547" s="1" t="n">
        <v>45829</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11427-2020</t>
        </is>
      </c>
      <c r="B548" s="1" t="n">
        <v>43892</v>
      </c>
      <c r="C548" s="1" t="n">
        <v>45829</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11682-2020</t>
        </is>
      </c>
      <c r="B549" s="1" t="n">
        <v>43893</v>
      </c>
      <c r="C549" s="1" t="n">
        <v>45829</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12065-2020</t>
        </is>
      </c>
      <c r="B550" s="1" t="n">
        <v>43894</v>
      </c>
      <c r="C550" s="1" t="n">
        <v>45829</v>
      </c>
      <c r="D550" t="inlineStr">
        <is>
          <t>VÄSTERNORRLANDS LÄN</t>
        </is>
      </c>
      <c r="E550" t="inlineStr">
        <is>
          <t>SUNDSVALL</t>
        </is>
      </c>
      <c r="G550" t="n">
        <v>4.4</v>
      </c>
      <c r="H550" t="n">
        <v>0</v>
      </c>
      <c r="I550" t="n">
        <v>0</v>
      </c>
      <c r="J550" t="n">
        <v>0</v>
      </c>
      <c r="K550" t="n">
        <v>0</v>
      </c>
      <c r="L550" t="n">
        <v>0</v>
      </c>
      <c r="M550" t="n">
        <v>0</v>
      </c>
      <c r="N550" t="n">
        <v>0</v>
      </c>
      <c r="O550" t="n">
        <v>0</v>
      </c>
      <c r="P550" t="n">
        <v>0</v>
      </c>
      <c r="Q550" t="n">
        <v>0</v>
      </c>
      <c r="R550" s="2" t="inlineStr"/>
    </row>
    <row r="551" ht="15" customHeight="1">
      <c r="A551" t="inlineStr">
        <is>
          <t>A 12066-2020</t>
        </is>
      </c>
      <c r="B551" s="1" t="n">
        <v>43894</v>
      </c>
      <c r="C551" s="1" t="n">
        <v>45829</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12336-2020</t>
        </is>
      </c>
      <c r="B552" s="1" t="n">
        <v>43895</v>
      </c>
      <c r="C552" s="1" t="n">
        <v>45829</v>
      </c>
      <c r="D552" t="inlineStr">
        <is>
          <t>VÄSTERNORRLANDS LÄN</t>
        </is>
      </c>
      <c r="E552" t="inlineStr">
        <is>
          <t>SUNDSVALL</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13074-2020</t>
        </is>
      </c>
      <c r="B553" s="1" t="n">
        <v>43900</v>
      </c>
      <c r="C553" s="1" t="n">
        <v>45829</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13073-2020</t>
        </is>
      </c>
      <c r="B554" s="1" t="n">
        <v>43900</v>
      </c>
      <c r="C554" s="1" t="n">
        <v>45829</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13068-2020</t>
        </is>
      </c>
      <c r="B555" s="1" t="n">
        <v>43900</v>
      </c>
      <c r="C555" s="1" t="n">
        <v>45829</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13291-2020</t>
        </is>
      </c>
      <c r="B556" s="1" t="n">
        <v>43901</v>
      </c>
      <c r="C556" s="1" t="n">
        <v>45829</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14330-2020</t>
        </is>
      </c>
      <c r="B557" s="1" t="n">
        <v>43907</v>
      </c>
      <c r="C557" s="1" t="n">
        <v>45829</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14853-2020</t>
        </is>
      </c>
      <c r="B558" s="1" t="n">
        <v>43909</v>
      </c>
      <c r="C558" s="1" t="n">
        <v>45829</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15098-2020</t>
        </is>
      </c>
      <c r="B559" s="1" t="n">
        <v>43910</v>
      </c>
      <c r="C559" s="1" t="n">
        <v>45829</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15215-2020</t>
        </is>
      </c>
      <c r="B560" s="1" t="n">
        <v>43913</v>
      </c>
      <c r="C560" s="1" t="n">
        <v>45829</v>
      </c>
      <c r="D560" t="inlineStr">
        <is>
          <t>VÄSTERNORRLANDS LÄN</t>
        </is>
      </c>
      <c r="E560" t="inlineStr">
        <is>
          <t>SUNDSVALL</t>
        </is>
      </c>
      <c r="G560" t="n">
        <v>7.1</v>
      </c>
      <c r="H560" t="n">
        <v>0</v>
      </c>
      <c r="I560" t="n">
        <v>0</v>
      </c>
      <c r="J560" t="n">
        <v>0</v>
      </c>
      <c r="K560" t="n">
        <v>0</v>
      </c>
      <c r="L560" t="n">
        <v>0</v>
      </c>
      <c r="M560" t="n">
        <v>0</v>
      </c>
      <c r="N560" t="n">
        <v>0</v>
      </c>
      <c r="O560" t="n">
        <v>0</v>
      </c>
      <c r="P560" t="n">
        <v>0</v>
      </c>
      <c r="Q560" t="n">
        <v>0</v>
      </c>
      <c r="R560" s="2" t="inlineStr"/>
    </row>
    <row r="561" ht="15" customHeight="1">
      <c r="A561" t="inlineStr">
        <is>
          <t>A 15267-2020</t>
        </is>
      </c>
      <c r="B561" s="1" t="n">
        <v>43913</v>
      </c>
      <c r="C561" s="1" t="n">
        <v>45829</v>
      </c>
      <c r="D561" t="inlineStr">
        <is>
          <t>VÄSTERNORRLANDS LÄN</t>
        </is>
      </c>
      <c r="E561" t="inlineStr">
        <is>
          <t>SUNDSVALL</t>
        </is>
      </c>
      <c r="G561" t="n">
        <v>4.3</v>
      </c>
      <c r="H561" t="n">
        <v>0</v>
      </c>
      <c r="I561" t="n">
        <v>0</v>
      </c>
      <c r="J561" t="n">
        <v>0</v>
      </c>
      <c r="K561" t="n">
        <v>0</v>
      </c>
      <c r="L561" t="n">
        <v>0</v>
      </c>
      <c r="M561" t="n">
        <v>0</v>
      </c>
      <c r="N561" t="n">
        <v>0</v>
      </c>
      <c r="O561" t="n">
        <v>0</v>
      </c>
      <c r="P561" t="n">
        <v>0</v>
      </c>
      <c r="Q561" t="n">
        <v>0</v>
      </c>
      <c r="R561" s="2" t="inlineStr"/>
    </row>
    <row r="562" ht="15" customHeight="1">
      <c r="A562" t="inlineStr">
        <is>
          <t>A 15639-2020</t>
        </is>
      </c>
      <c r="B562" s="1" t="n">
        <v>43914</v>
      </c>
      <c r="C562" s="1" t="n">
        <v>45829</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15640-2020</t>
        </is>
      </c>
      <c r="B563" s="1" t="n">
        <v>43914</v>
      </c>
      <c r="C563" s="1" t="n">
        <v>45829</v>
      </c>
      <c r="D563" t="inlineStr">
        <is>
          <t>VÄSTERNORRLANDS LÄN</t>
        </is>
      </c>
      <c r="E563" t="inlineStr">
        <is>
          <t>SUNDSVALL</t>
        </is>
      </c>
      <c r="G563" t="n">
        <v>9.9</v>
      </c>
      <c r="H563" t="n">
        <v>0</v>
      </c>
      <c r="I563" t="n">
        <v>0</v>
      </c>
      <c r="J563" t="n">
        <v>0</v>
      </c>
      <c r="K563" t="n">
        <v>0</v>
      </c>
      <c r="L563" t="n">
        <v>0</v>
      </c>
      <c r="M563" t="n">
        <v>0</v>
      </c>
      <c r="N563" t="n">
        <v>0</v>
      </c>
      <c r="O563" t="n">
        <v>0</v>
      </c>
      <c r="P563" t="n">
        <v>0</v>
      </c>
      <c r="Q563" t="n">
        <v>0</v>
      </c>
      <c r="R563" s="2" t="inlineStr"/>
    </row>
    <row r="564" ht="15" customHeight="1">
      <c r="A564" t="inlineStr">
        <is>
          <t>A 15890-2020</t>
        </is>
      </c>
      <c r="B564" s="1" t="n">
        <v>43915</v>
      </c>
      <c r="C564" s="1" t="n">
        <v>45829</v>
      </c>
      <c r="D564" t="inlineStr">
        <is>
          <t>VÄSTERNORRLANDS LÄN</t>
        </is>
      </c>
      <c r="E564" t="inlineStr">
        <is>
          <t>SUNDSVALL</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15892-2020</t>
        </is>
      </c>
      <c r="B565" s="1" t="n">
        <v>43915</v>
      </c>
      <c r="C565" s="1" t="n">
        <v>45829</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15726-2020</t>
        </is>
      </c>
      <c r="B566" s="1" t="n">
        <v>43915</v>
      </c>
      <c r="C566" s="1" t="n">
        <v>45829</v>
      </c>
      <c r="D566" t="inlineStr">
        <is>
          <t>VÄSTERNORRLANDS LÄN</t>
        </is>
      </c>
      <c r="E566" t="inlineStr">
        <is>
          <t>SUNDSVALL</t>
        </is>
      </c>
      <c r="G566" t="n">
        <v>5.7</v>
      </c>
      <c r="H566" t="n">
        <v>0</v>
      </c>
      <c r="I566" t="n">
        <v>0</v>
      </c>
      <c r="J566" t="n">
        <v>0</v>
      </c>
      <c r="K566" t="n">
        <v>0</v>
      </c>
      <c r="L566" t="n">
        <v>0</v>
      </c>
      <c r="M566" t="n">
        <v>0</v>
      </c>
      <c r="N566" t="n">
        <v>0</v>
      </c>
      <c r="O566" t="n">
        <v>0</v>
      </c>
      <c r="P566" t="n">
        <v>0</v>
      </c>
      <c r="Q566" t="n">
        <v>0</v>
      </c>
      <c r="R566" s="2" t="inlineStr"/>
    </row>
    <row r="567" ht="15" customHeight="1">
      <c r="A567" t="inlineStr">
        <is>
          <t>A 16166-2020</t>
        </is>
      </c>
      <c r="B567" s="1" t="n">
        <v>43916</v>
      </c>
      <c r="C567" s="1" t="n">
        <v>45829</v>
      </c>
      <c r="D567" t="inlineStr">
        <is>
          <t>VÄSTERNORRLANDS LÄN</t>
        </is>
      </c>
      <c r="E567" t="inlineStr">
        <is>
          <t>SUNDSVALL</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16165-2020</t>
        </is>
      </c>
      <c r="B568" s="1" t="n">
        <v>43916</v>
      </c>
      <c r="C568" s="1" t="n">
        <v>45829</v>
      </c>
      <c r="D568" t="inlineStr">
        <is>
          <t>VÄSTERNORRLANDS LÄN</t>
        </is>
      </c>
      <c r="E568" t="inlineStr">
        <is>
          <t>SUNDSVALL</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16167-2020</t>
        </is>
      </c>
      <c r="B569" s="1" t="n">
        <v>43916</v>
      </c>
      <c r="C569" s="1" t="n">
        <v>45829</v>
      </c>
      <c r="D569" t="inlineStr">
        <is>
          <t>VÄSTERNORRLANDS LÄN</t>
        </is>
      </c>
      <c r="E569" t="inlineStr">
        <is>
          <t>SUNDSVALL</t>
        </is>
      </c>
      <c r="F569" t="inlineStr">
        <is>
          <t>SCA</t>
        </is>
      </c>
      <c r="G569" t="n">
        <v>24.1</v>
      </c>
      <c r="H569" t="n">
        <v>0</v>
      </c>
      <c r="I569" t="n">
        <v>0</v>
      </c>
      <c r="J569" t="n">
        <v>0</v>
      </c>
      <c r="K569" t="n">
        <v>0</v>
      </c>
      <c r="L569" t="n">
        <v>0</v>
      </c>
      <c r="M569" t="n">
        <v>0</v>
      </c>
      <c r="N569" t="n">
        <v>0</v>
      </c>
      <c r="O569" t="n">
        <v>0</v>
      </c>
      <c r="P569" t="n">
        <v>0</v>
      </c>
      <c r="Q569" t="n">
        <v>0</v>
      </c>
      <c r="R569" s="2" t="inlineStr"/>
    </row>
    <row r="570" ht="15" customHeight="1">
      <c r="A570" t="inlineStr">
        <is>
          <t>A 16947-2020</t>
        </is>
      </c>
      <c r="B570" s="1" t="n">
        <v>43921</v>
      </c>
      <c r="C570" s="1" t="n">
        <v>45829</v>
      </c>
      <c r="D570" t="inlineStr">
        <is>
          <t>VÄSTERNORRLANDS LÄN</t>
        </is>
      </c>
      <c r="E570" t="inlineStr">
        <is>
          <t>SUNDSVALL</t>
        </is>
      </c>
      <c r="G570" t="n">
        <v>3.8</v>
      </c>
      <c r="H570" t="n">
        <v>0</v>
      </c>
      <c r="I570" t="n">
        <v>0</v>
      </c>
      <c r="J570" t="n">
        <v>0</v>
      </c>
      <c r="K570" t="n">
        <v>0</v>
      </c>
      <c r="L570" t="n">
        <v>0</v>
      </c>
      <c r="M570" t="n">
        <v>0</v>
      </c>
      <c r="N570" t="n">
        <v>0</v>
      </c>
      <c r="O570" t="n">
        <v>0</v>
      </c>
      <c r="P570" t="n">
        <v>0</v>
      </c>
      <c r="Q570" t="n">
        <v>0</v>
      </c>
      <c r="R570" s="2" t="inlineStr"/>
    </row>
    <row r="571" ht="15" customHeight="1">
      <c r="A571" t="inlineStr">
        <is>
          <t>A 17691-2020</t>
        </is>
      </c>
      <c r="B571" s="1" t="n">
        <v>43923</v>
      </c>
      <c r="C571" s="1" t="n">
        <v>45829</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19034-2020</t>
        </is>
      </c>
      <c r="B572" s="1" t="n">
        <v>43936</v>
      </c>
      <c r="C572" s="1" t="n">
        <v>45829</v>
      </c>
      <c r="D572" t="inlineStr">
        <is>
          <t>VÄSTERNORRLANDS LÄN</t>
        </is>
      </c>
      <c r="E572" t="inlineStr">
        <is>
          <t>SUNDSVALL</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19074-2020</t>
        </is>
      </c>
      <c r="B573" s="1" t="n">
        <v>43936</v>
      </c>
      <c r="C573" s="1" t="n">
        <v>45829</v>
      </c>
      <c r="D573" t="inlineStr">
        <is>
          <t>VÄSTERNORRLANDS LÄN</t>
        </is>
      </c>
      <c r="E573" t="inlineStr">
        <is>
          <t>SUNDSVALL</t>
        </is>
      </c>
      <c r="G573" t="n">
        <v>5.2</v>
      </c>
      <c r="H573" t="n">
        <v>0</v>
      </c>
      <c r="I573" t="n">
        <v>0</v>
      </c>
      <c r="J573" t="n">
        <v>0</v>
      </c>
      <c r="K573" t="n">
        <v>0</v>
      </c>
      <c r="L573" t="n">
        <v>0</v>
      </c>
      <c r="M573" t="n">
        <v>0</v>
      </c>
      <c r="N573" t="n">
        <v>0</v>
      </c>
      <c r="O573" t="n">
        <v>0</v>
      </c>
      <c r="P573" t="n">
        <v>0</v>
      </c>
      <c r="Q573" t="n">
        <v>0</v>
      </c>
      <c r="R573" s="2" t="inlineStr"/>
    </row>
    <row r="574" ht="15" customHeight="1">
      <c r="A574" t="inlineStr">
        <is>
          <t>A 19727-2020</t>
        </is>
      </c>
      <c r="B574" s="1" t="n">
        <v>43942</v>
      </c>
      <c r="C574" s="1" t="n">
        <v>45829</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19726-2020</t>
        </is>
      </c>
      <c r="B575" s="1" t="n">
        <v>43941</v>
      </c>
      <c r="C575" s="1" t="n">
        <v>45829</v>
      </c>
      <c r="D575" t="inlineStr">
        <is>
          <t>VÄSTERNORRLANDS LÄN</t>
        </is>
      </c>
      <c r="E575" t="inlineStr">
        <is>
          <t>SUNDSVALL</t>
        </is>
      </c>
      <c r="G575" t="n">
        <v>3.7</v>
      </c>
      <c r="H575" t="n">
        <v>0</v>
      </c>
      <c r="I575" t="n">
        <v>0</v>
      </c>
      <c r="J575" t="n">
        <v>0</v>
      </c>
      <c r="K575" t="n">
        <v>0</v>
      </c>
      <c r="L575" t="n">
        <v>0</v>
      </c>
      <c r="M575" t="n">
        <v>0</v>
      </c>
      <c r="N575" t="n">
        <v>0</v>
      </c>
      <c r="O575" t="n">
        <v>0</v>
      </c>
      <c r="P575" t="n">
        <v>0</v>
      </c>
      <c r="Q575" t="n">
        <v>0</v>
      </c>
      <c r="R575" s="2" t="inlineStr"/>
    </row>
    <row r="576" ht="15" customHeight="1">
      <c r="A576" t="inlineStr">
        <is>
          <t>A 19724-2020</t>
        </is>
      </c>
      <c r="B576" s="1" t="n">
        <v>43941</v>
      </c>
      <c r="C576" s="1" t="n">
        <v>45829</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20082-2020</t>
        </is>
      </c>
      <c r="B577" s="1" t="n">
        <v>43943</v>
      </c>
      <c r="C577" s="1" t="n">
        <v>45829</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20090-2020</t>
        </is>
      </c>
      <c r="B578" s="1" t="n">
        <v>43943</v>
      </c>
      <c r="C578" s="1" t="n">
        <v>45829</v>
      </c>
      <c r="D578" t="inlineStr">
        <is>
          <t>VÄSTERNORRLANDS LÄN</t>
        </is>
      </c>
      <c r="E578" t="inlineStr">
        <is>
          <t>SUNDSVALL</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20623-2020</t>
        </is>
      </c>
      <c r="B579" s="1" t="n">
        <v>43948</v>
      </c>
      <c r="C579" s="1" t="n">
        <v>45829</v>
      </c>
      <c r="D579" t="inlineStr">
        <is>
          <t>VÄSTERNORRLANDS LÄN</t>
        </is>
      </c>
      <c r="E579" t="inlineStr">
        <is>
          <t>SUNDSVALL</t>
        </is>
      </c>
      <c r="G579" t="n">
        <v>2.3</v>
      </c>
      <c r="H579" t="n">
        <v>0</v>
      </c>
      <c r="I579" t="n">
        <v>0</v>
      </c>
      <c r="J579" t="n">
        <v>0</v>
      </c>
      <c r="K579" t="n">
        <v>0</v>
      </c>
      <c r="L579" t="n">
        <v>0</v>
      </c>
      <c r="M579" t="n">
        <v>0</v>
      </c>
      <c r="N579" t="n">
        <v>0</v>
      </c>
      <c r="O579" t="n">
        <v>0</v>
      </c>
      <c r="P579" t="n">
        <v>0</v>
      </c>
      <c r="Q579" t="n">
        <v>0</v>
      </c>
      <c r="R579" s="2" t="inlineStr"/>
    </row>
    <row r="580" ht="15" customHeight="1">
      <c r="A580" t="inlineStr">
        <is>
          <t>A 21411-2020</t>
        </is>
      </c>
      <c r="B580" s="1" t="n">
        <v>43955</v>
      </c>
      <c r="C580" s="1" t="n">
        <v>45829</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21358-2020</t>
        </is>
      </c>
      <c r="B581" s="1" t="n">
        <v>43955</v>
      </c>
      <c r="C581" s="1" t="n">
        <v>45829</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21600-2020</t>
        </is>
      </c>
      <c r="B582" s="1" t="n">
        <v>43957</v>
      </c>
      <c r="C582" s="1" t="n">
        <v>45829</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22101-2020</t>
        </is>
      </c>
      <c r="B583" s="1" t="n">
        <v>43959</v>
      </c>
      <c r="C583" s="1" t="n">
        <v>45829</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22097-2020</t>
        </is>
      </c>
      <c r="B584" s="1" t="n">
        <v>43960</v>
      </c>
      <c r="C584" s="1" t="n">
        <v>45829</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23283-2020</t>
        </is>
      </c>
      <c r="B585" s="1" t="n">
        <v>43965</v>
      </c>
      <c r="C585" s="1" t="n">
        <v>45829</v>
      </c>
      <c r="D585" t="inlineStr">
        <is>
          <t>VÄSTERNORRLANDS LÄN</t>
        </is>
      </c>
      <c r="E585" t="inlineStr">
        <is>
          <t>SUNDSVALL</t>
        </is>
      </c>
      <c r="G585" t="n">
        <v>4.6</v>
      </c>
      <c r="H585" t="n">
        <v>0</v>
      </c>
      <c r="I585" t="n">
        <v>0</v>
      </c>
      <c r="J585" t="n">
        <v>0</v>
      </c>
      <c r="K585" t="n">
        <v>0</v>
      </c>
      <c r="L585" t="n">
        <v>0</v>
      </c>
      <c r="M585" t="n">
        <v>0</v>
      </c>
      <c r="N585" t="n">
        <v>0</v>
      </c>
      <c r="O585" t="n">
        <v>0</v>
      </c>
      <c r="P585" t="n">
        <v>0</v>
      </c>
      <c r="Q585" t="n">
        <v>0</v>
      </c>
      <c r="R585" s="2" t="inlineStr"/>
    </row>
    <row r="586" ht="15" customHeight="1">
      <c r="A586" t="inlineStr">
        <is>
          <t>A 23210-2020</t>
        </is>
      </c>
      <c r="B586" s="1" t="n">
        <v>43966</v>
      </c>
      <c r="C586" s="1" t="n">
        <v>45829</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23587-2020</t>
        </is>
      </c>
      <c r="B587" s="1" t="n">
        <v>43969</v>
      </c>
      <c r="C587" s="1" t="n">
        <v>45829</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23641-2020</t>
        </is>
      </c>
      <c r="B588" s="1" t="n">
        <v>43969</v>
      </c>
      <c r="C588" s="1" t="n">
        <v>45829</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23642-2020</t>
        </is>
      </c>
      <c r="B589" s="1" t="n">
        <v>43969</v>
      </c>
      <c r="C589" s="1" t="n">
        <v>45829</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24494-2020</t>
        </is>
      </c>
      <c r="B590" s="1" t="n">
        <v>43976</v>
      </c>
      <c r="C590" s="1" t="n">
        <v>45829</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24662-2020</t>
        </is>
      </c>
      <c r="B591" s="1" t="n">
        <v>43977</v>
      </c>
      <c r="C591" s="1" t="n">
        <v>45829</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25217-2020</t>
        </is>
      </c>
      <c r="B592" s="1" t="n">
        <v>43980</v>
      </c>
      <c r="C592" s="1" t="n">
        <v>45829</v>
      </c>
      <c r="D592" t="inlineStr">
        <is>
          <t>VÄSTERNORRLANDS LÄN</t>
        </is>
      </c>
      <c r="E592" t="inlineStr">
        <is>
          <t>SUNDSVALL</t>
        </is>
      </c>
      <c r="G592" t="n">
        <v>4.9</v>
      </c>
      <c r="H592" t="n">
        <v>0</v>
      </c>
      <c r="I592" t="n">
        <v>0</v>
      </c>
      <c r="J592" t="n">
        <v>0</v>
      </c>
      <c r="K592" t="n">
        <v>0</v>
      </c>
      <c r="L592" t="n">
        <v>0</v>
      </c>
      <c r="M592" t="n">
        <v>0</v>
      </c>
      <c r="N592" t="n">
        <v>0</v>
      </c>
      <c r="O592" t="n">
        <v>0</v>
      </c>
      <c r="P592" t="n">
        <v>0</v>
      </c>
      <c r="Q592" t="n">
        <v>0</v>
      </c>
      <c r="R592" s="2" t="inlineStr"/>
    </row>
    <row r="593" ht="15" customHeight="1">
      <c r="A593" t="inlineStr">
        <is>
          <t>A 26613-2020</t>
        </is>
      </c>
      <c r="B593" s="1" t="n">
        <v>43987</v>
      </c>
      <c r="C593" s="1" t="n">
        <v>45829</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26962-2020</t>
        </is>
      </c>
      <c r="B594" s="1" t="n">
        <v>43990</v>
      </c>
      <c r="C594" s="1" t="n">
        <v>45829</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27195-2020</t>
        </is>
      </c>
      <c r="B595" s="1" t="n">
        <v>43991</v>
      </c>
      <c r="C595" s="1" t="n">
        <v>45829</v>
      </c>
      <c r="D595" t="inlineStr">
        <is>
          <t>VÄSTERNORRLANDS LÄN</t>
        </is>
      </c>
      <c r="E595" t="inlineStr">
        <is>
          <t>SUNDSVALL</t>
        </is>
      </c>
      <c r="G595" t="n">
        <v>5.5</v>
      </c>
      <c r="H595" t="n">
        <v>0</v>
      </c>
      <c r="I595" t="n">
        <v>0</v>
      </c>
      <c r="J595" t="n">
        <v>0</v>
      </c>
      <c r="K595" t="n">
        <v>0</v>
      </c>
      <c r="L595" t="n">
        <v>0</v>
      </c>
      <c r="M595" t="n">
        <v>0</v>
      </c>
      <c r="N595" t="n">
        <v>0</v>
      </c>
      <c r="O595" t="n">
        <v>0</v>
      </c>
      <c r="P595" t="n">
        <v>0</v>
      </c>
      <c r="Q595" t="n">
        <v>0</v>
      </c>
      <c r="R595" s="2" t="inlineStr"/>
    </row>
    <row r="596" ht="15" customHeight="1">
      <c r="A596" t="inlineStr">
        <is>
          <t>A 27274-2020</t>
        </is>
      </c>
      <c r="B596" s="1" t="n">
        <v>43992</v>
      </c>
      <c r="C596" s="1" t="n">
        <v>45829</v>
      </c>
      <c r="D596" t="inlineStr">
        <is>
          <t>VÄSTERNORRLANDS LÄN</t>
        </is>
      </c>
      <c r="E596" t="inlineStr">
        <is>
          <t>SUNDSVALL</t>
        </is>
      </c>
      <c r="G596" t="n">
        <v>0.1</v>
      </c>
      <c r="H596" t="n">
        <v>0</v>
      </c>
      <c r="I596" t="n">
        <v>0</v>
      </c>
      <c r="J596" t="n">
        <v>0</v>
      </c>
      <c r="K596" t="n">
        <v>0</v>
      </c>
      <c r="L596" t="n">
        <v>0</v>
      </c>
      <c r="M596" t="n">
        <v>0</v>
      </c>
      <c r="N596" t="n">
        <v>0</v>
      </c>
      <c r="O596" t="n">
        <v>0</v>
      </c>
      <c r="P596" t="n">
        <v>0</v>
      </c>
      <c r="Q596" t="n">
        <v>0</v>
      </c>
      <c r="R596" s="2" t="inlineStr"/>
    </row>
    <row r="597" ht="15" customHeight="1">
      <c r="A597" t="inlineStr">
        <is>
          <t>A 27551-2020</t>
        </is>
      </c>
      <c r="B597" s="1" t="n">
        <v>43993</v>
      </c>
      <c r="C597" s="1" t="n">
        <v>45829</v>
      </c>
      <c r="D597" t="inlineStr">
        <is>
          <t>VÄSTERNORRLANDS LÄN</t>
        </is>
      </c>
      <c r="E597" t="inlineStr">
        <is>
          <t>SUNDSVALL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27992-2020</t>
        </is>
      </c>
      <c r="B598" s="1" t="n">
        <v>43997</v>
      </c>
      <c r="C598" s="1" t="n">
        <v>45829</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28220-2020</t>
        </is>
      </c>
      <c r="B599" s="1" t="n">
        <v>43997</v>
      </c>
      <c r="C599" s="1" t="n">
        <v>45829</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28559-2020</t>
        </is>
      </c>
      <c r="B600" s="1" t="n">
        <v>43997</v>
      </c>
      <c r="C600" s="1" t="n">
        <v>45829</v>
      </c>
      <c r="D600" t="inlineStr">
        <is>
          <t>VÄSTERNORRLANDS LÄN</t>
        </is>
      </c>
      <c r="E600" t="inlineStr">
        <is>
          <t>SUNDSVALL</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28222-2020</t>
        </is>
      </c>
      <c r="B601" s="1" t="n">
        <v>43997</v>
      </c>
      <c r="C601" s="1" t="n">
        <v>45829</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28218-2020</t>
        </is>
      </c>
      <c r="B602" s="1" t="n">
        <v>43997</v>
      </c>
      <c r="C602" s="1" t="n">
        <v>45829</v>
      </c>
      <c r="D602" t="inlineStr">
        <is>
          <t>VÄSTERNORRLANDS LÄN</t>
        </is>
      </c>
      <c r="E602" t="inlineStr">
        <is>
          <t>SUNDSVALL</t>
        </is>
      </c>
      <c r="G602" t="n">
        <v>0.6</v>
      </c>
      <c r="H602" t="n">
        <v>0</v>
      </c>
      <c r="I602" t="n">
        <v>0</v>
      </c>
      <c r="J602" t="n">
        <v>0</v>
      </c>
      <c r="K602" t="n">
        <v>0</v>
      </c>
      <c r="L602" t="n">
        <v>0</v>
      </c>
      <c r="M602" t="n">
        <v>0</v>
      </c>
      <c r="N602" t="n">
        <v>0</v>
      </c>
      <c r="O602" t="n">
        <v>0</v>
      </c>
      <c r="P602" t="n">
        <v>0</v>
      </c>
      <c r="Q602" t="n">
        <v>0</v>
      </c>
      <c r="R602" s="2" t="inlineStr"/>
    </row>
    <row r="603" ht="15" customHeight="1">
      <c r="A603" t="inlineStr">
        <is>
          <t>A 28655-2020</t>
        </is>
      </c>
      <c r="B603" s="1" t="n">
        <v>43999</v>
      </c>
      <c r="C603" s="1" t="n">
        <v>45829</v>
      </c>
      <c r="D603" t="inlineStr">
        <is>
          <t>VÄSTERNORRLANDS LÄN</t>
        </is>
      </c>
      <c r="E603" t="inlineStr">
        <is>
          <t>SUNDSVALL</t>
        </is>
      </c>
      <c r="G603" t="n">
        <v>2.9</v>
      </c>
      <c r="H603" t="n">
        <v>0</v>
      </c>
      <c r="I603" t="n">
        <v>0</v>
      </c>
      <c r="J603" t="n">
        <v>0</v>
      </c>
      <c r="K603" t="n">
        <v>0</v>
      </c>
      <c r="L603" t="n">
        <v>0</v>
      </c>
      <c r="M603" t="n">
        <v>0</v>
      </c>
      <c r="N603" t="n">
        <v>0</v>
      </c>
      <c r="O603" t="n">
        <v>0</v>
      </c>
      <c r="P603" t="n">
        <v>0</v>
      </c>
      <c r="Q603" t="n">
        <v>0</v>
      </c>
      <c r="R603" s="2" t="inlineStr"/>
    </row>
    <row r="604" ht="15" customHeight="1">
      <c r="A604" t="inlineStr">
        <is>
          <t>A 28727-2020</t>
        </is>
      </c>
      <c r="B604" s="1" t="n">
        <v>43999</v>
      </c>
      <c r="C604" s="1" t="n">
        <v>45829</v>
      </c>
      <c r="D604" t="inlineStr">
        <is>
          <t>VÄSTERNORRLANDS LÄN</t>
        </is>
      </c>
      <c r="E604" t="inlineStr">
        <is>
          <t>SUNDSVALL</t>
        </is>
      </c>
      <c r="G604" t="n">
        <v>4.7</v>
      </c>
      <c r="H604" t="n">
        <v>0</v>
      </c>
      <c r="I604" t="n">
        <v>0</v>
      </c>
      <c r="J604" t="n">
        <v>0</v>
      </c>
      <c r="K604" t="n">
        <v>0</v>
      </c>
      <c r="L604" t="n">
        <v>0</v>
      </c>
      <c r="M604" t="n">
        <v>0</v>
      </c>
      <c r="N604" t="n">
        <v>0</v>
      </c>
      <c r="O604" t="n">
        <v>0</v>
      </c>
      <c r="P604" t="n">
        <v>0</v>
      </c>
      <c r="Q604" t="n">
        <v>0</v>
      </c>
      <c r="R604" s="2" t="inlineStr"/>
    </row>
    <row r="605" ht="15" customHeight="1">
      <c r="A605" t="inlineStr">
        <is>
          <t>A 28724-2020</t>
        </is>
      </c>
      <c r="B605" s="1" t="n">
        <v>43999</v>
      </c>
      <c r="C605" s="1" t="n">
        <v>45829</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29059-2020</t>
        </is>
      </c>
      <c r="B606" s="1" t="n">
        <v>44000</v>
      </c>
      <c r="C606" s="1" t="n">
        <v>45829</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29189-2020</t>
        </is>
      </c>
      <c r="B607" s="1" t="n">
        <v>44004</v>
      </c>
      <c r="C607" s="1" t="n">
        <v>45829</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29777-2020</t>
        </is>
      </c>
      <c r="B608" s="1" t="n">
        <v>44005</v>
      </c>
      <c r="C608" s="1" t="n">
        <v>45829</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29784-2020</t>
        </is>
      </c>
      <c r="B609" s="1" t="n">
        <v>44005</v>
      </c>
      <c r="C609" s="1" t="n">
        <v>45829</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29906-2020</t>
        </is>
      </c>
      <c r="B610" s="1" t="n">
        <v>44006</v>
      </c>
      <c r="C610" s="1" t="n">
        <v>45829</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30685-2020</t>
        </is>
      </c>
      <c r="B611" s="1" t="n">
        <v>44008</v>
      </c>
      <c r="C611" s="1" t="n">
        <v>45829</v>
      </c>
      <c r="D611" t="inlineStr">
        <is>
          <t>VÄSTERNORRLANDS LÄN</t>
        </is>
      </c>
      <c r="E611" t="inlineStr">
        <is>
          <t>SUNDSVALL</t>
        </is>
      </c>
      <c r="G611" t="n">
        <v>0.4</v>
      </c>
      <c r="H611" t="n">
        <v>0</v>
      </c>
      <c r="I611" t="n">
        <v>0</v>
      </c>
      <c r="J611" t="n">
        <v>0</v>
      </c>
      <c r="K611" t="n">
        <v>0</v>
      </c>
      <c r="L611" t="n">
        <v>0</v>
      </c>
      <c r="M611" t="n">
        <v>0</v>
      </c>
      <c r="N611" t="n">
        <v>0</v>
      </c>
      <c r="O611" t="n">
        <v>0</v>
      </c>
      <c r="P611" t="n">
        <v>0</v>
      </c>
      <c r="Q611" t="n">
        <v>0</v>
      </c>
      <c r="R611" s="2" t="inlineStr"/>
    </row>
    <row r="612" ht="15" customHeight="1">
      <c r="A612" t="inlineStr">
        <is>
          <t>A 31586-2020</t>
        </is>
      </c>
      <c r="B612" s="1" t="n">
        <v>44013</v>
      </c>
      <c r="C612" s="1" t="n">
        <v>45829</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31965-2020</t>
        </is>
      </c>
      <c r="B613" s="1" t="n">
        <v>44014</v>
      </c>
      <c r="C613" s="1" t="n">
        <v>45829</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31984-2020</t>
        </is>
      </c>
      <c r="B614" s="1" t="n">
        <v>44014</v>
      </c>
      <c r="C614" s="1" t="n">
        <v>45829</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32425-2020</t>
        </is>
      </c>
      <c r="B615" s="1" t="n">
        <v>44018</v>
      </c>
      <c r="C615" s="1" t="n">
        <v>45829</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32646-2020</t>
        </is>
      </c>
      <c r="B616" s="1" t="n">
        <v>44018</v>
      </c>
      <c r="C616" s="1" t="n">
        <v>45829</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32998-2020</t>
        </is>
      </c>
      <c r="B617" s="1" t="n">
        <v>44020</v>
      </c>
      <c r="C617" s="1" t="n">
        <v>45829</v>
      </c>
      <c r="D617" t="inlineStr">
        <is>
          <t>VÄSTERNORRLANDS LÄN</t>
        </is>
      </c>
      <c r="E617" t="inlineStr">
        <is>
          <t>SUNDSVALL</t>
        </is>
      </c>
      <c r="G617" t="n">
        <v>1.9</v>
      </c>
      <c r="H617" t="n">
        <v>0</v>
      </c>
      <c r="I617" t="n">
        <v>0</v>
      </c>
      <c r="J617" t="n">
        <v>0</v>
      </c>
      <c r="K617" t="n">
        <v>0</v>
      </c>
      <c r="L617" t="n">
        <v>0</v>
      </c>
      <c r="M617" t="n">
        <v>0</v>
      </c>
      <c r="N617" t="n">
        <v>0</v>
      </c>
      <c r="O617" t="n">
        <v>0</v>
      </c>
      <c r="P617" t="n">
        <v>0</v>
      </c>
      <c r="Q617" t="n">
        <v>0</v>
      </c>
      <c r="R617" s="2" t="inlineStr"/>
    </row>
    <row r="618" ht="15" customHeight="1">
      <c r="A618" t="inlineStr">
        <is>
          <t>A 32997-2020</t>
        </is>
      </c>
      <c r="B618" s="1" t="n">
        <v>44021</v>
      </c>
      <c r="C618" s="1" t="n">
        <v>45829</v>
      </c>
      <c r="D618" t="inlineStr">
        <is>
          <t>VÄSTERNORRLANDS LÄN</t>
        </is>
      </c>
      <c r="E618" t="inlineStr">
        <is>
          <t>SUNDSVALL</t>
        </is>
      </c>
      <c r="G618" t="n">
        <v>5.2</v>
      </c>
      <c r="H618" t="n">
        <v>0</v>
      </c>
      <c r="I618" t="n">
        <v>0</v>
      </c>
      <c r="J618" t="n">
        <v>0</v>
      </c>
      <c r="K618" t="n">
        <v>0</v>
      </c>
      <c r="L618" t="n">
        <v>0</v>
      </c>
      <c r="M618" t="n">
        <v>0</v>
      </c>
      <c r="N618" t="n">
        <v>0</v>
      </c>
      <c r="O618" t="n">
        <v>0</v>
      </c>
      <c r="P618" t="n">
        <v>0</v>
      </c>
      <c r="Q618" t="n">
        <v>0</v>
      </c>
      <c r="R618" s="2" t="inlineStr"/>
    </row>
    <row r="619" ht="15" customHeight="1">
      <c r="A619" t="inlineStr">
        <is>
          <t>A 33877-2020</t>
        </is>
      </c>
      <c r="B619" s="1" t="n">
        <v>44025</v>
      </c>
      <c r="C619" s="1" t="n">
        <v>45829</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33779-2020</t>
        </is>
      </c>
      <c r="B620" s="1" t="n">
        <v>44026</v>
      </c>
      <c r="C620" s="1" t="n">
        <v>45829</v>
      </c>
      <c r="D620" t="inlineStr">
        <is>
          <t>VÄSTERNORRLANDS LÄN</t>
        </is>
      </c>
      <c r="E620" t="inlineStr">
        <is>
          <t>SUNDSVALL</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34568-2020</t>
        </is>
      </c>
      <c r="B621" s="1" t="n">
        <v>44033</v>
      </c>
      <c r="C621" s="1" t="n">
        <v>45829</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34655-2020</t>
        </is>
      </c>
      <c r="B622" s="1" t="n">
        <v>44034</v>
      </c>
      <c r="C622" s="1" t="n">
        <v>45829</v>
      </c>
      <c r="D622" t="inlineStr">
        <is>
          <t>VÄSTERNORRLANDS LÄN</t>
        </is>
      </c>
      <c r="E622" t="inlineStr">
        <is>
          <t>SUNDSVALL</t>
        </is>
      </c>
      <c r="F622" t="inlineStr">
        <is>
          <t>Naturvårdsverket</t>
        </is>
      </c>
      <c r="G622" t="n">
        <v>39.1</v>
      </c>
      <c r="H622" t="n">
        <v>0</v>
      </c>
      <c r="I622" t="n">
        <v>0</v>
      </c>
      <c r="J622" t="n">
        <v>0</v>
      </c>
      <c r="K622" t="n">
        <v>0</v>
      </c>
      <c r="L622" t="n">
        <v>0</v>
      </c>
      <c r="M622" t="n">
        <v>0</v>
      </c>
      <c r="N622" t="n">
        <v>0</v>
      </c>
      <c r="O622" t="n">
        <v>0</v>
      </c>
      <c r="P622" t="n">
        <v>0</v>
      </c>
      <c r="Q622" t="n">
        <v>0</v>
      </c>
      <c r="R622" s="2" t="inlineStr"/>
    </row>
    <row r="623" ht="15" customHeight="1">
      <c r="A623" t="inlineStr">
        <is>
          <t>A 34656-2020</t>
        </is>
      </c>
      <c r="B623" s="1" t="n">
        <v>44034</v>
      </c>
      <c r="C623" s="1" t="n">
        <v>45829</v>
      </c>
      <c r="D623" t="inlineStr">
        <is>
          <t>VÄSTERNORRLANDS LÄN</t>
        </is>
      </c>
      <c r="E623" t="inlineStr">
        <is>
          <t>SUNDSVALL</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34781-2020</t>
        </is>
      </c>
      <c r="B624" s="1" t="n">
        <v>44035</v>
      </c>
      <c r="C624" s="1" t="n">
        <v>45829</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34779-2020</t>
        </is>
      </c>
      <c r="B625" s="1" t="n">
        <v>44035</v>
      </c>
      <c r="C625" s="1" t="n">
        <v>45829</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34780-2020</t>
        </is>
      </c>
      <c r="B626" s="1" t="n">
        <v>44035</v>
      </c>
      <c r="C626" s="1" t="n">
        <v>45829</v>
      </c>
      <c r="D626" t="inlineStr">
        <is>
          <t>VÄSTERNORRLANDS LÄN</t>
        </is>
      </c>
      <c r="E626" t="inlineStr">
        <is>
          <t>SUNDSVALL</t>
        </is>
      </c>
      <c r="G626" t="n">
        <v>2.5</v>
      </c>
      <c r="H626" t="n">
        <v>0</v>
      </c>
      <c r="I626" t="n">
        <v>0</v>
      </c>
      <c r="J626" t="n">
        <v>0</v>
      </c>
      <c r="K626" t="n">
        <v>0</v>
      </c>
      <c r="L626" t="n">
        <v>0</v>
      </c>
      <c r="M626" t="n">
        <v>0</v>
      </c>
      <c r="N626" t="n">
        <v>0</v>
      </c>
      <c r="O626" t="n">
        <v>0</v>
      </c>
      <c r="P626" t="n">
        <v>0</v>
      </c>
      <c r="Q626" t="n">
        <v>0</v>
      </c>
      <c r="R626" s="2" t="inlineStr"/>
    </row>
    <row r="627" ht="15" customHeight="1">
      <c r="A627" t="inlineStr">
        <is>
          <t>A 35211-2020</t>
        </is>
      </c>
      <c r="B627" s="1" t="n">
        <v>44040</v>
      </c>
      <c r="C627" s="1" t="n">
        <v>45829</v>
      </c>
      <c r="D627" t="inlineStr">
        <is>
          <t>VÄSTERNORRLANDS LÄN</t>
        </is>
      </c>
      <c r="E627" t="inlineStr">
        <is>
          <t>SUNDSVALL</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35596-2020</t>
        </is>
      </c>
      <c r="B628" s="1" t="n">
        <v>44043</v>
      </c>
      <c r="C628" s="1" t="n">
        <v>45829</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36020-2020</t>
        </is>
      </c>
      <c r="B629" s="1" t="n">
        <v>44047</v>
      </c>
      <c r="C629" s="1" t="n">
        <v>45829</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36448-2020</t>
        </is>
      </c>
      <c r="B630" s="1" t="n">
        <v>44049</v>
      </c>
      <c r="C630" s="1" t="n">
        <v>45829</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36645-2020</t>
        </is>
      </c>
      <c r="B631" s="1" t="n">
        <v>44050</v>
      </c>
      <c r="C631" s="1" t="n">
        <v>45829</v>
      </c>
      <c r="D631" t="inlineStr">
        <is>
          <t>VÄSTERNORRLANDS LÄN</t>
        </is>
      </c>
      <c r="E631" t="inlineStr">
        <is>
          <t>SUNDSVALL</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36673-2020</t>
        </is>
      </c>
      <c r="B632" s="1" t="n">
        <v>44050</v>
      </c>
      <c r="C632" s="1" t="n">
        <v>45829</v>
      </c>
      <c r="D632" t="inlineStr">
        <is>
          <t>VÄSTERNORRLANDS LÄN</t>
        </is>
      </c>
      <c r="E632" t="inlineStr">
        <is>
          <t>SUNDSVALL</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37233-2020</t>
        </is>
      </c>
      <c r="B633" s="1" t="n">
        <v>44054</v>
      </c>
      <c r="C633" s="1" t="n">
        <v>45829</v>
      </c>
      <c r="D633" t="inlineStr">
        <is>
          <t>VÄSTERNORRLANDS LÄN</t>
        </is>
      </c>
      <c r="E633" t="inlineStr">
        <is>
          <t>SUNDSVALL</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38096-2020</t>
        </is>
      </c>
      <c r="B634" s="1" t="n">
        <v>44057</v>
      </c>
      <c r="C634" s="1" t="n">
        <v>45829</v>
      </c>
      <c r="D634" t="inlineStr">
        <is>
          <t>VÄSTERNORRLANDS LÄN</t>
        </is>
      </c>
      <c r="E634" t="inlineStr">
        <is>
          <t>SUNDSVALL</t>
        </is>
      </c>
      <c r="F634" t="inlineStr">
        <is>
          <t>Naturvårdsverket</t>
        </is>
      </c>
      <c r="G634" t="n">
        <v>7.9</v>
      </c>
      <c r="H634" t="n">
        <v>0</v>
      </c>
      <c r="I634" t="n">
        <v>0</v>
      </c>
      <c r="J634" t="n">
        <v>0</v>
      </c>
      <c r="K634" t="n">
        <v>0</v>
      </c>
      <c r="L634" t="n">
        <v>0</v>
      </c>
      <c r="M634" t="n">
        <v>0</v>
      </c>
      <c r="N634" t="n">
        <v>0</v>
      </c>
      <c r="O634" t="n">
        <v>0</v>
      </c>
      <c r="P634" t="n">
        <v>0</v>
      </c>
      <c r="Q634" t="n">
        <v>0</v>
      </c>
      <c r="R634" s="2" t="inlineStr"/>
    </row>
    <row r="635" ht="15" customHeight="1">
      <c r="A635" t="inlineStr">
        <is>
          <t>A 38091-2020</t>
        </is>
      </c>
      <c r="B635" s="1" t="n">
        <v>44057</v>
      </c>
      <c r="C635" s="1" t="n">
        <v>45829</v>
      </c>
      <c r="D635" t="inlineStr">
        <is>
          <t>VÄSTERNORRLANDS LÄN</t>
        </is>
      </c>
      <c r="E635" t="inlineStr">
        <is>
          <t>SUNDSVALL</t>
        </is>
      </c>
      <c r="G635" t="n">
        <v>2.8</v>
      </c>
      <c r="H635" t="n">
        <v>0</v>
      </c>
      <c r="I635" t="n">
        <v>0</v>
      </c>
      <c r="J635" t="n">
        <v>0</v>
      </c>
      <c r="K635" t="n">
        <v>0</v>
      </c>
      <c r="L635" t="n">
        <v>0</v>
      </c>
      <c r="M635" t="n">
        <v>0</v>
      </c>
      <c r="N635" t="n">
        <v>0</v>
      </c>
      <c r="O635" t="n">
        <v>0</v>
      </c>
      <c r="P635" t="n">
        <v>0</v>
      </c>
      <c r="Q635" t="n">
        <v>0</v>
      </c>
      <c r="R635" s="2" t="inlineStr"/>
    </row>
    <row r="636" ht="15" customHeight="1">
      <c r="A636" t="inlineStr">
        <is>
          <t>A 38754-2020</t>
        </is>
      </c>
      <c r="B636" s="1" t="n">
        <v>44061</v>
      </c>
      <c r="C636" s="1" t="n">
        <v>45829</v>
      </c>
      <c r="D636" t="inlineStr">
        <is>
          <t>VÄSTERNORRLANDS LÄN</t>
        </is>
      </c>
      <c r="E636" t="inlineStr">
        <is>
          <t>SUNDSVALL</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38852-2020</t>
        </is>
      </c>
      <c r="B637" s="1" t="n">
        <v>44062</v>
      </c>
      <c r="C637" s="1" t="n">
        <v>45829</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38858-2020</t>
        </is>
      </c>
      <c r="B638" s="1" t="n">
        <v>44062</v>
      </c>
      <c r="C638" s="1" t="n">
        <v>45829</v>
      </c>
      <c r="D638" t="inlineStr">
        <is>
          <t>VÄSTERNORRLANDS LÄN</t>
        </is>
      </c>
      <c r="E638" t="inlineStr">
        <is>
          <t>SUNDSVALL</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38863-2020</t>
        </is>
      </c>
      <c r="B639" s="1" t="n">
        <v>44062</v>
      </c>
      <c r="C639" s="1" t="n">
        <v>45829</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39756-2020</t>
        </is>
      </c>
      <c r="B640" s="1" t="n">
        <v>44067</v>
      </c>
      <c r="C640" s="1" t="n">
        <v>45829</v>
      </c>
      <c r="D640" t="inlineStr">
        <is>
          <t>VÄSTERNORRLANDS LÄN</t>
        </is>
      </c>
      <c r="E640" t="inlineStr">
        <is>
          <t>SUNDSVALL</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40554-2020</t>
        </is>
      </c>
      <c r="B641" s="1" t="n">
        <v>44069</v>
      </c>
      <c r="C641" s="1" t="n">
        <v>45829</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41030-2020</t>
        </is>
      </c>
      <c r="B642" s="1" t="n">
        <v>44070</v>
      </c>
      <c r="C642" s="1" t="n">
        <v>45829</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41335-2020</t>
        </is>
      </c>
      <c r="B643" s="1" t="n">
        <v>44071</v>
      </c>
      <c r="C643" s="1" t="n">
        <v>45829</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41351-2020</t>
        </is>
      </c>
      <c r="B644" s="1" t="n">
        <v>44071</v>
      </c>
      <c r="C644" s="1" t="n">
        <v>45829</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42099-2020</t>
        </is>
      </c>
      <c r="B645" s="1" t="n">
        <v>44074</v>
      </c>
      <c r="C645" s="1" t="n">
        <v>45829</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42155-2020</t>
        </is>
      </c>
      <c r="B646" s="1" t="n">
        <v>44074</v>
      </c>
      <c r="C646" s="1" t="n">
        <v>45829</v>
      </c>
      <c r="D646" t="inlineStr">
        <is>
          <t>VÄSTERNORRLANDS LÄN</t>
        </is>
      </c>
      <c r="E646" t="inlineStr">
        <is>
          <t>SUNDSVALL</t>
        </is>
      </c>
      <c r="G646" t="n">
        <v>4.4</v>
      </c>
      <c r="H646" t="n">
        <v>0</v>
      </c>
      <c r="I646" t="n">
        <v>0</v>
      </c>
      <c r="J646" t="n">
        <v>0</v>
      </c>
      <c r="K646" t="n">
        <v>0</v>
      </c>
      <c r="L646" t="n">
        <v>0</v>
      </c>
      <c r="M646" t="n">
        <v>0</v>
      </c>
      <c r="N646" t="n">
        <v>0</v>
      </c>
      <c r="O646" t="n">
        <v>0</v>
      </c>
      <c r="P646" t="n">
        <v>0</v>
      </c>
      <c r="Q646" t="n">
        <v>0</v>
      </c>
      <c r="R646" s="2" t="inlineStr"/>
    </row>
    <row r="647" ht="15" customHeight="1">
      <c r="A647" t="inlineStr">
        <is>
          <t>A 43299-2020</t>
        </is>
      </c>
      <c r="B647" s="1" t="n">
        <v>44081</v>
      </c>
      <c r="C647" s="1" t="n">
        <v>45829</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44210-2020</t>
        </is>
      </c>
      <c r="B648" s="1" t="n">
        <v>44083</v>
      </c>
      <c r="C648" s="1" t="n">
        <v>45829</v>
      </c>
      <c r="D648" t="inlineStr">
        <is>
          <t>VÄSTERNORRLANDS LÄN</t>
        </is>
      </c>
      <c r="E648" t="inlineStr">
        <is>
          <t>SUNDSVALL</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45053-2020</t>
        </is>
      </c>
      <c r="B649" s="1" t="n">
        <v>44084</v>
      </c>
      <c r="C649" s="1" t="n">
        <v>45829</v>
      </c>
      <c r="D649" t="inlineStr">
        <is>
          <t>VÄSTERNORRLANDS LÄN</t>
        </is>
      </c>
      <c r="E649" t="inlineStr">
        <is>
          <t>SUNDSVALL</t>
        </is>
      </c>
      <c r="G649" t="n">
        <v>16.6</v>
      </c>
      <c r="H649" t="n">
        <v>0</v>
      </c>
      <c r="I649" t="n">
        <v>0</v>
      </c>
      <c r="J649" t="n">
        <v>0</v>
      </c>
      <c r="K649" t="n">
        <v>0</v>
      </c>
      <c r="L649" t="n">
        <v>0</v>
      </c>
      <c r="M649" t="n">
        <v>0</v>
      </c>
      <c r="N649" t="n">
        <v>0</v>
      </c>
      <c r="O649" t="n">
        <v>0</v>
      </c>
      <c r="P649" t="n">
        <v>0</v>
      </c>
      <c r="Q649" t="n">
        <v>0</v>
      </c>
      <c r="R649" s="2" t="inlineStr"/>
    </row>
    <row r="650" ht="15" customHeight="1">
      <c r="A650" t="inlineStr">
        <is>
          <t>A 44599-2020</t>
        </is>
      </c>
      <c r="B650" s="1" t="n">
        <v>44085</v>
      </c>
      <c r="C650" s="1" t="n">
        <v>45829</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45337-2020</t>
        </is>
      </c>
      <c r="B651" s="1" t="n">
        <v>44085</v>
      </c>
      <c r="C651" s="1" t="n">
        <v>45829</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45099-2020</t>
        </is>
      </c>
      <c r="B652" s="1" t="n">
        <v>44088</v>
      </c>
      <c r="C652" s="1" t="n">
        <v>45829</v>
      </c>
      <c r="D652" t="inlineStr">
        <is>
          <t>VÄSTERNORRLANDS LÄN</t>
        </is>
      </c>
      <c r="E652" t="inlineStr">
        <is>
          <t>SUNDSVALL</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45005-2020</t>
        </is>
      </c>
      <c r="B653" s="1" t="n">
        <v>44088</v>
      </c>
      <c r="C653" s="1" t="n">
        <v>45829</v>
      </c>
      <c r="D653" t="inlineStr">
        <is>
          <t>VÄSTERNORRLANDS LÄN</t>
        </is>
      </c>
      <c r="E653" t="inlineStr">
        <is>
          <t>SUNDSVALL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45233-2020</t>
        </is>
      </c>
      <c r="B654" s="1" t="n">
        <v>44088</v>
      </c>
      <c r="C654" s="1" t="n">
        <v>45829</v>
      </c>
      <c r="D654" t="inlineStr">
        <is>
          <t>VÄSTERNORRLANDS LÄN</t>
        </is>
      </c>
      <c r="E654" t="inlineStr">
        <is>
          <t>SUNDSVALL</t>
        </is>
      </c>
      <c r="F654" t="inlineStr">
        <is>
          <t>Naturvårdsverket</t>
        </is>
      </c>
      <c r="G654" t="n">
        <v>2.3</v>
      </c>
      <c r="H654" t="n">
        <v>0</v>
      </c>
      <c r="I654" t="n">
        <v>0</v>
      </c>
      <c r="J654" t="n">
        <v>0</v>
      </c>
      <c r="K654" t="n">
        <v>0</v>
      </c>
      <c r="L654" t="n">
        <v>0</v>
      </c>
      <c r="M654" t="n">
        <v>0</v>
      </c>
      <c r="N654" t="n">
        <v>0</v>
      </c>
      <c r="O654" t="n">
        <v>0</v>
      </c>
      <c r="P654" t="n">
        <v>0</v>
      </c>
      <c r="Q654" t="n">
        <v>0</v>
      </c>
      <c r="R654" s="2" t="inlineStr"/>
    </row>
    <row r="655" ht="15" customHeight="1">
      <c r="A655" t="inlineStr">
        <is>
          <t>A 45596-2020</t>
        </is>
      </c>
      <c r="B655" s="1" t="n">
        <v>44090</v>
      </c>
      <c r="C655" s="1" t="n">
        <v>45829</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45829-2020</t>
        </is>
      </c>
      <c r="B656" s="1" t="n">
        <v>44090</v>
      </c>
      <c r="C656" s="1" t="n">
        <v>45829</v>
      </c>
      <c r="D656" t="inlineStr">
        <is>
          <t>VÄSTERNORRLANDS LÄN</t>
        </is>
      </c>
      <c r="E656" t="inlineStr">
        <is>
          <t>SUNDSVALL</t>
        </is>
      </c>
      <c r="F656" t="inlineStr">
        <is>
          <t>Naturvårdsverket</t>
        </is>
      </c>
      <c r="G656" t="n">
        <v>5.3</v>
      </c>
      <c r="H656" t="n">
        <v>0</v>
      </c>
      <c r="I656" t="n">
        <v>0</v>
      </c>
      <c r="J656" t="n">
        <v>0</v>
      </c>
      <c r="K656" t="n">
        <v>0</v>
      </c>
      <c r="L656" t="n">
        <v>0</v>
      </c>
      <c r="M656" t="n">
        <v>0</v>
      </c>
      <c r="N656" t="n">
        <v>0</v>
      </c>
      <c r="O656" t="n">
        <v>0</v>
      </c>
      <c r="P656" t="n">
        <v>0</v>
      </c>
      <c r="Q656" t="n">
        <v>0</v>
      </c>
      <c r="R656" s="2" t="inlineStr"/>
    </row>
    <row r="657" ht="15" customHeight="1">
      <c r="A657" t="inlineStr">
        <is>
          <t>A 45852-2020</t>
        </is>
      </c>
      <c r="B657" s="1" t="n">
        <v>44090</v>
      </c>
      <c r="C657" s="1" t="n">
        <v>45829</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49273-2020</t>
        </is>
      </c>
      <c r="B658" s="1" t="n">
        <v>44105</v>
      </c>
      <c r="C658" s="1" t="n">
        <v>45829</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49497-2020</t>
        </is>
      </c>
      <c r="B659" s="1" t="n">
        <v>44105</v>
      </c>
      <c r="C659" s="1" t="n">
        <v>45829</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49504-2020</t>
        </is>
      </c>
      <c r="B660" s="1" t="n">
        <v>44105</v>
      </c>
      <c r="C660" s="1" t="n">
        <v>45829</v>
      </c>
      <c r="D660" t="inlineStr">
        <is>
          <t>VÄSTERNORRLANDS LÄN</t>
        </is>
      </c>
      <c r="E660" t="inlineStr">
        <is>
          <t>SUNDSVALL</t>
        </is>
      </c>
      <c r="G660" t="n">
        <v>4.9</v>
      </c>
      <c r="H660" t="n">
        <v>0</v>
      </c>
      <c r="I660" t="n">
        <v>0</v>
      </c>
      <c r="J660" t="n">
        <v>0</v>
      </c>
      <c r="K660" t="n">
        <v>0</v>
      </c>
      <c r="L660" t="n">
        <v>0</v>
      </c>
      <c r="M660" t="n">
        <v>0</v>
      </c>
      <c r="N660" t="n">
        <v>0</v>
      </c>
      <c r="O660" t="n">
        <v>0</v>
      </c>
      <c r="P660" t="n">
        <v>0</v>
      </c>
      <c r="Q660" t="n">
        <v>0</v>
      </c>
      <c r="R660" s="2" t="inlineStr"/>
    </row>
    <row r="661" ht="15" customHeight="1">
      <c r="A661" t="inlineStr">
        <is>
          <t>A 49496-2020</t>
        </is>
      </c>
      <c r="B661" s="1" t="n">
        <v>44105</v>
      </c>
      <c r="C661" s="1" t="n">
        <v>45829</v>
      </c>
      <c r="D661" t="inlineStr">
        <is>
          <t>VÄSTERNORRLANDS LÄN</t>
        </is>
      </c>
      <c r="E661" t="inlineStr">
        <is>
          <t>SUNDSVALL</t>
        </is>
      </c>
      <c r="G661" t="n">
        <v>9.1</v>
      </c>
      <c r="H661" t="n">
        <v>0</v>
      </c>
      <c r="I661" t="n">
        <v>0</v>
      </c>
      <c r="J661" t="n">
        <v>0</v>
      </c>
      <c r="K661" t="n">
        <v>0</v>
      </c>
      <c r="L661" t="n">
        <v>0</v>
      </c>
      <c r="M661" t="n">
        <v>0</v>
      </c>
      <c r="N661" t="n">
        <v>0</v>
      </c>
      <c r="O661" t="n">
        <v>0</v>
      </c>
      <c r="P661" t="n">
        <v>0</v>
      </c>
      <c r="Q661" t="n">
        <v>0</v>
      </c>
      <c r="R661" s="2" t="inlineStr"/>
    </row>
    <row r="662" ht="15" customHeight="1">
      <c r="A662" t="inlineStr">
        <is>
          <t>A 49503-2020</t>
        </is>
      </c>
      <c r="B662" s="1" t="n">
        <v>44105</v>
      </c>
      <c r="C662" s="1" t="n">
        <v>45829</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49499-2020</t>
        </is>
      </c>
      <c r="B663" s="1" t="n">
        <v>44105</v>
      </c>
      <c r="C663" s="1" t="n">
        <v>45829</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49489-2020</t>
        </is>
      </c>
      <c r="B664" s="1" t="n">
        <v>44105</v>
      </c>
      <c r="C664" s="1" t="n">
        <v>45829</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49501-2020</t>
        </is>
      </c>
      <c r="B665" s="1" t="n">
        <v>44106</v>
      </c>
      <c r="C665" s="1" t="n">
        <v>45829</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50151-2020</t>
        </is>
      </c>
      <c r="B666" s="1" t="n">
        <v>44109</v>
      </c>
      <c r="C666" s="1" t="n">
        <v>45829</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50169-2020</t>
        </is>
      </c>
      <c r="B667" s="1" t="n">
        <v>44109</v>
      </c>
      <c r="C667" s="1" t="n">
        <v>45829</v>
      </c>
      <c r="D667" t="inlineStr">
        <is>
          <t>VÄSTERNORRLANDS LÄN</t>
        </is>
      </c>
      <c r="E667" t="inlineStr">
        <is>
          <t>SUNDSVALL</t>
        </is>
      </c>
      <c r="G667" t="n">
        <v>4.1</v>
      </c>
      <c r="H667" t="n">
        <v>0</v>
      </c>
      <c r="I667" t="n">
        <v>0</v>
      </c>
      <c r="J667" t="n">
        <v>0</v>
      </c>
      <c r="K667" t="n">
        <v>0</v>
      </c>
      <c r="L667" t="n">
        <v>0</v>
      </c>
      <c r="M667" t="n">
        <v>0</v>
      </c>
      <c r="N667" t="n">
        <v>0</v>
      </c>
      <c r="O667" t="n">
        <v>0</v>
      </c>
      <c r="P667" t="n">
        <v>0</v>
      </c>
      <c r="Q667" t="n">
        <v>0</v>
      </c>
      <c r="R667" s="2" t="inlineStr"/>
    </row>
    <row r="668" ht="15" customHeight="1">
      <c r="A668" t="inlineStr">
        <is>
          <t>A 50485-2020</t>
        </is>
      </c>
      <c r="B668" s="1" t="n">
        <v>44110</v>
      </c>
      <c r="C668" s="1" t="n">
        <v>45829</v>
      </c>
      <c r="D668" t="inlineStr">
        <is>
          <t>VÄSTERNORRLANDS LÄN</t>
        </is>
      </c>
      <c r="E668" t="inlineStr">
        <is>
          <t>SUNDSVALL</t>
        </is>
      </c>
      <c r="F668" t="inlineStr">
        <is>
          <t>Kommuner</t>
        </is>
      </c>
      <c r="G668" t="n">
        <v>9</v>
      </c>
      <c r="H668" t="n">
        <v>0</v>
      </c>
      <c r="I668" t="n">
        <v>0</v>
      </c>
      <c r="J668" t="n">
        <v>0</v>
      </c>
      <c r="K668" t="n">
        <v>0</v>
      </c>
      <c r="L668" t="n">
        <v>0</v>
      </c>
      <c r="M668" t="n">
        <v>0</v>
      </c>
      <c r="N668" t="n">
        <v>0</v>
      </c>
      <c r="O668" t="n">
        <v>0</v>
      </c>
      <c r="P668" t="n">
        <v>0</v>
      </c>
      <c r="Q668" t="n">
        <v>0</v>
      </c>
      <c r="R668" s="2" t="inlineStr"/>
    </row>
    <row r="669" ht="15" customHeight="1">
      <c r="A669" t="inlineStr">
        <is>
          <t>A 50500-2020</t>
        </is>
      </c>
      <c r="B669" s="1" t="n">
        <v>44110</v>
      </c>
      <c r="C669" s="1" t="n">
        <v>45829</v>
      </c>
      <c r="D669" t="inlineStr">
        <is>
          <t>VÄSTERNORRLANDS LÄN</t>
        </is>
      </c>
      <c r="E669" t="inlineStr">
        <is>
          <t>SUNDSVALL</t>
        </is>
      </c>
      <c r="F669" t="inlineStr">
        <is>
          <t>Kommuner</t>
        </is>
      </c>
      <c r="G669" t="n">
        <v>1.7</v>
      </c>
      <c r="H669" t="n">
        <v>0</v>
      </c>
      <c r="I669" t="n">
        <v>0</v>
      </c>
      <c r="J669" t="n">
        <v>0</v>
      </c>
      <c r="K669" t="n">
        <v>0</v>
      </c>
      <c r="L669" t="n">
        <v>0</v>
      </c>
      <c r="M669" t="n">
        <v>0</v>
      </c>
      <c r="N669" t="n">
        <v>0</v>
      </c>
      <c r="O669" t="n">
        <v>0</v>
      </c>
      <c r="P669" t="n">
        <v>0</v>
      </c>
      <c r="Q669" t="n">
        <v>0</v>
      </c>
      <c r="R669" s="2" t="inlineStr"/>
    </row>
    <row r="670" ht="15" customHeight="1">
      <c r="A670" t="inlineStr">
        <is>
          <t>A 51368-2020</t>
        </is>
      </c>
      <c r="B670" s="1" t="n">
        <v>44112</v>
      </c>
      <c r="C670" s="1" t="n">
        <v>45829</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51712-2020</t>
        </is>
      </c>
      <c r="B671" s="1" t="n">
        <v>44113</v>
      </c>
      <c r="C671" s="1" t="n">
        <v>45829</v>
      </c>
      <c r="D671" t="inlineStr">
        <is>
          <t>VÄSTERNORRLANDS LÄN</t>
        </is>
      </c>
      <c r="E671" t="inlineStr">
        <is>
          <t>SUNDSVALL</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51754-2020</t>
        </is>
      </c>
      <c r="B672" s="1" t="n">
        <v>44114</v>
      </c>
      <c r="C672" s="1" t="n">
        <v>45829</v>
      </c>
      <c r="D672" t="inlineStr">
        <is>
          <t>VÄSTERNORRLANDS LÄN</t>
        </is>
      </c>
      <c r="E672" t="inlineStr">
        <is>
          <t>SUNDSVALL</t>
        </is>
      </c>
      <c r="G672" t="n">
        <v>6.8</v>
      </c>
      <c r="H672" t="n">
        <v>0</v>
      </c>
      <c r="I672" t="n">
        <v>0</v>
      </c>
      <c r="J672" t="n">
        <v>0</v>
      </c>
      <c r="K672" t="n">
        <v>0</v>
      </c>
      <c r="L672" t="n">
        <v>0</v>
      </c>
      <c r="M672" t="n">
        <v>0</v>
      </c>
      <c r="N672" t="n">
        <v>0</v>
      </c>
      <c r="O672" t="n">
        <v>0</v>
      </c>
      <c r="P672" t="n">
        <v>0</v>
      </c>
      <c r="Q672" t="n">
        <v>0</v>
      </c>
      <c r="R672" s="2" t="inlineStr"/>
    </row>
    <row r="673" ht="15" customHeight="1">
      <c r="A673" t="inlineStr">
        <is>
          <t>A 52036-2020</t>
        </is>
      </c>
      <c r="B673" s="1" t="n">
        <v>44116</v>
      </c>
      <c r="C673" s="1" t="n">
        <v>45829</v>
      </c>
      <c r="D673" t="inlineStr">
        <is>
          <t>VÄSTERNORRLANDS LÄN</t>
        </is>
      </c>
      <c r="E673" t="inlineStr">
        <is>
          <t>SUNDSVALL</t>
        </is>
      </c>
      <c r="F673" t="inlineStr">
        <is>
          <t>SCA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53142-2020</t>
        </is>
      </c>
      <c r="B674" s="1" t="n">
        <v>44120</v>
      </c>
      <c r="C674" s="1" t="n">
        <v>45829</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53503-2020</t>
        </is>
      </c>
      <c r="B675" s="1" t="n">
        <v>44123</v>
      </c>
      <c r="C675" s="1" t="n">
        <v>45829</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54574-2020</t>
        </is>
      </c>
      <c r="B676" s="1" t="n">
        <v>44126</v>
      </c>
      <c r="C676" s="1" t="n">
        <v>45829</v>
      </c>
      <c r="D676" t="inlineStr">
        <is>
          <t>VÄSTERNORRLANDS LÄN</t>
        </is>
      </c>
      <c r="E676" t="inlineStr">
        <is>
          <t>SUNDSVALL</t>
        </is>
      </c>
      <c r="F676" t="inlineStr">
        <is>
          <t>Naturvårdsverket</t>
        </is>
      </c>
      <c r="G676" t="n">
        <v>4.9</v>
      </c>
      <c r="H676" t="n">
        <v>0</v>
      </c>
      <c r="I676" t="n">
        <v>0</v>
      </c>
      <c r="J676" t="n">
        <v>0</v>
      </c>
      <c r="K676" t="n">
        <v>0</v>
      </c>
      <c r="L676" t="n">
        <v>0</v>
      </c>
      <c r="M676" t="n">
        <v>0</v>
      </c>
      <c r="N676" t="n">
        <v>0</v>
      </c>
      <c r="O676" t="n">
        <v>0</v>
      </c>
      <c r="P676" t="n">
        <v>0</v>
      </c>
      <c r="Q676" t="n">
        <v>0</v>
      </c>
      <c r="R676" s="2" t="inlineStr"/>
    </row>
    <row r="677" ht="15" customHeight="1">
      <c r="A677" t="inlineStr">
        <is>
          <t>A 55313-2020</t>
        </is>
      </c>
      <c r="B677" s="1" t="n">
        <v>44130</v>
      </c>
      <c r="C677" s="1" t="n">
        <v>45829</v>
      </c>
      <c r="D677" t="inlineStr">
        <is>
          <t>VÄSTERNORRLANDS LÄN</t>
        </is>
      </c>
      <c r="E677" t="inlineStr">
        <is>
          <t>SUNDSVALL</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55988-2020</t>
        </is>
      </c>
      <c r="B678" s="1" t="n">
        <v>44132</v>
      </c>
      <c r="C678" s="1" t="n">
        <v>45829</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57405-2020</t>
        </is>
      </c>
      <c r="B679" s="1" t="n">
        <v>44139</v>
      </c>
      <c r="C679" s="1" t="n">
        <v>45829</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57900-2020</t>
        </is>
      </c>
      <c r="B680" s="1" t="n">
        <v>44140</v>
      </c>
      <c r="C680" s="1" t="n">
        <v>45829</v>
      </c>
      <c r="D680" t="inlineStr">
        <is>
          <t>VÄSTERNORRLANDS LÄN</t>
        </is>
      </c>
      <c r="E680" t="inlineStr">
        <is>
          <t>SUNDSVALL</t>
        </is>
      </c>
      <c r="G680" t="n">
        <v>6.8</v>
      </c>
      <c r="H680" t="n">
        <v>0</v>
      </c>
      <c r="I680" t="n">
        <v>0</v>
      </c>
      <c r="J680" t="n">
        <v>0</v>
      </c>
      <c r="K680" t="n">
        <v>0</v>
      </c>
      <c r="L680" t="n">
        <v>0</v>
      </c>
      <c r="M680" t="n">
        <v>0</v>
      </c>
      <c r="N680" t="n">
        <v>0</v>
      </c>
      <c r="O680" t="n">
        <v>0</v>
      </c>
      <c r="P680" t="n">
        <v>0</v>
      </c>
      <c r="Q680" t="n">
        <v>0</v>
      </c>
      <c r="R680" s="2" t="inlineStr"/>
    </row>
    <row r="681" ht="15" customHeight="1">
      <c r="A681" t="inlineStr">
        <is>
          <t>A 57890-2020</t>
        </is>
      </c>
      <c r="B681" s="1" t="n">
        <v>44140</v>
      </c>
      <c r="C681" s="1" t="n">
        <v>45829</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57735-2020</t>
        </is>
      </c>
      <c r="B682" s="1" t="n">
        <v>44140</v>
      </c>
      <c r="C682" s="1" t="n">
        <v>45829</v>
      </c>
      <c r="D682" t="inlineStr">
        <is>
          <t>VÄSTERNORRLANDS LÄN</t>
        </is>
      </c>
      <c r="E682" t="inlineStr">
        <is>
          <t>SUNDSVALL</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59013-2020</t>
        </is>
      </c>
      <c r="B683" s="1" t="n">
        <v>44146</v>
      </c>
      <c r="C683" s="1" t="n">
        <v>45829</v>
      </c>
      <c r="D683" t="inlineStr">
        <is>
          <t>VÄSTERNORRLANDS LÄN</t>
        </is>
      </c>
      <c r="E683" t="inlineStr">
        <is>
          <t>SUNDSVALL</t>
        </is>
      </c>
      <c r="G683" t="n">
        <v>2.4</v>
      </c>
      <c r="H683" t="n">
        <v>0</v>
      </c>
      <c r="I683" t="n">
        <v>0</v>
      </c>
      <c r="J683" t="n">
        <v>0</v>
      </c>
      <c r="K683" t="n">
        <v>0</v>
      </c>
      <c r="L683" t="n">
        <v>0</v>
      </c>
      <c r="M683" t="n">
        <v>0</v>
      </c>
      <c r="N683" t="n">
        <v>0</v>
      </c>
      <c r="O683" t="n">
        <v>0</v>
      </c>
      <c r="P683" t="n">
        <v>0</v>
      </c>
      <c r="Q683" t="n">
        <v>0</v>
      </c>
      <c r="R683" s="2" t="inlineStr"/>
    </row>
    <row r="684" ht="15" customHeight="1">
      <c r="A684" t="inlineStr">
        <is>
          <t>A 59106-2020</t>
        </is>
      </c>
      <c r="B684" s="1" t="n">
        <v>44147</v>
      </c>
      <c r="C684" s="1" t="n">
        <v>45829</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60178-2020</t>
        </is>
      </c>
      <c r="B685" s="1" t="n">
        <v>44152</v>
      </c>
      <c r="C685" s="1" t="n">
        <v>45829</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60391-2020</t>
        </is>
      </c>
      <c r="B686" s="1" t="n">
        <v>44152</v>
      </c>
      <c r="C686" s="1" t="n">
        <v>45829</v>
      </c>
      <c r="D686" t="inlineStr">
        <is>
          <t>VÄSTERNORRLANDS LÄN</t>
        </is>
      </c>
      <c r="E686" t="inlineStr">
        <is>
          <t>SUNDSVALL</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61568-2020</t>
        </is>
      </c>
      <c r="B687" s="1" t="n">
        <v>44154</v>
      </c>
      <c r="C687" s="1" t="n">
        <v>45829</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61142-2020</t>
        </is>
      </c>
      <c r="B688" s="1" t="n">
        <v>44154</v>
      </c>
      <c r="C688" s="1" t="n">
        <v>45829</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61719-2020</t>
        </is>
      </c>
      <c r="B689" s="1" t="n">
        <v>44158</v>
      </c>
      <c r="C689" s="1" t="n">
        <v>45829</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61723-2020</t>
        </is>
      </c>
      <c r="B690" s="1" t="n">
        <v>44158</v>
      </c>
      <c r="C690" s="1" t="n">
        <v>45829</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62294-2020</t>
        </is>
      </c>
      <c r="B691" s="1" t="n">
        <v>44160</v>
      </c>
      <c r="C691" s="1" t="n">
        <v>45829</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63598-2020</t>
        </is>
      </c>
      <c r="B692" s="1" t="n">
        <v>44165</v>
      </c>
      <c r="C692" s="1" t="n">
        <v>45829</v>
      </c>
      <c r="D692" t="inlineStr">
        <is>
          <t>VÄSTERNORRLANDS LÄN</t>
        </is>
      </c>
      <c r="E692" t="inlineStr">
        <is>
          <t>SUNDSVALL</t>
        </is>
      </c>
      <c r="G692" t="n">
        <v>1</v>
      </c>
      <c r="H692" t="n">
        <v>0</v>
      </c>
      <c r="I692" t="n">
        <v>0</v>
      </c>
      <c r="J692" t="n">
        <v>0</v>
      </c>
      <c r="K692" t="n">
        <v>0</v>
      </c>
      <c r="L692" t="n">
        <v>0</v>
      </c>
      <c r="M692" t="n">
        <v>0</v>
      </c>
      <c r="N692" t="n">
        <v>0</v>
      </c>
      <c r="O692" t="n">
        <v>0</v>
      </c>
      <c r="P692" t="n">
        <v>0</v>
      </c>
      <c r="Q692" t="n">
        <v>0</v>
      </c>
      <c r="R692" s="2" t="inlineStr"/>
    </row>
    <row r="693" ht="15" customHeight="1">
      <c r="A693" t="inlineStr">
        <is>
          <t>A 63681-2020</t>
        </is>
      </c>
      <c r="B693" s="1" t="n">
        <v>44166</v>
      </c>
      <c r="C693" s="1" t="n">
        <v>45829</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63786-2020</t>
        </is>
      </c>
      <c r="B694" s="1" t="n">
        <v>44166</v>
      </c>
      <c r="C694" s="1" t="n">
        <v>45829</v>
      </c>
      <c r="D694" t="inlineStr">
        <is>
          <t>VÄSTERNORRLANDS LÄN</t>
        </is>
      </c>
      <c r="E694" t="inlineStr">
        <is>
          <t>SUNDSVALL</t>
        </is>
      </c>
      <c r="F694" t="inlineStr">
        <is>
          <t>Kommuner</t>
        </is>
      </c>
      <c r="G694" t="n">
        <v>7.6</v>
      </c>
      <c r="H694" t="n">
        <v>0</v>
      </c>
      <c r="I694" t="n">
        <v>0</v>
      </c>
      <c r="J694" t="n">
        <v>0</v>
      </c>
      <c r="K694" t="n">
        <v>0</v>
      </c>
      <c r="L694" t="n">
        <v>0</v>
      </c>
      <c r="M694" t="n">
        <v>0</v>
      </c>
      <c r="N694" t="n">
        <v>0</v>
      </c>
      <c r="O694" t="n">
        <v>0</v>
      </c>
      <c r="P694" t="n">
        <v>0</v>
      </c>
      <c r="Q694" t="n">
        <v>0</v>
      </c>
      <c r="R694" s="2" t="inlineStr"/>
    </row>
    <row r="695" ht="15" customHeight="1">
      <c r="A695" t="inlineStr">
        <is>
          <t>A 63774-2020</t>
        </is>
      </c>
      <c r="B695" s="1" t="n">
        <v>44166</v>
      </c>
      <c r="C695" s="1" t="n">
        <v>45829</v>
      </c>
      <c r="D695" t="inlineStr">
        <is>
          <t>VÄSTERNORRLANDS LÄN</t>
        </is>
      </c>
      <c r="E695" t="inlineStr">
        <is>
          <t>SUNDSVALL</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63817-2020</t>
        </is>
      </c>
      <c r="B696" s="1" t="n">
        <v>44166</v>
      </c>
      <c r="C696" s="1" t="n">
        <v>45829</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63840-2020</t>
        </is>
      </c>
      <c r="B697" s="1" t="n">
        <v>44166</v>
      </c>
      <c r="C697" s="1" t="n">
        <v>45829</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63862-2020</t>
        </is>
      </c>
      <c r="B698" s="1" t="n">
        <v>44166</v>
      </c>
      <c r="C698" s="1" t="n">
        <v>45829</v>
      </c>
      <c r="D698" t="inlineStr">
        <is>
          <t>VÄSTERNORRLANDS LÄN</t>
        </is>
      </c>
      <c r="E698" t="inlineStr">
        <is>
          <t>SUNDSVALL</t>
        </is>
      </c>
      <c r="G698" t="n">
        <v>0.5</v>
      </c>
      <c r="H698" t="n">
        <v>0</v>
      </c>
      <c r="I698" t="n">
        <v>0</v>
      </c>
      <c r="J698" t="n">
        <v>0</v>
      </c>
      <c r="K698" t="n">
        <v>0</v>
      </c>
      <c r="L698" t="n">
        <v>0</v>
      </c>
      <c r="M698" t="n">
        <v>0</v>
      </c>
      <c r="N698" t="n">
        <v>0</v>
      </c>
      <c r="O698" t="n">
        <v>0</v>
      </c>
      <c r="P698" t="n">
        <v>0</v>
      </c>
      <c r="Q698" t="n">
        <v>0</v>
      </c>
      <c r="R698" s="2" t="inlineStr"/>
    </row>
    <row r="699" ht="15" customHeight="1">
      <c r="A699" t="inlineStr">
        <is>
          <t>A 64394-2020</t>
        </is>
      </c>
      <c r="B699" s="1" t="n">
        <v>44168</v>
      </c>
      <c r="C699" s="1" t="n">
        <v>45829</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64479-2020</t>
        </is>
      </c>
      <c r="B700" s="1" t="n">
        <v>44168</v>
      </c>
      <c r="C700" s="1" t="n">
        <v>45829</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65465-2020</t>
        </is>
      </c>
      <c r="B701" s="1" t="n">
        <v>44173</v>
      </c>
      <c r="C701" s="1" t="n">
        <v>45829</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66016-2020</t>
        </is>
      </c>
      <c r="B702" s="1" t="n">
        <v>44175</v>
      </c>
      <c r="C702" s="1" t="n">
        <v>45829</v>
      </c>
      <c r="D702" t="inlineStr">
        <is>
          <t>VÄSTERNORRLANDS LÄN</t>
        </is>
      </c>
      <c r="E702" t="inlineStr">
        <is>
          <t>SUNDSVALL</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66236-2020</t>
        </is>
      </c>
      <c r="B703" s="1" t="n">
        <v>44175</v>
      </c>
      <c r="C703" s="1" t="n">
        <v>45829</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67233-2020</t>
        </is>
      </c>
      <c r="B704" s="1" t="n">
        <v>44180</v>
      </c>
      <c r="C704" s="1" t="n">
        <v>45829</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67987-2020</t>
        </is>
      </c>
      <c r="B705" s="1" t="n">
        <v>44182</v>
      </c>
      <c r="C705" s="1" t="n">
        <v>45829</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68286-2020</t>
        </is>
      </c>
      <c r="B706" s="1" t="n">
        <v>44183</v>
      </c>
      <c r="C706" s="1" t="n">
        <v>45829</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68285-2020</t>
        </is>
      </c>
      <c r="B707" s="1" t="n">
        <v>44183</v>
      </c>
      <c r="C707" s="1" t="n">
        <v>45829</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69172-2020</t>
        </is>
      </c>
      <c r="B708" s="1" t="n">
        <v>44188</v>
      </c>
      <c r="C708" s="1" t="n">
        <v>45829</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444-2021</t>
        </is>
      </c>
      <c r="B709" s="1" t="n">
        <v>44201</v>
      </c>
      <c r="C709" s="1" t="n">
        <v>45829</v>
      </c>
      <c r="D709" t="inlineStr">
        <is>
          <t>VÄSTERNORRLANDS LÄN</t>
        </is>
      </c>
      <c r="E709" t="inlineStr">
        <is>
          <t>SUNDSVALL</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695-2021</t>
        </is>
      </c>
      <c r="B710" s="1" t="n">
        <v>44203</v>
      </c>
      <c r="C710" s="1" t="n">
        <v>45829</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1174-2021</t>
        </is>
      </c>
      <c r="B711" s="1" t="n">
        <v>44207</v>
      </c>
      <c r="C711" s="1" t="n">
        <v>45829</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1480-2021</t>
        </is>
      </c>
      <c r="B712" s="1" t="n">
        <v>44208</v>
      </c>
      <c r="C712" s="1" t="n">
        <v>45829</v>
      </c>
      <c r="D712" t="inlineStr">
        <is>
          <t>VÄSTERNORRLANDS LÄN</t>
        </is>
      </c>
      <c r="E712" t="inlineStr">
        <is>
          <t>SUNDSVALL</t>
        </is>
      </c>
      <c r="G712" t="n">
        <v>7</v>
      </c>
      <c r="H712" t="n">
        <v>0</v>
      </c>
      <c r="I712" t="n">
        <v>0</v>
      </c>
      <c r="J712" t="n">
        <v>0</v>
      </c>
      <c r="K712" t="n">
        <v>0</v>
      </c>
      <c r="L712" t="n">
        <v>0</v>
      </c>
      <c r="M712" t="n">
        <v>0</v>
      </c>
      <c r="N712" t="n">
        <v>0</v>
      </c>
      <c r="O712" t="n">
        <v>0</v>
      </c>
      <c r="P712" t="n">
        <v>0</v>
      </c>
      <c r="Q712" t="n">
        <v>0</v>
      </c>
      <c r="R712" s="2" t="inlineStr"/>
    </row>
    <row r="713" ht="15" customHeight="1">
      <c r="A713" t="inlineStr">
        <is>
          <t>A 1473-2021</t>
        </is>
      </c>
      <c r="B713" s="1" t="n">
        <v>44208</v>
      </c>
      <c r="C713" s="1" t="n">
        <v>45829</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1561-2021</t>
        </is>
      </c>
      <c r="B714" s="1" t="n">
        <v>44209</v>
      </c>
      <c r="C714" s="1" t="n">
        <v>45829</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2233-2021</t>
        </is>
      </c>
      <c r="B715" s="1" t="n">
        <v>44211</v>
      </c>
      <c r="C715" s="1" t="n">
        <v>45829</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2835-2021</t>
        </is>
      </c>
      <c r="B716" s="1" t="n">
        <v>44215</v>
      </c>
      <c r="C716" s="1" t="n">
        <v>45829</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2836-2021</t>
        </is>
      </c>
      <c r="B717" s="1" t="n">
        <v>44215</v>
      </c>
      <c r="C717" s="1" t="n">
        <v>45829</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3351-2021</t>
        </is>
      </c>
      <c r="B718" s="1" t="n">
        <v>44217</v>
      </c>
      <c r="C718" s="1" t="n">
        <v>45829</v>
      </c>
      <c r="D718" t="inlineStr">
        <is>
          <t>VÄSTERNORRLANDS LÄN</t>
        </is>
      </c>
      <c r="E718" t="inlineStr">
        <is>
          <t>SUNDSVALL</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3811-2021</t>
        </is>
      </c>
      <c r="B719" s="1" t="n">
        <v>44221</v>
      </c>
      <c r="C719" s="1" t="n">
        <v>45829</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4365-2021</t>
        </is>
      </c>
      <c r="B720" s="1" t="n">
        <v>44221</v>
      </c>
      <c r="C720" s="1" t="n">
        <v>45829</v>
      </c>
      <c r="D720" t="inlineStr">
        <is>
          <t>VÄSTERNORRLANDS LÄN</t>
        </is>
      </c>
      <c r="E720" t="inlineStr">
        <is>
          <t>SUNDSVALL</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3821-2021</t>
        </is>
      </c>
      <c r="B721" s="1" t="n">
        <v>44222</v>
      </c>
      <c r="C721" s="1" t="n">
        <v>45829</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3824-2021</t>
        </is>
      </c>
      <c r="B722" s="1" t="n">
        <v>44222</v>
      </c>
      <c r="C722" s="1" t="n">
        <v>45829</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4123-2021</t>
        </is>
      </c>
      <c r="B723" s="1" t="n">
        <v>44222</v>
      </c>
      <c r="C723" s="1" t="n">
        <v>45829</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3822-2021</t>
        </is>
      </c>
      <c r="B724" s="1" t="n">
        <v>44222</v>
      </c>
      <c r="C724" s="1" t="n">
        <v>45829</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4659-2021</t>
        </is>
      </c>
      <c r="B725" s="1" t="n">
        <v>44224</v>
      </c>
      <c r="C725" s="1" t="n">
        <v>45829</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4760-2021</t>
        </is>
      </c>
      <c r="B726" s="1" t="n">
        <v>44225</v>
      </c>
      <c r="C726" s="1" t="n">
        <v>45829</v>
      </c>
      <c r="D726" t="inlineStr">
        <is>
          <t>VÄSTERNORRLANDS LÄN</t>
        </is>
      </c>
      <c r="E726" t="inlineStr">
        <is>
          <t>SUNDSVALL</t>
        </is>
      </c>
      <c r="F726" t="inlineStr">
        <is>
          <t>Kommuner</t>
        </is>
      </c>
      <c r="G726" t="n">
        <v>5.5</v>
      </c>
      <c r="H726" t="n">
        <v>0</v>
      </c>
      <c r="I726" t="n">
        <v>0</v>
      </c>
      <c r="J726" t="n">
        <v>0</v>
      </c>
      <c r="K726" t="n">
        <v>0</v>
      </c>
      <c r="L726" t="n">
        <v>0</v>
      </c>
      <c r="M726" t="n">
        <v>0</v>
      </c>
      <c r="N726" t="n">
        <v>0</v>
      </c>
      <c r="O726" t="n">
        <v>0</v>
      </c>
      <c r="P726" t="n">
        <v>0</v>
      </c>
      <c r="Q726" t="n">
        <v>0</v>
      </c>
      <c r="R726" s="2" t="inlineStr"/>
    </row>
    <row r="727" ht="15" customHeight="1">
      <c r="A727" t="inlineStr">
        <is>
          <t>A 5799-2021</t>
        </is>
      </c>
      <c r="B727" s="1" t="n">
        <v>44230</v>
      </c>
      <c r="C727" s="1" t="n">
        <v>45829</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5798-2021</t>
        </is>
      </c>
      <c r="B728" s="1" t="n">
        <v>44230</v>
      </c>
      <c r="C728" s="1" t="n">
        <v>45829</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5797-2021</t>
        </is>
      </c>
      <c r="B729" s="1" t="n">
        <v>44230</v>
      </c>
      <c r="C729" s="1" t="n">
        <v>45829</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6009-2021</t>
        </is>
      </c>
      <c r="B730" s="1" t="n">
        <v>44231</v>
      </c>
      <c r="C730" s="1" t="n">
        <v>45829</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6220-2021</t>
        </is>
      </c>
      <c r="B731" s="1" t="n">
        <v>44232</v>
      </c>
      <c r="C731" s="1" t="n">
        <v>45829</v>
      </c>
      <c r="D731" t="inlineStr">
        <is>
          <t>VÄSTERNORRLANDS LÄN</t>
        </is>
      </c>
      <c r="E731" t="inlineStr">
        <is>
          <t>SUNDSVALL</t>
        </is>
      </c>
      <c r="G731" t="n">
        <v>0.9</v>
      </c>
      <c r="H731" t="n">
        <v>0</v>
      </c>
      <c r="I731" t="n">
        <v>0</v>
      </c>
      <c r="J731" t="n">
        <v>0</v>
      </c>
      <c r="K731" t="n">
        <v>0</v>
      </c>
      <c r="L731" t="n">
        <v>0</v>
      </c>
      <c r="M731" t="n">
        <v>0</v>
      </c>
      <c r="N731" t="n">
        <v>0</v>
      </c>
      <c r="O731" t="n">
        <v>0</v>
      </c>
      <c r="P731" t="n">
        <v>0</v>
      </c>
      <c r="Q731" t="n">
        <v>0</v>
      </c>
      <c r="R731" s="2" t="inlineStr"/>
    </row>
    <row r="732" ht="15" customHeight="1">
      <c r="A732" t="inlineStr">
        <is>
          <t>A 6708-2021</t>
        </is>
      </c>
      <c r="B732" s="1" t="n">
        <v>44236</v>
      </c>
      <c r="C732" s="1" t="n">
        <v>45829</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7639-2021</t>
        </is>
      </c>
      <c r="B733" s="1" t="n">
        <v>44242</v>
      </c>
      <c r="C733" s="1" t="n">
        <v>45829</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7638-2021</t>
        </is>
      </c>
      <c r="B734" s="1" t="n">
        <v>44242</v>
      </c>
      <c r="C734" s="1" t="n">
        <v>45829</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7875-2021</t>
        </is>
      </c>
      <c r="B735" s="1" t="n">
        <v>44242</v>
      </c>
      <c r="C735" s="1" t="n">
        <v>45829</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7878-2021</t>
        </is>
      </c>
      <c r="B736" s="1" t="n">
        <v>44242</v>
      </c>
      <c r="C736" s="1" t="n">
        <v>45829</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7899-2021</t>
        </is>
      </c>
      <c r="B737" s="1" t="n">
        <v>44242</v>
      </c>
      <c r="C737" s="1" t="n">
        <v>45829</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7879-2021</t>
        </is>
      </c>
      <c r="B738" s="1" t="n">
        <v>44242</v>
      </c>
      <c r="C738" s="1" t="n">
        <v>45829</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8234-2021</t>
        </is>
      </c>
      <c r="B739" s="1" t="n">
        <v>44244</v>
      </c>
      <c r="C739" s="1" t="n">
        <v>45829</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9177-2021</t>
        </is>
      </c>
      <c r="B740" s="1" t="n">
        <v>44249</v>
      </c>
      <c r="C740" s="1" t="n">
        <v>45829</v>
      </c>
      <c r="D740" t="inlineStr">
        <is>
          <t>VÄSTERNORRLANDS LÄN</t>
        </is>
      </c>
      <c r="E740" t="inlineStr">
        <is>
          <t>SUNDSVALL</t>
        </is>
      </c>
      <c r="F740" t="inlineStr">
        <is>
          <t>SCA</t>
        </is>
      </c>
      <c r="G740" t="n">
        <v>46.4</v>
      </c>
      <c r="H740" t="n">
        <v>0</v>
      </c>
      <c r="I740" t="n">
        <v>0</v>
      </c>
      <c r="J740" t="n">
        <v>0</v>
      </c>
      <c r="K740" t="n">
        <v>0</v>
      </c>
      <c r="L740" t="n">
        <v>0</v>
      </c>
      <c r="M740" t="n">
        <v>0</v>
      </c>
      <c r="N740" t="n">
        <v>0</v>
      </c>
      <c r="O740" t="n">
        <v>0</v>
      </c>
      <c r="P740" t="n">
        <v>0</v>
      </c>
      <c r="Q740" t="n">
        <v>0</v>
      </c>
      <c r="R740" s="2" t="inlineStr"/>
    </row>
    <row r="741" ht="15" customHeight="1">
      <c r="A741" t="inlineStr">
        <is>
          <t>A 9628-2021</t>
        </is>
      </c>
      <c r="B741" s="1" t="n">
        <v>44251</v>
      </c>
      <c r="C741" s="1" t="n">
        <v>45829</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9624-2021</t>
        </is>
      </c>
      <c r="B742" s="1" t="n">
        <v>44251</v>
      </c>
      <c r="C742" s="1" t="n">
        <v>45829</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10482-2021</t>
        </is>
      </c>
      <c r="B743" s="1" t="n">
        <v>44257</v>
      </c>
      <c r="C743" s="1" t="n">
        <v>45829</v>
      </c>
      <c r="D743" t="inlineStr">
        <is>
          <t>VÄSTERNORRLANDS LÄN</t>
        </is>
      </c>
      <c r="E743" t="inlineStr">
        <is>
          <t>SUNDSVALL</t>
        </is>
      </c>
      <c r="G743" t="n">
        <v>5.7</v>
      </c>
      <c r="H743" t="n">
        <v>0</v>
      </c>
      <c r="I743" t="n">
        <v>0</v>
      </c>
      <c r="J743" t="n">
        <v>0</v>
      </c>
      <c r="K743" t="n">
        <v>0</v>
      </c>
      <c r="L743" t="n">
        <v>0</v>
      </c>
      <c r="M743" t="n">
        <v>0</v>
      </c>
      <c r="N743" t="n">
        <v>0</v>
      </c>
      <c r="O743" t="n">
        <v>0</v>
      </c>
      <c r="P743" t="n">
        <v>0</v>
      </c>
      <c r="Q743" t="n">
        <v>0</v>
      </c>
      <c r="R743" s="2" t="inlineStr"/>
    </row>
    <row r="744" ht="15" customHeight="1">
      <c r="A744" t="inlineStr">
        <is>
          <t>A 10602-2021</t>
        </is>
      </c>
      <c r="B744" s="1" t="n">
        <v>44258</v>
      </c>
      <c r="C744" s="1" t="n">
        <v>45829</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11139-2021</t>
        </is>
      </c>
      <c r="B745" s="1" t="n">
        <v>44260</v>
      </c>
      <c r="C745" s="1" t="n">
        <v>45829</v>
      </c>
      <c r="D745" t="inlineStr">
        <is>
          <t>VÄSTERNORRLANDS LÄN</t>
        </is>
      </c>
      <c r="E745" t="inlineStr">
        <is>
          <t>SUNDSVALL</t>
        </is>
      </c>
      <c r="F745" t="inlineStr">
        <is>
          <t>Naturvårdsverket</t>
        </is>
      </c>
      <c r="G745" t="n">
        <v>19.5</v>
      </c>
      <c r="H745" t="n">
        <v>0</v>
      </c>
      <c r="I745" t="n">
        <v>0</v>
      </c>
      <c r="J745" t="n">
        <v>0</v>
      </c>
      <c r="K745" t="n">
        <v>0</v>
      </c>
      <c r="L745" t="n">
        <v>0</v>
      </c>
      <c r="M745" t="n">
        <v>0</v>
      </c>
      <c r="N745" t="n">
        <v>0</v>
      </c>
      <c r="O745" t="n">
        <v>0</v>
      </c>
      <c r="P745" t="n">
        <v>0</v>
      </c>
      <c r="Q745" t="n">
        <v>0</v>
      </c>
      <c r="R745" s="2" t="inlineStr"/>
    </row>
    <row r="746" ht="15" customHeight="1">
      <c r="A746" t="inlineStr">
        <is>
          <t>A 11696-2021</t>
        </is>
      </c>
      <c r="B746" s="1" t="n">
        <v>44264</v>
      </c>
      <c r="C746" s="1" t="n">
        <v>45829</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13038-2021</t>
        </is>
      </c>
      <c r="B747" s="1" t="n">
        <v>44271</v>
      </c>
      <c r="C747" s="1" t="n">
        <v>45829</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13574-2021</t>
        </is>
      </c>
      <c r="B748" s="1" t="n">
        <v>44273</v>
      </c>
      <c r="C748" s="1" t="n">
        <v>45829</v>
      </c>
      <c r="D748" t="inlineStr">
        <is>
          <t>VÄSTERNORRLANDS LÄN</t>
        </is>
      </c>
      <c r="E748" t="inlineStr">
        <is>
          <t>SUNDSVALL</t>
        </is>
      </c>
      <c r="F748" t="inlineStr">
        <is>
          <t>Naturvårdsverket</t>
        </is>
      </c>
      <c r="G748" t="n">
        <v>3.6</v>
      </c>
      <c r="H748" t="n">
        <v>0</v>
      </c>
      <c r="I748" t="n">
        <v>0</v>
      </c>
      <c r="J748" t="n">
        <v>0</v>
      </c>
      <c r="K748" t="n">
        <v>0</v>
      </c>
      <c r="L748" t="n">
        <v>0</v>
      </c>
      <c r="M748" t="n">
        <v>0</v>
      </c>
      <c r="N748" t="n">
        <v>0</v>
      </c>
      <c r="O748" t="n">
        <v>0</v>
      </c>
      <c r="P748" t="n">
        <v>0</v>
      </c>
      <c r="Q748" t="n">
        <v>0</v>
      </c>
      <c r="R748" s="2" t="inlineStr"/>
    </row>
    <row r="749" ht="15" customHeight="1">
      <c r="A749" t="inlineStr">
        <is>
          <t>A 13987-2021</t>
        </is>
      </c>
      <c r="B749" s="1" t="n">
        <v>44277</v>
      </c>
      <c r="C749" s="1" t="n">
        <v>45829</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14113-2021</t>
        </is>
      </c>
      <c r="B750" s="1" t="n">
        <v>44277</v>
      </c>
      <c r="C750" s="1" t="n">
        <v>45829</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14231-2021</t>
        </is>
      </c>
      <c r="B751" s="1" t="n">
        <v>44277</v>
      </c>
      <c r="C751" s="1" t="n">
        <v>45829</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14328-2021</t>
        </is>
      </c>
      <c r="B752" s="1" t="n">
        <v>44278</v>
      </c>
      <c r="C752" s="1" t="n">
        <v>45829</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15769-2021</t>
        </is>
      </c>
      <c r="B753" s="1" t="n">
        <v>44286</v>
      </c>
      <c r="C753" s="1" t="n">
        <v>45829</v>
      </c>
      <c r="D753" t="inlineStr">
        <is>
          <t>VÄSTERNORRLANDS LÄN</t>
        </is>
      </c>
      <c r="E753" t="inlineStr">
        <is>
          <t>SUNDSVALL</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16334-2021</t>
        </is>
      </c>
      <c r="B754" s="1" t="n">
        <v>44292</v>
      </c>
      <c r="C754" s="1" t="n">
        <v>45829</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16424-2021</t>
        </is>
      </c>
      <c r="B755" s="1" t="n">
        <v>44292</v>
      </c>
      <c r="C755" s="1" t="n">
        <v>45829</v>
      </c>
      <c r="D755" t="inlineStr">
        <is>
          <t>VÄSTERNORRLANDS LÄN</t>
        </is>
      </c>
      <c r="E755" t="inlineStr">
        <is>
          <t>SUNDSVALL</t>
        </is>
      </c>
      <c r="G755" t="n">
        <v>0.2</v>
      </c>
      <c r="H755" t="n">
        <v>0</v>
      </c>
      <c r="I755" t="n">
        <v>0</v>
      </c>
      <c r="J755" t="n">
        <v>0</v>
      </c>
      <c r="K755" t="n">
        <v>0</v>
      </c>
      <c r="L755" t="n">
        <v>0</v>
      </c>
      <c r="M755" t="n">
        <v>0</v>
      </c>
      <c r="N755" t="n">
        <v>0</v>
      </c>
      <c r="O755" t="n">
        <v>0</v>
      </c>
      <c r="P755" t="n">
        <v>0</v>
      </c>
      <c r="Q755" t="n">
        <v>0</v>
      </c>
      <c r="R755" s="2" t="inlineStr"/>
    </row>
    <row r="756" ht="15" customHeight="1">
      <c r="A756" t="inlineStr">
        <is>
          <t>A 17379-2021</t>
        </is>
      </c>
      <c r="B756" s="1" t="n">
        <v>44298</v>
      </c>
      <c r="C756" s="1" t="n">
        <v>45829</v>
      </c>
      <c r="D756" t="inlineStr">
        <is>
          <t>VÄSTERNORRLANDS LÄN</t>
        </is>
      </c>
      <c r="E756" t="inlineStr">
        <is>
          <t>SUNDSVALL</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17690-2021</t>
        </is>
      </c>
      <c r="B757" s="1" t="n">
        <v>44300</v>
      </c>
      <c r="C757" s="1" t="n">
        <v>45829</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17845-2021</t>
        </is>
      </c>
      <c r="B758" s="1" t="n">
        <v>44301</v>
      </c>
      <c r="C758" s="1" t="n">
        <v>45829</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18453-2021</t>
        </is>
      </c>
      <c r="B759" s="1" t="n">
        <v>44306</v>
      </c>
      <c r="C759" s="1" t="n">
        <v>45829</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18672-2021</t>
        </is>
      </c>
      <c r="B760" s="1" t="n">
        <v>44306</v>
      </c>
      <c r="C760" s="1" t="n">
        <v>45829</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18774-2021</t>
        </is>
      </c>
      <c r="B761" s="1" t="n">
        <v>44307</v>
      </c>
      <c r="C761" s="1" t="n">
        <v>45829</v>
      </c>
      <c r="D761" t="inlineStr">
        <is>
          <t>VÄSTERNORRLANDS LÄN</t>
        </is>
      </c>
      <c r="E761" t="inlineStr">
        <is>
          <t>SUNDSVALL</t>
        </is>
      </c>
      <c r="G761" t="n">
        <v>0.3</v>
      </c>
      <c r="H761" t="n">
        <v>0</v>
      </c>
      <c r="I761" t="n">
        <v>0</v>
      </c>
      <c r="J761" t="n">
        <v>0</v>
      </c>
      <c r="K761" t="n">
        <v>0</v>
      </c>
      <c r="L761" t="n">
        <v>0</v>
      </c>
      <c r="M761" t="n">
        <v>0</v>
      </c>
      <c r="N761" t="n">
        <v>0</v>
      </c>
      <c r="O761" t="n">
        <v>0</v>
      </c>
      <c r="P761" t="n">
        <v>0</v>
      </c>
      <c r="Q761" t="n">
        <v>0</v>
      </c>
      <c r="R761" s="2" t="inlineStr"/>
    </row>
    <row r="762" ht="15" customHeight="1">
      <c r="A762" t="inlineStr">
        <is>
          <t>A 19208-2021</t>
        </is>
      </c>
      <c r="B762" s="1" t="n">
        <v>44308</v>
      </c>
      <c r="C762" s="1" t="n">
        <v>45829</v>
      </c>
      <c r="D762" t="inlineStr">
        <is>
          <t>VÄSTERNORRLANDS LÄN</t>
        </is>
      </c>
      <c r="E762" t="inlineStr">
        <is>
          <t>SUNDSVALL</t>
        </is>
      </c>
      <c r="G762" t="n">
        <v>19.1</v>
      </c>
      <c r="H762" t="n">
        <v>0</v>
      </c>
      <c r="I762" t="n">
        <v>0</v>
      </c>
      <c r="J762" t="n">
        <v>0</v>
      </c>
      <c r="K762" t="n">
        <v>0</v>
      </c>
      <c r="L762" t="n">
        <v>0</v>
      </c>
      <c r="M762" t="n">
        <v>0</v>
      </c>
      <c r="N762" t="n">
        <v>0</v>
      </c>
      <c r="O762" t="n">
        <v>0</v>
      </c>
      <c r="P762" t="n">
        <v>0</v>
      </c>
      <c r="Q762" t="n">
        <v>0</v>
      </c>
      <c r="R762" s="2" t="inlineStr"/>
    </row>
    <row r="763" ht="15" customHeight="1">
      <c r="A763" t="inlineStr">
        <is>
          <t>A 19236-2021</t>
        </is>
      </c>
      <c r="B763" s="1" t="n">
        <v>44309</v>
      </c>
      <c r="C763" s="1" t="n">
        <v>45829</v>
      </c>
      <c r="D763" t="inlineStr">
        <is>
          <t>VÄSTERNORRLANDS LÄN</t>
        </is>
      </c>
      <c r="E763" t="inlineStr">
        <is>
          <t>SUNDSVALL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20416-2021</t>
        </is>
      </c>
      <c r="B764" s="1" t="n">
        <v>44312</v>
      </c>
      <c r="C764" s="1" t="n">
        <v>45829</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19729-2021</t>
        </is>
      </c>
      <c r="B765" s="1" t="n">
        <v>44312</v>
      </c>
      <c r="C765" s="1" t="n">
        <v>45829</v>
      </c>
      <c r="D765" t="inlineStr">
        <is>
          <t>VÄSTERNORRLANDS LÄN</t>
        </is>
      </c>
      <c r="E765" t="inlineStr">
        <is>
          <t>SUNDSVALL</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20010-2021</t>
        </is>
      </c>
      <c r="B766" s="1" t="n">
        <v>44313</v>
      </c>
      <c r="C766" s="1" t="n">
        <v>45829</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20011-2021</t>
        </is>
      </c>
      <c r="B767" s="1" t="n">
        <v>44313</v>
      </c>
      <c r="C767" s="1" t="n">
        <v>45829</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20186-2021</t>
        </is>
      </c>
      <c r="B768" s="1" t="n">
        <v>44314</v>
      </c>
      <c r="C768" s="1" t="n">
        <v>45829</v>
      </c>
      <c r="D768" t="inlineStr">
        <is>
          <t>VÄSTERNORRLANDS LÄN</t>
        </is>
      </c>
      <c r="E768" t="inlineStr">
        <is>
          <t>SUNDSVALL</t>
        </is>
      </c>
      <c r="G768" t="n">
        <v>2.3</v>
      </c>
      <c r="H768" t="n">
        <v>0</v>
      </c>
      <c r="I768" t="n">
        <v>0</v>
      </c>
      <c r="J768" t="n">
        <v>0</v>
      </c>
      <c r="K768" t="n">
        <v>0</v>
      </c>
      <c r="L768" t="n">
        <v>0</v>
      </c>
      <c r="M768" t="n">
        <v>0</v>
      </c>
      <c r="N768" t="n">
        <v>0</v>
      </c>
      <c r="O768" t="n">
        <v>0</v>
      </c>
      <c r="P768" t="n">
        <v>0</v>
      </c>
      <c r="Q768" t="n">
        <v>0</v>
      </c>
      <c r="R768" s="2" t="inlineStr"/>
    </row>
    <row r="769" ht="15" customHeight="1">
      <c r="A769" t="inlineStr">
        <is>
          <t>A 20514-2021</t>
        </is>
      </c>
      <c r="B769" s="1" t="n">
        <v>44315</v>
      </c>
      <c r="C769" s="1" t="n">
        <v>45829</v>
      </c>
      <c r="D769" t="inlineStr">
        <is>
          <t>VÄSTERNORRLANDS LÄN</t>
        </is>
      </c>
      <c r="E769" t="inlineStr">
        <is>
          <t>SUNDSVALL</t>
        </is>
      </c>
      <c r="G769" t="n">
        <v>6.7</v>
      </c>
      <c r="H769" t="n">
        <v>0</v>
      </c>
      <c r="I769" t="n">
        <v>0</v>
      </c>
      <c r="J769" t="n">
        <v>0</v>
      </c>
      <c r="K769" t="n">
        <v>0</v>
      </c>
      <c r="L769" t="n">
        <v>0</v>
      </c>
      <c r="M769" t="n">
        <v>0</v>
      </c>
      <c r="N769" t="n">
        <v>0</v>
      </c>
      <c r="O769" t="n">
        <v>0</v>
      </c>
      <c r="P769" t="n">
        <v>0</v>
      </c>
      <c r="Q769" t="n">
        <v>0</v>
      </c>
      <c r="R769" s="2" t="inlineStr"/>
    </row>
    <row r="770" ht="15" customHeight="1">
      <c r="A770" t="inlineStr">
        <is>
          <t>A 20520-2021</t>
        </is>
      </c>
      <c r="B770" s="1" t="n">
        <v>44315</v>
      </c>
      <c r="C770" s="1" t="n">
        <v>45829</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20698-2021</t>
        </is>
      </c>
      <c r="B771" s="1" t="n">
        <v>44316</v>
      </c>
      <c r="C771" s="1" t="n">
        <v>45829</v>
      </c>
      <c r="D771" t="inlineStr">
        <is>
          <t>VÄSTERNORRLANDS LÄN</t>
        </is>
      </c>
      <c r="E771" t="inlineStr">
        <is>
          <t>SUNDSVALL</t>
        </is>
      </c>
      <c r="G771" t="n">
        <v>5.2</v>
      </c>
      <c r="H771" t="n">
        <v>0</v>
      </c>
      <c r="I771" t="n">
        <v>0</v>
      </c>
      <c r="J771" t="n">
        <v>0</v>
      </c>
      <c r="K771" t="n">
        <v>0</v>
      </c>
      <c r="L771" t="n">
        <v>0</v>
      </c>
      <c r="M771" t="n">
        <v>0</v>
      </c>
      <c r="N771" t="n">
        <v>0</v>
      </c>
      <c r="O771" t="n">
        <v>0</v>
      </c>
      <c r="P771" t="n">
        <v>0</v>
      </c>
      <c r="Q771" t="n">
        <v>0</v>
      </c>
      <c r="R771" s="2" t="inlineStr"/>
    </row>
    <row r="772" ht="15" customHeight="1">
      <c r="A772" t="inlineStr">
        <is>
          <t>A 20713-2021</t>
        </is>
      </c>
      <c r="B772" s="1" t="n">
        <v>44316</v>
      </c>
      <c r="C772" s="1" t="n">
        <v>45829</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20660-2021</t>
        </is>
      </c>
      <c r="B773" s="1" t="n">
        <v>44316</v>
      </c>
      <c r="C773" s="1" t="n">
        <v>45829</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21099-2021</t>
        </is>
      </c>
      <c r="B774" s="1" t="n">
        <v>44319</v>
      </c>
      <c r="C774" s="1" t="n">
        <v>45829</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21102-2021</t>
        </is>
      </c>
      <c r="B775" s="1" t="n">
        <v>44319</v>
      </c>
      <c r="C775" s="1" t="n">
        <v>45829</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21370-2021</t>
        </is>
      </c>
      <c r="B776" s="1" t="n">
        <v>44320</v>
      </c>
      <c r="C776" s="1" t="n">
        <v>45829</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21427-2021</t>
        </is>
      </c>
      <c r="B777" s="1" t="n">
        <v>44320</v>
      </c>
      <c r="C777" s="1" t="n">
        <v>45829</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22336-2021</t>
        </is>
      </c>
      <c r="B778" s="1" t="n">
        <v>44326</v>
      </c>
      <c r="C778" s="1" t="n">
        <v>45829</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23052-2021</t>
        </is>
      </c>
      <c r="B779" s="1" t="n">
        <v>44329</v>
      </c>
      <c r="C779" s="1" t="n">
        <v>45829</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23480-2021</t>
        </is>
      </c>
      <c r="B780" s="1" t="n">
        <v>44333</v>
      </c>
      <c r="C780" s="1" t="n">
        <v>45829</v>
      </c>
      <c r="D780" t="inlineStr">
        <is>
          <t>VÄSTERNORRLANDS LÄN</t>
        </is>
      </c>
      <c r="E780" t="inlineStr">
        <is>
          <t>SUNDSVALL</t>
        </is>
      </c>
      <c r="F780" t="inlineStr">
        <is>
          <t>SCA</t>
        </is>
      </c>
      <c r="G780" t="n">
        <v>10.5</v>
      </c>
      <c r="H780" t="n">
        <v>0</v>
      </c>
      <c r="I780" t="n">
        <v>0</v>
      </c>
      <c r="J780" t="n">
        <v>0</v>
      </c>
      <c r="K780" t="n">
        <v>0</v>
      </c>
      <c r="L780" t="n">
        <v>0</v>
      </c>
      <c r="M780" t="n">
        <v>0</v>
      </c>
      <c r="N780" t="n">
        <v>0</v>
      </c>
      <c r="O780" t="n">
        <v>0</v>
      </c>
      <c r="P780" t="n">
        <v>0</v>
      </c>
      <c r="Q780" t="n">
        <v>0</v>
      </c>
      <c r="R780" s="2" t="inlineStr"/>
    </row>
    <row r="781" ht="15" customHeight="1">
      <c r="A781" t="inlineStr">
        <is>
          <t>A 23951-2021</t>
        </is>
      </c>
      <c r="B781" s="1" t="n">
        <v>44335</v>
      </c>
      <c r="C781" s="1" t="n">
        <v>45829</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24068-2021</t>
        </is>
      </c>
      <c r="B782" s="1" t="n">
        <v>44336</v>
      </c>
      <c r="C782" s="1" t="n">
        <v>45829</v>
      </c>
      <c r="D782" t="inlineStr">
        <is>
          <t>VÄSTERNORRLANDS LÄN</t>
        </is>
      </c>
      <c r="E782" t="inlineStr">
        <is>
          <t>SUNDSVALL</t>
        </is>
      </c>
      <c r="G782" t="n">
        <v>39</v>
      </c>
      <c r="H782" t="n">
        <v>0</v>
      </c>
      <c r="I782" t="n">
        <v>0</v>
      </c>
      <c r="J782" t="n">
        <v>0</v>
      </c>
      <c r="K782" t="n">
        <v>0</v>
      </c>
      <c r="L782" t="n">
        <v>0</v>
      </c>
      <c r="M782" t="n">
        <v>0</v>
      </c>
      <c r="N782" t="n">
        <v>0</v>
      </c>
      <c r="O782" t="n">
        <v>0</v>
      </c>
      <c r="P782" t="n">
        <v>0</v>
      </c>
      <c r="Q782" t="n">
        <v>0</v>
      </c>
      <c r="R782" s="2" t="inlineStr"/>
    </row>
    <row r="783" ht="15" customHeight="1">
      <c r="A783" t="inlineStr">
        <is>
          <t>A 24342-2021</t>
        </is>
      </c>
      <c r="B783" s="1" t="n">
        <v>44337</v>
      </c>
      <c r="C783" s="1" t="n">
        <v>45829</v>
      </c>
      <c r="D783" t="inlineStr">
        <is>
          <t>VÄSTERNORRLANDS LÄN</t>
        </is>
      </c>
      <c r="E783" t="inlineStr">
        <is>
          <t>SUNDSVALL</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24433-2021</t>
        </is>
      </c>
      <c r="B784" s="1" t="n">
        <v>44337</v>
      </c>
      <c r="C784" s="1" t="n">
        <v>45829</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24505-2021</t>
        </is>
      </c>
      <c r="B785" s="1" t="n">
        <v>44338</v>
      </c>
      <c r="C785" s="1" t="n">
        <v>45829</v>
      </c>
      <c r="D785" t="inlineStr">
        <is>
          <t>VÄSTERNORRLANDS LÄN</t>
        </is>
      </c>
      <c r="E785" t="inlineStr">
        <is>
          <t>SUNDSVALL</t>
        </is>
      </c>
      <c r="G785" t="n">
        <v>2.7</v>
      </c>
      <c r="H785" t="n">
        <v>0</v>
      </c>
      <c r="I785" t="n">
        <v>0</v>
      </c>
      <c r="J785" t="n">
        <v>0</v>
      </c>
      <c r="K785" t="n">
        <v>0</v>
      </c>
      <c r="L785" t="n">
        <v>0</v>
      </c>
      <c r="M785" t="n">
        <v>0</v>
      </c>
      <c r="N785" t="n">
        <v>0</v>
      </c>
      <c r="O785" t="n">
        <v>0</v>
      </c>
      <c r="P785" t="n">
        <v>0</v>
      </c>
      <c r="Q785" t="n">
        <v>0</v>
      </c>
      <c r="R785" s="2" t="inlineStr"/>
    </row>
    <row r="786" ht="15" customHeight="1">
      <c r="A786" t="inlineStr">
        <is>
          <t>A 24853-2021</t>
        </is>
      </c>
      <c r="B786" s="1" t="n">
        <v>44340</v>
      </c>
      <c r="C786" s="1" t="n">
        <v>45829</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25147-2021</t>
        </is>
      </c>
      <c r="B787" s="1" t="n">
        <v>44341</v>
      </c>
      <c r="C787" s="1" t="n">
        <v>45829</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25148-2021</t>
        </is>
      </c>
      <c r="B788" s="1" t="n">
        <v>44341</v>
      </c>
      <c r="C788" s="1" t="n">
        <v>45829</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25371-2021</t>
        </is>
      </c>
      <c r="B789" s="1" t="n">
        <v>44342</v>
      </c>
      <c r="C789" s="1" t="n">
        <v>45829</v>
      </c>
      <c r="D789" t="inlineStr">
        <is>
          <t>VÄSTERNORRLANDS LÄN</t>
        </is>
      </c>
      <c r="E789" t="inlineStr">
        <is>
          <t>SUNDSVALL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25484-2021</t>
        </is>
      </c>
      <c r="B790" s="1" t="n">
        <v>44342</v>
      </c>
      <c r="C790" s="1" t="n">
        <v>45829</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25747-2021</t>
        </is>
      </c>
      <c r="B791" s="1" t="n">
        <v>44343</v>
      </c>
      <c r="C791" s="1" t="n">
        <v>45829</v>
      </c>
      <c r="D791" t="inlineStr">
        <is>
          <t>VÄSTERNORRLANDS LÄN</t>
        </is>
      </c>
      <c r="E791" t="inlineStr">
        <is>
          <t>SUNDSVALL</t>
        </is>
      </c>
      <c r="F791" t="inlineStr">
        <is>
          <t>Kyrkan</t>
        </is>
      </c>
      <c r="G791" t="n">
        <v>2.9</v>
      </c>
      <c r="H791" t="n">
        <v>0</v>
      </c>
      <c r="I791" t="n">
        <v>0</v>
      </c>
      <c r="J791" t="n">
        <v>0</v>
      </c>
      <c r="K791" t="n">
        <v>0</v>
      </c>
      <c r="L791" t="n">
        <v>0</v>
      </c>
      <c r="M791" t="n">
        <v>0</v>
      </c>
      <c r="N791" t="n">
        <v>0</v>
      </c>
      <c r="O791" t="n">
        <v>0</v>
      </c>
      <c r="P791" t="n">
        <v>0</v>
      </c>
      <c r="Q791" t="n">
        <v>0</v>
      </c>
      <c r="R791" s="2" t="inlineStr"/>
    </row>
    <row r="792" ht="15" customHeight="1">
      <c r="A792" t="inlineStr">
        <is>
          <t>A 25539-2021</t>
        </is>
      </c>
      <c r="B792" s="1" t="n">
        <v>44343</v>
      </c>
      <c r="C792" s="1" t="n">
        <v>45829</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25748-2021</t>
        </is>
      </c>
      <c r="B793" s="1" t="n">
        <v>44343</v>
      </c>
      <c r="C793" s="1" t="n">
        <v>45829</v>
      </c>
      <c r="D793" t="inlineStr">
        <is>
          <t>VÄSTERNORRLANDS LÄN</t>
        </is>
      </c>
      <c r="E793" t="inlineStr">
        <is>
          <t>SUNDSVALL</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25980-2021</t>
        </is>
      </c>
      <c r="B794" s="1" t="n">
        <v>44344</v>
      </c>
      <c r="C794" s="1" t="n">
        <v>45829</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26089-2021</t>
        </is>
      </c>
      <c r="B795" s="1" t="n">
        <v>44344</v>
      </c>
      <c r="C795" s="1" t="n">
        <v>45829</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26108-2021</t>
        </is>
      </c>
      <c r="B796" s="1" t="n">
        <v>44344</v>
      </c>
      <c r="C796" s="1" t="n">
        <v>45829</v>
      </c>
      <c r="D796" t="inlineStr">
        <is>
          <t>VÄSTERNORRLANDS LÄN</t>
        </is>
      </c>
      <c r="E796" t="inlineStr">
        <is>
          <t>SUNDSVALL</t>
        </is>
      </c>
      <c r="G796" t="n">
        <v>5.1</v>
      </c>
      <c r="H796" t="n">
        <v>0</v>
      </c>
      <c r="I796" t="n">
        <v>0</v>
      </c>
      <c r="J796" t="n">
        <v>0</v>
      </c>
      <c r="K796" t="n">
        <v>0</v>
      </c>
      <c r="L796" t="n">
        <v>0</v>
      </c>
      <c r="M796" t="n">
        <v>0</v>
      </c>
      <c r="N796" t="n">
        <v>0</v>
      </c>
      <c r="O796" t="n">
        <v>0</v>
      </c>
      <c r="P796" t="n">
        <v>0</v>
      </c>
      <c r="Q796" t="n">
        <v>0</v>
      </c>
      <c r="R796" s="2" t="inlineStr"/>
    </row>
    <row r="797" ht="15" customHeight="1">
      <c r="A797" t="inlineStr">
        <is>
          <t>A 26424-2021</t>
        </is>
      </c>
      <c r="B797" s="1" t="n">
        <v>44347</v>
      </c>
      <c r="C797" s="1" t="n">
        <v>45829</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26396-2021</t>
        </is>
      </c>
      <c r="B798" s="1" t="n">
        <v>44347</v>
      </c>
      <c r="C798" s="1" t="n">
        <v>45829</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26972-2021</t>
        </is>
      </c>
      <c r="B799" s="1" t="n">
        <v>44350</v>
      </c>
      <c r="C799" s="1" t="n">
        <v>45829</v>
      </c>
      <c r="D799" t="inlineStr">
        <is>
          <t>VÄSTERNORRLANDS LÄN</t>
        </is>
      </c>
      <c r="E799" t="inlineStr">
        <is>
          <t>SUNDSVALL</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26950-2021</t>
        </is>
      </c>
      <c r="B800" s="1" t="n">
        <v>44349</v>
      </c>
      <c r="C800" s="1" t="n">
        <v>45829</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27015-2021</t>
        </is>
      </c>
      <c r="B801" s="1" t="n">
        <v>44349</v>
      </c>
      <c r="C801" s="1" t="n">
        <v>45829</v>
      </c>
      <c r="D801" t="inlineStr">
        <is>
          <t>VÄSTERNORRLANDS LÄN</t>
        </is>
      </c>
      <c r="E801" t="inlineStr">
        <is>
          <t>SUNDSVALL</t>
        </is>
      </c>
      <c r="G801" t="n">
        <v>1.7</v>
      </c>
      <c r="H801" t="n">
        <v>0</v>
      </c>
      <c r="I801" t="n">
        <v>0</v>
      </c>
      <c r="J801" t="n">
        <v>0</v>
      </c>
      <c r="K801" t="n">
        <v>0</v>
      </c>
      <c r="L801" t="n">
        <v>0</v>
      </c>
      <c r="M801" t="n">
        <v>0</v>
      </c>
      <c r="N801" t="n">
        <v>0</v>
      </c>
      <c r="O801" t="n">
        <v>0</v>
      </c>
      <c r="P801" t="n">
        <v>0</v>
      </c>
      <c r="Q801" t="n">
        <v>0</v>
      </c>
      <c r="R801" s="2" t="inlineStr"/>
    </row>
    <row r="802" ht="15" customHeight="1">
      <c r="A802" t="inlineStr">
        <is>
          <t>A 27170-2021</t>
        </is>
      </c>
      <c r="B802" s="1" t="n">
        <v>44350</v>
      </c>
      <c r="C802" s="1" t="n">
        <v>45829</v>
      </c>
      <c r="D802" t="inlineStr">
        <is>
          <t>VÄSTERNORRLANDS LÄN</t>
        </is>
      </c>
      <c r="E802" t="inlineStr">
        <is>
          <t>SUNDSVALL</t>
        </is>
      </c>
      <c r="G802" t="n">
        <v>7.2</v>
      </c>
      <c r="H802" t="n">
        <v>0</v>
      </c>
      <c r="I802" t="n">
        <v>0</v>
      </c>
      <c r="J802" t="n">
        <v>0</v>
      </c>
      <c r="K802" t="n">
        <v>0</v>
      </c>
      <c r="L802" t="n">
        <v>0</v>
      </c>
      <c r="M802" t="n">
        <v>0</v>
      </c>
      <c r="N802" t="n">
        <v>0</v>
      </c>
      <c r="O802" t="n">
        <v>0</v>
      </c>
      <c r="P802" t="n">
        <v>0</v>
      </c>
      <c r="Q802" t="n">
        <v>0</v>
      </c>
      <c r="R802" s="2" t="inlineStr"/>
    </row>
    <row r="803" ht="15" customHeight="1">
      <c r="A803" t="inlineStr">
        <is>
          <t>A 27238-2021</t>
        </is>
      </c>
      <c r="B803" s="1" t="n">
        <v>44350</v>
      </c>
      <c r="C803" s="1" t="n">
        <v>45829</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27366-2021</t>
        </is>
      </c>
      <c r="B804" s="1" t="n">
        <v>44351</v>
      </c>
      <c r="C804" s="1" t="n">
        <v>45829</v>
      </c>
      <c r="D804" t="inlineStr">
        <is>
          <t>VÄSTERNORRLANDS LÄN</t>
        </is>
      </c>
      <c r="E804" t="inlineStr">
        <is>
          <t>SUNDSVALL</t>
        </is>
      </c>
      <c r="G804" t="n">
        <v>15.9</v>
      </c>
      <c r="H804" t="n">
        <v>0</v>
      </c>
      <c r="I804" t="n">
        <v>0</v>
      </c>
      <c r="J804" t="n">
        <v>0</v>
      </c>
      <c r="K804" t="n">
        <v>0</v>
      </c>
      <c r="L804" t="n">
        <v>0</v>
      </c>
      <c r="M804" t="n">
        <v>0</v>
      </c>
      <c r="N804" t="n">
        <v>0</v>
      </c>
      <c r="O804" t="n">
        <v>0</v>
      </c>
      <c r="P804" t="n">
        <v>0</v>
      </c>
      <c r="Q804" t="n">
        <v>0</v>
      </c>
      <c r="R804" s="2" t="inlineStr"/>
    </row>
    <row r="805" ht="15" customHeight="1">
      <c r="A805" t="inlineStr">
        <is>
          <t>A 27959-2021</t>
        </is>
      </c>
      <c r="B805" s="1" t="n">
        <v>44354</v>
      </c>
      <c r="C805" s="1" t="n">
        <v>45829</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28238-2021</t>
        </is>
      </c>
      <c r="B806" s="1" t="n">
        <v>44355</v>
      </c>
      <c r="C806" s="1" t="n">
        <v>45829</v>
      </c>
      <c r="D806" t="inlineStr">
        <is>
          <t>VÄSTERNORRLANDS LÄN</t>
        </is>
      </c>
      <c r="E806" t="inlineStr">
        <is>
          <t>SUNDSVALL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28264-2021</t>
        </is>
      </c>
      <c r="B807" s="1" t="n">
        <v>44355</v>
      </c>
      <c r="C807" s="1" t="n">
        <v>45829</v>
      </c>
      <c r="D807" t="inlineStr">
        <is>
          <t>VÄSTERNORRLANDS LÄN</t>
        </is>
      </c>
      <c r="E807" t="inlineStr">
        <is>
          <t>SUNDSVALL</t>
        </is>
      </c>
      <c r="G807" t="n">
        <v>0.1</v>
      </c>
      <c r="H807" t="n">
        <v>0</v>
      </c>
      <c r="I807" t="n">
        <v>0</v>
      </c>
      <c r="J807" t="n">
        <v>0</v>
      </c>
      <c r="K807" t="n">
        <v>0</v>
      </c>
      <c r="L807" t="n">
        <v>0</v>
      </c>
      <c r="M807" t="n">
        <v>0</v>
      </c>
      <c r="N807" t="n">
        <v>0</v>
      </c>
      <c r="O807" t="n">
        <v>0</v>
      </c>
      <c r="P807" t="n">
        <v>0</v>
      </c>
      <c r="Q807" t="n">
        <v>0</v>
      </c>
      <c r="R807" s="2" t="inlineStr"/>
    </row>
    <row r="808" ht="15" customHeight="1">
      <c r="A808" t="inlineStr">
        <is>
          <t>A 28341-2021</t>
        </is>
      </c>
      <c r="B808" s="1" t="n">
        <v>44356</v>
      </c>
      <c r="C808" s="1" t="n">
        <v>45829</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28595-2021</t>
        </is>
      </c>
      <c r="B809" s="1" t="n">
        <v>44356</v>
      </c>
      <c r="C809" s="1" t="n">
        <v>45829</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28594-2021</t>
        </is>
      </c>
      <c r="B810" s="1" t="n">
        <v>44356</v>
      </c>
      <c r="C810" s="1" t="n">
        <v>45829</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28684-2021</t>
        </is>
      </c>
      <c r="B811" s="1" t="n">
        <v>44357</v>
      </c>
      <c r="C811" s="1" t="n">
        <v>45829</v>
      </c>
      <c r="D811" t="inlineStr">
        <is>
          <t>VÄSTERNORRLANDS LÄN</t>
        </is>
      </c>
      <c r="E811" t="inlineStr">
        <is>
          <t>SUNDSVALL</t>
        </is>
      </c>
      <c r="G811" t="n">
        <v>12.2</v>
      </c>
      <c r="H811" t="n">
        <v>0</v>
      </c>
      <c r="I811" t="n">
        <v>0</v>
      </c>
      <c r="J811" t="n">
        <v>0</v>
      </c>
      <c r="K811" t="n">
        <v>0</v>
      </c>
      <c r="L811" t="n">
        <v>0</v>
      </c>
      <c r="M811" t="n">
        <v>0</v>
      </c>
      <c r="N811" t="n">
        <v>0</v>
      </c>
      <c r="O811" t="n">
        <v>0</v>
      </c>
      <c r="P811" t="n">
        <v>0</v>
      </c>
      <c r="Q811" t="n">
        <v>0</v>
      </c>
      <c r="R811" s="2" t="inlineStr"/>
    </row>
    <row r="812" ht="15" customHeight="1">
      <c r="A812" t="inlineStr">
        <is>
          <t>A 28825-2021</t>
        </is>
      </c>
      <c r="B812" s="1" t="n">
        <v>44357</v>
      </c>
      <c r="C812" s="1" t="n">
        <v>45829</v>
      </c>
      <c r="D812" t="inlineStr">
        <is>
          <t>VÄSTERNORRLANDS LÄN</t>
        </is>
      </c>
      <c r="E812" t="inlineStr">
        <is>
          <t>SUNDSVALL</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28829-2021</t>
        </is>
      </c>
      <c r="B813" s="1" t="n">
        <v>44357</v>
      </c>
      <c r="C813" s="1" t="n">
        <v>45829</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29292-2021</t>
        </is>
      </c>
      <c r="B814" s="1" t="n">
        <v>44358</v>
      </c>
      <c r="C814" s="1" t="n">
        <v>45829</v>
      </c>
      <c r="D814" t="inlineStr">
        <is>
          <t>VÄSTERNORRLANDS LÄN</t>
        </is>
      </c>
      <c r="E814" t="inlineStr">
        <is>
          <t>SUNDSVALL</t>
        </is>
      </c>
      <c r="G814" t="n">
        <v>0.2</v>
      </c>
      <c r="H814" t="n">
        <v>0</v>
      </c>
      <c r="I814" t="n">
        <v>0</v>
      </c>
      <c r="J814" t="n">
        <v>0</v>
      </c>
      <c r="K814" t="n">
        <v>0</v>
      </c>
      <c r="L814" t="n">
        <v>0</v>
      </c>
      <c r="M814" t="n">
        <v>0</v>
      </c>
      <c r="N814" t="n">
        <v>0</v>
      </c>
      <c r="O814" t="n">
        <v>0</v>
      </c>
      <c r="P814" t="n">
        <v>0</v>
      </c>
      <c r="Q814" t="n">
        <v>0</v>
      </c>
      <c r="R814" s="2" t="inlineStr"/>
    </row>
    <row r="815" ht="15" customHeight="1">
      <c r="A815" t="inlineStr">
        <is>
          <t>A 29256-2021</t>
        </is>
      </c>
      <c r="B815" s="1" t="n">
        <v>44361</v>
      </c>
      <c r="C815" s="1" t="n">
        <v>45829</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29322-2021</t>
        </is>
      </c>
      <c r="B816" s="1" t="n">
        <v>44361</v>
      </c>
      <c r="C816" s="1" t="n">
        <v>45829</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29301-2021</t>
        </is>
      </c>
      <c r="B817" s="1" t="n">
        <v>44361</v>
      </c>
      <c r="C817" s="1" t="n">
        <v>45829</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29403-2021</t>
        </is>
      </c>
      <c r="B818" s="1" t="n">
        <v>44361</v>
      </c>
      <c r="C818" s="1" t="n">
        <v>45829</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29468-2021</t>
        </is>
      </c>
      <c r="B819" s="1" t="n">
        <v>44361</v>
      </c>
      <c r="C819" s="1" t="n">
        <v>45829</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29484-2021</t>
        </is>
      </c>
      <c r="B820" s="1" t="n">
        <v>44361</v>
      </c>
      <c r="C820" s="1" t="n">
        <v>45829</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29535-2021</t>
        </is>
      </c>
      <c r="B821" s="1" t="n">
        <v>44361</v>
      </c>
      <c r="C821" s="1" t="n">
        <v>45829</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29576-2021</t>
        </is>
      </c>
      <c r="B822" s="1" t="n">
        <v>44361</v>
      </c>
      <c r="C822" s="1" t="n">
        <v>45829</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29577-2021</t>
        </is>
      </c>
      <c r="B823" s="1" t="n">
        <v>44361</v>
      </c>
      <c r="C823" s="1" t="n">
        <v>45829</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29584-2021</t>
        </is>
      </c>
      <c r="B824" s="1" t="n">
        <v>44361</v>
      </c>
      <c r="C824" s="1" t="n">
        <v>45829</v>
      </c>
      <c r="D824" t="inlineStr">
        <is>
          <t>VÄSTERNORRLANDS LÄN</t>
        </is>
      </c>
      <c r="E824" t="inlineStr">
        <is>
          <t>SUNDSVALL</t>
        </is>
      </c>
      <c r="G824" t="n">
        <v>14.6</v>
      </c>
      <c r="H824" t="n">
        <v>0</v>
      </c>
      <c r="I824" t="n">
        <v>0</v>
      </c>
      <c r="J824" t="n">
        <v>0</v>
      </c>
      <c r="K824" t="n">
        <v>0</v>
      </c>
      <c r="L824" t="n">
        <v>0</v>
      </c>
      <c r="M824" t="n">
        <v>0</v>
      </c>
      <c r="N824" t="n">
        <v>0</v>
      </c>
      <c r="O824" t="n">
        <v>0</v>
      </c>
      <c r="P824" t="n">
        <v>0</v>
      </c>
      <c r="Q824" t="n">
        <v>0</v>
      </c>
      <c r="R824" s="2" t="inlineStr"/>
    </row>
    <row r="825" ht="15" customHeight="1">
      <c r="A825" t="inlineStr">
        <is>
          <t>A 29643-2021</t>
        </is>
      </c>
      <c r="B825" s="1" t="n">
        <v>44361</v>
      </c>
      <c r="C825" s="1" t="n">
        <v>45829</v>
      </c>
      <c r="D825" t="inlineStr">
        <is>
          <t>VÄSTERNORRLANDS LÄN</t>
        </is>
      </c>
      <c r="E825" t="inlineStr">
        <is>
          <t>SUNDSVALL</t>
        </is>
      </c>
      <c r="F825" t="inlineStr">
        <is>
          <t>SCA</t>
        </is>
      </c>
      <c r="G825" t="n">
        <v>15.2</v>
      </c>
      <c r="H825" t="n">
        <v>0</v>
      </c>
      <c r="I825" t="n">
        <v>0</v>
      </c>
      <c r="J825" t="n">
        <v>0</v>
      </c>
      <c r="K825" t="n">
        <v>0</v>
      </c>
      <c r="L825" t="n">
        <v>0</v>
      </c>
      <c r="M825" t="n">
        <v>0</v>
      </c>
      <c r="N825" t="n">
        <v>0</v>
      </c>
      <c r="O825" t="n">
        <v>0</v>
      </c>
      <c r="P825" t="n">
        <v>0</v>
      </c>
      <c r="Q825" t="n">
        <v>0</v>
      </c>
      <c r="R825" s="2" t="inlineStr"/>
    </row>
    <row r="826" ht="15" customHeight="1">
      <c r="A826" t="inlineStr">
        <is>
          <t>A 29925-2021</t>
        </is>
      </c>
      <c r="B826" s="1" t="n">
        <v>44363</v>
      </c>
      <c r="C826" s="1" t="n">
        <v>45829</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29926-2021</t>
        </is>
      </c>
      <c r="B827" s="1" t="n">
        <v>44363</v>
      </c>
      <c r="C827" s="1" t="n">
        <v>45829</v>
      </c>
      <c r="D827" t="inlineStr">
        <is>
          <t>VÄSTERNORRLANDS LÄN</t>
        </is>
      </c>
      <c r="E827" t="inlineStr">
        <is>
          <t>SUNDSVALL</t>
        </is>
      </c>
      <c r="G827" t="n">
        <v>3.3</v>
      </c>
      <c r="H827" t="n">
        <v>0</v>
      </c>
      <c r="I827" t="n">
        <v>0</v>
      </c>
      <c r="J827" t="n">
        <v>0</v>
      </c>
      <c r="K827" t="n">
        <v>0</v>
      </c>
      <c r="L827" t="n">
        <v>0</v>
      </c>
      <c r="M827" t="n">
        <v>0</v>
      </c>
      <c r="N827" t="n">
        <v>0</v>
      </c>
      <c r="O827" t="n">
        <v>0</v>
      </c>
      <c r="P827" t="n">
        <v>0</v>
      </c>
      <c r="Q827" t="n">
        <v>0</v>
      </c>
      <c r="R827" s="2" t="inlineStr"/>
    </row>
    <row r="828" ht="15" customHeight="1">
      <c r="A828" t="inlineStr">
        <is>
          <t>A 30019-2021</t>
        </is>
      </c>
      <c r="B828" s="1" t="n">
        <v>44363</v>
      </c>
      <c r="C828" s="1" t="n">
        <v>45829</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30450-2021</t>
        </is>
      </c>
      <c r="B829" s="1" t="n">
        <v>44364</v>
      </c>
      <c r="C829" s="1" t="n">
        <v>45829</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30460-2021</t>
        </is>
      </c>
      <c r="B830" s="1" t="n">
        <v>44364</v>
      </c>
      <c r="C830" s="1" t="n">
        <v>45829</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31510-2021</t>
        </is>
      </c>
      <c r="B831" s="1" t="n">
        <v>44369</v>
      </c>
      <c r="C831" s="1" t="n">
        <v>45829</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32172-2021</t>
        </is>
      </c>
      <c r="B832" s="1" t="n">
        <v>44371</v>
      </c>
      <c r="C832" s="1" t="n">
        <v>45829</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32183-2021</t>
        </is>
      </c>
      <c r="B833" s="1" t="n">
        <v>44371</v>
      </c>
      <c r="C833" s="1" t="n">
        <v>45829</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32203-2021</t>
        </is>
      </c>
      <c r="B834" s="1" t="n">
        <v>44371</v>
      </c>
      <c r="C834" s="1" t="n">
        <v>45829</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32275-2021</t>
        </is>
      </c>
      <c r="B835" s="1" t="n">
        <v>44371</v>
      </c>
      <c r="C835" s="1" t="n">
        <v>45829</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32285-2021</t>
        </is>
      </c>
      <c r="B836" s="1" t="n">
        <v>44371</v>
      </c>
      <c r="C836" s="1" t="n">
        <v>45829</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32335-2021</t>
        </is>
      </c>
      <c r="B837" s="1" t="n">
        <v>44371</v>
      </c>
      <c r="C837" s="1" t="n">
        <v>45829</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33206-2021</t>
        </is>
      </c>
      <c r="B838" s="1" t="n">
        <v>44377</v>
      </c>
      <c r="C838" s="1" t="n">
        <v>45829</v>
      </c>
      <c r="D838" t="inlineStr">
        <is>
          <t>VÄSTERNORRLANDS LÄN</t>
        </is>
      </c>
      <c r="E838" t="inlineStr">
        <is>
          <t>SUNDSVALL</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33990-2021</t>
        </is>
      </c>
      <c r="B839" s="1" t="n">
        <v>44379</v>
      </c>
      <c r="C839" s="1" t="n">
        <v>45829</v>
      </c>
      <c r="D839" t="inlineStr">
        <is>
          <t>VÄSTERNORRLANDS LÄN</t>
        </is>
      </c>
      <c r="E839" t="inlineStr">
        <is>
          <t>SUNDSVALL</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34198-2021</t>
        </is>
      </c>
      <c r="B840" s="1" t="n">
        <v>44379</v>
      </c>
      <c r="C840" s="1" t="n">
        <v>45829</v>
      </c>
      <c r="D840" t="inlineStr">
        <is>
          <t>VÄSTERNORRLANDS LÄN</t>
        </is>
      </c>
      <c r="E840" t="inlineStr">
        <is>
          <t>SUNDSVALL</t>
        </is>
      </c>
      <c r="G840" t="n">
        <v>5.5</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45829</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34612-2021</t>
        </is>
      </c>
      <c r="B842" s="1" t="n">
        <v>44379</v>
      </c>
      <c r="C842" s="1" t="n">
        <v>45829</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34931-2021</t>
        </is>
      </c>
      <c r="B843" s="1" t="n">
        <v>44379</v>
      </c>
      <c r="C843" s="1" t="n">
        <v>45829</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34643-2021</t>
        </is>
      </c>
      <c r="B844" s="1" t="n">
        <v>44379</v>
      </c>
      <c r="C844" s="1" t="n">
        <v>45829</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35318-2021</t>
        </is>
      </c>
      <c r="B845" s="1" t="n">
        <v>44384</v>
      </c>
      <c r="C845" s="1" t="n">
        <v>45829</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36007-2021</t>
        </is>
      </c>
      <c r="B846" s="1" t="n">
        <v>44389</v>
      </c>
      <c r="C846" s="1" t="n">
        <v>45829</v>
      </c>
      <c r="D846" t="inlineStr">
        <is>
          <t>VÄSTERNORRLANDS LÄN</t>
        </is>
      </c>
      <c r="E846" t="inlineStr">
        <is>
          <t>SUNDSVALL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36226-2021</t>
        </is>
      </c>
      <c r="B847" s="1" t="n">
        <v>44390</v>
      </c>
      <c r="C847" s="1" t="n">
        <v>45829</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36251-2021</t>
        </is>
      </c>
      <c r="B848" s="1" t="n">
        <v>44390</v>
      </c>
      <c r="C848" s="1" t="n">
        <v>45829</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36316-2021</t>
        </is>
      </c>
      <c r="B849" s="1" t="n">
        <v>44390</v>
      </c>
      <c r="C849" s="1" t="n">
        <v>45829</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36809-2021</t>
        </is>
      </c>
      <c r="B850" s="1" t="n">
        <v>44392</v>
      </c>
      <c r="C850" s="1" t="n">
        <v>45829</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37040-2021</t>
        </is>
      </c>
      <c r="B851" s="1" t="n">
        <v>44394</v>
      </c>
      <c r="C851" s="1" t="n">
        <v>45829</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37059-2021</t>
        </is>
      </c>
      <c r="B852" s="1" t="n">
        <v>44394</v>
      </c>
      <c r="C852" s="1" t="n">
        <v>45829</v>
      </c>
      <c r="D852" t="inlineStr">
        <is>
          <t>VÄSTERNORRLANDS LÄN</t>
        </is>
      </c>
      <c r="E852" t="inlineStr">
        <is>
          <t>SUNDSVALL</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37617-2021</t>
        </is>
      </c>
      <c r="B853" s="1" t="n">
        <v>44399</v>
      </c>
      <c r="C853" s="1" t="n">
        <v>45829</v>
      </c>
      <c r="D853" t="inlineStr">
        <is>
          <t>VÄSTERNORRLANDS LÄN</t>
        </is>
      </c>
      <c r="E853" t="inlineStr">
        <is>
          <t>SUNDSVALL</t>
        </is>
      </c>
      <c r="G853" t="n">
        <v>6.8</v>
      </c>
      <c r="H853" t="n">
        <v>0</v>
      </c>
      <c r="I853" t="n">
        <v>0</v>
      </c>
      <c r="J853" t="n">
        <v>0</v>
      </c>
      <c r="K853" t="n">
        <v>0</v>
      </c>
      <c r="L853" t="n">
        <v>0</v>
      </c>
      <c r="M853" t="n">
        <v>0</v>
      </c>
      <c r="N853" t="n">
        <v>0</v>
      </c>
      <c r="O853" t="n">
        <v>0</v>
      </c>
      <c r="P853" t="n">
        <v>0</v>
      </c>
      <c r="Q853" t="n">
        <v>0</v>
      </c>
      <c r="R853" s="2" t="inlineStr"/>
    </row>
    <row r="854" ht="15" customHeight="1">
      <c r="A854" t="inlineStr">
        <is>
          <t>A 37611-2021</t>
        </is>
      </c>
      <c r="B854" s="1" t="n">
        <v>44399</v>
      </c>
      <c r="C854" s="1" t="n">
        <v>45829</v>
      </c>
      <c r="D854" t="inlineStr">
        <is>
          <t>VÄSTERNORRLANDS LÄN</t>
        </is>
      </c>
      <c r="E854" t="inlineStr">
        <is>
          <t>SUNDSVALL</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37708-2021</t>
        </is>
      </c>
      <c r="B855" s="1" t="n">
        <v>44400</v>
      </c>
      <c r="C855" s="1" t="n">
        <v>45829</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37718-2021</t>
        </is>
      </c>
      <c r="B856" s="1" t="n">
        <v>44400</v>
      </c>
      <c r="C856" s="1" t="n">
        <v>45829</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37704-2021</t>
        </is>
      </c>
      <c r="B857" s="1" t="n">
        <v>44400</v>
      </c>
      <c r="C857" s="1" t="n">
        <v>45829</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37965-2021</t>
        </is>
      </c>
      <c r="B858" s="1" t="n">
        <v>44404</v>
      </c>
      <c r="C858" s="1" t="n">
        <v>45829</v>
      </c>
      <c r="D858" t="inlineStr">
        <is>
          <t>VÄSTERNORRLANDS LÄN</t>
        </is>
      </c>
      <c r="E858" t="inlineStr">
        <is>
          <t>SUNDSVALL</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37962-2021</t>
        </is>
      </c>
      <c r="B859" s="1" t="n">
        <v>44404</v>
      </c>
      <c r="C859" s="1" t="n">
        <v>45829</v>
      </c>
      <c r="D859" t="inlineStr">
        <is>
          <t>VÄSTERNORRLANDS LÄN</t>
        </is>
      </c>
      <c r="E859" t="inlineStr">
        <is>
          <t>SUNDSVALL</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38306-2021</t>
        </is>
      </c>
      <c r="B860" s="1" t="n">
        <v>44406</v>
      </c>
      <c r="C860" s="1" t="n">
        <v>45829</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39169-2021</t>
        </is>
      </c>
      <c r="B861" s="1" t="n">
        <v>44412</v>
      </c>
      <c r="C861" s="1" t="n">
        <v>45829</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39502-2021</t>
        </is>
      </c>
      <c r="B862" s="1" t="n">
        <v>44414</v>
      </c>
      <c r="C862" s="1" t="n">
        <v>45829</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39503-2021</t>
        </is>
      </c>
      <c r="B863" s="1" t="n">
        <v>44414</v>
      </c>
      <c r="C863" s="1" t="n">
        <v>45829</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39676-2021</t>
        </is>
      </c>
      <c r="B864" s="1" t="n">
        <v>44414</v>
      </c>
      <c r="C864" s="1" t="n">
        <v>45829</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39933-2021</t>
        </is>
      </c>
      <c r="B865" s="1" t="n">
        <v>44417</v>
      </c>
      <c r="C865" s="1" t="n">
        <v>45829</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39929-2021</t>
        </is>
      </c>
      <c r="B866" s="1" t="n">
        <v>44417</v>
      </c>
      <c r="C866" s="1" t="n">
        <v>45829</v>
      </c>
      <c r="D866" t="inlineStr">
        <is>
          <t>VÄSTERNORRLANDS LÄN</t>
        </is>
      </c>
      <c r="E866" t="inlineStr">
        <is>
          <t>SUNDSVALL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40141-2021</t>
        </is>
      </c>
      <c r="B867" s="1" t="n">
        <v>44418</v>
      </c>
      <c r="C867" s="1" t="n">
        <v>45829</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40160-2021</t>
        </is>
      </c>
      <c r="B868" s="1" t="n">
        <v>44418</v>
      </c>
      <c r="C868" s="1" t="n">
        <v>45829</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40534-2021</t>
        </is>
      </c>
      <c r="B869" s="1" t="n">
        <v>44420</v>
      </c>
      <c r="C869" s="1" t="n">
        <v>45829</v>
      </c>
      <c r="D869" t="inlineStr">
        <is>
          <t>VÄSTERNORRLANDS LÄN</t>
        </is>
      </c>
      <c r="E869" t="inlineStr">
        <is>
          <t>SUNDSVALL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40908-2021</t>
        </is>
      </c>
      <c r="B870" s="1" t="n">
        <v>44421</v>
      </c>
      <c r="C870" s="1" t="n">
        <v>45829</v>
      </c>
      <c r="D870" t="inlineStr">
        <is>
          <t>VÄSTERNORRLANDS LÄN</t>
        </is>
      </c>
      <c r="E870" t="inlineStr">
        <is>
          <t>SUNDSVALL</t>
        </is>
      </c>
      <c r="G870" t="n">
        <v>12.9</v>
      </c>
      <c r="H870" t="n">
        <v>0</v>
      </c>
      <c r="I870" t="n">
        <v>0</v>
      </c>
      <c r="J870" t="n">
        <v>0</v>
      </c>
      <c r="K870" t="n">
        <v>0</v>
      </c>
      <c r="L870" t="n">
        <v>0</v>
      </c>
      <c r="M870" t="n">
        <v>0</v>
      </c>
      <c r="N870" t="n">
        <v>0</v>
      </c>
      <c r="O870" t="n">
        <v>0</v>
      </c>
      <c r="P870" t="n">
        <v>0</v>
      </c>
      <c r="Q870" t="n">
        <v>0</v>
      </c>
      <c r="R870" s="2" t="inlineStr"/>
    </row>
    <row r="871" ht="15" customHeight="1">
      <c r="A871" t="inlineStr">
        <is>
          <t>A 41469-2021</t>
        </is>
      </c>
      <c r="B871" s="1" t="n">
        <v>44424</v>
      </c>
      <c r="C871" s="1" t="n">
        <v>45829</v>
      </c>
      <c r="D871" t="inlineStr">
        <is>
          <t>VÄSTERNORRLANDS LÄN</t>
        </is>
      </c>
      <c r="E871" t="inlineStr">
        <is>
          <t>SUNDSVALL</t>
        </is>
      </c>
      <c r="G871" t="n">
        <v>3.3</v>
      </c>
      <c r="H871" t="n">
        <v>0</v>
      </c>
      <c r="I871" t="n">
        <v>0</v>
      </c>
      <c r="J871" t="n">
        <v>0</v>
      </c>
      <c r="K871" t="n">
        <v>0</v>
      </c>
      <c r="L871" t="n">
        <v>0</v>
      </c>
      <c r="M871" t="n">
        <v>0</v>
      </c>
      <c r="N871" t="n">
        <v>0</v>
      </c>
      <c r="O871" t="n">
        <v>0</v>
      </c>
      <c r="P871" t="n">
        <v>0</v>
      </c>
      <c r="Q871" t="n">
        <v>0</v>
      </c>
      <c r="R871" s="2" t="inlineStr"/>
    </row>
    <row r="872" ht="15" customHeight="1">
      <c r="A872" t="inlineStr">
        <is>
          <t>A 42169-2021</t>
        </is>
      </c>
      <c r="B872" s="1" t="n">
        <v>44426</v>
      </c>
      <c r="C872" s="1" t="n">
        <v>45829</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42199-2021</t>
        </is>
      </c>
      <c r="B873" s="1" t="n">
        <v>44426</v>
      </c>
      <c r="C873" s="1" t="n">
        <v>45829</v>
      </c>
      <c r="D873" t="inlineStr">
        <is>
          <t>VÄSTERNORRLANDS LÄN</t>
        </is>
      </c>
      <c r="E873" t="inlineStr">
        <is>
          <t>SUNDSVALL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42201-2021</t>
        </is>
      </c>
      <c r="B874" s="1" t="n">
        <v>44426</v>
      </c>
      <c r="C874" s="1" t="n">
        <v>45829</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42195-2021</t>
        </is>
      </c>
      <c r="B875" s="1" t="n">
        <v>44426</v>
      </c>
      <c r="C875" s="1" t="n">
        <v>45829</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42700-2021</t>
        </is>
      </c>
      <c r="B876" s="1" t="n">
        <v>44428</v>
      </c>
      <c r="C876" s="1" t="n">
        <v>45829</v>
      </c>
      <c r="D876" t="inlineStr">
        <is>
          <t>VÄSTERNORRLANDS LÄN</t>
        </is>
      </c>
      <c r="E876" t="inlineStr">
        <is>
          <t>SUNDSVALL</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42728-2021</t>
        </is>
      </c>
      <c r="B877" s="1" t="n">
        <v>44428</v>
      </c>
      <c r="C877" s="1" t="n">
        <v>45829</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43194-2021</t>
        </is>
      </c>
      <c r="B878" s="1" t="n">
        <v>44431</v>
      </c>
      <c r="C878" s="1" t="n">
        <v>45829</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43199-2021</t>
        </is>
      </c>
      <c r="B879" s="1" t="n">
        <v>44432</v>
      </c>
      <c r="C879" s="1" t="n">
        <v>45829</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43195-2021</t>
        </is>
      </c>
      <c r="B880" s="1" t="n">
        <v>44431</v>
      </c>
      <c r="C880" s="1" t="n">
        <v>45829</v>
      </c>
      <c r="D880" t="inlineStr">
        <is>
          <t>VÄSTERNORRLANDS LÄN</t>
        </is>
      </c>
      <c r="E880" t="inlineStr">
        <is>
          <t>SUNDSVALL</t>
        </is>
      </c>
      <c r="G880" t="n">
        <v>3.7</v>
      </c>
      <c r="H880" t="n">
        <v>0</v>
      </c>
      <c r="I880" t="n">
        <v>0</v>
      </c>
      <c r="J880" t="n">
        <v>0</v>
      </c>
      <c r="K880" t="n">
        <v>0</v>
      </c>
      <c r="L880" t="n">
        <v>0</v>
      </c>
      <c r="M880" t="n">
        <v>0</v>
      </c>
      <c r="N880" t="n">
        <v>0</v>
      </c>
      <c r="O880" t="n">
        <v>0</v>
      </c>
      <c r="P880" t="n">
        <v>0</v>
      </c>
      <c r="Q880" t="n">
        <v>0</v>
      </c>
      <c r="R880" s="2" t="inlineStr"/>
    </row>
    <row r="881" ht="15" customHeight="1">
      <c r="A881" t="inlineStr">
        <is>
          <t>A 43204-2021</t>
        </is>
      </c>
      <c r="B881" s="1" t="n">
        <v>44431</v>
      </c>
      <c r="C881" s="1" t="n">
        <v>45829</v>
      </c>
      <c r="D881" t="inlineStr">
        <is>
          <t>VÄSTERNORRLANDS LÄN</t>
        </is>
      </c>
      <c r="E881" t="inlineStr">
        <is>
          <t>SUNDSVALL</t>
        </is>
      </c>
      <c r="G881" t="n">
        <v>3.9</v>
      </c>
      <c r="H881" t="n">
        <v>0</v>
      </c>
      <c r="I881" t="n">
        <v>0</v>
      </c>
      <c r="J881" t="n">
        <v>0</v>
      </c>
      <c r="K881" t="n">
        <v>0</v>
      </c>
      <c r="L881" t="n">
        <v>0</v>
      </c>
      <c r="M881" t="n">
        <v>0</v>
      </c>
      <c r="N881" t="n">
        <v>0</v>
      </c>
      <c r="O881" t="n">
        <v>0</v>
      </c>
      <c r="P881" t="n">
        <v>0</v>
      </c>
      <c r="Q881" t="n">
        <v>0</v>
      </c>
      <c r="R881" s="2" t="inlineStr"/>
    </row>
    <row r="882" ht="15" customHeight="1">
      <c r="A882" t="inlineStr">
        <is>
          <t>A 43197-2021</t>
        </is>
      </c>
      <c r="B882" s="1" t="n">
        <v>44432</v>
      </c>
      <c r="C882" s="1" t="n">
        <v>45829</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43205-2021</t>
        </is>
      </c>
      <c r="B883" s="1" t="n">
        <v>44431</v>
      </c>
      <c r="C883" s="1" t="n">
        <v>45829</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43834-2021</t>
        </is>
      </c>
      <c r="B884" s="1" t="n">
        <v>44433</v>
      </c>
      <c r="C884" s="1" t="n">
        <v>45829</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44030-2021</t>
        </is>
      </c>
      <c r="B885" s="1" t="n">
        <v>44434</v>
      </c>
      <c r="C885" s="1" t="n">
        <v>45829</v>
      </c>
      <c r="D885" t="inlineStr">
        <is>
          <t>VÄSTERNORRLANDS LÄN</t>
        </is>
      </c>
      <c r="E885" t="inlineStr">
        <is>
          <t>SUNDSVALL</t>
        </is>
      </c>
      <c r="G885" t="n">
        <v>2.7</v>
      </c>
      <c r="H885" t="n">
        <v>0</v>
      </c>
      <c r="I885" t="n">
        <v>0</v>
      </c>
      <c r="J885" t="n">
        <v>0</v>
      </c>
      <c r="K885" t="n">
        <v>0</v>
      </c>
      <c r="L885" t="n">
        <v>0</v>
      </c>
      <c r="M885" t="n">
        <v>0</v>
      </c>
      <c r="N885" t="n">
        <v>0</v>
      </c>
      <c r="O885" t="n">
        <v>0</v>
      </c>
      <c r="P885" t="n">
        <v>0</v>
      </c>
      <c r="Q885" t="n">
        <v>0</v>
      </c>
      <c r="R885" s="2" t="inlineStr"/>
    </row>
    <row r="886" ht="15" customHeight="1">
      <c r="A886" t="inlineStr">
        <is>
          <t>A 44039-2021</t>
        </is>
      </c>
      <c r="B886" s="1" t="n">
        <v>44434</v>
      </c>
      <c r="C886" s="1" t="n">
        <v>45829</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44610-2021</t>
        </is>
      </c>
      <c r="B887" s="1" t="n">
        <v>44436</v>
      </c>
      <c r="C887" s="1" t="n">
        <v>45829</v>
      </c>
      <c r="D887" t="inlineStr">
        <is>
          <t>VÄSTERNORRLANDS LÄN</t>
        </is>
      </c>
      <c r="E887" t="inlineStr">
        <is>
          <t>SUNDSVALL</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45005-2021</t>
        </is>
      </c>
      <c r="B888" s="1" t="n">
        <v>44439</v>
      </c>
      <c r="C888" s="1" t="n">
        <v>45829</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44920-2021</t>
        </is>
      </c>
      <c r="B889" s="1" t="n">
        <v>44438</v>
      </c>
      <c r="C889" s="1" t="n">
        <v>45829</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44934-2021</t>
        </is>
      </c>
      <c r="B890" s="1" t="n">
        <v>44438</v>
      </c>
      <c r="C890" s="1" t="n">
        <v>45829</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45000-2021</t>
        </is>
      </c>
      <c r="B891" s="1" t="n">
        <v>44439</v>
      </c>
      <c r="C891" s="1" t="n">
        <v>45829</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45006-2021</t>
        </is>
      </c>
      <c r="B892" s="1" t="n">
        <v>44439</v>
      </c>
      <c r="C892" s="1" t="n">
        <v>45829</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45506-2021</t>
        </is>
      </c>
      <c r="B893" s="1" t="n">
        <v>44440</v>
      </c>
      <c r="C893" s="1" t="n">
        <v>45829</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v>
      </c>
      <c r="C894" s="1" t="n">
        <v>45829</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45646-2021</t>
        </is>
      </c>
      <c r="B895" s="1" t="n">
        <v>44440</v>
      </c>
      <c r="C895" s="1" t="n">
        <v>45829</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45775-2021</t>
        </is>
      </c>
      <c r="B896" s="1" t="n">
        <v>44441</v>
      </c>
      <c r="C896" s="1" t="n">
        <v>45829</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45739-2021</t>
        </is>
      </c>
      <c r="B897" s="1" t="n">
        <v>44441</v>
      </c>
      <c r="C897" s="1" t="n">
        <v>45829</v>
      </c>
      <c r="D897" t="inlineStr">
        <is>
          <t>VÄSTERNORRLANDS LÄN</t>
        </is>
      </c>
      <c r="E897" t="inlineStr">
        <is>
          <t>SUNDSVALL</t>
        </is>
      </c>
      <c r="G897" t="n">
        <v>14.8</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45829</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47565-2021</t>
        </is>
      </c>
      <c r="B899" s="1" t="n">
        <v>44447</v>
      </c>
      <c r="C899" s="1" t="n">
        <v>45829</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47944-2021</t>
        </is>
      </c>
      <c r="B900" s="1" t="n">
        <v>44448</v>
      </c>
      <c r="C900" s="1" t="n">
        <v>45829</v>
      </c>
      <c r="D900" t="inlineStr">
        <is>
          <t>VÄSTERNORRLANDS LÄN</t>
        </is>
      </c>
      <c r="E900" t="inlineStr">
        <is>
          <t>SUNDSVALL</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48662-2021</t>
        </is>
      </c>
      <c r="B901" s="1" t="n">
        <v>44452</v>
      </c>
      <c r="C901" s="1" t="n">
        <v>45829</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48705-2021</t>
        </is>
      </c>
      <c r="B902" s="1" t="n">
        <v>44452</v>
      </c>
      <c r="C902" s="1" t="n">
        <v>45829</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48878-2021</t>
        </is>
      </c>
      <c r="B903" s="1" t="n">
        <v>44453</v>
      </c>
      <c r="C903" s="1" t="n">
        <v>45829</v>
      </c>
      <c r="D903" t="inlineStr">
        <is>
          <t>VÄSTERNORRLANDS LÄN</t>
        </is>
      </c>
      <c r="E903" t="inlineStr">
        <is>
          <t>SUNDSVALL</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48864-2021</t>
        </is>
      </c>
      <c r="B904" s="1" t="n">
        <v>44453</v>
      </c>
      <c r="C904" s="1" t="n">
        <v>45829</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49480-2021</t>
        </is>
      </c>
      <c r="B905" s="1" t="n">
        <v>44454</v>
      </c>
      <c r="C905" s="1" t="n">
        <v>45829</v>
      </c>
      <c r="D905" t="inlineStr">
        <is>
          <t>VÄSTERNORRLANDS LÄN</t>
        </is>
      </c>
      <c r="E905" t="inlineStr">
        <is>
          <t>SUNDSVALL</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49368-2021</t>
        </is>
      </c>
      <c r="B906" s="1" t="n">
        <v>44454</v>
      </c>
      <c r="C906" s="1" t="n">
        <v>45829</v>
      </c>
      <c r="D906" t="inlineStr">
        <is>
          <t>VÄSTERNORRLANDS LÄN</t>
        </is>
      </c>
      <c r="E906" t="inlineStr">
        <is>
          <t>SUNDSVALL</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49380-2021</t>
        </is>
      </c>
      <c r="B907" s="1" t="n">
        <v>44454</v>
      </c>
      <c r="C907" s="1" t="n">
        <v>45829</v>
      </c>
      <c r="D907" t="inlineStr">
        <is>
          <t>VÄSTERNORRLANDS LÄN</t>
        </is>
      </c>
      <c r="E907" t="inlineStr">
        <is>
          <t>SUNDSVALL</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50127-2021</t>
        </is>
      </c>
      <c r="B908" s="1" t="n">
        <v>44456</v>
      </c>
      <c r="C908" s="1" t="n">
        <v>45829</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50237-2021</t>
        </is>
      </c>
      <c r="B909" s="1" t="n">
        <v>44458</v>
      </c>
      <c r="C909" s="1" t="n">
        <v>45829</v>
      </c>
      <c r="D909" t="inlineStr">
        <is>
          <t>VÄSTERNORRLANDS LÄN</t>
        </is>
      </c>
      <c r="E909" t="inlineStr">
        <is>
          <t>SUNDSVALL</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50659-2021</t>
        </is>
      </c>
      <c r="B910" s="1" t="n">
        <v>44460</v>
      </c>
      <c r="C910" s="1" t="n">
        <v>45829</v>
      </c>
      <c r="D910" t="inlineStr">
        <is>
          <t>VÄSTERNORRLANDS LÄN</t>
        </is>
      </c>
      <c r="E910" t="inlineStr">
        <is>
          <t>SUNDSVALL</t>
        </is>
      </c>
      <c r="F910" t="inlineStr">
        <is>
          <t>Naturvårdsverket</t>
        </is>
      </c>
      <c r="G910" t="n">
        <v>3.6</v>
      </c>
      <c r="H910" t="n">
        <v>0</v>
      </c>
      <c r="I910" t="n">
        <v>0</v>
      </c>
      <c r="J910" t="n">
        <v>0</v>
      </c>
      <c r="K910" t="n">
        <v>0</v>
      </c>
      <c r="L910" t="n">
        <v>0</v>
      </c>
      <c r="M910" t="n">
        <v>0</v>
      </c>
      <c r="N910" t="n">
        <v>0</v>
      </c>
      <c r="O910" t="n">
        <v>0</v>
      </c>
      <c r="P910" t="n">
        <v>0</v>
      </c>
      <c r="Q910" t="n">
        <v>0</v>
      </c>
      <c r="R910" s="2" t="inlineStr"/>
    </row>
    <row r="911" ht="15" customHeight="1">
      <c r="A911" t="inlineStr">
        <is>
          <t>A 50921-2021</t>
        </is>
      </c>
      <c r="B911" s="1" t="n">
        <v>44460</v>
      </c>
      <c r="C911" s="1" t="n">
        <v>45829</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45829</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51681-2021</t>
        </is>
      </c>
      <c r="B913" s="1" t="n">
        <v>44461</v>
      </c>
      <c r="C913" s="1" t="n">
        <v>45829</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51599-2021</t>
        </is>
      </c>
      <c r="B914" s="1" t="n">
        <v>44461</v>
      </c>
      <c r="C914" s="1" t="n">
        <v>45829</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51621-2021</t>
        </is>
      </c>
      <c r="B915" s="1" t="n">
        <v>44462</v>
      </c>
      <c r="C915" s="1" t="n">
        <v>45829</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51687-2021</t>
        </is>
      </c>
      <c r="B916" s="1" t="n">
        <v>44462</v>
      </c>
      <c r="C916" s="1" t="n">
        <v>45829</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51768-2021</t>
        </is>
      </c>
      <c r="B917" s="1" t="n">
        <v>44462</v>
      </c>
      <c r="C917" s="1" t="n">
        <v>45829</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51910-2021</t>
        </is>
      </c>
      <c r="B918" s="1" t="n">
        <v>44463</v>
      </c>
      <c r="C918" s="1" t="n">
        <v>45829</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51948-2021</t>
        </is>
      </c>
      <c r="B919" s="1" t="n">
        <v>44463</v>
      </c>
      <c r="C919" s="1" t="n">
        <v>45829</v>
      </c>
      <c r="D919" t="inlineStr">
        <is>
          <t>VÄSTERNORRLANDS LÄN</t>
        </is>
      </c>
      <c r="E919" t="inlineStr">
        <is>
          <t>SUNDSVALL</t>
        </is>
      </c>
      <c r="F919" t="inlineStr">
        <is>
          <t>SCA</t>
        </is>
      </c>
      <c r="G919" t="n">
        <v>19.2</v>
      </c>
      <c r="H919" t="n">
        <v>0</v>
      </c>
      <c r="I919" t="n">
        <v>0</v>
      </c>
      <c r="J919" t="n">
        <v>0</v>
      </c>
      <c r="K919" t="n">
        <v>0</v>
      </c>
      <c r="L919" t="n">
        <v>0</v>
      </c>
      <c r="M919" t="n">
        <v>0</v>
      </c>
      <c r="N919" t="n">
        <v>0</v>
      </c>
      <c r="O919" t="n">
        <v>0</v>
      </c>
      <c r="P919" t="n">
        <v>0</v>
      </c>
      <c r="Q919" t="n">
        <v>0</v>
      </c>
      <c r="R919" s="2" t="inlineStr"/>
    </row>
    <row r="920" ht="15" customHeight="1">
      <c r="A920" t="inlineStr">
        <is>
          <t>A 52315-2021</t>
        </is>
      </c>
      <c r="B920" s="1" t="n">
        <v>44463</v>
      </c>
      <c r="C920" s="1" t="n">
        <v>45829</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52318-2021</t>
        </is>
      </c>
      <c r="B921" s="1" t="n">
        <v>44463</v>
      </c>
      <c r="C921" s="1" t="n">
        <v>45829</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52651-2021</t>
        </is>
      </c>
      <c r="B922" s="1" t="n">
        <v>44466</v>
      </c>
      <c r="C922" s="1" t="n">
        <v>45829</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52554-2021</t>
        </is>
      </c>
      <c r="B923" s="1" t="n">
        <v>44466</v>
      </c>
      <c r="C923" s="1" t="n">
        <v>45829</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54470-2021</t>
        </is>
      </c>
      <c r="B924" s="1" t="n">
        <v>44473</v>
      </c>
      <c r="C924" s="1" t="n">
        <v>45829</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54506-2021</t>
        </is>
      </c>
      <c r="B925" s="1" t="n">
        <v>44473</v>
      </c>
      <c r="C925" s="1" t="n">
        <v>45829</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54739-2021</t>
        </is>
      </c>
      <c r="B926" s="1" t="n">
        <v>44473</v>
      </c>
      <c r="C926" s="1" t="n">
        <v>45829</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55158-2021</t>
        </is>
      </c>
      <c r="B927" s="1" t="n">
        <v>44474</v>
      </c>
      <c r="C927" s="1" t="n">
        <v>45829</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55161-2021</t>
        </is>
      </c>
      <c r="B928" s="1" t="n">
        <v>44475</v>
      </c>
      <c r="C928" s="1" t="n">
        <v>45829</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55594-2021</t>
        </is>
      </c>
      <c r="B929" s="1" t="n">
        <v>44475</v>
      </c>
      <c r="C929" s="1" t="n">
        <v>45829</v>
      </c>
      <c r="D929" t="inlineStr">
        <is>
          <t>VÄSTERNORRLANDS LÄN</t>
        </is>
      </c>
      <c r="E929" t="inlineStr">
        <is>
          <t>SUNDSVALL</t>
        </is>
      </c>
      <c r="G929" t="n">
        <v>1.5</v>
      </c>
      <c r="H929" t="n">
        <v>0</v>
      </c>
      <c r="I929" t="n">
        <v>0</v>
      </c>
      <c r="J929" t="n">
        <v>0</v>
      </c>
      <c r="K929" t="n">
        <v>0</v>
      </c>
      <c r="L929" t="n">
        <v>0</v>
      </c>
      <c r="M929" t="n">
        <v>0</v>
      </c>
      <c r="N929" t="n">
        <v>0</v>
      </c>
      <c r="O929" t="n">
        <v>0</v>
      </c>
      <c r="P929" t="n">
        <v>0</v>
      </c>
      <c r="Q929" t="n">
        <v>0</v>
      </c>
      <c r="R929" s="2" t="inlineStr"/>
    </row>
    <row r="930" ht="15" customHeight="1">
      <c r="A930" t="inlineStr">
        <is>
          <t>A 55676-2021</t>
        </is>
      </c>
      <c r="B930" s="1" t="n">
        <v>44476</v>
      </c>
      <c r="C930" s="1" t="n">
        <v>45829</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56216-2021</t>
        </is>
      </c>
      <c r="B931" s="1" t="n">
        <v>44478</v>
      </c>
      <c r="C931" s="1" t="n">
        <v>45829</v>
      </c>
      <c r="D931" t="inlineStr">
        <is>
          <t>VÄSTERNORRLANDS LÄN</t>
        </is>
      </c>
      <c r="E931" t="inlineStr">
        <is>
          <t>SUNDSVALL</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56218-2021</t>
        </is>
      </c>
      <c r="B932" s="1" t="n">
        <v>44478</v>
      </c>
      <c r="C932" s="1" t="n">
        <v>45829</v>
      </c>
      <c r="D932" t="inlineStr">
        <is>
          <t>VÄSTERNORRLANDS LÄN</t>
        </is>
      </c>
      <c r="E932" t="inlineStr">
        <is>
          <t>SUNDSVALL</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56660-2021</t>
        </is>
      </c>
      <c r="B933" s="1" t="n">
        <v>44481</v>
      </c>
      <c r="C933" s="1" t="n">
        <v>45829</v>
      </c>
      <c r="D933" t="inlineStr">
        <is>
          <t>VÄSTERNORRLANDS LÄN</t>
        </is>
      </c>
      <c r="E933" t="inlineStr">
        <is>
          <t>SUNDSVALL</t>
        </is>
      </c>
      <c r="F933" t="inlineStr">
        <is>
          <t>Naturvårdsverket</t>
        </is>
      </c>
      <c r="G933" t="n">
        <v>6.9</v>
      </c>
      <c r="H933" t="n">
        <v>0</v>
      </c>
      <c r="I933" t="n">
        <v>0</v>
      </c>
      <c r="J933" t="n">
        <v>0</v>
      </c>
      <c r="K933" t="n">
        <v>0</v>
      </c>
      <c r="L933" t="n">
        <v>0</v>
      </c>
      <c r="M933" t="n">
        <v>0</v>
      </c>
      <c r="N933" t="n">
        <v>0</v>
      </c>
      <c r="O933" t="n">
        <v>0</v>
      </c>
      <c r="P933" t="n">
        <v>0</v>
      </c>
      <c r="Q933" t="n">
        <v>0</v>
      </c>
      <c r="R933" s="2" t="inlineStr"/>
    </row>
    <row r="934" ht="15" customHeight="1">
      <c r="A934" t="inlineStr">
        <is>
          <t>A 56894-2021</t>
        </is>
      </c>
      <c r="B934" s="1" t="n">
        <v>44481</v>
      </c>
      <c r="C934" s="1" t="n">
        <v>45829</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56755-2021</t>
        </is>
      </c>
      <c r="B935" s="1" t="n">
        <v>44481</v>
      </c>
      <c r="C935" s="1" t="n">
        <v>45829</v>
      </c>
      <c r="D935" t="inlineStr">
        <is>
          <t>VÄSTERNORRLANDS LÄN</t>
        </is>
      </c>
      <c r="E935" t="inlineStr">
        <is>
          <t>SUNDSVALL</t>
        </is>
      </c>
      <c r="F935" t="inlineStr">
        <is>
          <t>Kommuner</t>
        </is>
      </c>
      <c r="G935" t="n">
        <v>3.7</v>
      </c>
      <c r="H935" t="n">
        <v>0</v>
      </c>
      <c r="I935" t="n">
        <v>0</v>
      </c>
      <c r="J935" t="n">
        <v>0</v>
      </c>
      <c r="K935" t="n">
        <v>0</v>
      </c>
      <c r="L935" t="n">
        <v>0</v>
      </c>
      <c r="M935" t="n">
        <v>0</v>
      </c>
      <c r="N935" t="n">
        <v>0</v>
      </c>
      <c r="O935" t="n">
        <v>0</v>
      </c>
      <c r="P935" t="n">
        <v>0</v>
      </c>
      <c r="Q935" t="n">
        <v>0</v>
      </c>
      <c r="R935" s="2" t="inlineStr"/>
    </row>
    <row r="936" ht="15" customHeight="1">
      <c r="A936" t="inlineStr">
        <is>
          <t>A 56892-2021</t>
        </is>
      </c>
      <c r="B936" s="1" t="n">
        <v>44481</v>
      </c>
      <c r="C936" s="1" t="n">
        <v>45829</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57202-2021</t>
        </is>
      </c>
      <c r="B937" s="1" t="n">
        <v>44482</v>
      </c>
      <c r="C937" s="1" t="n">
        <v>45829</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57212-2021</t>
        </is>
      </c>
      <c r="B938" s="1" t="n">
        <v>44483</v>
      </c>
      <c r="C938" s="1" t="n">
        <v>45829</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57082-2021</t>
        </is>
      </c>
      <c r="B939" s="1" t="n">
        <v>44482</v>
      </c>
      <c r="C939" s="1" t="n">
        <v>45829</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57234-2021</t>
        </is>
      </c>
      <c r="B940" s="1" t="n">
        <v>44482</v>
      </c>
      <c r="C940" s="1" t="n">
        <v>45829</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57533-2021</t>
        </is>
      </c>
      <c r="B941" s="1" t="n">
        <v>44484</v>
      </c>
      <c r="C941" s="1" t="n">
        <v>45829</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57543-2021</t>
        </is>
      </c>
      <c r="B942" s="1" t="n">
        <v>44483</v>
      </c>
      <c r="C942" s="1" t="n">
        <v>45829</v>
      </c>
      <c r="D942" t="inlineStr">
        <is>
          <t>VÄSTERNORRLANDS LÄN</t>
        </is>
      </c>
      <c r="E942" t="inlineStr">
        <is>
          <t>SUNDSVALL</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58032-2021</t>
        </is>
      </c>
      <c r="B943" s="1" t="n">
        <v>44487</v>
      </c>
      <c r="C943" s="1" t="n">
        <v>45829</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58037-2021</t>
        </is>
      </c>
      <c r="B944" s="1" t="n">
        <v>44487</v>
      </c>
      <c r="C944" s="1" t="n">
        <v>45829</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58274-2021</t>
        </is>
      </c>
      <c r="B945" s="1" t="n">
        <v>44488</v>
      </c>
      <c r="C945" s="1" t="n">
        <v>45829</v>
      </c>
      <c r="D945" t="inlineStr">
        <is>
          <t>VÄSTERNORRLANDS LÄN</t>
        </is>
      </c>
      <c r="E945" t="inlineStr">
        <is>
          <t>SUNDSVALL</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59127-2021</t>
        </is>
      </c>
      <c r="B946" s="1" t="n">
        <v>44490</v>
      </c>
      <c r="C946" s="1" t="n">
        <v>45829</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59146-2021</t>
        </is>
      </c>
      <c r="B947" s="1" t="n">
        <v>44490</v>
      </c>
      <c r="C947" s="1" t="n">
        <v>45829</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59326-2021</t>
        </is>
      </c>
      <c r="B948" s="1" t="n">
        <v>44491</v>
      </c>
      <c r="C948" s="1" t="n">
        <v>45829</v>
      </c>
      <c r="D948" t="inlineStr">
        <is>
          <t>VÄSTERNORRLANDS LÄN</t>
        </is>
      </c>
      <c r="E948" t="inlineStr">
        <is>
          <t>SUNDSVALL</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59325-2021</t>
        </is>
      </c>
      <c r="B949" s="1" t="n">
        <v>44491</v>
      </c>
      <c r="C949" s="1" t="n">
        <v>45829</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59496-2021</t>
        </is>
      </c>
      <c r="B950" s="1" t="n">
        <v>44491</v>
      </c>
      <c r="C950" s="1" t="n">
        <v>45829</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59440-2021</t>
        </is>
      </c>
      <c r="B951" s="1" t="n">
        <v>44491</v>
      </c>
      <c r="C951" s="1" t="n">
        <v>45829</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59579-2021</t>
        </is>
      </c>
      <c r="B952" s="1" t="n">
        <v>44491</v>
      </c>
      <c r="C952" s="1" t="n">
        <v>45829</v>
      </c>
      <c r="D952" t="inlineStr">
        <is>
          <t>VÄSTERNORRLANDS LÄN</t>
        </is>
      </c>
      <c r="E952" t="inlineStr">
        <is>
          <t>SUNDSVALL</t>
        </is>
      </c>
      <c r="G952" t="n">
        <v>5.3</v>
      </c>
      <c r="H952" t="n">
        <v>0</v>
      </c>
      <c r="I952" t="n">
        <v>0</v>
      </c>
      <c r="J952" t="n">
        <v>0</v>
      </c>
      <c r="K952" t="n">
        <v>0</v>
      </c>
      <c r="L952" t="n">
        <v>0</v>
      </c>
      <c r="M952" t="n">
        <v>0</v>
      </c>
      <c r="N952" t="n">
        <v>0</v>
      </c>
      <c r="O952" t="n">
        <v>0</v>
      </c>
      <c r="P952" t="n">
        <v>0</v>
      </c>
      <c r="Q952" t="n">
        <v>0</v>
      </c>
      <c r="R952" s="2" t="inlineStr"/>
    </row>
    <row r="953" ht="15" customHeight="1">
      <c r="A953" t="inlineStr">
        <is>
          <t>A 59978-2021</t>
        </is>
      </c>
      <c r="B953" s="1" t="n">
        <v>44495</v>
      </c>
      <c r="C953" s="1" t="n">
        <v>45829</v>
      </c>
      <c r="D953" t="inlineStr">
        <is>
          <t>VÄSTERNORRLANDS LÄN</t>
        </is>
      </c>
      <c r="E953" t="inlineStr">
        <is>
          <t>SUNDSVALL</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59973-2021</t>
        </is>
      </c>
      <c r="B954" s="1" t="n">
        <v>44495</v>
      </c>
      <c r="C954" s="1" t="n">
        <v>45829</v>
      </c>
      <c r="D954" t="inlineStr">
        <is>
          <t>VÄSTERNORRLANDS LÄN</t>
        </is>
      </c>
      <c r="E954" t="inlineStr">
        <is>
          <t>SUNDSVALL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59975-2021</t>
        </is>
      </c>
      <c r="B955" s="1" t="n">
        <v>44495</v>
      </c>
      <c r="C955" s="1" t="n">
        <v>45829</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60891-2021</t>
        </is>
      </c>
      <c r="B956" s="1" t="n">
        <v>44497</v>
      </c>
      <c r="C956" s="1" t="n">
        <v>45829</v>
      </c>
      <c r="D956" t="inlineStr">
        <is>
          <t>VÄSTERNORRLANDS LÄN</t>
        </is>
      </c>
      <c r="E956" t="inlineStr">
        <is>
          <t>SUNDSVALL</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61300-2021</t>
        </is>
      </c>
      <c r="B957" s="1" t="n">
        <v>44497</v>
      </c>
      <c r="C957" s="1" t="n">
        <v>45829</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60911-2021</t>
        </is>
      </c>
      <c r="B958" s="1" t="n">
        <v>44497</v>
      </c>
      <c r="C958" s="1" t="n">
        <v>45829</v>
      </c>
      <c r="D958" t="inlineStr">
        <is>
          <t>VÄSTERNORRLANDS LÄN</t>
        </is>
      </c>
      <c r="E958" t="inlineStr">
        <is>
          <t>SUNDSVALL</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61407-2021</t>
        </is>
      </c>
      <c r="B959" s="1" t="n">
        <v>44500</v>
      </c>
      <c r="C959" s="1" t="n">
        <v>45829</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61409-2021</t>
        </is>
      </c>
      <c r="B960" s="1" t="n">
        <v>44500</v>
      </c>
      <c r="C960" s="1" t="n">
        <v>45829</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61562-2021</t>
        </is>
      </c>
      <c r="B961" s="1" t="n">
        <v>44501</v>
      </c>
      <c r="C961" s="1" t="n">
        <v>45829</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61851-2021</t>
        </is>
      </c>
      <c r="B962" s="1" t="n">
        <v>44501</v>
      </c>
      <c r="C962" s="1" t="n">
        <v>45829</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62077-2021</t>
        </is>
      </c>
      <c r="B963" s="1" t="n">
        <v>44502</v>
      </c>
      <c r="C963" s="1" t="n">
        <v>45829</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62080-2021</t>
        </is>
      </c>
      <c r="B964" s="1" t="n">
        <v>44502</v>
      </c>
      <c r="C964" s="1" t="n">
        <v>45829</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62073-2021</t>
        </is>
      </c>
      <c r="B965" s="1" t="n">
        <v>44502</v>
      </c>
      <c r="C965" s="1" t="n">
        <v>45829</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62083-2021</t>
        </is>
      </c>
      <c r="B966" s="1" t="n">
        <v>44502</v>
      </c>
      <c r="C966" s="1" t="n">
        <v>45829</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62184-2021</t>
        </is>
      </c>
      <c r="B967" s="1" t="n">
        <v>44502</v>
      </c>
      <c r="C967" s="1" t="n">
        <v>45829</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62662-2021</t>
        </is>
      </c>
      <c r="B968" s="1" t="n">
        <v>44503</v>
      </c>
      <c r="C968" s="1" t="n">
        <v>45829</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63464-2021</t>
        </is>
      </c>
      <c r="B969" s="1" t="n">
        <v>44504</v>
      </c>
      <c r="C969" s="1" t="n">
        <v>45829</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63163-2021</t>
        </is>
      </c>
      <c r="B970" s="1" t="n">
        <v>44505</v>
      </c>
      <c r="C970" s="1" t="n">
        <v>45829</v>
      </c>
      <c r="D970" t="inlineStr">
        <is>
          <t>VÄSTERNORRLANDS LÄN</t>
        </is>
      </c>
      <c r="E970" t="inlineStr">
        <is>
          <t>SUNDSVALL</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45829</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63655-2021</t>
        </is>
      </c>
      <c r="B972" s="1" t="n">
        <v>44508</v>
      </c>
      <c r="C972" s="1" t="n">
        <v>45829</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63665-2021</t>
        </is>
      </c>
      <c r="B973" s="1" t="n">
        <v>44508</v>
      </c>
      <c r="C973" s="1" t="n">
        <v>45829</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63661-2021</t>
        </is>
      </c>
      <c r="B974" s="1" t="n">
        <v>44508</v>
      </c>
      <c r="C974" s="1" t="n">
        <v>45829</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64367-2021</t>
        </is>
      </c>
      <c r="B975" s="1" t="n">
        <v>44511</v>
      </c>
      <c r="C975" s="1" t="n">
        <v>45829</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64478-2021</t>
        </is>
      </c>
      <c r="B976" s="1" t="n">
        <v>44511</v>
      </c>
      <c r="C976" s="1" t="n">
        <v>45829</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64641-2021</t>
        </is>
      </c>
      <c r="B977" s="1" t="n">
        <v>44511</v>
      </c>
      <c r="C977" s="1" t="n">
        <v>45829</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64649-2021</t>
        </is>
      </c>
      <c r="B978" s="1" t="n">
        <v>44511</v>
      </c>
      <c r="C978" s="1" t="n">
        <v>45829</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64917-2021</t>
        </is>
      </c>
      <c r="B979" s="1" t="n">
        <v>44512</v>
      </c>
      <c r="C979" s="1" t="n">
        <v>45829</v>
      </c>
      <c r="D979" t="inlineStr">
        <is>
          <t>VÄSTERNORRLANDS LÄN</t>
        </is>
      </c>
      <c r="E979" t="inlineStr">
        <is>
          <t>SUNDSVALL</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65743-2021</t>
        </is>
      </c>
      <c r="B980" s="1" t="n">
        <v>44516</v>
      </c>
      <c r="C980" s="1" t="n">
        <v>45829</v>
      </c>
      <c r="D980" t="inlineStr">
        <is>
          <t>VÄSTERNORRLANDS LÄN</t>
        </is>
      </c>
      <c r="E980" t="inlineStr">
        <is>
          <t>SUNDSVALL</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65696-2021</t>
        </is>
      </c>
      <c r="B981" s="1" t="n">
        <v>44516</v>
      </c>
      <c r="C981" s="1" t="n">
        <v>45829</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66027-2021</t>
        </is>
      </c>
      <c r="B982" s="1" t="n">
        <v>44517</v>
      </c>
      <c r="C982" s="1" t="n">
        <v>45829</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66191-2021</t>
        </is>
      </c>
      <c r="B983" s="1" t="n">
        <v>44517</v>
      </c>
      <c r="C983" s="1" t="n">
        <v>45829</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66160-2021</t>
        </is>
      </c>
      <c r="B984" s="1" t="n">
        <v>44517</v>
      </c>
      <c r="C984" s="1" t="n">
        <v>45829</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66872-2021</t>
        </is>
      </c>
      <c r="B985" s="1" t="n">
        <v>44522</v>
      </c>
      <c r="C985" s="1" t="n">
        <v>45829</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67075-2021</t>
        </is>
      </c>
      <c r="B986" s="1" t="n">
        <v>44522</v>
      </c>
      <c r="C986" s="1" t="n">
        <v>45829</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67095-2021</t>
        </is>
      </c>
      <c r="B987" s="1" t="n">
        <v>44522</v>
      </c>
      <c r="C987" s="1" t="n">
        <v>45829</v>
      </c>
      <c r="D987" t="inlineStr">
        <is>
          <t>VÄSTERNORRLANDS LÄN</t>
        </is>
      </c>
      <c r="E987" t="inlineStr">
        <is>
          <t>SUNDSVALL</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67098-2021</t>
        </is>
      </c>
      <c r="B988" s="1" t="n">
        <v>44522</v>
      </c>
      <c r="C988" s="1" t="n">
        <v>45829</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67123-2021</t>
        </is>
      </c>
      <c r="B989" s="1" t="n">
        <v>44522</v>
      </c>
      <c r="C989" s="1" t="n">
        <v>45829</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67277-2021</t>
        </is>
      </c>
      <c r="B990" s="1" t="n">
        <v>44523</v>
      </c>
      <c r="C990" s="1" t="n">
        <v>45829</v>
      </c>
      <c r="D990" t="inlineStr">
        <is>
          <t>VÄSTERNORRLANDS LÄN</t>
        </is>
      </c>
      <c r="E990" t="inlineStr">
        <is>
          <t>SUNDSVALL</t>
        </is>
      </c>
      <c r="G990" t="n">
        <v>4.9</v>
      </c>
      <c r="H990" t="n">
        <v>0</v>
      </c>
      <c r="I990" t="n">
        <v>0</v>
      </c>
      <c r="J990" t="n">
        <v>0</v>
      </c>
      <c r="K990" t="n">
        <v>0</v>
      </c>
      <c r="L990" t="n">
        <v>0</v>
      </c>
      <c r="M990" t="n">
        <v>0</v>
      </c>
      <c r="N990" t="n">
        <v>0</v>
      </c>
      <c r="O990" t="n">
        <v>0</v>
      </c>
      <c r="P990" t="n">
        <v>0</v>
      </c>
      <c r="Q990" t="n">
        <v>0</v>
      </c>
      <c r="R990" s="2" t="inlineStr"/>
    </row>
    <row r="991" ht="15" customHeight="1">
      <c r="A991" t="inlineStr">
        <is>
          <t>A 67388-2021</t>
        </is>
      </c>
      <c r="B991" s="1" t="n">
        <v>44523</v>
      </c>
      <c r="C991" s="1" t="n">
        <v>45829</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67474-2021</t>
        </is>
      </c>
      <c r="B992" s="1" t="n">
        <v>44524</v>
      </c>
      <c r="C992" s="1" t="n">
        <v>45829</v>
      </c>
      <c r="D992" t="inlineStr">
        <is>
          <t>VÄSTERNORRLANDS LÄN</t>
        </is>
      </c>
      <c r="E992" t="inlineStr">
        <is>
          <t>SUNDSVALL</t>
        </is>
      </c>
      <c r="G992" t="n">
        <v>8</v>
      </c>
      <c r="H992" t="n">
        <v>0</v>
      </c>
      <c r="I992" t="n">
        <v>0</v>
      </c>
      <c r="J992" t="n">
        <v>0</v>
      </c>
      <c r="K992" t="n">
        <v>0</v>
      </c>
      <c r="L992" t="n">
        <v>0</v>
      </c>
      <c r="M992" t="n">
        <v>0</v>
      </c>
      <c r="N992" t="n">
        <v>0</v>
      </c>
      <c r="O992" t="n">
        <v>0</v>
      </c>
      <c r="P992" t="n">
        <v>0</v>
      </c>
      <c r="Q992" t="n">
        <v>0</v>
      </c>
      <c r="R992" s="2" t="inlineStr"/>
    </row>
    <row r="993" ht="15" customHeight="1">
      <c r="A993" t="inlineStr">
        <is>
          <t>A 67562-2021</t>
        </is>
      </c>
      <c r="B993" s="1" t="n">
        <v>44524</v>
      </c>
      <c r="C993" s="1" t="n">
        <v>45829</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67698-2021</t>
        </is>
      </c>
      <c r="B994" s="1" t="n">
        <v>44524</v>
      </c>
      <c r="C994" s="1" t="n">
        <v>45829</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67706-2021</t>
        </is>
      </c>
      <c r="B995" s="1" t="n">
        <v>44524</v>
      </c>
      <c r="C995" s="1" t="n">
        <v>45829</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68055-2021</t>
        </is>
      </c>
      <c r="B996" s="1" t="n">
        <v>44525</v>
      </c>
      <c r="C996" s="1" t="n">
        <v>45829</v>
      </c>
      <c r="D996" t="inlineStr">
        <is>
          <t>VÄSTERNORRLANDS LÄN</t>
        </is>
      </c>
      <c r="E996" t="inlineStr">
        <is>
          <t>SUNDSVALL</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68880-2021</t>
        </is>
      </c>
      <c r="B997" s="1" t="n">
        <v>44529</v>
      </c>
      <c r="C997" s="1" t="n">
        <v>45829</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69260-2021</t>
        </is>
      </c>
      <c r="B998" s="1" t="n">
        <v>44530</v>
      </c>
      <c r="C998" s="1" t="n">
        <v>45829</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69210-2021</t>
        </is>
      </c>
      <c r="B999" s="1" t="n">
        <v>44531</v>
      </c>
      <c r="C999" s="1" t="n">
        <v>45829</v>
      </c>
      <c r="D999" t="inlineStr">
        <is>
          <t>VÄSTERNORRLANDS LÄN</t>
        </is>
      </c>
      <c r="E999" t="inlineStr">
        <is>
          <t>SUNDSVALL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70174-2021</t>
        </is>
      </c>
      <c r="B1000" s="1" t="n">
        <v>44533</v>
      </c>
      <c r="C1000" s="1" t="n">
        <v>45829</v>
      </c>
      <c r="D1000" t="inlineStr">
        <is>
          <t>VÄSTERNORRLANDS LÄN</t>
        </is>
      </c>
      <c r="E1000" t="inlineStr">
        <is>
          <t>SUNDSVALL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45829</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70171-2021</t>
        </is>
      </c>
      <c r="B1002" s="1" t="n">
        <v>44533</v>
      </c>
      <c r="C1002" s="1" t="n">
        <v>45829</v>
      </c>
      <c r="D1002" t="inlineStr">
        <is>
          <t>VÄSTERNORRLANDS LÄN</t>
        </is>
      </c>
      <c r="E1002" t="inlineStr">
        <is>
          <t>SUNDSVALL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70309-2021</t>
        </is>
      </c>
      <c r="B1003" s="1" t="n">
        <v>44533</v>
      </c>
      <c r="C1003" s="1" t="n">
        <v>45829</v>
      </c>
      <c r="D1003" t="inlineStr">
        <is>
          <t>VÄSTERNORRLANDS LÄN</t>
        </is>
      </c>
      <c r="E1003" t="inlineStr">
        <is>
          <t>SUNDSVALL</t>
        </is>
      </c>
      <c r="G1003" t="n">
        <v>18.8</v>
      </c>
      <c r="H1003" t="n">
        <v>0</v>
      </c>
      <c r="I1003" t="n">
        <v>0</v>
      </c>
      <c r="J1003" t="n">
        <v>0</v>
      </c>
      <c r="K1003" t="n">
        <v>0</v>
      </c>
      <c r="L1003" t="n">
        <v>0</v>
      </c>
      <c r="M1003" t="n">
        <v>0</v>
      </c>
      <c r="N1003" t="n">
        <v>0</v>
      </c>
      <c r="O1003" t="n">
        <v>0</v>
      </c>
      <c r="P1003" t="n">
        <v>0</v>
      </c>
      <c r="Q1003" t="n">
        <v>0</v>
      </c>
      <c r="R1003" s="2" t="inlineStr"/>
    </row>
    <row r="1004" ht="15" customHeight="1">
      <c r="A1004" t="inlineStr">
        <is>
          <t>A 70690-2021</t>
        </is>
      </c>
      <c r="B1004" s="1" t="n">
        <v>44537</v>
      </c>
      <c r="C1004" s="1" t="n">
        <v>45829</v>
      </c>
      <c r="D1004" t="inlineStr">
        <is>
          <t>VÄSTERNORRLANDS LÄN</t>
        </is>
      </c>
      <c r="E1004" t="inlineStr">
        <is>
          <t>SUNDSVALL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70879-2021</t>
        </is>
      </c>
      <c r="B1005" s="1" t="n">
        <v>44538</v>
      </c>
      <c r="C1005" s="1" t="n">
        <v>45829</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70873-2021</t>
        </is>
      </c>
      <c r="B1006" s="1" t="n">
        <v>44538</v>
      </c>
      <c r="C1006" s="1" t="n">
        <v>45829</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70901-2021</t>
        </is>
      </c>
      <c r="B1007" s="1" t="n">
        <v>44538</v>
      </c>
      <c r="C1007" s="1" t="n">
        <v>45829</v>
      </c>
      <c r="D1007" t="inlineStr">
        <is>
          <t>VÄSTERNORRLANDS LÄN</t>
        </is>
      </c>
      <c r="E1007" t="inlineStr">
        <is>
          <t>SUNDSVALL</t>
        </is>
      </c>
      <c r="F1007" t="inlineStr">
        <is>
          <t>Kommuner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71983-2021</t>
        </is>
      </c>
      <c r="B1008" s="1" t="n">
        <v>44540</v>
      </c>
      <c r="C1008" s="1" t="n">
        <v>45829</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72499-2021</t>
        </is>
      </c>
      <c r="B1009" s="1" t="n">
        <v>44545</v>
      </c>
      <c r="C1009" s="1" t="n">
        <v>45829</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72769-2021</t>
        </is>
      </c>
      <c r="B1010" s="1" t="n">
        <v>44546</v>
      </c>
      <c r="C1010" s="1" t="n">
        <v>45829</v>
      </c>
      <c r="D1010" t="inlineStr">
        <is>
          <t>VÄSTERNORRLANDS LÄN</t>
        </is>
      </c>
      <c r="E1010" t="inlineStr">
        <is>
          <t>SUNDSVALL</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73980-2021</t>
        </is>
      </c>
      <c r="B1011" s="1" t="n">
        <v>44554</v>
      </c>
      <c r="C1011" s="1" t="n">
        <v>45829</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73979-2021</t>
        </is>
      </c>
      <c r="B1012" s="1" t="n">
        <v>44554</v>
      </c>
      <c r="C1012" s="1" t="n">
        <v>45829</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74104-2021</t>
        </is>
      </c>
      <c r="B1013" s="1" t="n">
        <v>44557</v>
      </c>
      <c r="C1013" s="1" t="n">
        <v>45829</v>
      </c>
      <c r="D1013" t="inlineStr">
        <is>
          <t>VÄSTERNORRLANDS LÄN</t>
        </is>
      </c>
      <c r="E1013" t="inlineStr">
        <is>
          <t>SUNDSVALL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74383-2021</t>
        </is>
      </c>
      <c r="B1014" s="1" t="n">
        <v>44559</v>
      </c>
      <c r="C1014" s="1" t="n">
        <v>45829</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74384-2021</t>
        </is>
      </c>
      <c r="B1015" s="1" t="n">
        <v>44559</v>
      </c>
      <c r="C1015" s="1" t="n">
        <v>45829</v>
      </c>
      <c r="D1015" t="inlineStr">
        <is>
          <t>VÄSTERNORRLANDS LÄN</t>
        </is>
      </c>
      <c r="E1015" t="inlineStr">
        <is>
          <t>SUNDSVALL</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227-2022</t>
        </is>
      </c>
      <c r="B1016" s="1" t="n">
        <v>44564</v>
      </c>
      <c r="C1016" s="1" t="n">
        <v>45829</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223-2022</t>
        </is>
      </c>
      <c r="B1017" s="1" t="n">
        <v>44564</v>
      </c>
      <c r="C1017" s="1" t="n">
        <v>45829</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228-2022</t>
        </is>
      </c>
      <c r="B1018" s="1" t="n">
        <v>44564</v>
      </c>
      <c r="C1018" s="1" t="n">
        <v>45829</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1079-2022</t>
        </is>
      </c>
      <c r="B1019" s="1" t="n">
        <v>44571</v>
      </c>
      <c r="C1019" s="1" t="n">
        <v>45829</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1097-2022</t>
        </is>
      </c>
      <c r="B1020" s="1" t="n">
        <v>44571</v>
      </c>
      <c r="C1020" s="1" t="n">
        <v>45829</v>
      </c>
      <c r="D1020" t="inlineStr">
        <is>
          <t>VÄSTERNORRLANDS LÄN</t>
        </is>
      </c>
      <c r="E1020" t="inlineStr">
        <is>
          <t>SUNDSVALL</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1080-2022</t>
        </is>
      </c>
      <c r="B1021" s="1" t="n">
        <v>44571</v>
      </c>
      <c r="C1021" s="1" t="n">
        <v>45829</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1100-2022</t>
        </is>
      </c>
      <c r="B1022" s="1" t="n">
        <v>44571</v>
      </c>
      <c r="C1022" s="1" t="n">
        <v>45829</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1232-2022</t>
        </is>
      </c>
      <c r="B1023" s="1" t="n">
        <v>44572</v>
      </c>
      <c r="C1023" s="1" t="n">
        <v>45829</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1335-2022</t>
        </is>
      </c>
      <c r="B1024" s="1" t="n">
        <v>44572</v>
      </c>
      <c r="C1024" s="1" t="n">
        <v>45829</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1873-2022</t>
        </is>
      </c>
      <c r="B1025" s="1" t="n">
        <v>44574</v>
      </c>
      <c r="C1025" s="1" t="n">
        <v>45829</v>
      </c>
      <c r="D1025" t="inlineStr">
        <is>
          <t>VÄSTERNORRLANDS LÄN</t>
        </is>
      </c>
      <c r="E1025" t="inlineStr">
        <is>
          <t>SUNDSVALL</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2330-2022</t>
        </is>
      </c>
      <c r="B1026" s="1" t="n">
        <v>44578</v>
      </c>
      <c r="C1026" s="1" t="n">
        <v>45829</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2347-2022</t>
        </is>
      </c>
      <c r="B1027" s="1" t="n">
        <v>44578</v>
      </c>
      <c r="C1027" s="1" t="n">
        <v>45829</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2332-2022</t>
        </is>
      </c>
      <c r="B1028" s="1" t="n">
        <v>44578</v>
      </c>
      <c r="C1028" s="1" t="n">
        <v>45829</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v>
      </c>
      <c r="C1029" s="1" t="n">
        <v>45829</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3238-2022</t>
        </is>
      </c>
      <c r="B1030" s="1" t="n">
        <v>44582</v>
      </c>
      <c r="C1030" s="1" t="n">
        <v>45829</v>
      </c>
      <c r="D1030" t="inlineStr">
        <is>
          <t>VÄSTERNORRLANDS LÄN</t>
        </is>
      </c>
      <c r="E1030" t="inlineStr">
        <is>
          <t>SUNDSVALL</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3236-2022</t>
        </is>
      </c>
      <c r="B1031" s="1" t="n">
        <v>44582</v>
      </c>
      <c r="C1031" s="1" t="n">
        <v>45829</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3359-2022</t>
        </is>
      </c>
      <c r="B1032" s="1" t="n">
        <v>44585</v>
      </c>
      <c r="C1032" s="1" t="n">
        <v>45829</v>
      </c>
      <c r="D1032" t="inlineStr">
        <is>
          <t>VÄSTERNORRLANDS LÄN</t>
        </is>
      </c>
      <c r="E1032" t="inlineStr">
        <is>
          <t>SUNDSVALL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3545-2022</t>
        </is>
      </c>
      <c r="B1033" s="1" t="n">
        <v>44585</v>
      </c>
      <c r="C1033" s="1" t="n">
        <v>45829</v>
      </c>
      <c r="D1033" t="inlineStr">
        <is>
          <t>VÄSTERNORRLANDS LÄN</t>
        </is>
      </c>
      <c r="E1033" t="inlineStr">
        <is>
          <t>SUNDSVALL</t>
        </is>
      </c>
      <c r="F1033" t="inlineStr">
        <is>
          <t>SCA</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3546-2022</t>
        </is>
      </c>
      <c r="B1034" s="1" t="n">
        <v>44585</v>
      </c>
      <c r="C1034" s="1" t="n">
        <v>45829</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4332-2022</t>
        </is>
      </c>
      <c r="B1035" s="1" t="n">
        <v>44588</v>
      </c>
      <c r="C1035" s="1" t="n">
        <v>45829</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4519-2022</t>
        </is>
      </c>
      <c r="B1036" s="1" t="n">
        <v>44589</v>
      </c>
      <c r="C1036" s="1" t="n">
        <v>45829</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4871-2022</t>
        </is>
      </c>
      <c r="B1037" s="1" t="n">
        <v>44592</v>
      </c>
      <c r="C1037" s="1" t="n">
        <v>45829</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5119-2022</t>
        </is>
      </c>
      <c r="B1038" s="1" t="n">
        <v>44593</v>
      </c>
      <c r="C1038" s="1" t="n">
        <v>45829</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5123-2022</t>
        </is>
      </c>
      <c r="B1039" s="1" t="n">
        <v>44593</v>
      </c>
      <c r="C1039" s="1" t="n">
        <v>45829</v>
      </c>
      <c r="D1039" t="inlineStr">
        <is>
          <t>VÄSTERNORRLANDS LÄN</t>
        </is>
      </c>
      <c r="E1039" t="inlineStr">
        <is>
          <t>SUNDSVALL</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5362-2022</t>
        </is>
      </c>
      <c r="B1040" s="1" t="n">
        <v>44594</v>
      </c>
      <c r="C1040" s="1" t="n">
        <v>45829</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5332-2022</t>
        </is>
      </c>
      <c r="B1041" s="1" t="n">
        <v>44594</v>
      </c>
      <c r="C1041" s="1" t="n">
        <v>45829</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5650-2022</t>
        </is>
      </c>
      <c r="B1042" s="1" t="n">
        <v>44595</v>
      </c>
      <c r="C1042" s="1" t="n">
        <v>45829</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5654-2022</t>
        </is>
      </c>
      <c r="B1043" s="1" t="n">
        <v>44595</v>
      </c>
      <c r="C1043" s="1" t="n">
        <v>45829</v>
      </c>
      <c r="D1043" t="inlineStr">
        <is>
          <t>VÄSTERNORRLANDS LÄN</t>
        </is>
      </c>
      <c r="E1043" t="inlineStr">
        <is>
          <t>SUNDSVALL</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6239-2022</t>
        </is>
      </c>
      <c r="B1044" s="1" t="n">
        <v>44599</v>
      </c>
      <c r="C1044" s="1" t="n">
        <v>45829</v>
      </c>
      <c r="D1044" t="inlineStr">
        <is>
          <t>VÄSTERNORRLANDS LÄN</t>
        </is>
      </c>
      <c r="E1044" t="inlineStr">
        <is>
          <t>SUNDSVALL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6644-2022</t>
        </is>
      </c>
      <c r="B1045" s="1" t="n">
        <v>44601</v>
      </c>
      <c r="C1045" s="1" t="n">
        <v>45829</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6808-2022</t>
        </is>
      </c>
      <c r="B1046" s="1" t="n">
        <v>44602</v>
      </c>
      <c r="C1046" s="1" t="n">
        <v>45829</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7432-2022</t>
        </is>
      </c>
      <c r="B1047" s="1" t="n">
        <v>44606</v>
      </c>
      <c r="C1047" s="1" t="n">
        <v>45829</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7436-2022</t>
        </is>
      </c>
      <c r="B1048" s="1" t="n">
        <v>44606</v>
      </c>
      <c r="C1048" s="1" t="n">
        <v>45829</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7434-2022</t>
        </is>
      </c>
      <c r="B1049" s="1" t="n">
        <v>44606</v>
      </c>
      <c r="C1049" s="1" t="n">
        <v>45829</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7437-2022</t>
        </is>
      </c>
      <c r="B1050" s="1" t="n">
        <v>44606</v>
      </c>
      <c r="C1050" s="1" t="n">
        <v>45829</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7431-2022</t>
        </is>
      </c>
      <c r="B1051" s="1" t="n">
        <v>44606</v>
      </c>
      <c r="C1051" s="1" t="n">
        <v>45829</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7943-2022</t>
        </is>
      </c>
      <c r="B1052" s="1" t="n">
        <v>44608</v>
      </c>
      <c r="C1052" s="1" t="n">
        <v>45829</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45829</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8224-2022</t>
        </is>
      </c>
      <c r="B1054" s="1" t="n">
        <v>44609</v>
      </c>
      <c r="C1054" s="1" t="n">
        <v>45829</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8232-2022</t>
        </is>
      </c>
      <c r="B1055" s="1" t="n">
        <v>44609</v>
      </c>
      <c r="C1055" s="1" t="n">
        <v>45829</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8233-2022</t>
        </is>
      </c>
      <c r="B1056" s="1" t="n">
        <v>44609</v>
      </c>
      <c r="C1056" s="1" t="n">
        <v>45829</v>
      </c>
      <c r="D1056" t="inlineStr">
        <is>
          <t>VÄSTERNORRLANDS LÄN</t>
        </is>
      </c>
      <c r="E1056" t="inlineStr">
        <is>
          <t>SUNDSVALL</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9365-2022</t>
        </is>
      </c>
      <c r="B1057" s="1" t="n">
        <v>44616</v>
      </c>
      <c r="C1057" s="1" t="n">
        <v>45829</v>
      </c>
      <c r="D1057" t="inlineStr">
        <is>
          <t>VÄSTERNORRLANDS LÄN</t>
        </is>
      </c>
      <c r="E1057" t="inlineStr">
        <is>
          <t>SUNDSVALL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9400-2022</t>
        </is>
      </c>
      <c r="B1058" s="1" t="n">
        <v>44616</v>
      </c>
      <c r="C1058" s="1" t="n">
        <v>45829</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45829</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9385-2022</t>
        </is>
      </c>
      <c r="B1060" s="1" t="n">
        <v>44616</v>
      </c>
      <c r="C1060" s="1" t="n">
        <v>45829</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10528-2022</t>
        </is>
      </c>
      <c r="B1061" s="1" t="n">
        <v>44623</v>
      </c>
      <c r="C1061" s="1" t="n">
        <v>45829</v>
      </c>
      <c r="D1061" t="inlineStr">
        <is>
          <t>VÄSTERNORRLANDS LÄN</t>
        </is>
      </c>
      <c r="E1061" t="inlineStr">
        <is>
          <t>SUNDSVALL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10890-2022</t>
        </is>
      </c>
      <c r="B1062" s="1" t="n">
        <v>44627</v>
      </c>
      <c r="C1062" s="1" t="n">
        <v>45829</v>
      </c>
      <c r="D1062" t="inlineStr">
        <is>
          <t>VÄSTERNORRLANDS LÄN</t>
        </is>
      </c>
      <c r="E1062" t="inlineStr">
        <is>
          <t>SUNDSVALL</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10984-2022</t>
        </is>
      </c>
      <c r="B1063" s="1" t="n">
        <v>44628</v>
      </c>
      <c r="C1063" s="1" t="n">
        <v>45829</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10994-2022</t>
        </is>
      </c>
      <c r="B1064" s="1" t="n">
        <v>44628</v>
      </c>
      <c r="C1064" s="1" t="n">
        <v>45829</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10986-2022</t>
        </is>
      </c>
      <c r="B1065" s="1" t="n">
        <v>44628</v>
      </c>
      <c r="C1065" s="1" t="n">
        <v>45829</v>
      </c>
      <c r="D1065" t="inlineStr">
        <is>
          <t>VÄSTERNORRLANDS LÄN</t>
        </is>
      </c>
      <c r="E1065" t="inlineStr">
        <is>
          <t>SUNDSVALL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10988-2022</t>
        </is>
      </c>
      <c r="B1066" s="1" t="n">
        <v>44628</v>
      </c>
      <c r="C1066" s="1" t="n">
        <v>45829</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10993-2022</t>
        </is>
      </c>
      <c r="B1067" s="1" t="n">
        <v>44628</v>
      </c>
      <c r="C1067" s="1" t="n">
        <v>45829</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11352-2022</t>
        </is>
      </c>
      <c r="B1068" s="1" t="n">
        <v>44630</v>
      </c>
      <c r="C1068" s="1" t="n">
        <v>45829</v>
      </c>
      <c r="D1068" t="inlineStr">
        <is>
          <t>VÄSTERNORRLANDS LÄN</t>
        </is>
      </c>
      <c r="E1068" t="inlineStr">
        <is>
          <t>SUNDSVALL</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11610-2022</t>
        </is>
      </c>
      <c r="B1069" s="1" t="n">
        <v>44631</v>
      </c>
      <c r="C1069" s="1" t="n">
        <v>45829</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11813-2022</t>
        </is>
      </c>
      <c r="B1070" s="1" t="n">
        <v>44634</v>
      </c>
      <c r="C1070" s="1" t="n">
        <v>45829</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11862-2022</t>
        </is>
      </c>
      <c r="B1071" s="1" t="n">
        <v>44635</v>
      </c>
      <c r="C1071" s="1" t="n">
        <v>45829</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11865-2022</t>
        </is>
      </c>
      <c r="B1072" s="1" t="n">
        <v>44635</v>
      </c>
      <c r="C1072" s="1" t="n">
        <v>45829</v>
      </c>
      <c r="D1072" t="inlineStr">
        <is>
          <t>VÄSTERNORRLANDS LÄN</t>
        </is>
      </c>
      <c r="E1072" t="inlineStr">
        <is>
          <t>SUNDSVALL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12015-2022</t>
        </is>
      </c>
      <c r="B1073" s="1" t="n">
        <v>44635</v>
      </c>
      <c r="C1073" s="1" t="n">
        <v>45829</v>
      </c>
      <c r="D1073" t="inlineStr">
        <is>
          <t>VÄSTERNORRLANDS LÄN</t>
        </is>
      </c>
      <c r="E1073" t="inlineStr">
        <is>
          <t>SUNDSVALL</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12177-2022</t>
        </is>
      </c>
      <c r="B1074" s="1" t="n">
        <v>44636</v>
      </c>
      <c r="C1074" s="1" t="n">
        <v>45829</v>
      </c>
      <c r="D1074" t="inlineStr">
        <is>
          <t>VÄSTERNORRLANDS LÄN</t>
        </is>
      </c>
      <c r="E1074" t="inlineStr">
        <is>
          <t>SUNDSVALL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12208-2022</t>
        </is>
      </c>
      <c r="B1075" s="1" t="n">
        <v>44636</v>
      </c>
      <c r="C1075" s="1" t="n">
        <v>45829</v>
      </c>
      <c r="D1075" t="inlineStr">
        <is>
          <t>VÄSTERNORRLANDS LÄN</t>
        </is>
      </c>
      <c r="E1075" t="inlineStr">
        <is>
          <t>SUNDSVALL</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12496-2022</t>
        </is>
      </c>
      <c r="B1076" s="1" t="n">
        <v>44638</v>
      </c>
      <c r="C1076" s="1" t="n">
        <v>45829</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12494-2022</t>
        </is>
      </c>
      <c r="B1077" s="1" t="n">
        <v>44638</v>
      </c>
      <c r="C1077" s="1" t="n">
        <v>45829</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12751-2022</t>
        </is>
      </c>
      <c r="B1078" s="1" t="n">
        <v>44641</v>
      </c>
      <c r="C1078" s="1" t="n">
        <v>45829</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13291-2022</t>
        </is>
      </c>
      <c r="B1079" s="1" t="n">
        <v>44644</v>
      </c>
      <c r="C1079" s="1" t="n">
        <v>45829</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13260-2022</t>
        </is>
      </c>
      <c r="B1080" s="1" t="n">
        <v>44644</v>
      </c>
      <c r="C1080" s="1" t="n">
        <v>45829</v>
      </c>
      <c r="D1080" t="inlineStr">
        <is>
          <t>VÄSTERNORRLANDS LÄN</t>
        </is>
      </c>
      <c r="E1080" t="inlineStr">
        <is>
          <t>SUNDSVALL</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13293-2022</t>
        </is>
      </c>
      <c r="B1081" s="1" t="n">
        <v>44644</v>
      </c>
      <c r="C1081" s="1" t="n">
        <v>45829</v>
      </c>
      <c r="D1081" t="inlineStr">
        <is>
          <t>VÄSTERNORRLANDS LÄN</t>
        </is>
      </c>
      <c r="E1081" t="inlineStr">
        <is>
          <t>SUNDSVALL</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13461-2022</t>
        </is>
      </c>
      <c r="B1082" s="1" t="n">
        <v>44645</v>
      </c>
      <c r="C1082" s="1" t="n">
        <v>45829</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14040-2022</t>
        </is>
      </c>
      <c r="B1083" s="1" t="n">
        <v>44651</v>
      </c>
      <c r="C1083" s="1" t="n">
        <v>45829</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14233-2022</t>
        </is>
      </c>
      <c r="B1084" s="1" t="n">
        <v>44651</v>
      </c>
      <c r="C1084" s="1" t="n">
        <v>45829</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14462-2022</t>
        </is>
      </c>
      <c r="B1085" s="1" t="n">
        <v>44654</v>
      </c>
      <c r="C1085" s="1" t="n">
        <v>45829</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14468-2022</t>
        </is>
      </c>
      <c r="B1086" s="1" t="n">
        <v>44654</v>
      </c>
      <c r="C1086" s="1" t="n">
        <v>45829</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14464-2022</t>
        </is>
      </c>
      <c r="B1087" s="1" t="n">
        <v>44654</v>
      </c>
      <c r="C1087" s="1" t="n">
        <v>45829</v>
      </c>
      <c r="D1087" t="inlineStr">
        <is>
          <t>VÄSTERNORRLANDS LÄN</t>
        </is>
      </c>
      <c r="E1087" t="inlineStr">
        <is>
          <t>SUNDSVALL</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14466-2022</t>
        </is>
      </c>
      <c r="B1088" s="1" t="n">
        <v>44654</v>
      </c>
      <c r="C1088" s="1" t="n">
        <v>45829</v>
      </c>
      <c r="D1088" t="inlineStr">
        <is>
          <t>VÄSTERNORRLANDS LÄN</t>
        </is>
      </c>
      <c r="E1088" t="inlineStr">
        <is>
          <t>SUNDSVALL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15089-2022</t>
        </is>
      </c>
      <c r="B1089" s="1" t="n">
        <v>44657</v>
      </c>
      <c r="C1089" s="1" t="n">
        <v>45829</v>
      </c>
      <c r="D1089" t="inlineStr">
        <is>
          <t>VÄSTERNORRLANDS LÄN</t>
        </is>
      </c>
      <c r="E1089" t="inlineStr">
        <is>
          <t>SUNDSVALL</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15598-2022</t>
        </is>
      </c>
      <c r="B1090" s="1" t="n">
        <v>44662</v>
      </c>
      <c r="C1090" s="1" t="n">
        <v>45829</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15599-2022</t>
        </is>
      </c>
      <c r="B1091" s="1" t="n">
        <v>44662</v>
      </c>
      <c r="C1091" s="1" t="n">
        <v>45829</v>
      </c>
      <c r="D1091" t="inlineStr">
        <is>
          <t>VÄSTERNORRLANDS LÄN</t>
        </is>
      </c>
      <c r="E1091" t="inlineStr">
        <is>
          <t>SUNDSVALL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15698-2022</t>
        </is>
      </c>
      <c r="B1092" s="1" t="n">
        <v>44663</v>
      </c>
      <c r="C1092" s="1" t="n">
        <v>45829</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15724-2022</t>
        </is>
      </c>
      <c r="B1093" s="1" t="n">
        <v>44663</v>
      </c>
      <c r="C1093" s="1" t="n">
        <v>45829</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15802-2022</t>
        </is>
      </c>
      <c r="B1094" s="1" t="n">
        <v>44664</v>
      </c>
      <c r="C1094" s="1" t="n">
        <v>45829</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15726-2022</t>
        </is>
      </c>
      <c r="B1095" s="1" t="n">
        <v>44663</v>
      </c>
      <c r="C1095" s="1" t="n">
        <v>45829</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15733-2022</t>
        </is>
      </c>
      <c r="B1096" s="1" t="n">
        <v>44663</v>
      </c>
      <c r="C1096" s="1" t="n">
        <v>45829</v>
      </c>
      <c r="D1096" t="inlineStr">
        <is>
          <t>VÄSTERNORRLANDS LÄN</t>
        </is>
      </c>
      <c r="E1096" t="inlineStr">
        <is>
          <t>SUNDSVALL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15687-2022</t>
        </is>
      </c>
      <c r="B1097" s="1" t="n">
        <v>44663</v>
      </c>
      <c r="C1097" s="1" t="n">
        <v>45829</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15712-2022</t>
        </is>
      </c>
      <c r="B1098" s="1" t="n">
        <v>44663</v>
      </c>
      <c r="C1098" s="1" t="n">
        <v>45829</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16147-2022</t>
        </is>
      </c>
      <c r="B1099" s="1" t="n">
        <v>44665</v>
      </c>
      <c r="C1099" s="1" t="n">
        <v>45829</v>
      </c>
      <c r="D1099" t="inlineStr">
        <is>
          <t>VÄSTERNORRLANDS LÄN</t>
        </is>
      </c>
      <c r="E1099" t="inlineStr">
        <is>
          <t>SUNDSVALL</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17039-2022</t>
        </is>
      </c>
      <c r="B1100" s="1" t="n">
        <v>44677</v>
      </c>
      <c r="C1100" s="1" t="n">
        <v>45829</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17059-2022</t>
        </is>
      </c>
      <c r="B1101" s="1" t="n">
        <v>44676</v>
      </c>
      <c r="C1101" s="1" t="n">
        <v>45829</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17060-2022</t>
        </is>
      </c>
      <c r="B1102" s="1" t="n">
        <v>44677</v>
      </c>
      <c r="C1102" s="1" t="n">
        <v>45829</v>
      </c>
      <c r="D1102" t="inlineStr">
        <is>
          <t>VÄSTERNORRLANDS LÄN</t>
        </is>
      </c>
      <c r="E1102" t="inlineStr">
        <is>
          <t>SUNDSVALL</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45829</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17579-2022</t>
        </is>
      </c>
      <c r="B1104" s="1" t="n">
        <v>44679</v>
      </c>
      <c r="C1104" s="1" t="n">
        <v>45829</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17586-2022</t>
        </is>
      </c>
      <c r="B1105" s="1" t="n">
        <v>44680</v>
      </c>
      <c r="C1105" s="1" t="n">
        <v>45829</v>
      </c>
      <c r="D1105" t="inlineStr">
        <is>
          <t>VÄSTERNORRLANDS LÄN</t>
        </is>
      </c>
      <c r="E1105" t="inlineStr">
        <is>
          <t>SUNDSVALL</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17585-2022</t>
        </is>
      </c>
      <c r="B1106" s="1" t="n">
        <v>44679</v>
      </c>
      <c r="C1106" s="1" t="n">
        <v>45829</v>
      </c>
      <c r="D1106" t="inlineStr">
        <is>
          <t>VÄSTERNORRLANDS LÄN</t>
        </is>
      </c>
      <c r="E1106" t="inlineStr">
        <is>
          <t>SUNDSVALL</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17993-2022</t>
        </is>
      </c>
      <c r="B1107" s="1" t="n">
        <v>44683</v>
      </c>
      <c r="C1107" s="1" t="n">
        <v>45829</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18207-2022</t>
        </is>
      </c>
      <c r="B1108" s="1" t="n">
        <v>44684</v>
      </c>
      <c r="C1108" s="1" t="n">
        <v>45829</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18452-2022</t>
        </is>
      </c>
      <c r="B1109" s="1" t="n">
        <v>44686</v>
      </c>
      <c r="C1109" s="1" t="n">
        <v>45829</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18455-2022</t>
        </is>
      </c>
      <c r="B1110" s="1" t="n">
        <v>44686</v>
      </c>
      <c r="C1110" s="1" t="n">
        <v>45829</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18838-2022</t>
        </is>
      </c>
      <c r="B1111" s="1" t="n">
        <v>44690</v>
      </c>
      <c r="C1111" s="1" t="n">
        <v>45829</v>
      </c>
      <c r="D1111" t="inlineStr">
        <is>
          <t>VÄSTERNORRLANDS LÄN</t>
        </is>
      </c>
      <c r="E1111" t="inlineStr">
        <is>
          <t>SUNDSVALL</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18986-2022</t>
        </is>
      </c>
      <c r="B1112" s="1" t="n">
        <v>44691</v>
      </c>
      <c r="C1112" s="1" t="n">
        <v>45829</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18987-2022</t>
        </is>
      </c>
      <c r="B1113" s="1" t="n">
        <v>44691</v>
      </c>
      <c r="C1113" s="1" t="n">
        <v>45829</v>
      </c>
      <c r="D1113" t="inlineStr">
        <is>
          <t>VÄSTERNORRLANDS LÄN</t>
        </is>
      </c>
      <c r="E1113" t="inlineStr">
        <is>
          <t>SUNDSVALL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19178-2022</t>
        </is>
      </c>
      <c r="B1114" s="1" t="n">
        <v>44691</v>
      </c>
      <c r="C1114" s="1" t="n">
        <v>45829</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19176-2022</t>
        </is>
      </c>
      <c r="B1115" s="1" t="n">
        <v>44691</v>
      </c>
      <c r="C1115" s="1" t="n">
        <v>45829</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19388-2022</t>
        </is>
      </c>
      <c r="B1116" s="1" t="n">
        <v>44693</v>
      </c>
      <c r="C1116" s="1" t="n">
        <v>45829</v>
      </c>
      <c r="D1116" t="inlineStr">
        <is>
          <t>VÄSTERNORRLANDS LÄN</t>
        </is>
      </c>
      <c r="E1116" t="inlineStr">
        <is>
          <t>SUNDSVALL</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19385-2022</t>
        </is>
      </c>
      <c r="B1117" s="1" t="n">
        <v>44693</v>
      </c>
      <c r="C1117" s="1" t="n">
        <v>45829</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19468-2022</t>
        </is>
      </c>
      <c r="B1118" s="1" t="n">
        <v>44693</v>
      </c>
      <c r="C1118" s="1" t="n">
        <v>45829</v>
      </c>
      <c r="D1118" t="inlineStr">
        <is>
          <t>VÄSTERNORRLANDS LÄN</t>
        </is>
      </c>
      <c r="E1118" t="inlineStr">
        <is>
          <t>SUNDSVALL</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20086-2022</t>
        </is>
      </c>
      <c r="B1119" s="1" t="n">
        <v>44697</v>
      </c>
      <c r="C1119" s="1" t="n">
        <v>45829</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20509-2022</t>
        </is>
      </c>
      <c r="B1120" s="1" t="n">
        <v>44700</v>
      </c>
      <c r="C1120" s="1" t="n">
        <v>45829</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20516-2022</t>
        </is>
      </c>
      <c r="B1121" s="1" t="n">
        <v>44700</v>
      </c>
      <c r="C1121" s="1" t="n">
        <v>45829</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20522-2022</t>
        </is>
      </c>
      <c r="B1122" s="1" t="n">
        <v>44699</v>
      </c>
      <c r="C1122" s="1" t="n">
        <v>45829</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20510-2022</t>
        </is>
      </c>
      <c r="B1123" s="1" t="n">
        <v>44700</v>
      </c>
      <c r="C1123" s="1" t="n">
        <v>45829</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20517-2022</t>
        </is>
      </c>
      <c r="B1124" s="1" t="n">
        <v>44700</v>
      </c>
      <c r="C1124" s="1" t="n">
        <v>45829</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20655-2022</t>
        </is>
      </c>
      <c r="B1125" s="1" t="n">
        <v>44700</v>
      </c>
      <c r="C1125" s="1" t="n">
        <v>45829</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20715-2022</t>
        </is>
      </c>
      <c r="B1126" s="1" t="n">
        <v>44701</v>
      </c>
      <c r="C1126" s="1" t="n">
        <v>45829</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20714-2022</t>
        </is>
      </c>
      <c r="B1127" s="1" t="n">
        <v>44700</v>
      </c>
      <c r="C1127" s="1" t="n">
        <v>45829</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20732-2022</t>
        </is>
      </c>
      <c r="B1128" s="1" t="n">
        <v>44701</v>
      </c>
      <c r="C1128" s="1" t="n">
        <v>45829</v>
      </c>
      <c r="D1128" t="inlineStr">
        <is>
          <t>VÄSTERNORRLANDS LÄN</t>
        </is>
      </c>
      <c r="E1128" t="inlineStr">
        <is>
          <t>SUNDSVALL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20734-2022</t>
        </is>
      </c>
      <c r="B1129" s="1" t="n">
        <v>44701</v>
      </c>
      <c r="C1129" s="1" t="n">
        <v>45829</v>
      </c>
      <c r="D1129" t="inlineStr">
        <is>
          <t>VÄSTERNORRLANDS LÄN</t>
        </is>
      </c>
      <c r="E1129" t="inlineStr">
        <is>
          <t>SUNDSVALL</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20731-2022</t>
        </is>
      </c>
      <c r="B1130" s="1" t="n">
        <v>44700</v>
      </c>
      <c r="C1130" s="1" t="n">
        <v>45829</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20733-2022</t>
        </is>
      </c>
      <c r="B1131" s="1" t="n">
        <v>44700</v>
      </c>
      <c r="C1131" s="1" t="n">
        <v>45829</v>
      </c>
      <c r="D1131" t="inlineStr">
        <is>
          <t>VÄSTERNORRLANDS LÄN</t>
        </is>
      </c>
      <c r="E1131" t="inlineStr">
        <is>
          <t>SUNDSVALL</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44702</v>
      </c>
      <c r="C1132" s="1" t="n">
        <v>45829</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20947-2022</t>
        </is>
      </c>
      <c r="B1133" s="1" t="n">
        <v>44702</v>
      </c>
      <c r="C1133" s="1" t="n">
        <v>45829</v>
      </c>
      <c r="D1133" t="inlineStr">
        <is>
          <t>VÄSTERNORRLANDS LÄN</t>
        </is>
      </c>
      <c r="E1133" t="inlineStr">
        <is>
          <t>SUNDSVALL</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21182-2022</t>
        </is>
      </c>
      <c r="B1134" s="1" t="n">
        <v>44704</v>
      </c>
      <c r="C1134" s="1" t="n">
        <v>45829</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21183-2022</t>
        </is>
      </c>
      <c r="B1135" s="1" t="n">
        <v>44704</v>
      </c>
      <c r="C1135" s="1" t="n">
        <v>45829</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21396-2022</t>
        </is>
      </c>
      <c r="B1136" s="1" t="n">
        <v>44705</v>
      </c>
      <c r="C1136" s="1" t="n">
        <v>45829</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21389-2022</t>
        </is>
      </c>
      <c r="B1137" s="1" t="n">
        <v>44705</v>
      </c>
      <c r="C1137" s="1" t="n">
        <v>45829</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22249-2022</t>
        </is>
      </c>
      <c r="B1138" s="1" t="n">
        <v>44712</v>
      </c>
      <c r="C1138" s="1" t="n">
        <v>45829</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22486-2022</t>
        </is>
      </c>
      <c r="B1139" s="1" t="n">
        <v>44713</v>
      </c>
      <c r="C1139" s="1" t="n">
        <v>45829</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22563-2022</t>
        </is>
      </c>
      <c r="B1140" s="1" t="n">
        <v>44714</v>
      </c>
      <c r="C1140" s="1" t="n">
        <v>45829</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22729-2022</t>
        </is>
      </c>
      <c r="B1141" s="1" t="n">
        <v>44714</v>
      </c>
      <c r="C1141" s="1" t="n">
        <v>45829</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22767-2022</t>
        </is>
      </c>
      <c r="B1142" s="1" t="n">
        <v>44715</v>
      </c>
      <c r="C1142" s="1" t="n">
        <v>45829</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22890-2022</t>
        </is>
      </c>
      <c r="B1143" s="1" t="n">
        <v>44715</v>
      </c>
      <c r="C1143" s="1" t="n">
        <v>45829</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23025-2022</t>
        </is>
      </c>
      <c r="B1144" s="1" t="n">
        <v>44719</v>
      </c>
      <c r="C1144" s="1" t="n">
        <v>45829</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23054-2022</t>
        </is>
      </c>
      <c r="B1145" s="1" t="n">
        <v>44719</v>
      </c>
      <c r="C1145" s="1" t="n">
        <v>45829</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23081-2022</t>
        </is>
      </c>
      <c r="B1146" s="1" t="n">
        <v>44719</v>
      </c>
      <c r="C1146" s="1" t="n">
        <v>45829</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23298-2022</t>
        </is>
      </c>
      <c r="B1147" s="1" t="n">
        <v>44720</v>
      </c>
      <c r="C1147" s="1" t="n">
        <v>45829</v>
      </c>
      <c r="D1147" t="inlineStr">
        <is>
          <t>VÄSTERNORRLANDS LÄN</t>
        </is>
      </c>
      <c r="E1147" t="inlineStr">
        <is>
          <t>SUNDSVALL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23300-2022</t>
        </is>
      </c>
      <c r="B1148" s="1" t="n">
        <v>44720</v>
      </c>
      <c r="C1148" s="1" t="n">
        <v>45829</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23422-2022</t>
        </is>
      </c>
      <c r="B1149" s="1" t="n">
        <v>44720</v>
      </c>
      <c r="C1149" s="1" t="n">
        <v>45829</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23432-2022</t>
        </is>
      </c>
      <c r="B1150" s="1" t="n">
        <v>44720</v>
      </c>
      <c r="C1150" s="1" t="n">
        <v>45829</v>
      </c>
      <c r="D1150" t="inlineStr">
        <is>
          <t>VÄSTERNORRLANDS LÄN</t>
        </is>
      </c>
      <c r="E1150" t="inlineStr">
        <is>
          <t>SUNDSVALL</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23423-2022</t>
        </is>
      </c>
      <c r="B1151" s="1" t="n">
        <v>44720</v>
      </c>
      <c r="C1151" s="1" t="n">
        <v>45829</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23556-2022</t>
        </is>
      </c>
      <c r="B1152" s="1" t="n">
        <v>44721</v>
      </c>
      <c r="C1152" s="1" t="n">
        <v>45829</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23669-2022</t>
        </is>
      </c>
      <c r="B1153" s="1" t="n">
        <v>44721</v>
      </c>
      <c r="C1153" s="1" t="n">
        <v>45829</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23677-2022</t>
        </is>
      </c>
      <c r="B1154" s="1" t="n">
        <v>44722</v>
      </c>
      <c r="C1154" s="1" t="n">
        <v>45829</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23841-2022</t>
        </is>
      </c>
      <c r="B1155" s="1" t="n">
        <v>44722</v>
      </c>
      <c r="C1155" s="1" t="n">
        <v>45829</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23840-2022</t>
        </is>
      </c>
      <c r="B1156" s="1" t="n">
        <v>44722</v>
      </c>
      <c r="C1156" s="1" t="n">
        <v>45829</v>
      </c>
      <c r="D1156" t="inlineStr">
        <is>
          <t>VÄSTERNORRLANDS LÄN</t>
        </is>
      </c>
      <c r="E1156" t="inlineStr">
        <is>
          <t>SUNDSVALL</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23890-2022</t>
        </is>
      </c>
      <c r="B1157" s="1" t="n">
        <v>44722</v>
      </c>
      <c r="C1157" s="1" t="n">
        <v>45829</v>
      </c>
      <c r="D1157" t="inlineStr">
        <is>
          <t>VÄSTERNORRLANDS LÄN</t>
        </is>
      </c>
      <c r="E1157" t="inlineStr">
        <is>
          <t>SUNDSVALL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23990-2022</t>
        </is>
      </c>
      <c r="B1158" s="1" t="n">
        <v>44722</v>
      </c>
      <c r="C1158" s="1" t="n">
        <v>45829</v>
      </c>
      <c r="D1158" t="inlineStr">
        <is>
          <t>VÄSTERNORRLANDS LÄN</t>
        </is>
      </c>
      <c r="E1158" t="inlineStr">
        <is>
          <t>SUNDSVALL</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23998-2022</t>
        </is>
      </c>
      <c r="B1159" s="1" t="n">
        <v>44722</v>
      </c>
      <c r="C1159" s="1" t="n">
        <v>45829</v>
      </c>
      <c r="D1159" t="inlineStr">
        <is>
          <t>VÄSTERNORRLANDS LÄN</t>
        </is>
      </c>
      <c r="E1159" t="inlineStr">
        <is>
          <t>SUNDSVALL</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24089-2022</t>
        </is>
      </c>
      <c r="B1160" s="1" t="n">
        <v>44725</v>
      </c>
      <c r="C1160" s="1" t="n">
        <v>45829</v>
      </c>
      <c r="D1160" t="inlineStr">
        <is>
          <t>VÄSTERNORRLANDS LÄN</t>
        </is>
      </c>
      <c r="E1160" t="inlineStr">
        <is>
          <t>SUNDSVALL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24313-2022</t>
        </is>
      </c>
      <c r="B1161" s="1" t="n">
        <v>44726</v>
      </c>
      <c r="C1161" s="1" t="n">
        <v>45829</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24518-2022</t>
        </is>
      </c>
      <c r="B1162" s="1" t="n">
        <v>44726</v>
      </c>
      <c r="C1162" s="1" t="n">
        <v>45829</v>
      </c>
      <c r="D1162" t="inlineStr">
        <is>
          <t>VÄSTERNORRLANDS LÄN</t>
        </is>
      </c>
      <c r="E1162" t="inlineStr">
        <is>
          <t>SUNDSVALL</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24517-2022</t>
        </is>
      </c>
      <c r="B1163" s="1" t="n">
        <v>44727</v>
      </c>
      <c r="C1163" s="1" t="n">
        <v>45829</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24514-2022</t>
        </is>
      </c>
      <c r="B1164" s="1" t="n">
        <v>44726</v>
      </c>
      <c r="C1164" s="1" t="n">
        <v>45829</v>
      </c>
      <c r="D1164" t="inlineStr">
        <is>
          <t>VÄSTERNORRLANDS LÄN</t>
        </is>
      </c>
      <c r="E1164" t="inlineStr">
        <is>
          <t>SUNDSVALL</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24791-2022</t>
        </is>
      </c>
      <c r="B1165" s="1" t="n">
        <v>44728</v>
      </c>
      <c r="C1165" s="1" t="n">
        <v>45829</v>
      </c>
      <c r="D1165" t="inlineStr">
        <is>
          <t>VÄSTERNORRLANDS LÄN</t>
        </is>
      </c>
      <c r="E1165" t="inlineStr">
        <is>
          <t>SUNDSVALL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24784-2022</t>
        </is>
      </c>
      <c r="B1166" s="1" t="n">
        <v>44728</v>
      </c>
      <c r="C1166" s="1" t="n">
        <v>45829</v>
      </c>
      <c r="D1166" t="inlineStr">
        <is>
          <t>VÄSTERNORRLANDS LÄN</t>
        </is>
      </c>
      <c r="E1166" t="inlineStr">
        <is>
          <t>SUNDSVALL</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25034-2022</t>
        </is>
      </c>
      <c r="B1167" s="1" t="n">
        <v>44729</v>
      </c>
      <c r="C1167" s="1" t="n">
        <v>45829</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25011-2022</t>
        </is>
      </c>
      <c r="B1168" s="1" t="n">
        <v>44729</v>
      </c>
      <c r="C1168" s="1" t="n">
        <v>45829</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25208-2022</t>
        </is>
      </c>
      <c r="B1169" s="1" t="n">
        <v>44729</v>
      </c>
      <c r="C1169" s="1" t="n">
        <v>45829</v>
      </c>
      <c r="D1169" t="inlineStr">
        <is>
          <t>VÄSTERNORRLANDS LÄN</t>
        </is>
      </c>
      <c r="E1169" t="inlineStr">
        <is>
          <t>SUNDSVALL</t>
        </is>
      </c>
      <c r="F1169" t="inlineStr">
        <is>
          <t>Holmen skog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25251-2022</t>
        </is>
      </c>
      <c r="B1170" s="1" t="n">
        <v>44729</v>
      </c>
      <c r="C1170" s="1" t="n">
        <v>45829</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25211-2022</t>
        </is>
      </c>
      <c r="B1171" s="1" t="n">
        <v>44729</v>
      </c>
      <c r="C1171" s="1" t="n">
        <v>45829</v>
      </c>
      <c r="D1171" t="inlineStr">
        <is>
          <t>VÄSTERNORRLANDS LÄN</t>
        </is>
      </c>
      <c r="E1171" t="inlineStr">
        <is>
          <t>SUNDSVALL</t>
        </is>
      </c>
      <c r="F1171" t="inlineStr">
        <is>
          <t>Holmen skog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v>
      </c>
      <c r="C1172" s="1" t="n">
        <v>45829</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25643-2022</t>
        </is>
      </c>
      <c r="B1173" s="1" t="n">
        <v>44733</v>
      </c>
      <c r="C1173" s="1" t="n">
        <v>45829</v>
      </c>
      <c r="D1173" t="inlineStr">
        <is>
          <t>VÄSTERNORRLANDS LÄN</t>
        </is>
      </c>
      <c r="E1173" t="inlineStr">
        <is>
          <t>SUNDSVALL</t>
        </is>
      </c>
      <c r="F1173" t="inlineStr">
        <is>
          <t>Naturvårdsverket</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25953-2022</t>
        </is>
      </c>
      <c r="B1174" s="1" t="n">
        <v>44734</v>
      </c>
      <c r="C1174" s="1" t="n">
        <v>45829</v>
      </c>
      <c r="D1174" t="inlineStr">
        <is>
          <t>VÄSTERNORRLANDS LÄN</t>
        </is>
      </c>
      <c r="E1174" t="inlineStr">
        <is>
          <t>SUNDSVALL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25964-2022</t>
        </is>
      </c>
      <c r="B1175" s="1" t="n">
        <v>44734</v>
      </c>
      <c r="C1175" s="1" t="n">
        <v>45829</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26015-2022</t>
        </is>
      </c>
      <c r="B1176" s="1" t="n">
        <v>44734</v>
      </c>
      <c r="C1176" s="1" t="n">
        <v>45829</v>
      </c>
      <c r="D1176" t="inlineStr">
        <is>
          <t>VÄSTERNORRLANDS LÄN</t>
        </is>
      </c>
      <c r="E1176" t="inlineStr">
        <is>
          <t>SUNDSVALL</t>
        </is>
      </c>
      <c r="F1176" t="inlineStr">
        <is>
          <t>Holmen skog AB</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25930-2022</t>
        </is>
      </c>
      <c r="B1177" s="1" t="n">
        <v>44734</v>
      </c>
      <c r="C1177" s="1" t="n">
        <v>45829</v>
      </c>
      <c r="D1177" t="inlineStr">
        <is>
          <t>VÄSTERNORRLANDS LÄN</t>
        </is>
      </c>
      <c r="E1177" t="inlineStr">
        <is>
          <t>SUNDSVALL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25937-2022</t>
        </is>
      </c>
      <c r="B1178" s="1" t="n">
        <v>44734</v>
      </c>
      <c r="C1178" s="1" t="n">
        <v>45829</v>
      </c>
      <c r="D1178" t="inlineStr">
        <is>
          <t>VÄSTERNORRLANDS LÄN</t>
        </is>
      </c>
      <c r="E1178" t="inlineStr">
        <is>
          <t>SUNDSVALL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26287-2022</t>
        </is>
      </c>
      <c r="B1179" s="1" t="n">
        <v>44735</v>
      </c>
      <c r="C1179" s="1" t="n">
        <v>45829</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26337-2022</t>
        </is>
      </c>
      <c r="B1180" s="1" t="n">
        <v>44735</v>
      </c>
      <c r="C1180" s="1" t="n">
        <v>45829</v>
      </c>
      <c r="D1180" t="inlineStr">
        <is>
          <t>VÄSTERNORRLANDS LÄN</t>
        </is>
      </c>
      <c r="E1180" t="inlineStr">
        <is>
          <t>SUNDSVALL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26436-2022</t>
        </is>
      </c>
      <c r="B1181" s="1" t="n">
        <v>44737</v>
      </c>
      <c r="C1181" s="1" t="n">
        <v>45829</v>
      </c>
      <c r="D1181" t="inlineStr">
        <is>
          <t>VÄSTERNORRLANDS LÄN</t>
        </is>
      </c>
      <c r="E1181" t="inlineStr">
        <is>
          <t>SUNDSVALL</t>
        </is>
      </c>
      <c r="F1181" t="inlineStr">
        <is>
          <t>Naturvårdsverket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26453-2022</t>
        </is>
      </c>
      <c r="B1182" s="1" t="n">
        <v>44739</v>
      </c>
      <c r="C1182" s="1" t="n">
        <v>45829</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26674-2022</t>
        </is>
      </c>
      <c r="B1183" s="1" t="n">
        <v>44739</v>
      </c>
      <c r="C1183" s="1" t="n">
        <v>45829</v>
      </c>
      <c r="D1183" t="inlineStr">
        <is>
          <t>VÄSTERNORRLANDS LÄN</t>
        </is>
      </c>
      <c r="E1183" t="inlineStr">
        <is>
          <t>SUNDSVALL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27005-2022</t>
        </is>
      </c>
      <c r="B1184" s="1" t="n">
        <v>44740</v>
      </c>
      <c r="C1184" s="1" t="n">
        <v>45829</v>
      </c>
      <c r="D1184" t="inlineStr">
        <is>
          <t>VÄSTERNORRLANDS LÄN</t>
        </is>
      </c>
      <c r="E1184" t="inlineStr">
        <is>
          <t>SUNDSVALL</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27009-2022</t>
        </is>
      </c>
      <c r="B1185" s="1" t="n">
        <v>44741</v>
      </c>
      <c r="C1185" s="1" t="n">
        <v>45829</v>
      </c>
      <c r="D1185" t="inlineStr">
        <is>
          <t>VÄSTERNORRLANDS LÄN</t>
        </is>
      </c>
      <c r="E1185" t="inlineStr">
        <is>
          <t>SUNDSVALL</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27004-2022</t>
        </is>
      </c>
      <c r="B1186" s="1" t="n">
        <v>44740</v>
      </c>
      <c r="C1186" s="1" t="n">
        <v>45829</v>
      </c>
      <c r="D1186" t="inlineStr">
        <is>
          <t>VÄSTERNORRLANDS LÄN</t>
        </is>
      </c>
      <c r="E1186" t="inlineStr">
        <is>
          <t>SUNDSVALL</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27026-2022</t>
        </is>
      </c>
      <c r="B1187" s="1" t="n">
        <v>44740</v>
      </c>
      <c r="C1187" s="1" t="n">
        <v>45829</v>
      </c>
      <c r="D1187" t="inlineStr">
        <is>
          <t>VÄSTERNORRLANDS LÄN</t>
        </is>
      </c>
      <c r="E1187" t="inlineStr">
        <is>
          <t>SUNDSVALL</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27271-2022</t>
        </is>
      </c>
      <c r="B1188" s="1" t="n">
        <v>44742</v>
      </c>
      <c r="C1188" s="1" t="n">
        <v>45829</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27932-2022</t>
        </is>
      </c>
      <c r="B1189" s="1" t="n">
        <v>44743</v>
      </c>
      <c r="C1189" s="1" t="n">
        <v>45829</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27934-2022</t>
        </is>
      </c>
      <c r="B1190" s="1" t="n">
        <v>44743</v>
      </c>
      <c r="C1190" s="1" t="n">
        <v>45829</v>
      </c>
      <c r="D1190" t="inlineStr">
        <is>
          <t>VÄSTERNORRLANDS LÄN</t>
        </is>
      </c>
      <c r="E1190" t="inlineStr">
        <is>
          <t>SUNDSVALL</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27948-2022</t>
        </is>
      </c>
      <c r="B1191" s="1" t="n">
        <v>44743</v>
      </c>
      <c r="C1191" s="1" t="n">
        <v>45829</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28295-2022</t>
        </is>
      </c>
      <c r="B1192" s="1" t="n">
        <v>44747</v>
      </c>
      <c r="C1192" s="1" t="n">
        <v>45829</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28232-2022</t>
        </is>
      </c>
      <c r="B1193" s="1" t="n">
        <v>44746</v>
      </c>
      <c r="C1193" s="1" t="n">
        <v>45829</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28447-2022</t>
        </is>
      </c>
      <c r="B1194" s="1" t="n">
        <v>44747</v>
      </c>
      <c r="C1194" s="1" t="n">
        <v>45829</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28449-2022</t>
        </is>
      </c>
      <c r="B1195" s="1" t="n">
        <v>44747</v>
      </c>
      <c r="C1195" s="1" t="n">
        <v>45829</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28442-2022</t>
        </is>
      </c>
      <c r="B1196" s="1" t="n">
        <v>44747</v>
      </c>
      <c r="C1196" s="1" t="n">
        <v>45829</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28450-2022</t>
        </is>
      </c>
      <c r="B1197" s="1" t="n">
        <v>44747</v>
      </c>
      <c r="C1197" s="1" t="n">
        <v>45829</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28480-2022</t>
        </is>
      </c>
      <c r="B1198" s="1" t="n">
        <v>44747</v>
      </c>
      <c r="C1198" s="1" t="n">
        <v>45829</v>
      </c>
      <c r="D1198" t="inlineStr">
        <is>
          <t>VÄSTERNORRLANDS LÄN</t>
        </is>
      </c>
      <c r="E1198" t="inlineStr">
        <is>
          <t>SUNDSVALL</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28536-2022</t>
        </is>
      </c>
      <c r="B1199" s="1" t="n">
        <v>44748</v>
      </c>
      <c r="C1199" s="1" t="n">
        <v>45829</v>
      </c>
      <c r="D1199" t="inlineStr">
        <is>
          <t>VÄSTERNORRLANDS LÄN</t>
        </is>
      </c>
      <c r="E1199" t="inlineStr">
        <is>
          <t>SUNDSVALL</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28708-2022</t>
        </is>
      </c>
      <c r="B1200" s="1" t="n">
        <v>44748</v>
      </c>
      <c r="C1200" s="1" t="n">
        <v>45829</v>
      </c>
      <c r="D1200" t="inlineStr">
        <is>
          <t>VÄSTERNORRLANDS LÄN</t>
        </is>
      </c>
      <c r="E1200" t="inlineStr">
        <is>
          <t>SUNDSVALL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28726-2022</t>
        </is>
      </c>
      <c r="B1201" s="1" t="n">
        <v>44748</v>
      </c>
      <c r="C1201" s="1" t="n">
        <v>45829</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28961-2022</t>
        </is>
      </c>
      <c r="B1202" s="1" t="n">
        <v>44749</v>
      </c>
      <c r="C1202" s="1" t="n">
        <v>45829</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29127-2022</t>
        </is>
      </c>
      <c r="B1203" s="1" t="n">
        <v>44750</v>
      </c>
      <c r="C1203" s="1" t="n">
        <v>45829</v>
      </c>
      <c r="D1203" t="inlineStr">
        <is>
          <t>VÄSTERNORRLANDS LÄN</t>
        </is>
      </c>
      <c r="E1203" t="inlineStr">
        <is>
          <t>SUNDSVALL</t>
        </is>
      </c>
      <c r="G1203" t="n">
        <v>7.4</v>
      </c>
      <c r="H1203" t="n">
        <v>0</v>
      </c>
      <c r="I1203" t="n">
        <v>0</v>
      </c>
      <c r="J1203" t="n">
        <v>0</v>
      </c>
      <c r="K1203" t="n">
        <v>0</v>
      </c>
      <c r="L1203" t="n">
        <v>0</v>
      </c>
      <c r="M1203" t="n">
        <v>0</v>
      </c>
      <c r="N1203" t="n">
        <v>0</v>
      </c>
      <c r="O1203" t="n">
        <v>0</v>
      </c>
      <c r="P1203" t="n">
        <v>0</v>
      </c>
      <c r="Q1203" t="n">
        <v>0</v>
      </c>
      <c r="R1203" s="2" t="inlineStr"/>
      <c r="U1203">
        <f>HYPERLINK("https://klasma.github.io/Logging_2281/knärot/A 29127-2022 karta knärot.png", "A 29127-2022")</f>
        <v/>
      </c>
      <c r="V1203">
        <f>HYPERLINK("https://klasma.github.io/Logging_2281/klagomål/A 29127-2022 FSC-klagomål.docx", "A 29127-2022")</f>
        <v/>
      </c>
      <c r="W1203">
        <f>HYPERLINK("https://klasma.github.io/Logging_2281/klagomålsmail/A 29127-2022 FSC-klagomål mail.docx", "A 29127-2022")</f>
        <v/>
      </c>
      <c r="X1203">
        <f>HYPERLINK("https://klasma.github.io/Logging_2281/tillsyn/A 29127-2022 tillsynsbegäran.docx", "A 29127-2022")</f>
        <v/>
      </c>
      <c r="Y1203">
        <f>HYPERLINK("https://klasma.github.io/Logging_2281/tillsynsmail/A 29127-2022 tillsynsbegäran mail.docx", "A 29127-2022")</f>
        <v/>
      </c>
    </row>
    <row r="1204" ht="15" customHeight="1">
      <c r="A1204" t="inlineStr">
        <is>
          <t>A 29298-2022</t>
        </is>
      </c>
      <c r="B1204" s="1" t="n">
        <v>44751</v>
      </c>
      <c r="C1204" s="1" t="n">
        <v>45829</v>
      </c>
      <c r="D1204" t="inlineStr">
        <is>
          <t>VÄSTERNORRLANDS LÄN</t>
        </is>
      </c>
      <c r="E1204" t="inlineStr">
        <is>
          <t>SUNDSVALL</t>
        </is>
      </c>
      <c r="F1204" t="inlineStr">
        <is>
          <t>Naturvårdsverket</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29297-2022</t>
        </is>
      </c>
      <c r="B1205" s="1" t="n">
        <v>44751</v>
      </c>
      <c r="C1205" s="1" t="n">
        <v>45829</v>
      </c>
      <c r="D1205" t="inlineStr">
        <is>
          <t>VÄSTERNORRLANDS LÄN</t>
        </is>
      </c>
      <c r="E1205" t="inlineStr">
        <is>
          <t>SUNDSVALL</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29805-2022</t>
        </is>
      </c>
      <c r="B1206" s="1" t="n">
        <v>44755</v>
      </c>
      <c r="C1206" s="1" t="n">
        <v>45829</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30084-2022</t>
        </is>
      </c>
      <c r="B1207" s="1" t="n">
        <v>44757</v>
      </c>
      <c r="C1207" s="1" t="n">
        <v>45829</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30518-2022</t>
        </is>
      </c>
      <c r="B1208" s="1" t="n">
        <v>44762</v>
      </c>
      <c r="C1208" s="1" t="n">
        <v>45829</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30778-2022</t>
        </is>
      </c>
      <c r="B1209" s="1" t="n">
        <v>44764</v>
      </c>
      <c r="C1209" s="1" t="n">
        <v>45829</v>
      </c>
      <c r="D1209" t="inlineStr">
        <is>
          <t>VÄSTERNORRLANDS LÄN</t>
        </is>
      </c>
      <c r="E1209" t="inlineStr">
        <is>
          <t>SUNDSVALL</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31439-2022</t>
        </is>
      </c>
      <c r="B1210" s="1" t="n">
        <v>44774</v>
      </c>
      <c r="C1210" s="1" t="n">
        <v>45829</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31454-2022</t>
        </is>
      </c>
      <c r="B1211" s="1" t="n">
        <v>44775</v>
      </c>
      <c r="C1211" s="1" t="n">
        <v>45829</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31497-2022</t>
        </is>
      </c>
      <c r="B1212" s="1" t="n">
        <v>44774</v>
      </c>
      <c r="C1212" s="1" t="n">
        <v>45829</v>
      </c>
      <c r="D1212" t="inlineStr">
        <is>
          <t>VÄSTERNORRLANDS LÄN</t>
        </is>
      </c>
      <c r="E1212" t="inlineStr">
        <is>
          <t>SUNDSVALL</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31498-2022</t>
        </is>
      </c>
      <c r="B1213" s="1" t="n">
        <v>44775</v>
      </c>
      <c r="C1213" s="1" t="n">
        <v>45829</v>
      </c>
      <c r="D1213" t="inlineStr">
        <is>
          <t>VÄSTERNORRLANDS LÄN</t>
        </is>
      </c>
      <c r="E1213" t="inlineStr">
        <is>
          <t>SUNDSVALL</t>
        </is>
      </c>
      <c r="F1213" t="inlineStr">
        <is>
          <t>Naturvårdsverket</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31527-2022</t>
        </is>
      </c>
      <c r="B1214" s="1" t="n">
        <v>44775</v>
      </c>
      <c r="C1214" s="1" t="n">
        <v>45829</v>
      </c>
      <c r="D1214" t="inlineStr">
        <is>
          <t>VÄSTERNORRLANDS LÄN</t>
        </is>
      </c>
      <c r="E1214" t="inlineStr">
        <is>
          <t>SUNDSVALL</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v>
      </c>
      <c r="C1215" s="1" t="n">
        <v>45829</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31526-2022</t>
        </is>
      </c>
      <c r="B1216" s="1" t="n">
        <v>44775</v>
      </c>
      <c r="C1216" s="1" t="n">
        <v>45829</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31959-2022</t>
        </is>
      </c>
      <c r="B1217" s="1" t="n">
        <v>44778</v>
      </c>
      <c r="C1217" s="1" t="n">
        <v>45829</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31956-2022</t>
        </is>
      </c>
      <c r="B1218" s="1" t="n">
        <v>44778</v>
      </c>
      <c r="C1218" s="1" t="n">
        <v>45829</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31957-2022</t>
        </is>
      </c>
      <c r="B1219" s="1" t="n">
        <v>44777</v>
      </c>
      <c r="C1219" s="1" t="n">
        <v>45829</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32119-2022</t>
        </is>
      </c>
      <c r="B1220" s="1" t="n">
        <v>44779</v>
      </c>
      <c r="C1220" s="1" t="n">
        <v>45829</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32411-2022</t>
        </is>
      </c>
      <c r="B1221" s="1" t="n">
        <v>44782</v>
      </c>
      <c r="C1221" s="1" t="n">
        <v>45829</v>
      </c>
      <c r="D1221" t="inlineStr">
        <is>
          <t>VÄSTERNORRLANDS LÄN</t>
        </is>
      </c>
      <c r="E1221" t="inlineStr">
        <is>
          <t>SUNDSVALL</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32532-2022</t>
        </is>
      </c>
      <c r="B1222" s="1" t="n">
        <v>44782</v>
      </c>
      <c r="C1222" s="1" t="n">
        <v>45829</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32987-2022</t>
        </is>
      </c>
      <c r="B1223" s="1" t="n">
        <v>44784</v>
      </c>
      <c r="C1223" s="1" t="n">
        <v>45829</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33220-2022</t>
        </is>
      </c>
      <c r="B1224" s="1" t="n">
        <v>44786</v>
      </c>
      <c r="C1224" s="1" t="n">
        <v>45829</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33498-2022</t>
        </is>
      </c>
      <c r="B1225" s="1" t="n">
        <v>44789</v>
      </c>
      <c r="C1225" s="1" t="n">
        <v>45829</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33515-2022</t>
        </is>
      </c>
      <c r="B1226" s="1" t="n">
        <v>44789</v>
      </c>
      <c r="C1226" s="1" t="n">
        <v>45829</v>
      </c>
      <c r="D1226" t="inlineStr">
        <is>
          <t>VÄSTERNORRLANDS LÄN</t>
        </is>
      </c>
      <c r="E1226" t="inlineStr">
        <is>
          <t>SUNDSVALL</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33725-2022</t>
        </is>
      </c>
      <c r="B1227" s="1" t="n">
        <v>44790</v>
      </c>
      <c r="C1227" s="1" t="n">
        <v>45829</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33723-2022</t>
        </is>
      </c>
      <c r="B1228" s="1" t="n">
        <v>44790</v>
      </c>
      <c r="C1228" s="1" t="n">
        <v>45829</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33724-2022</t>
        </is>
      </c>
      <c r="B1229" s="1" t="n">
        <v>44790</v>
      </c>
      <c r="C1229" s="1" t="n">
        <v>45829</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34054-2022</t>
        </is>
      </c>
      <c r="B1230" s="1" t="n">
        <v>44790</v>
      </c>
      <c r="C1230" s="1" t="n">
        <v>45829</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34118-2022</t>
        </is>
      </c>
      <c r="B1231" s="1" t="n">
        <v>44791</v>
      </c>
      <c r="C1231" s="1" t="n">
        <v>45829</v>
      </c>
      <c r="D1231" t="inlineStr">
        <is>
          <t>VÄSTERNORRLANDS LÄN</t>
        </is>
      </c>
      <c r="E1231" t="inlineStr">
        <is>
          <t>SUNDSVALL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34148-2022</t>
        </is>
      </c>
      <c r="B1232" s="1" t="n">
        <v>44791</v>
      </c>
      <c r="C1232" s="1" t="n">
        <v>45829</v>
      </c>
      <c r="D1232" t="inlineStr">
        <is>
          <t>VÄSTERNORRLANDS LÄN</t>
        </is>
      </c>
      <c r="E1232" t="inlineStr">
        <is>
          <t>SUNDSVALL</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34192-2022</t>
        </is>
      </c>
      <c r="B1233" s="1" t="n">
        <v>44791</v>
      </c>
      <c r="C1233" s="1" t="n">
        <v>45829</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34302-2022</t>
        </is>
      </c>
      <c r="B1234" s="1" t="n">
        <v>44792</v>
      </c>
      <c r="C1234" s="1" t="n">
        <v>45829</v>
      </c>
      <c r="D1234" t="inlineStr">
        <is>
          <t>VÄSTERNORRLANDS LÄN</t>
        </is>
      </c>
      <c r="E1234" t="inlineStr">
        <is>
          <t>SUNDSVALL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45829</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34744-2022</t>
        </is>
      </c>
      <c r="B1236" s="1" t="n">
        <v>44795</v>
      </c>
      <c r="C1236" s="1" t="n">
        <v>45829</v>
      </c>
      <c r="D1236" t="inlineStr">
        <is>
          <t>VÄSTERNORRLANDS LÄN</t>
        </is>
      </c>
      <c r="E1236" t="inlineStr">
        <is>
          <t>SUNDSVALL</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34812-2022</t>
        </is>
      </c>
      <c r="B1237" s="1" t="n">
        <v>44795</v>
      </c>
      <c r="C1237" s="1" t="n">
        <v>45829</v>
      </c>
      <c r="D1237" t="inlineStr">
        <is>
          <t>VÄSTERNORRLANDS LÄN</t>
        </is>
      </c>
      <c r="E1237" t="inlineStr">
        <is>
          <t>SUNDSVALL</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35008-2022</t>
        </is>
      </c>
      <c r="B1238" s="1" t="n">
        <v>44796</v>
      </c>
      <c r="C1238" s="1" t="n">
        <v>45829</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35004-2022</t>
        </is>
      </c>
      <c r="B1239" s="1" t="n">
        <v>44796</v>
      </c>
      <c r="C1239" s="1" t="n">
        <v>45829</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35165-2022</t>
        </is>
      </c>
      <c r="B1240" s="1" t="n">
        <v>44797</v>
      </c>
      <c r="C1240" s="1" t="n">
        <v>45829</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35307-2022</t>
        </is>
      </c>
      <c r="B1241" s="1" t="n">
        <v>44798</v>
      </c>
      <c r="C1241" s="1" t="n">
        <v>45829</v>
      </c>
      <c r="D1241" t="inlineStr">
        <is>
          <t>VÄSTERNORRLANDS LÄN</t>
        </is>
      </c>
      <c r="E1241" t="inlineStr">
        <is>
          <t>SUNDSVALL</t>
        </is>
      </c>
      <c r="F1241" t="inlineStr">
        <is>
          <t>Holmen skog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45829</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45829</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45829</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45829</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45829</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45829</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45829</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45829</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45829</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45829</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45829</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45829</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45829</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45829</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45829</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45829</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45829</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45829</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45829</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45829</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45829</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45829</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45829</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45829</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45829</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45829</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45829</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45829</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45829</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45829</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45829</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45829</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45829</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45829</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45829</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45829</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45829</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45829</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45829</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45829</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45829</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45829</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45829</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45829</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45829</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45829</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45829</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45829</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45829</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45829</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45829</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45829</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45829</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45829</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45829</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45829</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45829</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45829</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45829</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45829</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45829</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45829</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45829</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45829</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45829</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45829</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45829</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45829</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45829</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45829</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45829</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45829</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45829</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45829</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45829</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45829</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45829</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45829</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45829</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45829</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45829</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45829</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45829</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45829</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45829</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45829</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45829</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45829</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45829</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45829</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45829</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45829</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45829</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45829</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45829</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45829</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45829</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45829</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45829</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45829</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45829</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45829</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45829</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45829</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45829</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45829</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45829</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45829</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45829</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45829</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45829</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45829</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45829</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45829</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45829</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45829</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45829</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45829</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45829</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45829</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45829</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45829</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45829</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45829</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45829</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45829</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45829</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45829</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45829</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45829</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45829</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45829</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45829</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45829</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45829</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45829</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45829</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45829</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45829</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45829</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45829</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45829</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45829</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45829</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45829</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45829</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45829</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45829</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45829</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45829</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45829</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45829</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45829</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45829</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45829</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45829</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45829</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45829</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45829</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45829</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45829</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45829</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45829</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45829</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45829</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45829</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45829</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45829</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45829</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45829</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45829</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45829</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45829</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45829</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45829</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45829</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45829</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45829</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45829</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45829</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45829</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45829</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45829</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45829</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45829</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45829</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45829</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45829</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45829</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45829</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45829</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45829</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45829</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45829</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45829</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45829</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45829</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45829</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45829</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45829</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45829</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45829</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45829</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45829</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45829</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45829</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45829</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45829</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45829</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45829</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45829</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45829</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45829</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45829</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45829</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45829</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45829</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45829</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45829</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45829</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45829</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45829</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45829</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45829</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45829</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45829</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45829</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45829</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45829</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45829</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45829</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45829</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45829</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45829</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45829</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45829</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45829</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45829</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45829</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45829</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45829</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45829</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45829</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45829</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45829</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45829</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45829</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45829</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45829</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45829</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45829</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45829</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45829</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45829</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45829</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45829</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45829</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45829</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45829</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45829</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45829</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45829</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45829</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45829</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45829</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45829</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45829</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45829</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45829</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45829</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45829</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45829</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45829</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45829</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45829</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45829</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45829</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45829</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45829</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45829</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45829</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45829</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45829</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45829</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45829</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45829</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45829</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45829</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45829</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45829</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45829</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45829</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45829</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45829</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45829</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45829</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45829</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45829</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45829</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45829</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45829</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45829</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45829</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45829</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45829</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45829</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45829</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45829</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45829</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45829</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45829</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45829</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45829</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45829</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45829</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45829</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45829</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45829</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45829</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45829</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45829</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45829</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45829</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45829</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45829</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45829</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45829</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45829</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45829</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45829</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45829</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45829</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45829</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45829</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45829</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45829</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45829</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45829</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45829</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45829</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45829</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45829</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45829</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45829</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45829</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45829</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45829</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45829</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45829</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45829</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45829</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45829</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45829</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45829</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45829</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45829</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45829</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45829</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45829</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45829</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45829</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45829</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45829</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45829</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45829</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45829</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45829</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45829</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45829</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45829</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45829</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45829</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45829</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45829</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45829</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45829</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45829</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45829</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45829</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45829</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45829</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45829</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45829</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45829</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45829</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45829</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45829</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45829</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45829</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45829</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45829</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45829</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45829</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45829</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45829</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45829</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45829</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45829</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45829</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45829</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45829</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45829</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45829</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45829</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45829</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45829</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45829</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45829</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45829</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45829</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45829</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45829</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45829</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45829</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45829</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45829</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45829</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45829</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45829</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45829</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45829</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45829</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45829</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45829</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45829</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45829</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45829</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45829</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45829</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45829</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45829</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45829</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45829</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45829</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45829</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45829</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45829</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45829</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45829</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45829</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45829</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45829</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45829</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45829</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45829</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45829</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45829</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45829</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45829</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45829</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45829</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45829</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45829</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45829</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45829</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45829</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45829</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45829</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45829</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45829</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45829</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45829</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45829</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45829</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45829</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45829</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45829</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45829</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45829</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45829</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45829</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45829</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45829</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45829</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45829</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45829</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45829</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45829</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45829</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45829</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45829</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45829</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45829</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45829</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45829</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45829</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45829</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45829</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45829</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45829</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45829</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45829</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45829</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45829</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45829</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45829</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45829</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45829</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45829</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45829</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45829</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45829</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45829</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45829</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45829</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45829</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45829</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45829</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45829</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45829</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45829</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45829</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45829</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45829</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45829</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45829</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45829</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45829</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45829</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45829</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45829</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45829</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45829</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45829</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45829</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45829</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45829</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45829</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45829</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45829</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45829</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45829</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45829</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45829</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45829</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45829</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45829</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45829</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45829</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45829</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45829</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45829</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45829</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45829</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45829</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45829</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45829</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45829</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45829</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45829</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45829</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45829</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45829</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45829</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45829</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45829</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45829</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45829</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45829</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45829</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45829</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45829</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45829</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45829</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45829</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45829</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45829</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45829</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45829</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45829</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45829</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45829</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45829</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45829</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45829</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45829</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45829</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45829</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45829</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45829</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45829</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45829</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45829</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45829</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45829</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45829</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45829</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45829</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45829</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45829</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45829</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45829</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45829</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45829</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45829</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45829</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45829</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45829</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45829</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45829</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45829</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45829</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45829</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45829</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45829</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45829</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45829</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45829</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45829</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45829</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45829</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45829</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45829</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45829</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45829</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45829</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45829</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45829</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45829</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45829</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45829</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45829</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45829</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45829</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45829</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45829</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45829</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45829</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45829</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45829</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45829</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45829</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45829</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45829</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45829</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45829</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45829</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45829</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45829</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45829</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45829</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45829</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45829</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45829</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45829</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45829</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45829</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45829</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45829</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45829</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45829</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45829</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45829</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45829</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45829</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45829</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45829</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45829</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45829</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45829</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45829</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45829</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45829</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45829</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45829</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45829</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45829</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45829</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45829</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45829</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45829</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45829</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45829</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45829</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45829</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45829</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45829</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45829</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45829</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45829</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45829</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45829</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45829</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45829</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45829</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45829</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45829</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45829</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45829</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45829</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45829</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45829</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45829</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45829</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45829</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45829</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45829</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45829</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45829</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45829</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45829</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45829</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45829</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45829</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45829</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45829</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45829</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45829</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45829</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45829</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45829</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45829</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45829</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45829</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45829</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45829</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45829</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45829</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45829</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45829</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45829</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45829</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45829</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45829</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45829</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45829</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45829</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45829</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45829</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45829</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45829</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45829</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45829</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45829</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45829</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45829</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45829</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45829</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45829</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45829</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45829</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45829</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45829</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45829</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45829</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45829</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45829</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45829</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45829</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45829</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45829</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45829</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45829</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45829</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45829</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45829</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45829</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45829</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45829</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45829</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45829</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45829</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45829</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45829</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45829</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45829</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45829</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45829</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45829</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45829</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45829</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45829</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45829</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45829</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45829</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45829</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45829</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45829</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45829</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45829</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45829</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45829</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45829</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45829</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45829</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45829</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45829</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45829</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45829</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45829</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45829</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45829</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45829</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45829</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45829</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45829</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45829</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45829</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45829</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45829</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45829</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45829</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45829</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45829</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45829</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45829</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45829</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45829</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45829</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45829</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45829</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45829</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45829</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45829</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45829</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45829</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45829</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45829</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45829</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45829</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45829</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45829</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45829</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45829</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45829</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45829</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45829</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45829</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45829</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45829</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45829</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45829</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45829</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45829</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45829</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45829</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45829</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45829</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45829</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45829</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45829</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45829</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45829</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45829</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45829</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45829</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45829</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45829</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45829</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45829</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45829</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45829</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45829</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45829</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45829</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45829</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45829</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45829</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45829</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45829</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45829</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45829</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45829</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45829</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45829</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45829</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45829</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45829</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45829</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45829</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45829</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45829</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45829</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45829</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45829</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45829</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45829</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45829</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45829</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45829</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45829</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45829</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45829</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45829</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45829</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45829</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45829</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45829</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45829</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45829</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45829</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45829</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45829</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45829</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45829</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45829</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45829</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45829</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45829</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45829</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45829</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45829</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45829</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45829</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45829</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45829</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45829</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45829</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45829</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45829</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45829</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45829</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45829</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45829</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45829</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45829</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45829</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45829</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45829</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45829</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45829</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45829</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45829</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45829</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45829</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45829</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45829</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45829</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45829</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45829</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45829</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45829</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45829</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45829</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45829</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45829</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45829</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45829</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45829</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45829</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45829</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45829</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45829</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45829</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45829</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45829</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45829</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45829</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45829</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45829</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45829</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45829</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45829</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45829</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45829</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45829</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45829</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45829</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45829</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45829</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45829</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45829</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45829</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45829</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45829</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45829</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45829</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45829</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45829</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45829</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45829</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45829</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45829</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45829</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45829</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45829</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45829</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45829</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45829</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45829</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45829</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45829</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45829</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45829</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45829</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45829</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45829</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45829</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45829</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45829</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45829</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45829</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45829</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45829</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45829</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45829</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45829</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45829</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45829</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45829</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45829</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45829</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45829</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45829</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45829</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45829</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45829</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45829</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45829</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45829</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45829</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45829</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45829</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45829</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45829</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45829</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45829</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45829</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45829</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45829</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45829</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45829</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45829</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45829</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45829</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45829</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45829</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45829</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45829</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45829</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45829</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45829</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45829</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45829</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45829</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45829</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45829</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45829</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45829</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45829</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45829</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45829</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45829</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45829</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45829</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45829</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45829</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45829</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45829</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45829</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45829</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45829</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45829</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45829</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45829</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45829</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45829</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45829</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45829</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45829</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45829</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45829</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45829</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45829</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45829</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45829</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45829</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45829</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45829</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45829</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45829</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45829</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45829</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45829</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45829</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45829</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45829</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45829</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45829</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45829</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45829</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45829</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45829</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45829</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45829</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45829</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45829</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45829</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45829</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45829</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45829</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45829</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45829</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45829</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45829</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45829</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45829</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45829</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45829</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45829</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45829</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45829</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45829</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45829</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45829</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45829</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45829</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45829</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45829</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45829</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45829</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45829</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45829</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45829</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45829</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45829</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45829</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45829</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45829</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45829</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45829</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45829</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45829</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45829</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45829</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45829</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45829</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45829</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45829</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45829</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45829</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45829</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45829</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45829</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45829</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45829</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45829</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45829</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45829</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45829</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45829</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45829</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45829</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45829</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45829</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45829</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45829</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45829</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45829</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45829</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45829</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45829</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45829</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45829</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45829</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45829</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45829</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45829</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45829</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45829</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45829</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45829</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45829</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45829</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45829</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45829</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45829</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45829</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45829</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45829</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45829</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45829</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45829</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45829</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45829</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45829</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45829</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45829</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45829</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45829</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45829</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45829</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45829</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45829</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45829</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45829</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45829</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45829</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45829</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45829</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45829</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45829</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45829</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45829</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45829</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45829</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45829</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45829</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45829</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45829</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45829</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45829</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45829</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45829</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45829</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45829</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45829</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45829</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45829</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45829</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45829</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45829</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45829</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45829</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45829</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45829</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45829</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45829</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45829</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45829</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45829</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45829</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45829</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45829</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45829</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45829</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45829</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45829</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45829</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45829</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45829</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45829</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45829</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45829</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45829</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45829</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45829</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45829</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45829</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45829</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45829</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45829</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45829</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45829</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45829</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45829</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45829</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45829</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45829</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45829</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45829</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45829</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45829</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45829</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45829</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45829</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45829</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45829</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45829</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45829</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45829</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45829</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45829</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45829</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45829</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45829</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45829</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45829</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45829</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45829</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45829</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45829</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45829</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45829</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45829</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45829</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45829</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45829</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45829</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45829</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45829</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45829</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45829</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45829</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45829</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45829</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45829</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45829</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45829</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45829</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45829</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45829</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45829</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45829</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45829</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45829</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45829</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45829</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45829</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45829</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45829</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45829</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45829</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45829</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45829</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45829</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45829</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45829</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45829</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45829</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45829</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45829</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45829</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45829</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45829</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45829</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45829</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45829</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45829</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45829</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45829</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45829</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45829</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45829</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45829</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45829</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45829</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45829</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45829</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45829</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45829</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45829</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45829</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45829</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45829</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45829</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45829</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45829</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45829</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45829</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45829</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45829</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45829</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45829</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45829</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45829</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45829</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45829</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45829</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45829</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45829</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45829</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45829</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45829</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45829</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45829</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45829</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45829</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45829</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45829</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45829</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45829</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45829</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45829</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45829</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45829</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45829</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45829</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45829</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45829</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45829</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45829</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45829</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45829</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45829</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45829</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45829</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45829</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45829</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45829</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45829</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45829</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45829</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45829</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45829</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45829</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45829</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45829</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45829</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45829</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45829</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45829</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45829</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45829</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45829</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45829</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45829</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45829</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45829</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45829</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45829</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45829</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45829</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45829</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45829</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45829</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45829</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45829</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45829</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45829</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45829</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45829</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45829</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45829</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45829</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45829</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45829</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45829</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45829</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45829</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45829</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45829</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45829</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45829</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45829</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45829</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45829</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45829</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45829</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45829</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45829</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45829</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45829</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45829</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45829</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45829</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45829</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45829</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45829</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45829</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45829</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45829</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45829</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45829</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45829</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45829</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45829</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45829</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45829</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45829</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45829</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45829</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45829</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45829</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45829</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45829</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45829</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45829</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45829</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45829</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45829</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45829</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45829</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45829</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45829</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45829</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45829</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45829</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45829</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45829</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45829</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45829</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45829</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45829</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45829</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45829</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45829</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45829</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45829</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45829</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45829</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45829</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45829</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45829</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45829</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45829</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45829</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45829</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45829</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45829</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45829</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45829</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45829</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45829</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45829</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45829</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45829</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45829</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45829</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45829</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45829</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45829</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45829</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45829</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45829</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45829</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45829</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45829</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45829</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45829</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45829</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45829</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45829</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45829</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45829</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45829</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45829</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45829</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45829</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45829</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45829</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45829</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45829</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45829</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45829</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45829</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45829</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45829</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45829</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45829</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45829</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45829</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45829</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45829</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45829</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45829</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45829</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45829</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45829</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45829</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45829</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45829</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45829</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45829</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45829</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45829</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45829</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45829</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45829</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45829</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45829</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45829</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45829</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45829</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45829</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45829</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45829</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45829</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45829</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45829</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45829</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45829</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45829</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45829</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45829</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45829</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45829</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45829</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45829</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45829</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45829</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45829</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45829</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45829</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45829</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45829</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45829</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45829</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45829</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45829</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45829</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45829</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45829</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45829</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45829</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45829</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45829</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45829</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45829</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45829</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45829</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45829</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45829</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45829</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45829</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45829</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45829</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45829</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45829</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45829</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45829</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45829</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45829</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45829</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45829</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45829</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45829</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45829</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45829</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45829</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45829</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45829</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45829</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45829</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45829</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45829</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45829</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45829</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45829</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45829</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45829</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45829</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45829</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45829</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45829</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45829</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45829</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45829</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45829</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45829</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45829</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45829</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45829</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45829</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45829</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45829</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45829</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45829</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45829</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45829</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45829</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45829</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45829</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45829</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45829</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45829</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45829</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45829</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45829</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45829</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45829</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45829</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45829</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45829</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45829</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45829</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45829</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45829</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45829</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45829</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45829</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45829</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45829</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45829</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45829</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45829</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45829</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45829</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45829</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45829</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45829</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45829</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45829</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45829</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45829</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45829</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45829</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45829</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45829</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45829</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45829</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45829</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45829</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45829</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45829</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45829</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45829</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45829</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45829</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45829</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45829</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45829</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45829</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45829</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45829</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45829</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45829</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45829</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45829</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45829</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45829</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45829</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45829</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45829</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45829</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45829</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45829</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45829</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45829</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45829</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45829</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45829</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45829</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45829</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45829</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45829</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45829</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45829</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45829</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45829</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45829</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45829</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45829</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45829</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45829</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45829</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45829</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45829</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45829</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45829</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45829</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45829</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45829</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45829</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45829</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45829</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45829</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45829</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45829</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45829</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45829</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45829</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45829</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45829</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45829</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45829</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45829</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45829</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45829</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45829</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45829</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45829</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45829</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45829</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45829</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45829</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45829</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45829</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45829</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45829</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45829</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45829</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45829</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45829</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45829</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45829</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45829</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45829</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45829</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45829</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45829</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45829</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45829</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45829</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45829</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45829</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45829</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45829</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45829</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45829</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45829</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45829</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45829</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45829</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45829</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45829</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45829</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45829</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45829</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45829</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45829</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45829</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45829</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45829</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45829</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45829</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45829</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45829</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45829</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45829</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45829</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45829</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45829</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45829</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45829</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45829</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45829</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45829</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45829</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45829</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45829</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45829</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45829</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45829</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45829</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45829</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45829</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45829</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45829</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45829</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45829</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45829</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45829</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45829</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45829</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45829</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45829</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45829</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45829</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45829</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45829</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45829</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45829</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45829</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45829</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45829</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45829</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45829</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45829</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45829</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45829</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45829</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45829</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45829</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45829</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45829</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45829</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45829</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45829</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45829</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45829</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45829</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45829</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45829</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45829</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45829</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45829</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45829</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45829</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45829</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45829</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45829</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45829</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45829</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45829</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45829</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45829</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45829</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45829</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45829</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45829</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45829</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45829</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45829</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45829</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45829</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45829</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45829</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45829</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45829</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45829</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45829</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45829</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45829</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45829</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45829</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45829</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45829</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45829</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45829</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45829</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45829</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45829</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45829</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45829</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45829</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45829</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45829</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45829</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45829</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45829</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45829</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45829</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45829</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45829</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45829</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45829</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45829</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45829</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45829</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45829</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45829</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45829</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45829</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45829</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45829</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45829</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45829</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45829</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45829</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45829</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45829</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45829</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45829</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45829</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45829</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45829</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45829</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45829</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45829</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45829</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45829</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45829</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45829</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45829</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45829</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45829</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45829</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45829</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45829</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45829</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45829</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45829</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45829</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45829</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45829</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45829</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45829</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45829</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45829</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45829</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45829</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45829</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45829</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45829</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45829</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45829</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45829</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45829</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45829</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45829</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45829</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45829</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45829</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45829</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45829</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45829</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45829</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45829</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45829</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45829</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45829</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45829</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45829</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45829</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45829</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45829</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45829</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45829</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45829</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45829</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45829</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45829</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45829</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45829</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45829</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45829</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45829</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45829</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45829</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45829</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45829</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45829</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45829</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45829</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45829</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45829</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45829</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45829</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45829</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45829</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45829</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45829</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45829</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45829</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45829</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45829</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45829</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45829</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45829</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45829</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45829</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45829</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45829</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45829</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45829</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45829</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45829</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45829</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45829</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45829</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45829</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45829</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45829</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45829</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45829</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45829</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45829</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45829</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45829</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45829</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45829</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45829</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45829</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45829</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45829</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45829</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45829</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45829</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45829</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45829</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45829</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45829</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45829</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45829</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45829</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45829</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45829</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45829</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45829</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45829</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45829</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45829</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45829</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45829</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45829</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45829</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45829</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45829</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45829</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45829</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45829</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45829</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45829</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45829</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45829</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45829</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45829</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45829</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45829</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45829</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45829</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45829</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45829</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45829</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45829</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45829</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45829</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45829</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45829</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45829</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45829</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45829</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45829</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45829</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45829</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45829</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45829</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45829</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45829</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45829</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45829</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45829</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45829</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45829</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45829</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45829</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45829</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45829</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45829</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45829</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45829</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45829</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45829</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45829</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45829</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45829</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45829</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45829</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45829</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45829</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45829</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45829</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45829</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45829</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45829</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45829</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45829</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45829</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45829</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45829</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45829</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45829</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45829</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45829</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45829</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45829</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45829</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45829</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45829</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45829</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45829</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45829</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45829</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45829</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45829</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45829</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45829</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45829</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45829</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45829</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24293-2025</t>
        </is>
      </c>
      <c r="B3383" s="1" t="n">
        <v>45797</v>
      </c>
      <c r="C3383" s="1" t="n">
        <v>45829</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24426-2025</t>
        </is>
      </c>
      <c r="B3384" s="1" t="n">
        <v>45797</v>
      </c>
      <c r="C3384" s="1" t="n">
        <v>45829</v>
      </c>
      <c r="D3384" t="inlineStr">
        <is>
          <t>VÄSTERNORRLANDS LÄN</t>
        </is>
      </c>
      <c r="E3384" t="inlineStr">
        <is>
          <t>SUNDSVALL</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v>
      </c>
      <c r="C3385" s="1" t="n">
        <v>45829</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24291-2025</t>
        </is>
      </c>
      <c r="B3386" s="1" t="n">
        <v>45797</v>
      </c>
      <c r="C3386" s="1" t="n">
        <v>45829</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24701-2025</t>
        </is>
      </c>
      <c r="B3387" s="1" t="n">
        <v>45798</v>
      </c>
      <c r="C3387" s="1" t="n">
        <v>45829</v>
      </c>
      <c r="D3387" t="inlineStr">
        <is>
          <t>VÄSTERNORRLANDS LÄN</t>
        </is>
      </c>
      <c r="E3387" t="inlineStr">
        <is>
          <t>SUNDSVALL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24498-2025</t>
        </is>
      </c>
      <c r="B3388" s="1" t="n">
        <v>45798</v>
      </c>
      <c r="C3388" s="1" t="n">
        <v>45829</v>
      </c>
      <c r="D3388" t="inlineStr">
        <is>
          <t>VÄSTERNORRLANDS LÄN</t>
        </is>
      </c>
      <c r="E3388" t="inlineStr">
        <is>
          <t>SUNDSVALL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45829</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25258-2025</t>
        </is>
      </c>
      <c r="B3390" s="1" t="n">
        <v>45800</v>
      </c>
      <c r="C3390" s="1" t="n">
        <v>45829</v>
      </c>
      <c r="D3390" t="inlineStr">
        <is>
          <t>VÄSTERNORRLANDS LÄN</t>
        </is>
      </c>
      <c r="E3390" t="inlineStr">
        <is>
          <t>SUNDSVALL</t>
        </is>
      </c>
      <c r="F3390" t="inlineStr">
        <is>
          <t>Naturvårdsverket</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25154-2025</t>
        </is>
      </c>
      <c r="B3391" s="1" t="n">
        <v>45800</v>
      </c>
      <c r="C3391" s="1" t="n">
        <v>45829</v>
      </c>
      <c r="D3391" t="inlineStr">
        <is>
          <t>VÄSTERNORRLANDS LÄN</t>
        </is>
      </c>
      <c r="E3391" t="inlineStr">
        <is>
          <t>SUNDSVALL</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25329-2025</t>
        </is>
      </c>
      <c r="B3392" s="1" t="n">
        <v>45800</v>
      </c>
      <c r="C3392" s="1" t="n">
        <v>45829</v>
      </c>
      <c r="D3392" t="inlineStr">
        <is>
          <t>VÄSTERNORRLANDS LÄN</t>
        </is>
      </c>
      <c r="E3392" t="inlineStr">
        <is>
          <t>SUNDSVALL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25179-2025</t>
        </is>
      </c>
      <c r="B3393" s="1" t="n">
        <v>45800</v>
      </c>
      <c r="C3393" s="1" t="n">
        <v>45829</v>
      </c>
      <c r="D3393" t="inlineStr">
        <is>
          <t>VÄSTERNORRLANDS LÄN</t>
        </is>
      </c>
      <c r="E3393" t="inlineStr">
        <is>
          <t>SUNDSVALL</t>
        </is>
      </c>
      <c r="F3393" t="inlineStr">
        <is>
          <t>SCA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25196-2025</t>
        </is>
      </c>
      <c r="B3394" s="1" t="n">
        <v>45800</v>
      </c>
      <c r="C3394" s="1" t="n">
        <v>45829</v>
      </c>
      <c r="D3394" t="inlineStr">
        <is>
          <t>VÄSTERNORRLANDS LÄN</t>
        </is>
      </c>
      <c r="E3394" t="inlineStr">
        <is>
          <t>SUNDSVALL</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25351-2025</t>
        </is>
      </c>
      <c r="B3395" s="1" t="n">
        <v>45800</v>
      </c>
      <c r="C3395" s="1" t="n">
        <v>45829</v>
      </c>
      <c r="D3395" t="inlineStr">
        <is>
          <t>VÄSTERNORRLANDS LÄN</t>
        </is>
      </c>
      <c r="E3395" t="inlineStr">
        <is>
          <t>SUNDSVALL</t>
        </is>
      </c>
      <c r="F3395" t="inlineStr">
        <is>
          <t>Kyrkan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45829</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25153-2025</t>
        </is>
      </c>
      <c r="B3397" s="1" t="n">
        <v>45800</v>
      </c>
      <c r="C3397" s="1" t="n">
        <v>45829</v>
      </c>
      <c r="D3397" t="inlineStr">
        <is>
          <t>VÄSTERNORRLANDS LÄN</t>
        </is>
      </c>
      <c r="E3397" t="inlineStr">
        <is>
          <t>SUNDSVALL</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25422-2025</t>
        </is>
      </c>
      <c r="B3398" s="1" t="n">
        <v>45800</v>
      </c>
      <c r="C3398" s="1" t="n">
        <v>45829</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45829</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45829</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25873-2025</t>
        </is>
      </c>
      <c r="B3401" s="1" t="n">
        <v>45804</v>
      </c>
      <c r="C3401" s="1" t="n">
        <v>45829</v>
      </c>
      <c r="D3401" t="inlineStr">
        <is>
          <t>VÄSTERNORRLANDS LÄN</t>
        </is>
      </c>
      <c r="E3401" t="inlineStr">
        <is>
          <t>SUNDSVALL</t>
        </is>
      </c>
      <c r="F3401" t="inlineStr">
        <is>
          <t>Naturvårdsverket</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26021-2025</t>
        </is>
      </c>
      <c r="B3402" s="1" t="n">
        <v>45804</v>
      </c>
      <c r="C3402" s="1" t="n">
        <v>45829</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45829</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45829</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45829</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25834-2025</t>
        </is>
      </c>
      <c r="B3406" s="1" t="n">
        <v>45804</v>
      </c>
      <c r="C3406" s="1" t="n">
        <v>45829</v>
      </c>
      <c r="D3406" t="inlineStr">
        <is>
          <t>VÄSTERNORRLANDS LÄN</t>
        </is>
      </c>
      <c r="E3406" t="inlineStr">
        <is>
          <t>SUNDSVALL</t>
        </is>
      </c>
      <c r="F3406" t="inlineStr">
        <is>
          <t>Naturvårdsverket</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45829</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26296-2025</t>
        </is>
      </c>
      <c r="B3408" s="1" t="n">
        <v>45805</v>
      </c>
      <c r="C3408" s="1" t="n">
        <v>45829</v>
      </c>
      <c r="D3408" t="inlineStr">
        <is>
          <t>VÄSTERNORRLANDS LÄN</t>
        </is>
      </c>
      <c r="E3408" t="inlineStr">
        <is>
          <t>SUNDSVALL</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26337-2025</t>
        </is>
      </c>
      <c r="B3409" s="1" t="n">
        <v>45805</v>
      </c>
      <c r="C3409" s="1" t="n">
        <v>45829</v>
      </c>
      <c r="D3409" t="inlineStr">
        <is>
          <t>VÄSTERNORRLANDS LÄN</t>
        </is>
      </c>
      <c r="E3409" t="inlineStr">
        <is>
          <t>SUNDSVALL</t>
        </is>
      </c>
      <c r="F3409" t="inlineStr">
        <is>
          <t>Naturvårdsverket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26317-2025</t>
        </is>
      </c>
      <c r="B3410" s="1" t="n">
        <v>45805</v>
      </c>
      <c r="C3410" s="1" t="n">
        <v>45829</v>
      </c>
      <c r="D3410" t="inlineStr">
        <is>
          <t>VÄSTERNORRLANDS LÄN</t>
        </is>
      </c>
      <c r="E3410" t="inlineStr">
        <is>
          <t>SUNDSVALL</t>
        </is>
      </c>
      <c r="F3410" t="inlineStr">
        <is>
          <t>SCA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26313-2025</t>
        </is>
      </c>
      <c r="B3411" s="1" t="n">
        <v>45805</v>
      </c>
      <c r="C3411" s="1" t="n">
        <v>45829</v>
      </c>
      <c r="D3411" t="inlineStr">
        <is>
          <t>VÄSTERNORRLANDS LÄN</t>
        </is>
      </c>
      <c r="E3411" t="inlineStr">
        <is>
          <t>SUNDSVALL</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26343-2025</t>
        </is>
      </c>
      <c r="B3412" s="1" t="n">
        <v>45805</v>
      </c>
      <c r="C3412" s="1" t="n">
        <v>45829</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26340-2025</t>
        </is>
      </c>
      <c r="B3413" s="1" t="n">
        <v>45805</v>
      </c>
      <c r="C3413" s="1" t="n">
        <v>45829</v>
      </c>
      <c r="D3413" t="inlineStr">
        <is>
          <t>VÄSTERNORRLANDS LÄN</t>
        </is>
      </c>
      <c r="E3413" t="inlineStr">
        <is>
          <t>SUNDSVALL</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26114-2025</t>
        </is>
      </c>
      <c r="B3414" s="1" t="n">
        <v>45805</v>
      </c>
      <c r="C3414" s="1" t="n">
        <v>45829</v>
      </c>
      <c r="D3414" t="inlineStr">
        <is>
          <t>VÄSTERNORRLANDS LÄN</t>
        </is>
      </c>
      <c r="E3414" t="inlineStr">
        <is>
          <t>SUNDSVALL</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45829</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45829</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26428-2025</t>
        </is>
      </c>
      <c r="B3417" s="1" t="n">
        <v>45807</v>
      </c>
      <c r="C3417" s="1" t="n">
        <v>45829</v>
      </c>
      <c r="D3417" t="inlineStr">
        <is>
          <t>VÄSTERNORRLANDS LÄN</t>
        </is>
      </c>
      <c r="E3417" t="inlineStr">
        <is>
          <t>SUNDSVALL</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26429-2025</t>
        </is>
      </c>
      <c r="B3418" s="1" t="n">
        <v>45807</v>
      </c>
      <c r="C3418" s="1" t="n">
        <v>45829</v>
      </c>
      <c r="D3418" t="inlineStr">
        <is>
          <t>VÄSTERNORRLANDS LÄN</t>
        </is>
      </c>
      <c r="E3418" t="inlineStr">
        <is>
          <t>SUNDSVALL</t>
        </is>
      </c>
      <c r="F3418" t="inlineStr">
        <is>
          <t>Naturvårdsverket</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26575-2025</t>
        </is>
      </c>
      <c r="B3419" s="1" t="n">
        <v>45807</v>
      </c>
      <c r="C3419" s="1" t="n">
        <v>45829</v>
      </c>
      <c r="D3419" t="inlineStr">
        <is>
          <t>VÄSTERNORRLANDS LÄN</t>
        </is>
      </c>
      <c r="E3419" t="inlineStr">
        <is>
          <t>SUNDSVALL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26408-2025</t>
        </is>
      </c>
      <c r="B3420" s="1" t="n">
        <v>45807</v>
      </c>
      <c r="C3420" s="1" t="n">
        <v>45829</v>
      </c>
      <c r="D3420" t="inlineStr">
        <is>
          <t>VÄSTERNORRLANDS LÄN</t>
        </is>
      </c>
      <c r="E3420" t="inlineStr">
        <is>
          <t>SUNDSVALL</t>
        </is>
      </c>
      <c r="F3420" t="inlineStr">
        <is>
          <t>Naturvårdsverket</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26430-2025</t>
        </is>
      </c>
      <c r="B3421" s="1" t="n">
        <v>45807</v>
      </c>
      <c r="C3421" s="1" t="n">
        <v>45829</v>
      </c>
      <c r="D3421" t="inlineStr">
        <is>
          <t>VÄSTERNORRLANDS LÄN</t>
        </is>
      </c>
      <c r="E3421" t="inlineStr">
        <is>
          <t>SUNDSVALL</t>
        </is>
      </c>
      <c r="F3421" t="inlineStr">
        <is>
          <t>SCA</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26427-2025</t>
        </is>
      </c>
      <c r="B3422" s="1" t="n">
        <v>45807</v>
      </c>
      <c r="C3422" s="1" t="n">
        <v>45829</v>
      </c>
      <c r="D3422" t="inlineStr">
        <is>
          <t>VÄSTERNORRLANDS LÄN</t>
        </is>
      </c>
      <c r="E3422" t="inlineStr">
        <is>
          <t>SUNDSVALL</t>
        </is>
      </c>
      <c r="F3422" t="inlineStr">
        <is>
          <t>Naturvårdsverket</t>
        </is>
      </c>
      <c r="G3422" t="n">
        <v>16.6</v>
      </c>
      <c r="H3422" t="n">
        <v>0</v>
      </c>
      <c r="I3422" t="n">
        <v>0</v>
      </c>
      <c r="J3422" t="n">
        <v>0</v>
      </c>
      <c r="K3422" t="n">
        <v>0</v>
      </c>
      <c r="L3422" t="n">
        <v>0</v>
      </c>
      <c r="M3422" t="n">
        <v>0</v>
      </c>
      <c r="N3422" t="n">
        <v>0</v>
      </c>
      <c r="O3422" t="n">
        <v>0</v>
      </c>
      <c r="P3422" t="n">
        <v>0</v>
      </c>
      <c r="Q3422" t="n">
        <v>0</v>
      </c>
      <c r="R3422" s="2" t="inlineStr"/>
    </row>
    <row r="3423" ht="15" customHeight="1">
      <c r="A3423" t="inlineStr">
        <is>
          <t>A 26459-2025</t>
        </is>
      </c>
      <c r="B3423" s="1" t="n">
        <v>45807</v>
      </c>
      <c r="C3423" s="1" t="n">
        <v>45829</v>
      </c>
      <c r="D3423" t="inlineStr">
        <is>
          <t>VÄSTERNORRLANDS LÄN</t>
        </is>
      </c>
      <c r="E3423" t="inlineStr">
        <is>
          <t>SUNDSVALL</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26836-2025</t>
        </is>
      </c>
      <c r="B3424" s="1" t="n">
        <v>45810</v>
      </c>
      <c r="C3424" s="1" t="n">
        <v>45829</v>
      </c>
      <c r="D3424" t="inlineStr">
        <is>
          <t>VÄSTERNORRLANDS LÄN</t>
        </is>
      </c>
      <c r="E3424" t="inlineStr">
        <is>
          <t>SUNDSVALL</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26746-2025</t>
        </is>
      </c>
      <c r="B3425" s="1" t="n">
        <v>45810</v>
      </c>
      <c r="C3425" s="1" t="n">
        <v>45829</v>
      </c>
      <c r="D3425" t="inlineStr">
        <is>
          <t>VÄSTERNORRLANDS LÄN</t>
        </is>
      </c>
      <c r="E3425" t="inlineStr">
        <is>
          <t>SUNDSVALL</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45829</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45829</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45829</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45829</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27065-2025</t>
        </is>
      </c>
      <c r="B3430" s="1" t="n">
        <v>45811</v>
      </c>
      <c r="C3430" s="1" t="n">
        <v>45829</v>
      </c>
      <c r="D3430" t="inlineStr">
        <is>
          <t>VÄSTERNORRLANDS LÄN</t>
        </is>
      </c>
      <c r="E3430" t="inlineStr">
        <is>
          <t>SUNDSVALL</t>
        </is>
      </c>
      <c r="F3430" t="inlineStr">
        <is>
          <t>Naturvårdsverket</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27099-2025</t>
        </is>
      </c>
      <c r="B3431" s="1" t="n">
        <v>45811</v>
      </c>
      <c r="C3431" s="1" t="n">
        <v>45829</v>
      </c>
      <c r="D3431" t="inlineStr">
        <is>
          <t>VÄSTERNORRLANDS LÄN</t>
        </is>
      </c>
      <c r="E3431" t="inlineStr">
        <is>
          <t>SUNDSVALL</t>
        </is>
      </c>
      <c r="F3431" t="inlineStr">
        <is>
          <t>Naturvårdsverket</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45829</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27169-2025</t>
        </is>
      </c>
      <c r="B3433" s="1" t="n">
        <v>45812</v>
      </c>
      <c r="C3433" s="1" t="n">
        <v>45829</v>
      </c>
      <c r="D3433" t="inlineStr">
        <is>
          <t>VÄSTERNORRLANDS LÄN</t>
        </is>
      </c>
      <c r="E3433" t="inlineStr">
        <is>
          <t>SUNDSVALL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45829</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45829</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45829</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45829</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45829</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27823-2025</t>
        </is>
      </c>
      <c r="B3439" s="1" t="n">
        <v>45817</v>
      </c>
      <c r="C3439" s="1" t="n">
        <v>45829</v>
      </c>
      <c r="D3439" t="inlineStr">
        <is>
          <t>VÄSTERNORRLANDS LÄN</t>
        </is>
      </c>
      <c r="E3439" t="inlineStr">
        <is>
          <t>SUNDSVALL</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45829</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28407-2025</t>
        </is>
      </c>
      <c r="B3441" s="1" t="n">
        <v>45819</v>
      </c>
      <c r="C3441" s="1" t="n">
        <v>45829</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45829</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45829</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28494-2025</t>
        </is>
      </c>
      <c r="B3444" s="1" t="n">
        <v>45819</v>
      </c>
      <c r="C3444" s="1" t="n">
        <v>45829</v>
      </c>
      <c r="D3444" t="inlineStr">
        <is>
          <t>VÄSTERNORRLANDS LÄN</t>
        </is>
      </c>
      <c r="E3444" t="inlineStr">
        <is>
          <t>SUNDSVALL</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45829</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29370-2025</t>
        </is>
      </c>
      <c r="B3446" s="1" t="n">
        <v>45824</v>
      </c>
      <c r="C3446" s="1" t="n">
        <v>45829</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45829</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45829</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29881-2025</t>
        </is>
      </c>
      <c r="B3449" s="1" t="n">
        <v>45826</v>
      </c>
      <c r="C3449" s="1" t="n">
        <v>45829</v>
      </c>
      <c r="D3449" t="inlineStr">
        <is>
          <t>VÄSTERNORRLANDS LÄN</t>
        </is>
      </c>
      <c r="E3449" t="inlineStr">
        <is>
          <t>SUNDSVALL</t>
        </is>
      </c>
      <c r="F3449" t="inlineStr">
        <is>
          <t>SCA</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29954-2025</t>
        </is>
      </c>
      <c r="B3450" s="1" t="n">
        <v>45826</v>
      </c>
      <c r="C3450" s="1" t="n">
        <v>45829</v>
      </c>
      <c r="D3450" t="inlineStr">
        <is>
          <t>VÄSTERNORRLANDS LÄN</t>
        </is>
      </c>
      <c r="E3450" t="inlineStr">
        <is>
          <t>SUNDSVALL</t>
        </is>
      </c>
      <c r="F3450" t="inlineStr">
        <is>
          <t>Naturvårdsverket</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29952-2025</t>
        </is>
      </c>
      <c r="B3451" s="1" t="n">
        <v>45826</v>
      </c>
      <c r="C3451" s="1" t="n">
        <v>45829</v>
      </c>
      <c r="D3451" t="inlineStr">
        <is>
          <t>VÄSTERNORRLANDS LÄN</t>
        </is>
      </c>
      <c r="E3451" t="inlineStr">
        <is>
          <t>SUNDSVALL</t>
        </is>
      </c>
      <c r="F3451" t="inlineStr">
        <is>
          <t>Naturvårdsverket</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29852-2025</t>
        </is>
      </c>
      <c r="B3452" s="1" t="n">
        <v>45826</v>
      </c>
      <c r="C3452" s="1" t="n">
        <v>45829</v>
      </c>
      <c r="D3452" t="inlineStr">
        <is>
          <t>VÄSTERNORRLANDS LÄN</t>
        </is>
      </c>
      <c r="E3452" t="inlineStr">
        <is>
          <t>SUNDSVALL</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29923-2025</t>
        </is>
      </c>
      <c r="B3453" s="1" t="n">
        <v>45826</v>
      </c>
      <c r="C3453" s="1" t="n">
        <v>45829</v>
      </c>
      <c r="D3453" t="inlineStr">
        <is>
          <t>VÄSTERNORRLANDS LÄN</t>
        </is>
      </c>
      <c r="E3453" t="inlineStr">
        <is>
          <t>SUNDSVALL</t>
        </is>
      </c>
      <c r="F3453" t="inlineStr">
        <is>
          <t>Naturvårdsverket</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29970-2025</t>
        </is>
      </c>
      <c r="B3454" s="1" t="n">
        <v>45826</v>
      </c>
      <c r="C3454" s="1" t="n">
        <v>45829</v>
      </c>
      <c r="D3454" t="inlineStr">
        <is>
          <t>VÄSTERNORRLANDS LÄN</t>
        </is>
      </c>
      <c r="E3454" t="inlineStr">
        <is>
          <t>SUNDSVALL</t>
        </is>
      </c>
      <c r="F3454" t="inlineStr">
        <is>
          <t>Naturvårdsverket</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29973-2025</t>
        </is>
      </c>
      <c r="B3455" s="1" t="n">
        <v>45826</v>
      </c>
      <c r="C3455" s="1" t="n">
        <v>45829</v>
      </c>
      <c r="D3455" t="inlineStr">
        <is>
          <t>VÄSTERNORRLANDS LÄN</t>
        </is>
      </c>
      <c r="E3455" t="inlineStr">
        <is>
          <t>SUNDSVALL</t>
        </is>
      </c>
      <c r="F3455" t="inlineStr">
        <is>
          <t>Naturvårdsverket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29955-2025</t>
        </is>
      </c>
      <c r="B3456" s="1" t="n">
        <v>45826</v>
      </c>
      <c r="C3456" s="1" t="n">
        <v>45829</v>
      </c>
      <c r="D3456" t="inlineStr">
        <is>
          <t>VÄSTERNORRLANDS LÄN</t>
        </is>
      </c>
      <c r="E3456" t="inlineStr">
        <is>
          <t>SUNDSVALL</t>
        </is>
      </c>
      <c r="F3456" t="inlineStr">
        <is>
          <t>Naturvårdsverket</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30394-2025</t>
        </is>
      </c>
      <c r="B3457" s="1" t="n">
        <v>45827</v>
      </c>
      <c r="C3457" s="1" t="n">
        <v>45829</v>
      </c>
      <c r="D3457" t="inlineStr">
        <is>
          <t>VÄSTERNORRLANDS LÄN</t>
        </is>
      </c>
      <c r="E3457" t="inlineStr">
        <is>
          <t>SUNDSVALL</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30259-2025</t>
        </is>
      </c>
      <c r="B3458" s="1" t="n">
        <v>45827</v>
      </c>
      <c r="C3458" s="1" t="n">
        <v>45829</v>
      </c>
      <c r="D3458" t="inlineStr">
        <is>
          <t>VÄSTERNORRLANDS LÄN</t>
        </is>
      </c>
      <c r="E3458" t="inlineStr">
        <is>
          <t>SUNDSVALL</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30213-2025</t>
        </is>
      </c>
      <c r="B3459" s="1" t="n">
        <v>45827</v>
      </c>
      <c r="C3459" s="1" t="n">
        <v>45829</v>
      </c>
      <c r="D3459" t="inlineStr">
        <is>
          <t>VÄSTERNORRLANDS LÄN</t>
        </is>
      </c>
      <c r="E3459" t="inlineStr">
        <is>
          <t>SUNDSVALL</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30464-2025</t>
        </is>
      </c>
      <c r="B3460" s="1" t="n">
        <v>45827</v>
      </c>
      <c r="C3460" s="1" t="n">
        <v>45829</v>
      </c>
      <c r="D3460" t="inlineStr">
        <is>
          <t>VÄSTERNORRLANDS LÄN</t>
        </is>
      </c>
      <c r="E3460" t="inlineStr">
        <is>
          <t>SUNDSVALL</t>
        </is>
      </c>
      <c r="G3460" t="n">
        <v>1.7</v>
      </c>
      <c r="H3460" t="n">
        <v>0</v>
      </c>
      <c r="I3460" t="n">
        <v>0</v>
      </c>
      <c r="J3460" t="n">
        <v>0</v>
      </c>
      <c r="K3460" t="n">
        <v>0</v>
      </c>
      <c r="L3460" t="n">
        <v>0</v>
      </c>
      <c r="M3460" t="n">
        <v>0</v>
      </c>
      <c r="N3460" t="n">
        <v>0</v>
      </c>
      <c r="O3460" t="n">
        <v>0</v>
      </c>
      <c r="P3460" t="n">
        <v>0</v>
      </c>
      <c r="Q3460" t="n">
        <v>0</v>
      </c>
      <c r="R3460" s="2" t="inlineStr"/>
    </row>
    <row r="3461">
      <c r="A3461" t="inlineStr">
        <is>
          <t>A 30268-2025</t>
        </is>
      </c>
      <c r="B3461" s="1" t="n">
        <v>45827</v>
      </c>
      <c r="C3461" s="1" t="n">
        <v>45829</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2025-06-21T19:13:13Z</dcterms:created>
  <dcterms:modified xmlns:dcterms="http://purl.org/dc/terms/" xmlns:xsi="http://www.w3.org/2001/XMLSchema-instance" xsi:type="dcterms:W3CDTF">2025-06-21T19:13:16Z</dcterms:modified>
</cp:coreProperties>
</file>