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45578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45578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45578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45578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45578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45578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45578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45578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45578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45578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45578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45578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45578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45578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45578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45578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45578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45578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45578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45578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45578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45578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45578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45578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45578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45578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45578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45578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45578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45578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45578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45578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45578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45578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45578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45578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45578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45578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45578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45578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45578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45578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45578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45578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45578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45578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45578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45578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45578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45578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45578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45578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45949-2023</t>
        </is>
      </c>
      <c r="B54" s="1" t="n">
        <v>45195</v>
      </c>
      <c r="C54" s="1" t="n">
        <v>45578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29.1</v>
      </c>
      <c r="H54" t="n">
        <v>4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Tretåig hackspett
Plattlummer</t>
        </is>
      </c>
      <c r="S54">
        <f>HYPERLINK("https://klasma.github.io/Logging_2281/artfynd/A 45949-2023 artfynd.xlsx", "A 45949-2023")</f>
        <v/>
      </c>
      <c r="T54">
        <f>HYPERLINK("https://klasma.github.io/Logging_2281/kartor/A 45949-2023 karta.png", "A 45949-2023")</f>
        <v/>
      </c>
      <c r="U54">
        <f>HYPERLINK("https://klasma.github.io/Logging_2281/knärot/A 45949-2023 karta knärot.png", "A 45949-2023")</f>
        <v/>
      </c>
      <c r="V54">
        <f>HYPERLINK("https://klasma.github.io/Logging_2281/klagomål/A 45949-2023 FSC-klagomål.docx", "A 45949-2023")</f>
        <v/>
      </c>
      <c r="W54">
        <f>HYPERLINK("https://klasma.github.io/Logging_2281/klagomålsmail/A 45949-2023 FSC-klagomål mail.docx", "A 45949-2023")</f>
        <v/>
      </c>
      <c r="X54">
        <f>HYPERLINK("https://klasma.github.io/Logging_2281/tillsyn/A 45949-2023 tillsynsbegäran.docx", "A 45949-2023")</f>
        <v/>
      </c>
      <c r="Y54">
        <f>HYPERLINK("https://klasma.github.io/Logging_2281/tillsynsmail/A 45949-2023 tillsynsbegäran mail.docx", "A 45949-2023")</f>
        <v/>
      </c>
      <c r="Z54">
        <f>HYPERLINK("https://klasma.github.io/Logging_2281/fåglar/A 45949-2023 prioriterade fågelarter.docx", "A 45949-2023")</f>
        <v/>
      </c>
    </row>
    <row r="55" ht="15" customHeight="1">
      <c r="A55" t="inlineStr">
        <is>
          <t>A 53044-2023</t>
        </is>
      </c>
      <c r="B55" s="1" t="n">
        <v>45226</v>
      </c>
      <c r="C55" s="1" t="n">
        <v>45578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Lunglav
Ullticka
Stuplav</t>
        </is>
      </c>
      <c r="S55">
        <f>HYPERLINK("https://klasma.github.io/Logging_2281/artfynd/A 53044-2023 artfynd.xlsx", "A 53044-2023")</f>
        <v/>
      </c>
      <c r="T55">
        <f>HYPERLINK("https://klasma.github.io/Logging_2281/kartor/A 53044-2023 karta.png", "A 53044-2023")</f>
        <v/>
      </c>
      <c r="V55">
        <f>HYPERLINK("https://klasma.github.io/Logging_2281/klagomål/A 53044-2023 FSC-klagomål.docx", "A 53044-2023")</f>
        <v/>
      </c>
      <c r="W55">
        <f>HYPERLINK("https://klasma.github.io/Logging_2281/klagomålsmail/A 53044-2023 FSC-klagomål mail.docx", "A 53044-2023")</f>
        <v/>
      </c>
      <c r="X55">
        <f>HYPERLINK("https://klasma.github.io/Logging_2281/tillsyn/A 53044-2023 tillsynsbegäran.docx", "A 53044-2023")</f>
        <v/>
      </c>
      <c r="Y55">
        <f>HYPERLINK("https://klasma.github.io/Logging_2281/tillsynsmail/A 53044-2023 tillsynsbegäran mail.docx", "A 53044-2023")</f>
        <v/>
      </c>
    </row>
    <row r="56" ht="15" customHeight="1">
      <c r="A56" t="inlineStr">
        <is>
          <t>A 65041-2019</t>
        </is>
      </c>
      <c r="B56" s="1" t="n">
        <v>43801</v>
      </c>
      <c r="C56" s="1" t="n">
        <v>45578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Naturvårdsverket</t>
        </is>
      </c>
      <c r="G56" t="n">
        <v>33.1</v>
      </c>
      <c r="H56" t="n">
        <v>2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Spillkråka
Tretåig hackspett</t>
        </is>
      </c>
      <c r="S56">
        <f>HYPERLINK("https://klasma.github.io/Logging_2281/artfynd/A 65041-2019 artfynd.xlsx", "A 65041-2019")</f>
        <v/>
      </c>
      <c r="T56">
        <f>HYPERLINK("https://klasma.github.io/Logging_2281/kartor/A 65041-2019 karta.png", "A 65041-2019")</f>
        <v/>
      </c>
      <c r="V56">
        <f>HYPERLINK("https://klasma.github.io/Logging_2281/klagomål/A 65041-2019 FSC-klagomål.docx", "A 65041-2019")</f>
        <v/>
      </c>
      <c r="W56">
        <f>HYPERLINK("https://klasma.github.io/Logging_2281/klagomålsmail/A 65041-2019 FSC-klagomål mail.docx", "A 65041-2019")</f>
        <v/>
      </c>
      <c r="X56">
        <f>HYPERLINK("https://klasma.github.io/Logging_2281/tillsyn/A 65041-2019 tillsynsbegäran.docx", "A 65041-2019")</f>
        <v/>
      </c>
      <c r="Y56">
        <f>HYPERLINK("https://klasma.github.io/Logging_2281/tillsynsmail/A 65041-2019 tillsynsbegäran mail.docx", "A 65041-2019")</f>
        <v/>
      </c>
      <c r="Z56">
        <f>HYPERLINK("https://klasma.github.io/Logging_2281/fåglar/A 65041-2019 prioriterade fågelarter.docx", "A 65041-2019")</f>
        <v/>
      </c>
    </row>
    <row r="57" ht="15" customHeight="1">
      <c r="A57" t="inlineStr">
        <is>
          <t>A 22407-2020</t>
        </is>
      </c>
      <c r="B57" s="1" t="n">
        <v>43962</v>
      </c>
      <c r="C57" s="1" t="n">
        <v>45578</v>
      </c>
      <c r="D57" t="inlineStr">
        <is>
          <t>VÄSTERNORRLANDS LÄN</t>
        </is>
      </c>
      <c r="E57" t="inlineStr">
        <is>
          <t>SUNDSVALL</t>
        </is>
      </c>
      <c r="G57" t="n">
        <v>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Slåtterfibbla
Ullticka
Dropptaggsvamp</t>
        </is>
      </c>
      <c r="S57">
        <f>HYPERLINK("https://klasma.github.io/Logging_2281/artfynd/A 22407-2020 artfynd.xlsx", "A 22407-2020")</f>
        <v/>
      </c>
      <c r="T57">
        <f>HYPERLINK("https://klasma.github.io/Logging_2281/kartor/A 22407-2020 karta.png", "A 22407-2020")</f>
        <v/>
      </c>
      <c r="U57">
        <f>HYPERLINK("https://klasma.github.io/Logging_2281/knärot/A 22407-2020 karta knärot.png", "A 22407-2020")</f>
        <v/>
      </c>
      <c r="V57">
        <f>HYPERLINK("https://klasma.github.io/Logging_2281/klagomål/A 22407-2020 FSC-klagomål.docx", "A 22407-2020")</f>
        <v/>
      </c>
      <c r="W57">
        <f>HYPERLINK("https://klasma.github.io/Logging_2281/klagomålsmail/A 22407-2020 FSC-klagomål mail.docx", "A 22407-2020")</f>
        <v/>
      </c>
      <c r="X57">
        <f>HYPERLINK("https://klasma.github.io/Logging_2281/tillsyn/A 22407-2020 tillsynsbegäran.docx", "A 22407-2020")</f>
        <v/>
      </c>
      <c r="Y57">
        <f>HYPERLINK("https://klasma.github.io/Logging_2281/tillsynsmail/A 22407-2020 tillsynsbegäran mail.docx", "A 22407-2020")</f>
        <v/>
      </c>
    </row>
    <row r="58" ht="15" customHeight="1">
      <c r="A58" t="inlineStr">
        <is>
          <t>A 39080-2020</t>
        </is>
      </c>
      <c r="B58" s="1" t="n">
        <v>44062</v>
      </c>
      <c r="C58" s="1" t="n">
        <v>45578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Skrovellav
Blåsippa</t>
        </is>
      </c>
      <c r="S58">
        <f>HYPERLINK("https://klasma.github.io/Logging_2281/artfynd/A 39080-2020 artfynd.xlsx", "A 39080-2020")</f>
        <v/>
      </c>
      <c r="T58">
        <f>HYPERLINK("https://klasma.github.io/Logging_2281/kartor/A 39080-2020 karta.png", "A 39080-2020")</f>
        <v/>
      </c>
      <c r="U58">
        <f>HYPERLINK("https://klasma.github.io/Logging_2281/knärot/A 39080-2020 karta knärot.png", "A 39080-2020")</f>
        <v/>
      </c>
      <c r="V58">
        <f>HYPERLINK("https://klasma.github.io/Logging_2281/klagomål/A 39080-2020 FSC-klagomål.docx", "A 39080-2020")</f>
        <v/>
      </c>
      <c r="W58">
        <f>HYPERLINK("https://klasma.github.io/Logging_2281/klagomålsmail/A 39080-2020 FSC-klagomål mail.docx", "A 39080-2020")</f>
        <v/>
      </c>
      <c r="X58">
        <f>HYPERLINK("https://klasma.github.io/Logging_2281/tillsyn/A 39080-2020 tillsynsbegäran.docx", "A 39080-2020")</f>
        <v/>
      </c>
      <c r="Y58">
        <f>HYPERLINK("https://klasma.github.io/Logging_2281/tillsynsmail/A 39080-2020 tillsynsbegäran mail.docx", "A 39080-2020")</f>
        <v/>
      </c>
    </row>
    <row r="59" ht="15" customHeight="1">
      <c r="A59" t="inlineStr">
        <is>
          <t>A 24268-2021</t>
        </is>
      </c>
      <c r="B59" s="1" t="n">
        <v>44336</v>
      </c>
      <c r="C59" s="1" t="n">
        <v>45578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5.4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Fläcknycklar
Revlummer</t>
        </is>
      </c>
      <c r="S59">
        <f>HYPERLINK("https://klasma.github.io/Logging_2281/artfynd/A 24268-2021 artfynd.xlsx", "A 24268-2021")</f>
        <v/>
      </c>
      <c r="T59">
        <f>HYPERLINK("https://klasma.github.io/Logging_2281/kartor/A 24268-2021 karta.png", "A 24268-2021")</f>
        <v/>
      </c>
      <c r="V59">
        <f>HYPERLINK("https://klasma.github.io/Logging_2281/klagomål/A 24268-2021 FSC-klagomål.docx", "A 24268-2021")</f>
        <v/>
      </c>
      <c r="W59">
        <f>HYPERLINK("https://klasma.github.io/Logging_2281/klagomålsmail/A 24268-2021 FSC-klagomål mail.docx", "A 24268-2021")</f>
        <v/>
      </c>
      <c r="X59">
        <f>HYPERLINK("https://klasma.github.io/Logging_2281/tillsyn/A 24268-2021 tillsynsbegäran.docx", "A 24268-2021")</f>
        <v/>
      </c>
      <c r="Y59">
        <f>HYPERLINK("https://klasma.github.io/Logging_2281/tillsynsmail/A 24268-2021 tillsynsbegäran mail.docx", "A 24268-2021")</f>
        <v/>
      </c>
    </row>
    <row r="60" ht="15" customHeight="1">
      <c r="A60" t="inlineStr">
        <is>
          <t>A 11351-2022</t>
        </is>
      </c>
      <c r="B60" s="1" t="n">
        <v>44630</v>
      </c>
      <c r="C60" s="1" t="n">
        <v>45578</v>
      </c>
      <c r="D60" t="inlineStr">
        <is>
          <t>VÄSTERNORRLANDS LÄN</t>
        </is>
      </c>
      <c r="E60" t="inlineStr">
        <is>
          <t>SUNDSVALL</t>
        </is>
      </c>
      <c r="G60" t="n">
        <v>12.1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Vedskivlav
Kornig nållav</t>
        </is>
      </c>
      <c r="S60">
        <f>HYPERLINK("https://klasma.github.io/Logging_2281/artfynd/A 11351-2022 artfynd.xlsx", "A 11351-2022")</f>
        <v/>
      </c>
      <c r="T60">
        <f>HYPERLINK("https://klasma.github.io/Logging_2281/kartor/A 11351-2022 karta.png", "A 11351-2022")</f>
        <v/>
      </c>
      <c r="U60">
        <f>HYPERLINK("https://klasma.github.io/Logging_2281/knärot/A 11351-2022 karta knärot.png", "A 11351-2022")</f>
        <v/>
      </c>
      <c r="V60">
        <f>HYPERLINK("https://klasma.github.io/Logging_2281/klagomål/A 11351-2022 FSC-klagomål.docx", "A 11351-2022")</f>
        <v/>
      </c>
      <c r="W60">
        <f>HYPERLINK("https://klasma.github.io/Logging_2281/klagomålsmail/A 11351-2022 FSC-klagomål mail.docx", "A 11351-2022")</f>
        <v/>
      </c>
      <c r="X60">
        <f>HYPERLINK("https://klasma.github.io/Logging_2281/tillsyn/A 11351-2022 tillsynsbegäran.docx", "A 11351-2022")</f>
        <v/>
      </c>
      <c r="Y60">
        <f>HYPERLINK("https://klasma.github.io/Logging_2281/tillsynsmail/A 11351-2022 tillsynsbegäran mail.docx", "A 11351-2022")</f>
        <v/>
      </c>
    </row>
    <row r="61" ht="15" customHeight="1">
      <c r="A61" t="inlineStr">
        <is>
          <t>A 14677-2022</t>
        </is>
      </c>
      <c r="B61" s="1" t="n">
        <v>44655</v>
      </c>
      <c r="C61" s="1" t="n">
        <v>45578</v>
      </c>
      <c r="D61" t="inlineStr">
        <is>
          <t>VÄSTERNORRLANDS LÄN</t>
        </is>
      </c>
      <c r="E61" t="inlineStr">
        <is>
          <t>SUNDSVALL</t>
        </is>
      </c>
      <c r="G61" t="n">
        <v>12.9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Gammelgransskål
Tretåig hackspett</t>
        </is>
      </c>
      <c r="S61">
        <f>HYPERLINK("https://klasma.github.io/Logging_2281/artfynd/A 14677-2022 artfynd.xlsx", "A 14677-2022")</f>
        <v/>
      </c>
      <c r="T61">
        <f>HYPERLINK("https://klasma.github.io/Logging_2281/kartor/A 14677-2022 karta.png", "A 14677-2022")</f>
        <v/>
      </c>
      <c r="U61">
        <f>HYPERLINK("https://klasma.github.io/Logging_2281/knärot/A 14677-2022 karta knärot.png", "A 14677-2022")</f>
        <v/>
      </c>
      <c r="V61">
        <f>HYPERLINK("https://klasma.github.io/Logging_2281/klagomål/A 14677-2022 FSC-klagomål.docx", "A 14677-2022")</f>
        <v/>
      </c>
      <c r="W61">
        <f>HYPERLINK("https://klasma.github.io/Logging_2281/klagomålsmail/A 14677-2022 FSC-klagomål mail.docx", "A 14677-2022")</f>
        <v/>
      </c>
      <c r="X61">
        <f>HYPERLINK("https://klasma.github.io/Logging_2281/tillsyn/A 14677-2022 tillsynsbegäran.docx", "A 14677-2022")</f>
        <v/>
      </c>
      <c r="Y61">
        <f>HYPERLINK("https://klasma.github.io/Logging_2281/tillsynsmail/A 14677-2022 tillsynsbegäran mail.docx", "A 14677-2022")</f>
        <v/>
      </c>
      <c r="Z61">
        <f>HYPERLINK("https://klasma.github.io/Logging_2281/fåglar/A 14677-2022 prioriterade fågelarter.docx", "A 14677-2022")</f>
        <v/>
      </c>
    </row>
    <row r="62" ht="15" customHeight="1">
      <c r="A62" t="inlineStr">
        <is>
          <t>A 21662-2022</t>
        </is>
      </c>
      <c r="B62" s="1" t="n">
        <v>44706</v>
      </c>
      <c r="C62" s="1" t="n">
        <v>45578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3.2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Vedtrappmossa
Revlummer</t>
        </is>
      </c>
      <c r="S62">
        <f>HYPERLINK("https://klasma.github.io/Logging_2281/artfynd/A 21662-2022 artfynd.xlsx", "A 21662-2022")</f>
        <v/>
      </c>
      <c r="T62">
        <f>HYPERLINK("https://klasma.github.io/Logging_2281/kartor/A 21662-2022 karta.png", "A 21662-2022")</f>
        <v/>
      </c>
      <c r="V62">
        <f>HYPERLINK("https://klasma.github.io/Logging_2281/klagomål/A 21662-2022 FSC-klagomål.docx", "A 21662-2022")</f>
        <v/>
      </c>
      <c r="W62">
        <f>HYPERLINK("https://klasma.github.io/Logging_2281/klagomålsmail/A 21662-2022 FSC-klagomål mail.docx", "A 21662-2022")</f>
        <v/>
      </c>
      <c r="X62">
        <f>HYPERLINK("https://klasma.github.io/Logging_2281/tillsyn/A 21662-2022 tillsynsbegäran.docx", "A 21662-2022")</f>
        <v/>
      </c>
      <c r="Y62">
        <f>HYPERLINK("https://klasma.github.io/Logging_2281/tillsynsmail/A 21662-2022 tillsynsbegäran mail.docx", "A 21662-2022")</f>
        <v/>
      </c>
    </row>
    <row r="63" ht="15" customHeight="1">
      <c r="A63" t="inlineStr">
        <is>
          <t>A 8680-2023</t>
        </is>
      </c>
      <c r="B63" s="1" t="n">
        <v>44977</v>
      </c>
      <c r="C63" s="1" t="n">
        <v>45578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10.1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Ullticka</t>
        </is>
      </c>
      <c r="S63">
        <f>HYPERLINK("https://klasma.github.io/Logging_2281/artfynd/A 8680-2023 artfynd.xlsx", "A 8680-2023")</f>
        <v/>
      </c>
      <c r="T63">
        <f>HYPERLINK("https://klasma.github.io/Logging_2281/kartor/A 8680-2023 karta.png", "A 8680-2023")</f>
        <v/>
      </c>
      <c r="V63">
        <f>HYPERLINK("https://klasma.github.io/Logging_2281/klagomål/A 8680-2023 FSC-klagomål.docx", "A 8680-2023")</f>
        <v/>
      </c>
      <c r="W63">
        <f>HYPERLINK("https://klasma.github.io/Logging_2281/klagomålsmail/A 8680-2023 FSC-klagomål mail.docx", "A 8680-2023")</f>
        <v/>
      </c>
      <c r="X63">
        <f>HYPERLINK("https://klasma.github.io/Logging_2281/tillsyn/A 8680-2023 tillsynsbegäran.docx", "A 8680-2023")</f>
        <v/>
      </c>
      <c r="Y63">
        <f>HYPERLINK("https://klasma.github.io/Logging_2281/tillsynsmail/A 8680-2023 tillsynsbegäran mail.docx", "A 8680-2023")</f>
        <v/>
      </c>
    </row>
    <row r="64" ht="15" customHeight="1">
      <c r="A64" t="inlineStr">
        <is>
          <t>A 16377-2023</t>
        </is>
      </c>
      <c r="B64" s="1" t="n">
        <v>45028</v>
      </c>
      <c r="C64" s="1" t="n">
        <v>45578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4.9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Plattlummer
Skinnlav</t>
        </is>
      </c>
      <c r="S64">
        <f>HYPERLINK("https://klasma.github.io/Logging_2281/artfynd/A 16377-2023 artfynd.xlsx", "A 16377-2023")</f>
        <v/>
      </c>
      <c r="T64">
        <f>HYPERLINK("https://klasma.github.io/Logging_2281/kartor/A 16377-2023 karta.png", "A 16377-2023")</f>
        <v/>
      </c>
      <c r="V64">
        <f>HYPERLINK("https://klasma.github.io/Logging_2281/klagomål/A 16377-2023 FSC-klagomål.docx", "A 16377-2023")</f>
        <v/>
      </c>
      <c r="W64">
        <f>HYPERLINK("https://klasma.github.io/Logging_2281/klagomålsmail/A 16377-2023 FSC-klagomål mail.docx", "A 16377-2023")</f>
        <v/>
      </c>
      <c r="X64">
        <f>HYPERLINK("https://klasma.github.io/Logging_2281/tillsyn/A 16377-2023 tillsynsbegäran.docx", "A 16377-2023")</f>
        <v/>
      </c>
      <c r="Y64">
        <f>HYPERLINK("https://klasma.github.io/Logging_2281/tillsynsmail/A 16377-2023 tillsynsbegäran mail.docx", "A 16377-2023")</f>
        <v/>
      </c>
    </row>
    <row r="65" ht="15" customHeight="1">
      <c r="A65" t="inlineStr">
        <is>
          <t>A 27390-2023</t>
        </is>
      </c>
      <c r="B65" s="1" t="n">
        <v>45096</v>
      </c>
      <c r="C65" s="1" t="n">
        <v>45578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14.3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Lunglav
Vedticka
Blåsippa</t>
        </is>
      </c>
      <c r="S65">
        <f>HYPERLINK("https://klasma.github.io/Logging_2281/artfynd/A 27390-2023 artfynd.xlsx", "A 27390-2023")</f>
        <v/>
      </c>
      <c r="T65">
        <f>HYPERLINK("https://klasma.github.io/Logging_2281/kartor/A 27390-2023 karta.png", "A 27390-2023")</f>
        <v/>
      </c>
      <c r="V65">
        <f>HYPERLINK("https://klasma.github.io/Logging_2281/klagomål/A 27390-2023 FSC-klagomål.docx", "A 27390-2023")</f>
        <v/>
      </c>
      <c r="W65">
        <f>HYPERLINK("https://klasma.github.io/Logging_2281/klagomålsmail/A 27390-2023 FSC-klagomål mail.docx", "A 27390-2023")</f>
        <v/>
      </c>
      <c r="X65">
        <f>HYPERLINK("https://klasma.github.io/Logging_2281/tillsyn/A 27390-2023 tillsynsbegäran.docx", "A 27390-2023")</f>
        <v/>
      </c>
      <c r="Y65">
        <f>HYPERLINK("https://klasma.github.io/Logging_2281/tillsynsmail/A 27390-2023 tillsynsbegäran mail.docx", "A 27390-2023")</f>
        <v/>
      </c>
    </row>
    <row r="66" ht="15" customHeight="1">
      <c r="A66" t="inlineStr">
        <is>
          <t>A 27734-2023</t>
        </is>
      </c>
      <c r="B66" s="1" t="n">
        <v>45098</v>
      </c>
      <c r="C66" s="1" t="n">
        <v>45578</v>
      </c>
      <c r="D66" t="inlineStr">
        <is>
          <t>VÄSTERNORRLANDS LÄN</t>
        </is>
      </c>
      <c r="E66" t="inlineStr">
        <is>
          <t>SUNDSVALL</t>
        </is>
      </c>
      <c r="G66" t="n">
        <v>0.8</v>
      </c>
      <c r="H66" t="n">
        <v>3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Grönfink
Björktrast
Skogsduva</t>
        </is>
      </c>
      <c r="S66">
        <f>HYPERLINK("https://klasma.github.io/Logging_2281/artfynd/A 27734-2023 artfynd.xlsx", "A 27734-2023")</f>
        <v/>
      </c>
      <c r="T66">
        <f>HYPERLINK("https://klasma.github.io/Logging_2281/kartor/A 27734-2023 karta.png", "A 27734-2023")</f>
        <v/>
      </c>
      <c r="V66">
        <f>HYPERLINK("https://klasma.github.io/Logging_2281/klagomål/A 27734-2023 FSC-klagomål.docx", "A 27734-2023")</f>
        <v/>
      </c>
      <c r="W66">
        <f>HYPERLINK("https://klasma.github.io/Logging_2281/klagomålsmail/A 27734-2023 FSC-klagomål mail.docx", "A 27734-2023")</f>
        <v/>
      </c>
      <c r="X66">
        <f>HYPERLINK("https://klasma.github.io/Logging_2281/tillsyn/A 27734-2023 tillsynsbegäran.docx", "A 27734-2023")</f>
        <v/>
      </c>
      <c r="Y66">
        <f>HYPERLINK("https://klasma.github.io/Logging_2281/tillsynsmail/A 27734-2023 tillsynsbegäran mail.docx", "A 27734-2023")</f>
        <v/>
      </c>
      <c r="Z66">
        <f>HYPERLINK("https://klasma.github.io/Logging_2281/fåglar/A 27734-2023 prioriterade fågelarter.docx", "A 27734-2023")</f>
        <v/>
      </c>
    </row>
    <row r="67" ht="15" customHeight="1">
      <c r="A67" t="inlineStr">
        <is>
          <t>A 38096-2023</t>
        </is>
      </c>
      <c r="B67" s="1" t="n">
        <v>45160</v>
      </c>
      <c r="C67" s="1" t="n">
        <v>45578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3.6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Blå taggsvamp
Lunglav
Dropptaggsvamp</t>
        </is>
      </c>
      <c r="S67">
        <f>HYPERLINK("https://klasma.github.io/Logging_2281/artfynd/A 38096-2023 artfynd.xlsx", "A 38096-2023")</f>
        <v/>
      </c>
      <c r="T67">
        <f>HYPERLINK("https://klasma.github.io/Logging_2281/kartor/A 38096-2023 karta.png", "A 38096-2023")</f>
        <v/>
      </c>
      <c r="V67">
        <f>HYPERLINK("https://klasma.github.io/Logging_2281/klagomål/A 38096-2023 FSC-klagomål.docx", "A 38096-2023")</f>
        <v/>
      </c>
      <c r="W67">
        <f>HYPERLINK("https://klasma.github.io/Logging_2281/klagomålsmail/A 38096-2023 FSC-klagomål mail.docx", "A 38096-2023")</f>
        <v/>
      </c>
      <c r="X67">
        <f>HYPERLINK("https://klasma.github.io/Logging_2281/tillsyn/A 38096-2023 tillsynsbegäran.docx", "A 38096-2023")</f>
        <v/>
      </c>
      <c r="Y67">
        <f>HYPERLINK("https://klasma.github.io/Logging_2281/tillsynsmail/A 38096-2023 tillsynsbegäran mail.docx", "A 38096-2023")</f>
        <v/>
      </c>
    </row>
    <row r="68" ht="15" customHeight="1">
      <c r="A68" t="inlineStr">
        <is>
          <t>A 54621-2023</t>
        </is>
      </c>
      <c r="B68" s="1" t="n">
        <v>45233</v>
      </c>
      <c r="C68" s="1" t="n">
        <v>45578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3.9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Kolflarnlav
Tallticka
Ullticka</t>
        </is>
      </c>
      <c r="S68">
        <f>HYPERLINK("https://klasma.github.io/Logging_2281/artfynd/A 54621-2023 artfynd.xlsx", "A 54621-2023")</f>
        <v/>
      </c>
      <c r="T68">
        <f>HYPERLINK("https://klasma.github.io/Logging_2281/kartor/A 54621-2023 karta.png", "A 54621-2023")</f>
        <v/>
      </c>
      <c r="V68">
        <f>HYPERLINK("https://klasma.github.io/Logging_2281/klagomål/A 54621-2023 FSC-klagomål.docx", "A 54621-2023")</f>
        <v/>
      </c>
      <c r="W68">
        <f>HYPERLINK("https://klasma.github.io/Logging_2281/klagomålsmail/A 54621-2023 FSC-klagomål mail.docx", "A 54621-2023")</f>
        <v/>
      </c>
      <c r="X68">
        <f>HYPERLINK("https://klasma.github.io/Logging_2281/tillsyn/A 54621-2023 tillsynsbegäran.docx", "A 54621-2023")</f>
        <v/>
      </c>
      <c r="Y68">
        <f>HYPERLINK("https://klasma.github.io/Logging_2281/tillsynsmail/A 54621-2023 tillsynsbegäran mail.docx", "A 54621-2023")</f>
        <v/>
      </c>
    </row>
    <row r="69" ht="15" customHeight="1">
      <c r="A69" t="inlineStr">
        <is>
          <t>A 60864-2023</t>
        </is>
      </c>
      <c r="B69" s="1" t="n">
        <v>45260</v>
      </c>
      <c r="C69" s="1" t="n">
        <v>45578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0.9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Tretåig hackspett
Dropptaggsvamp
Vedticka</t>
        </is>
      </c>
      <c r="S69">
        <f>HYPERLINK("https://klasma.github.io/Logging_2281/artfynd/A 60864-2023 artfynd.xlsx", "A 60864-2023")</f>
        <v/>
      </c>
      <c r="T69">
        <f>HYPERLINK("https://klasma.github.io/Logging_2281/kartor/A 60864-2023 karta.png", "A 60864-2023")</f>
        <v/>
      </c>
      <c r="V69">
        <f>HYPERLINK("https://klasma.github.io/Logging_2281/klagomål/A 60864-2023 FSC-klagomål.docx", "A 60864-2023")</f>
        <v/>
      </c>
      <c r="W69">
        <f>HYPERLINK("https://klasma.github.io/Logging_2281/klagomålsmail/A 60864-2023 FSC-klagomål mail.docx", "A 60864-2023")</f>
        <v/>
      </c>
      <c r="X69">
        <f>HYPERLINK("https://klasma.github.io/Logging_2281/tillsyn/A 60864-2023 tillsynsbegäran.docx", "A 60864-2023")</f>
        <v/>
      </c>
      <c r="Y69">
        <f>HYPERLINK("https://klasma.github.io/Logging_2281/tillsynsmail/A 60864-2023 tillsynsbegäran mail.docx", "A 60864-2023")</f>
        <v/>
      </c>
      <c r="Z69">
        <f>HYPERLINK("https://klasma.github.io/Logging_2281/fåglar/A 60864-2023 prioriterade fågelarter.docx", "A 60864-2023")</f>
        <v/>
      </c>
    </row>
    <row r="70" ht="15" customHeight="1">
      <c r="A70" t="inlineStr">
        <is>
          <t>A 14820-2024</t>
        </is>
      </c>
      <c r="B70" s="1" t="n">
        <v>45397</v>
      </c>
      <c r="C70" s="1" t="n">
        <v>45578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Luddlav</t>
        </is>
      </c>
      <c r="S70">
        <f>HYPERLINK("https://klasma.github.io/Logging_2281/artfynd/A 14820-2024 artfynd.xlsx", "A 14820-2024")</f>
        <v/>
      </c>
      <c r="T70">
        <f>HYPERLINK("https://klasma.github.io/Logging_2281/kartor/A 14820-2024 karta.png", "A 14820-2024")</f>
        <v/>
      </c>
      <c r="V70">
        <f>HYPERLINK("https://klasma.github.io/Logging_2281/klagomål/A 14820-2024 FSC-klagomål.docx", "A 14820-2024")</f>
        <v/>
      </c>
      <c r="W70">
        <f>HYPERLINK("https://klasma.github.io/Logging_2281/klagomålsmail/A 14820-2024 FSC-klagomål mail.docx", "A 14820-2024")</f>
        <v/>
      </c>
      <c r="X70">
        <f>HYPERLINK("https://klasma.github.io/Logging_2281/tillsyn/A 14820-2024 tillsynsbegäran.docx", "A 14820-2024")</f>
        <v/>
      </c>
      <c r="Y70">
        <f>HYPERLINK("https://klasma.github.io/Logging_2281/tillsynsmail/A 14820-2024 tillsynsbegäran mail.docx", "A 14820-2024")</f>
        <v/>
      </c>
    </row>
    <row r="71" ht="15" customHeight="1">
      <c r="A71" t="inlineStr">
        <is>
          <t>A 29076-2024</t>
        </is>
      </c>
      <c r="B71" s="1" t="n">
        <v>45481</v>
      </c>
      <c r="C71" s="1" t="n">
        <v>45578</v>
      </c>
      <c r="D71" t="inlineStr">
        <is>
          <t>VÄSTERNORRLANDS LÄN</t>
        </is>
      </c>
      <c r="E71" t="inlineStr">
        <is>
          <t>SUNDSVALL</t>
        </is>
      </c>
      <c r="G71" t="n">
        <v>5.6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Bårdlav
Stuplav</t>
        </is>
      </c>
      <c r="S71">
        <f>HYPERLINK("https://klasma.github.io/Logging_2281/artfynd/A 29076-2024 artfynd.xlsx", "A 29076-2024")</f>
        <v/>
      </c>
      <c r="T71">
        <f>HYPERLINK("https://klasma.github.io/Logging_2281/kartor/A 29076-2024 karta.png", "A 29076-2024")</f>
        <v/>
      </c>
      <c r="V71">
        <f>HYPERLINK("https://klasma.github.io/Logging_2281/klagomål/A 29076-2024 FSC-klagomål.docx", "A 29076-2024")</f>
        <v/>
      </c>
      <c r="W71">
        <f>HYPERLINK("https://klasma.github.io/Logging_2281/klagomålsmail/A 29076-2024 FSC-klagomål mail.docx", "A 29076-2024")</f>
        <v/>
      </c>
      <c r="X71">
        <f>HYPERLINK("https://klasma.github.io/Logging_2281/tillsyn/A 29076-2024 tillsynsbegäran.docx", "A 29076-2024")</f>
        <v/>
      </c>
      <c r="Y71">
        <f>HYPERLINK("https://klasma.github.io/Logging_2281/tillsynsmail/A 29076-2024 tillsynsbegäran mail.docx", "A 29076-2024")</f>
        <v/>
      </c>
    </row>
    <row r="72" ht="15" customHeight="1">
      <c r="A72" t="inlineStr">
        <is>
          <t>A 31515-2024</t>
        </is>
      </c>
      <c r="B72" s="1" t="n">
        <v>45505</v>
      </c>
      <c r="C72" s="1" t="n">
        <v>45578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Lunglav
Violettgrå tagellav</t>
        </is>
      </c>
      <c r="S72">
        <f>HYPERLINK("https://klasma.github.io/Logging_2281/artfynd/A 31515-2024 artfynd.xlsx", "A 31515-2024")</f>
        <v/>
      </c>
      <c r="T72">
        <f>HYPERLINK("https://klasma.github.io/Logging_2281/kartor/A 31515-2024 karta.png", "A 31515-2024")</f>
        <v/>
      </c>
      <c r="V72">
        <f>HYPERLINK("https://klasma.github.io/Logging_2281/klagomål/A 31515-2024 FSC-klagomål.docx", "A 31515-2024")</f>
        <v/>
      </c>
      <c r="W72">
        <f>HYPERLINK("https://klasma.github.io/Logging_2281/klagomålsmail/A 31515-2024 FSC-klagomål mail.docx", "A 31515-2024")</f>
        <v/>
      </c>
      <c r="X72">
        <f>HYPERLINK("https://klasma.github.io/Logging_2281/tillsyn/A 31515-2024 tillsynsbegäran.docx", "A 31515-2024")</f>
        <v/>
      </c>
      <c r="Y72">
        <f>HYPERLINK("https://klasma.github.io/Logging_2281/tillsynsmail/A 31515-2024 tillsynsbegäran mail.docx", "A 31515-2024")</f>
        <v/>
      </c>
    </row>
    <row r="73" ht="15" customHeight="1">
      <c r="A73" t="inlineStr">
        <is>
          <t>A 47808-2019</t>
        </is>
      </c>
      <c r="B73" s="1" t="n">
        <v>43724</v>
      </c>
      <c r="C73" s="1" t="n">
        <v>45578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3.6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HYPERLINK("https://klasma.github.io/Logging_2281/artfynd/A 47808-2019 artfynd.xlsx", "A 47808-2019")</f>
        <v/>
      </c>
      <c r="T73">
        <f>HYPERLINK("https://klasma.github.io/Logging_2281/kartor/A 47808-2019 karta.png", "A 47808-2019")</f>
        <v/>
      </c>
      <c r="V73">
        <f>HYPERLINK("https://klasma.github.io/Logging_2281/klagomål/A 47808-2019 FSC-klagomål.docx", "A 47808-2019")</f>
        <v/>
      </c>
      <c r="W73">
        <f>HYPERLINK("https://klasma.github.io/Logging_2281/klagomålsmail/A 47808-2019 FSC-klagomål mail.docx", "A 47808-2019")</f>
        <v/>
      </c>
      <c r="X73">
        <f>HYPERLINK("https://klasma.github.io/Logging_2281/tillsyn/A 47808-2019 tillsynsbegäran.docx", "A 47808-2019")</f>
        <v/>
      </c>
      <c r="Y73">
        <f>HYPERLINK("https://klasma.github.io/Logging_2281/tillsynsmail/A 47808-2019 tillsynsbegäran mail.docx", "A 47808-2019")</f>
        <v/>
      </c>
    </row>
    <row r="74" ht="15" customHeight="1">
      <c r="A74" t="inlineStr">
        <is>
          <t>A 50336-2020</t>
        </is>
      </c>
      <c r="B74" s="1" t="n">
        <v>44110</v>
      </c>
      <c r="C74" s="1" t="n">
        <v>45578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Kommuner</t>
        </is>
      </c>
      <c r="G74" t="n">
        <v>6.9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Kråka
Rödvingetrast</t>
        </is>
      </c>
      <c r="S74">
        <f>HYPERLINK("https://klasma.github.io/Logging_2281/artfynd/A 50336-2020 artfynd.xlsx", "A 50336-2020")</f>
        <v/>
      </c>
      <c r="T74">
        <f>HYPERLINK("https://klasma.github.io/Logging_2281/kartor/A 50336-2020 karta.png", "A 50336-2020")</f>
        <v/>
      </c>
      <c r="V74">
        <f>HYPERLINK("https://klasma.github.io/Logging_2281/klagomål/A 50336-2020 FSC-klagomål.docx", "A 50336-2020")</f>
        <v/>
      </c>
      <c r="W74">
        <f>HYPERLINK("https://klasma.github.io/Logging_2281/klagomålsmail/A 50336-2020 FSC-klagomål mail.docx", "A 50336-2020")</f>
        <v/>
      </c>
      <c r="X74">
        <f>HYPERLINK("https://klasma.github.io/Logging_2281/tillsyn/A 50336-2020 tillsynsbegäran.docx", "A 50336-2020")</f>
        <v/>
      </c>
      <c r="Y74">
        <f>HYPERLINK("https://klasma.github.io/Logging_2281/tillsynsmail/A 50336-2020 tillsynsbegäran mail.docx", "A 50336-2020")</f>
        <v/>
      </c>
      <c r="Z74">
        <f>HYPERLINK("https://klasma.github.io/Logging_2281/fåglar/A 50336-2020 prioriterade fågelarter.docx", "A 50336-2020")</f>
        <v/>
      </c>
    </row>
    <row r="75" ht="15" customHeight="1">
      <c r="A75" t="inlineStr">
        <is>
          <t>A 7567-2021</t>
        </is>
      </c>
      <c r="B75" s="1" t="n">
        <v>44239</v>
      </c>
      <c r="C75" s="1" t="n">
        <v>45578</v>
      </c>
      <c r="D75" t="inlineStr">
        <is>
          <t>VÄSTERNORRLANDS LÄN</t>
        </is>
      </c>
      <c r="E75" t="inlineStr">
        <is>
          <t>SUNDSVALL</t>
        </is>
      </c>
      <c r="G75" t="n">
        <v>6.8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Vedticka</t>
        </is>
      </c>
      <c r="S75">
        <f>HYPERLINK("https://klasma.github.io/Logging_2281/artfynd/A 7567-2021 artfynd.xlsx", "A 7567-2021")</f>
        <v/>
      </c>
      <c r="T75">
        <f>HYPERLINK("https://klasma.github.io/Logging_2281/kartor/A 7567-2021 karta.png", "A 7567-2021")</f>
        <v/>
      </c>
      <c r="V75">
        <f>HYPERLINK("https://klasma.github.io/Logging_2281/klagomål/A 7567-2021 FSC-klagomål.docx", "A 7567-2021")</f>
        <v/>
      </c>
      <c r="W75">
        <f>HYPERLINK("https://klasma.github.io/Logging_2281/klagomålsmail/A 7567-2021 FSC-klagomål mail.docx", "A 7567-2021")</f>
        <v/>
      </c>
      <c r="X75">
        <f>HYPERLINK("https://klasma.github.io/Logging_2281/tillsyn/A 7567-2021 tillsynsbegäran.docx", "A 7567-2021")</f>
        <v/>
      </c>
      <c r="Y75">
        <f>HYPERLINK("https://klasma.github.io/Logging_2281/tillsynsmail/A 7567-2021 tillsynsbegäran mail.docx", "A 7567-2021")</f>
        <v/>
      </c>
    </row>
    <row r="76" ht="15" customHeight="1">
      <c r="A76" t="inlineStr">
        <is>
          <t>A 7637-2021</t>
        </is>
      </c>
      <c r="B76" s="1" t="n">
        <v>44242</v>
      </c>
      <c r="C76" s="1" t="n">
        <v>45578</v>
      </c>
      <c r="D76" t="inlineStr">
        <is>
          <t>VÄSTERNORRLANDS LÄN</t>
        </is>
      </c>
      <c r="E76" t="inlineStr">
        <is>
          <t>SUNDSVALL</t>
        </is>
      </c>
      <c r="G76" t="n">
        <v>3.9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Gröngöling</t>
        </is>
      </c>
      <c r="S76">
        <f>HYPERLINK("https://klasma.github.io/Logging_2281/artfynd/A 7637-2021 artfynd.xlsx", "A 7637-2021")</f>
        <v/>
      </c>
      <c r="T76">
        <f>HYPERLINK("https://klasma.github.io/Logging_2281/kartor/A 7637-2021 karta.png", "A 7637-2021")</f>
        <v/>
      </c>
      <c r="V76">
        <f>HYPERLINK("https://klasma.github.io/Logging_2281/klagomål/A 7637-2021 FSC-klagomål.docx", "A 7637-2021")</f>
        <v/>
      </c>
      <c r="W76">
        <f>HYPERLINK("https://klasma.github.io/Logging_2281/klagomålsmail/A 7637-2021 FSC-klagomål mail.docx", "A 7637-2021")</f>
        <v/>
      </c>
      <c r="X76">
        <f>HYPERLINK("https://klasma.github.io/Logging_2281/tillsyn/A 7637-2021 tillsynsbegäran.docx", "A 7637-2021")</f>
        <v/>
      </c>
      <c r="Y76">
        <f>HYPERLINK("https://klasma.github.io/Logging_2281/tillsynsmail/A 7637-2021 tillsynsbegäran mail.docx", "A 7637-2021")</f>
        <v/>
      </c>
      <c r="Z76">
        <f>HYPERLINK("https://klasma.github.io/Logging_2281/fåglar/A 7637-2021 prioriterade fågelarter.docx", "A 7637-2021")</f>
        <v/>
      </c>
    </row>
    <row r="77" ht="15" customHeight="1">
      <c r="A77" t="inlineStr">
        <is>
          <t>A 43196-2021</t>
        </is>
      </c>
      <c r="B77" s="1" t="n">
        <v>44431</v>
      </c>
      <c r="C77" s="1" t="n">
        <v>45578</v>
      </c>
      <c r="D77" t="inlineStr">
        <is>
          <t>VÄSTERNORRLANDS LÄN</t>
        </is>
      </c>
      <c r="E77" t="inlineStr">
        <is>
          <t>SUNDSVALL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Revlummer</t>
        </is>
      </c>
      <c r="S77">
        <f>HYPERLINK("https://klasma.github.io/Logging_2281/artfynd/A 43196-2021 artfynd.xlsx", "A 43196-2021")</f>
        <v/>
      </c>
      <c r="T77">
        <f>HYPERLINK("https://klasma.github.io/Logging_2281/kartor/A 43196-2021 karta.png", "A 43196-2021")</f>
        <v/>
      </c>
      <c r="V77">
        <f>HYPERLINK("https://klasma.github.io/Logging_2281/klagomål/A 43196-2021 FSC-klagomål.docx", "A 43196-2021")</f>
        <v/>
      </c>
      <c r="W77">
        <f>HYPERLINK("https://klasma.github.io/Logging_2281/klagomålsmail/A 43196-2021 FSC-klagomål mail.docx", "A 43196-2021")</f>
        <v/>
      </c>
      <c r="X77">
        <f>HYPERLINK("https://klasma.github.io/Logging_2281/tillsyn/A 43196-2021 tillsynsbegäran.docx", "A 43196-2021")</f>
        <v/>
      </c>
      <c r="Y77">
        <f>HYPERLINK("https://klasma.github.io/Logging_2281/tillsynsmail/A 43196-2021 tillsynsbegäran mail.docx", "A 43196-2021")</f>
        <v/>
      </c>
    </row>
    <row r="78" ht="15" customHeight="1">
      <c r="A78" t="inlineStr">
        <is>
          <t>A 64919-2021</t>
        </is>
      </c>
      <c r="B78" s="1" t="n">
        <v>44512</v>
      </c>
      <c r="C78" s="1" t="n">
        <v>45578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Kommuner</t>
        </is>
      </c>
      <c r="G78" t="n">
        <v>4.1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Mindre hackspett
Scharlakansskål</t>
        </is>
      </c>
      <c r="S78">
        <f>HYPERLINK("https://klasma.github.io/Logging_2281/artfynd/A 64919-2021 artfynd.xlsx", "A 64919-2021")</f>
        <v/>
      </c>
      <c r="T78">
        <f>HYPERLINK("https://klasma.github.io/Logging_2281/kartor/A 64919-2021 karta.png", "A 64919-2021")</f>
        <v/>
      </c>
      <c r="V78">
        <f>HYPERLINK("https://klasma.github.io/Logging_2281/klagomål/A 64919-2021 FSC-klagomål.docx", "A 64919-2021")</f>
        <v/>
      </c>
      <c r="W78">
        <f>HYPERLINK("https://klasma.github.io/Logging_2281/klagomålsmail/A 64919-2021 FSC-klagomål mail.docx", "A 64919-2021")</f>
        <v/>
      </c>
      <c r="X78">
        <f>HYPERLINK("https://klasma.github.io/Logging_2281/tillsyn/A 64919-2021 tillsynsbegäran.docx", "A 64919-2021")</f>
        <v/>
      </c>
      <c r="Y78">
        <f>HYPERLINK("https://klasma.github.io/Logging_2281/tillsynsmail/A 64919-2021 tillsynsbegäran mail.docx", "A 64919-2021")</f>
        <v/>
      </c>
      <c r="Z78">
        <f>HYPERLINK("https://klasma.github.io/Logging_2281/fåglar/A 64919-2021 prioriterade fågelarter.docx", "A 64919-2021")</f>
        <v/>
      </c>
    </row>
    <row r="79" ht="15" customHeight="1">
      <c r="A79" t="inlineStr">
        <is>
          <t>A 5115-2022</t>
        </is>
      </c>
      <c r="B79" s="1" t="n">
        <v>44593</v>
      </c>
      <c r="C79" s="1" t="n">
        <v>45578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13.6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Norrlandslav</t>
        </is>
      </c>
      <c r="S79">
        <f>HYPERLINK("https://klasma.github.io/Logging_2281/artfynd/A 5115-2022 artfynd.xlsx", "A 5115-2022")</f>
        <v/>
      </c>
      <c r="T79">
        <f>HYPERLINK("https://klasma.github.io/Logging_2281/kartor/A 5115-2022 karta.png", "A 5115-2022")</f>
        <v/>
      </c>
      <c r="V79">
        <f>HYPERLINK("https://klasma.github.io/Logging_2281/klagomål/A 5115-2022 FSC-klagomål.docx", "A 5115-2022")</f>
        <v/>
      </c>
      <c r="W79">
        <f>HYPERLINK("https://klasma.github.io/Logging_2281/klagomålsmail/A 5115-2022 FSC-klagomål mail.docx", "A 5115-2022")</f>
        <v/>
      </c>
      <c r="X79">
        <f>HYPERLINK("https://klasma.github.io/Logging_2281/tillsyn/A 5115-2022 tillsynsbegäran.docx", "A 5115-2022")</f>
        <v/>
      </c>
      <c r="Y79">
        <f>HYPERLINK("https://klasma.github.io/Logging_2281/tillsynsmail/A 5115-2022 tillsynsbegäran mail.docx", "A 5115-2022")</f>
        <v/>
      </c>
    </row>
    <row r="80" ht="15" customHeight="1">
      <c r="A80" t="inlineStr">
        <is>
          <t>A 21661-2022</t>
        </is>
      </c>
      <c r="B80" s="1" t="n">
        <v>44706</v>
      </c>
      <c r="C80" s="1" t="n">
        <v>45578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Tjäder</t>
        </is>
      </c>
      <c r="S80">
        <f>HYPERLINK("https://klasma.github.io/Logging_2281/artfynd/A 21661-2022 artfynd.xlsx", "A 21661-2022")</f>
        <v/>
      </c>
      <c r="T80">
        <f>HYPERLINK("https://klasma.github.io/Logging_2281/kartor/A 21661-2022 karta.png", "A 21661-2022")</f>
        <v/>
      </c>
      <c r="V80">
        <f>HYPERLINK("https://klasma.github.io/Logging_2281/klagomål/A 21661-2022 FSC-klagomål.docx", "A 21661-2022")</f>
        <v/>
      </c>
      <c r="W80">
        <f>HYPERLINK("https://klasma.github.io/Logging_2281/klagomålsmail/A 21661-2022 FSC-klagomål mail.docx", "A 21661-2022")</f>
        <v/>
      </c>
      <c r="X80">
        <f>HYPERLINK("https://klasma.github.io/Logging_2281/tillsyn/A 21661-2022 tillsynsbegäran.docx", "A 21661-2022")</f>
        <v/>
      </c>
      <c r="Y80">
        <f>HYPERLINK("https://klasma.github.io/Logging_2281/tillsynsmail/A 21661-2022 tillsynsbegäran mail.docx", "A 21661-2022")</f>
        <v/>
      </c>
      <c r="Z80">
        <f>HYPERLINK("https://klasma.github.io/Logging_2281/fåglar/A 21661-2022 prioriterade fågelarter.docx", "A 21661-2022")</f>
        <v/>
      </c>
    </row>
    <row r="81" ht="15" customHeight="1">
      <c r="A81" t="inlineStr">
        <is>
          <t>A 22566-2022</t>
        </is>
      </c>
      <c r="B81" s="1" t="n">
        <v>44714</v>
      </c>
      <c r="C81" s="1" t="n">
        <v>45578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5.1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Lunglav</t>
        </is>
      </c>
      <c r="S81">
        <f>HYPERLINK("https://klasma.github.io/Logging_2281/artfynd/A 22566-2022 artfynd.xlsx", "A 22566-2022")</f>
        <v/>
      </c>
      <c r="T81">
        <f>HYPERLINK("https://klasma.github.io/Logging_2281/kartor/A 22566-2022 karta.png", "A 22566-2022")</f>
        <v/>
      </c>
      <c r="U81">
        <f>HYPERLINK("https://klasma.github.io/Logging_2281/knärot/A 22566-2022 karta knärot.png", "A 22566-2022")</f>
        <v/>
      </c>
      <c r="V81">
        <f>HYPERLINK("https://klasma.github.io/Logging_2281/klagomål/A 22566-2022 FSC-klagomål.docx", "A 22566-2022")</f>
        <v/>
      </c>
      <c r="W81">
        <f>HYPERLINK("https://klasma.github.io/Logging_2281/klagomålsmail/A 22566-2022 FSC-klagomål mail.docx", "A 22566-2022")</f>
        <v/>
      </c>
      <c r="X81">
        <f>HYPERLINK("https://klasma.github.io/Logging_2281/tillsyn/A 22566-2022 tillsynsbegäran.docx", "A 22566-2022")</f>
        <v/>
      </c>
      <c r="Y81">
        <f>HYPERLINK("https://klasma.github.io/Logging_2281/tillsynsmail/A 22566-2022 tillsynsbegäran mail.docx", "A 22566-2022")</f>
        <v/>
      </c>
    </row>
    <row r="82" ht="15" customHeight="1">
      <c r="A82" t="inlineStr">
        <is>
          <t>A 22567-2022</t>
        </is>
      </c>
      <c r="B82" s="1" t="n">
        <v>44713</v>
      </c>
      <c r="C82" s="1" t="n">
        <v>45578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4.5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Granticka</t>
        </is>
      </c>
      <c r="S82">
        <f>HYPERLINK("https://klasma.github.io/Logging_2281/artfynd/A 22567-2022 artfynd.xlsx", "A 22567-2022")</f>
        <v/>
      </c>
      <c r="T82">
        <f>HYPERLINK("https://klasma.github.io/Logging_2281/kartor/A 22567-2022 karta.png", "A 22567-2022")</f>
        <v/>
      </c>
      <c r="V82">
        <f>HYPERLINK("https://klasma.github.io/Logging_2281/klagomål/A 22567-2022 FSC-klagomål.docx", "A 22567-2022")</f>
        <v/>
      </c>
      <c r="W82">
        <f>HYPERLINK("https://klasma.github.io/Logging_2281/klagomålsmail/A 22567-2022 FSC-klagomål mail.docx", "A 22567-2022")</f>
        <v/>
      </c>
      <c r="X82">
        <f>HYPERLINK("https://klasma.github.io/Logging_2281/tillsyn/A 22567-2022 tillsynsbegäran.docx", "A 22567-2022")</f>
        <v/>
      </c>
      <c r="Y82">
        <f>HYPERLINK("https://klasma.github.io/Logging_2281/tillsynsmail/A 22567-2022 tillsynsbegäran mail.docx", "A 22567-2022")</f>
        <v/>
      </c>
    </row>
    <row r="83" ht="15" customHeight="1">
      <c r="A83" t="inlineStr">
        <is>
          <t>A 32766-2022</t>
        </is>
      </c>
      <c r="B83" s="1" t="n">
        <v>44783</v>
      </c>
      <c r="C83" s="1" t="n">
        <v>45578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6.3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Stor aspticka</t>
        </is>
      </c>
      <c r="S83">
        <f>HYPERLINK("https://klasma.github.io/Logging_2281/artfynd/A 32766-2022 artfynd.xlsx", "A 32766-2022")</f>
        <v/>
      </c>
      <c r="T83">
        <f>HYPERLINK("https://klasma.github.io/Logging_2281/kartor/A 32766-2022 karta.png", "A 32766-2022")</f>
        <v/>
      </c>
      <c r="V83">
        <f>HYPERLINK("https://klasma.github.io/Logging_2281/klagomål/A 32766-2022 FSC-klagomål.docx", "A 32766-2022")</f>
        <v/>
      </c>
      <c r="W83">
        <f>HYPERLINK("https://klasma.github.io/Logging_2281/klagomålsmail/A 32766-2022 FSC-klagomål mail.docx", "A 32766-2022")</f>
        <v/>
      </c>
      <c r="X83">
        <f>HYPERLINK("https://klasma.github.io/Logging_2281/tillsyn/A 32766-2022 tillsynsbegäran.docx", "A 32766-2022")</f>
        <v/>
      </c>
      <c r="Y83">
        <f>HYPERLINK("https://klasma.github.io/Logging_2281/tillsynsmail/A 32766-2022 tillsynsbegäran mail.docx", "A 32766-2022")</f>
        <v/>
      </c>
    </row>
    <row r="84" ht="15" customHeight="1">
      <c r="A84" t="inlineStr">
        <is>
          <t>A 41814-2022</t>
        </is>
      </c>
      <c r="B84" s="1" t="n">
        <v>44827</v>
      </c>
      <c r="C84" s="1" t="n">
        <v>45578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41814-2022 artfynd.xlsx", "A 41814-2022")</f>
        <v/>
      </c>
      <c r="T84">
        <f>HYPERLINK("https://klasma.github.io/Logging_2281/kartor/A 41814-2022 karta.png", "A 41814-2022")</f>
        <v/>
      </c>
      <c r="V84">
        <f>HYPERLINK("https://klasma.github.io/Logging_2281/klagomål/A 41814-2022 FSC-klagomål.docx", "A 41814-2022")</f>
        <v/>
      </c>
      <c r="W84">
        <f>HYPERLINK("https://klasma.github.io/Logging_2281/klagomålsmail/A 41814-2022 FSC-klagomål mail.docx", "A 41814-2022")</f>
        <v/>
      </c>
      <c r="X84">
        <f>HYPERLINK("https://klasma.github.io/Logging_2281/tillsyn/A 41814-2022 tillsynsbegäran.docx", "A 41814-2022")</f>
        <v/>
      </c>
      <c r="Y84">
        <f>HYPERLINK("https://klasma.github.io/Logging_2281/tillsynsmail/A 41814-2022 tillsynsbegäran mail.docx", "A 41814-2022")</f>
        <v/>
      </c>
    </row>
    <row r="85" ht="15" customHeight="1">
      <c r="A85" t="inlineStr">
        <is>
          <t>A 46214-2022</t>
        </is>
      </c>
      <c r="B85" s="1" t="n">
        <v>44845</v>
      </c>
      <c r="C85" s="1" t="n">
        <v>45578</v>
      </c>
      <c r="D85" t="inlineStr">
        <is>
          <t>VÄSTERNORRLANDS LÄN</t>
        </is>
      </c>
      <c r="E85" t="inlineStr">
        <is>
          <t>SUNDSVALL</t>
        </is>
      </c>
      <c r="G85" t="n">
        <v>46.2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Orre
Tjäder</t>
        </is>
      </c>
      <c r="S85">
        <f>HYPERLINK("https://klasma.github.io/Logging_2281/artfynd/A 46214-2022 artfynd.xlsx", "A 46214-2022")</f>
        <v/>
      </c>
      <c r="T85">
        <f>HYPERLINK("https://klasma.github.io/Logging_2281/kartor/A 46214-2022 karta.png", "A 46214-2022")</f>
        <v/>
      </c>
      <c r="V85">
        <f>HYPERLINK("https://klasma.github.io/Logging_2281/klagomål/A 46214-2022 FSC-klagomål.docx", "A 46214-2022")</f>
        <v/>
      </c>
      <c r="W85">
        <f>HYPERLINK("https://klasma.github.io/Logging_2281/klagomålsmail/A 46214-2022 FSC-klagomål mail.docx", "A 46214-2022")</f>
        <v/>
      </c>
      <c r="X85">
        <f>HYPERLINK("https://klasma.github.io/Logging_2281/tillsyn/A 46214-2022 tillsynsbegäran.docx", "A 46214-2022")</f>
        <v/>
      </c>
      <c r="Y85">
        <f>HYPERLINK("https://klasma.github.io/Logging_2281/tillsynsmail/A 46214-2022 tillsynsbegäran mail.docx", "A 46214-2022")</f>
        <v/>
      </c>
      <c r="Z85">
        <f>HYPERLINK("https://klasma.github.io/Logging_2281/fåglar/A 46214-2022 prioriterade fågelarter.docx", "A 46214-2022")</f>
        <v/>
      </c>
    </row>
    <row r="86" ht="15" customHeight="1">
      <c r="A86" t="inlineStr">
        <is>
          <t>A 52350-2022</t>
        </is>
      </c>
      <c r="B86" s="1" t="n">
        <v>44873</v>
      </c>
      <c r="C86" s="1" t="n">
        <v>45578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HYPERLINK("https://klasma.github.io/Logging_2281/artfynd/A 52350-2022 artfynd.xlsx", "A 52350-2022")</f>
        <v/>
      </c>
      <c r="T86">
        <f>HYPERLINK("https://klasma.github.io/Logging_2281/kartor/A 52350-2022 karta.png", "A 52350-2022")</f>
        <v/>
      </c>
      <c r="V86">
        <f>HYPERLINK("https://klasma.github.io/Logging_2281/klagomål/A 52350-2022 FSC-klagomål.docx", "A 52350-2022")</f>
        <v/>
      </c>
      <c r="W86">
        <f>HYPERLINK("https://klasma.github.io/Logging_2281/klagomålsmail/A 52350-2022 FSC-klagomål mail.docx", "A 52350-2022")</f>
        <v/>
      </c>
      <c r="X86">
        <f>HYPERLINK("https://klasma.github.io/Logging_2281/tillsyn/A 52350-2022 tillsynsbegäran.docx", "A 52350-2022")</f>
        <v/>
      </c>
      <c r="Y86">
        <f>HYPERLINK("https://klasma.github.io/Logging_2281/tillsynsmail/A 52350-2022 tillsynsbegäran mail.docx", "A 52350-2022")</f>
        <v/>
      </c>
    </row>
    <row r="87" ht="15" customHeight="1">
      <c r="A87" t="inlineStr">
        <is>
          <t>A 52741-2022</t>
        </is>
      </c>
      <c r="B87" s="1" t="n">
        <v>44874</v>
      </c>
      <c r="C87" s="1" t="n">
        <v>45578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5.2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Videsparv
Skuggblåslav</t>
        </is>
      </c>
      <c r="S87">
        <f>HYPERLINK("https://klasma.github.io/Logging_2281/artfynd/A 52741-2022 artfynd.xlsx", "A 52741-2022")</f>
        <v/>
      </c>
      <c r="T87">
        <f>HYPERLINK("https://klasma.github.io/Logging_2281/kartor/A 52741-2022 karta.png", "A 52741-2022")</f>
        <v/>
      </c>
      <c r="V87">
        <f>HYPERLINK("https://klasma.github.io/Logging_2281/klagomål/A 52741-2022 FSC-klagomål.docx", "A 52741-2022")</f>
        <v/>
      </c>
      <c r="W87">
        <f>HYPERLINK("https://klasma.github.io/Logging_2281/klagomålsmail/A 52741-2022 FSC-klagomål mail.docx", "A 52741-2022")</f>
        <v/>
      </c>
      <c r="X87">
        <f>HYPERLINK("https://klasma.github.io/Logging_2281/tillsyn/A 52741-2022 tillsynsbegäran.docx", "A 52741-2022")</f>
        <v/>
      </c>
      <c r="Y87">
        <f>HYPERLINK("https://klasma.github.io/Logging_2281/tillsynsmail/A 52741-2022 tillsynsbegäran mail.docx", "A 52741-2022")</f>
        <v/>
      </c>
      <c r="Z87">
        <f>HYPERLINK("https://klasma.github.io/Logging_2281/fåglar/A 52741-2022 prioriterade fågelarter.docx", "A 52741-2022")</f>
        <v/>
      </c>
    </row>
    <row r="88" ht="15" customHeight="1">
      <c r="A88" t="inlineStr">
        <is>
          <t>A 53942-2022</t>
        </is>
      </c>
      <c r="B88" s="1" t="n">
        <v>44880</v>
      </c>
      <c r="C88" s="1" t="n">
        <v>45578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Vedticka</t>
        </is>
      </c>
      <c r="S88">
        <f>HYPERLINK("https://klasma.github.io/Logging_2281/artfynd/A 53942-2022 artfynd.xlsx", "A 53942-2022")</f>
        <v/>
      </c>
      <c r="T88">
        <f>HYPERLINK("https://klasma.github.io/Logging_2281/kartor/A 53942-2022 karta.png", "A 53942-2022")</f>
        <v/>
      </c>
      <c r="V88">
        <f>HYPERLINK("https://klasma.github.io/Logging_2281/klagomål/A 53942-2022 FSC-klagomål.docx", "A 53942-2022")</f>
        <v/>
      </c>
      <c r="W88">
        <f>HYPERLINK("https://klasma.github.io/Logging_2281/klagomålsmail/A 53942-2022 FSC-klagomål mail.docx", "A 53942-2022")</f>
        <v/>
      </c>
      <c r="X88">
        <f>HYPERLINK("https://klasma.github.io/Logging_2281/tillsyn/A 53942-2022 tillsynsbegäran.docx", "A 53942-2022")</f>
        <v/>
      </c>
      <c r="Y88">
        <f>HYPERLINK("https://klasma.github.io/Logging_2281/tillsynsmail/A 53942-2022 tillsynsbegäran mail.docx", "A 53942-2022")</f>
        <v/>
      </c>
    </row>
    <row r="89" ht="15" customHeight="1">
      <c r="A89" t="inlineStr">
        <is>
          <t>A 58191-2022</t>
        </is>
      </c>
      <c r="B89" s="1" t="n">
        <v>44900</v>
      </c>
      <c r="C89" s="1" t="n">
        <v>45578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Vedticka</t>
        </is>
      </c>
      <c r="S89">
        <f>HYPERLINK("https://klasma.github.io/Logging_2281/artfynd/A 58191-2022 artfynd.xlsx", "A 58191-2022")</f>
        <v/>
      </c>
      <c r="T89">
        <f>HYPERLINK("https://klasma.github.io/Logging_2281/kartor/A 58191-2022 karta.png", "A 58191-2022")</f>
        <v/>
      </c>
      <c r="U89">
        <f>HYPERLINK("https://klasma.github.io/Logging_2281/knärot/A 58191-2022 karta knärot.png", "A 58191-2022")</f>
        <v/>
      </c>
      <c r="V89">
        <f>HYPERLINK("https://klasma.github.io/Logging_2281/klagomål/A 58191-2022 FSC-klagomål.docx", "A 58191-2022")</f>
        <v/>
      </c>
      <c r="W89">
        <f>HYPERLINK("https://klasma.github.io/Logging_2281/klagomålsmail/A 58191-2022 FSC-klagomål mail.docx", "A 58191-2022")</f>
        <v/>
      </c>
      <c r="X89">
        <f>HYPERLINK("https://klasma.github.io/Logging_2281/tillsyn/A 58191-2022 tillsynsbegäran.docx", "A 58191-2022")</f>
        <v/>
      </c>
      <c r="Y89">
        <f>HYPERLINK("https://klasma.github.io/Logging_2281/tillsynsmail/A 58191-2022 tillsynsbegäran mail.docx", "A 58191-2022")</f>
        <v/>
      </c>
    </row>
    <row r="90" ht="15" customHeight="1">
      <c r="A90" t="inlineStr">
        <is>
          <t>A 18998-2023</t>
        </is>
      </c>
      <c r="B90" s="1" t="n">
        <v>45044</v>
      </c>
      <c r="C90" s="1" t="n">
        <v>45578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17.7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HYPERLINK("https://klasma.github.io/Logging_2281/artfynd/A 18998-2023 artfynd.xlsx", "A 18998-2023")</f>
        <v/>
      </c>
      <c r="T90">
        <f>HYPERLINK("https://klasma.github.io/Logging_2281/kartor/A 18998-2023 karta.png", "A 18998-2023")</f>
        <v/>
      </c>
      <c r="U90">
        <f>HYPERLINK("https://klasma.github.io/Logging_2281/knärot/A 18998-2023 karta knärot.png", "A 18998-2023")</f>
        <v/>
      </c>
      <c r="V90">
        <f>HYPERLINK("https://klasma.github.io/Logging_2281/klagomål/A 18998-2023 FSC-klagomål.docx", "A 18998-2023")</f>
        <v/>
      </c>
      <c r="W90">
        <f>HYPERLINK("https://klasma.github.io/Logging_2281/klagomålsmail/A 18998-2023 FSC-klagomål mail.docx", "A 18998-2023")</f>
        <v/>
      </c>
      <c r="X90">
        <f>HYPERLINK("https://klasma.github.io/Logging_2281/tillsyn/A 18998-2023 tillsynsbegäran.docx", "A 18998-2023")</f>
        <v/>
      </c>
      <c r="Y90">
        <f>HYPERLINK("https://klasma.github.io/Logging_2281/tillsynsmail/A 18998-2023 tillsynsbegäran mail.docx", "A 18998-2023")</f>
        <v/>
      </c>
    </row>
    <row r="91" ht="15" customHeight="1">
      <c r="A91" t="inlineStr">
        <is>
          <t>A 18991-2023</t>
        </is>
      </c>
      <c r="B91" s="1" t="n">
        <v>45044</v>
      </c>
      <c r="C91" s="1" t="n">
        <v>45578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10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Ullticka
Vedticka</t>
        </is>
      </c>
      <c r="S91">
        <f>HYPERLINK("https://klasma.github.io/Logging_2281/artfynd/A 18991-2023 artfynd.xlsx", "A 18991-2023")</f>
        <v/>
      </c>
      <c r="T91">
        <f>HYPERLINK("https://klasma.github.io/Logging_2281/kartor/A 18991-2023 karta.png", "A 18991-2023")</f>
        <v/>
      </c>
      <c r="V91">
        <f>HYPERLINK("https://klasma.github.io/Logging_2281/klagomål/A 18991-2023 FSC-klagomål.docx", "A 18991-2023")</f>
        <v/>
      </c>
      <c r="W91">
        <f>HYPERLINK("https://klasma.github.io/Logging_2281/klagomålsmail/A 18991-2023 FSC-klagomål mail.docx", "A 18991-2023")</f>
        <v/>
      </c>
      <c r="X91">
        <f>HYPERLINK("https://klasma.github.io/Logging_2281/tillsyn/A 18991-2023 tillsynsbegäran.docx", "A 18991-2023")</f>
        <v/>
      </c>
      <c r="Y91">
        <f>HYPERLINK("https://klasma.github.io/Logging_2281/tillsynsmail/A 18991-2023 tillsynsbegäran mail.docx", "A 18991-2023")</f>
        <v/>
      </c>
    </row>
    <row r="92" ht="15" customHeight="1">
      <c r="A92" t="inlineStr">
        <is>
          <t>A 20888-2023</t>
        </is>
      </c>
      <c r="B92" s="1" t="n">
        <v>45058</v>
      </c>
      <c r="C92" s="1" t="n">
        <v>45578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Småflikig brosklav
Skinnlav</t>
        </is>
      </c>
      <c r="S92">
        <f>HYPERLINK("https://klasma.github.io/Logging_2281/artfynd/A 20888-2023 artfynd.xlsx", "A 20888-2023")</f>
        <v/>
      </c>
      <c r="T92">
        <f>HYPERLINK("https://klasma.github.io/Logging_2281/kartor/A 20888-2023 karta.png", "A 20888-2023")</f>
        <v/>
      </c>
      <c r="V92">
        <f>HYPERLINK("https://klasma.github.io/Logging_2281/klagomål/A 20888-2023 FSC-klagomål.docx", "A 20888-2023")</f>
        <v/>
      </c>
      <c r="W92">
        <f>HYPERLINK("https://klasma.github.io/Logging_2281/klagomålsmail/A 20888-2023 FSC-klagomål mail.docx", "A 20888-2023")</f>
        <v/>
      </c>
      <c r="X92">
        <f>HYPERLINK("https://klasma.github.io/Logging_2281/tillsyn/A 20888-2023 tillsynsbegäran.docx", "A 20888-2023")</f>
        <v/>
      </c>
      <c r="Y92">
        <f>HYPERLINK("https://klasma.github.io/Logging_2281/tillsynsmail/A 20888-2023 tillsynsbegäran mail.docx", "A 20888-2023")</f>
        <v/>
      </c>
    </row>
    <row r="93" ht="15" customHeight="1">
      <c r="A93" t="inlineStr">
        <is>
          <t>A 27385-2023</t>
        </is>
      </c>
      <c r="B93" s="1" t="n">
        <v>45096</v>
      </c>
      <c r="C93" s="1" t="n">
        <v>45578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11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27385-2023 artfynd.xlsx", "A 27385-2023")</f>
        <v/>
      </c>
      <c r="T93">
        <f>HYPERLINK("https://klasma.github.io/Logging_2281/kartor/A 27385-2023 karta.png", "A 27385-2023")</f>
        <v/>
      </c>
      <c r="V93">
        <f>HYPERLINK("https://klasma.github.io/Logging_2281/klagomål/A 27385-2023 FSC-klagomål.docx", "A 27385-2023")</f>
        <v/>
      </c>
      <c r="W93">
        <f>HYPERLINK("https://klasma.github.io/Logging_2281/klagomålsmail/A 27385-2023 FSC-klagomål mail.docx", "A 27385-2023")</f>
        <v/>
      </c>
      <c r="X93">
        <f>HYPERLINK("https://klasma.github.io/Logging_2281/tillsyn/A 27385-2023 tillsynsbegäran.docx", "A 27385-2023")</f>
        <v/>
      </c>
      <c r="Y93">
        <f>HYPERLINK("https://klasma.github.io/Logging_2281/tillsynsmail/A 27385-2023 tillsynsbegäran mail.docx", "A 27385-2023")</f>
        <v/>
      </c>
    </row>
    <row r="94" ht="15" customHeight="1">
      <c r="A94" t="inlineStr">
        <is>
          <t>A 27380-2023</t>
        </is>
      </c>
      <c r="B94" s="1" t="n">
        <v>45096</v>
      </c>
      <c r="C94" s="1" t="n">
        <v>45578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6.2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Gränsticka</t>
        </is>
      </c>
      <c r="S94">
        <f>HYPERLINK("https://klasma.github.io/Logging_2281/artfynd/A 27380-2023 artfynd.xlsx", "A 27380-2023")</f>
        <v/>
      </c>
      <c r="T94">
        <f>HYPERLINK("https://klasma.github.io/Logging_2281/kartor/A 27380-2023 karta.png", "A 27380-2023")</f>
        <v/>
      </c>
      <c r="V94">
        <f>HYPERLINK("https://klasma.github.io/Logging_2281/klagomål/A 27380-2023 FSC-klagomål.docx", "A 27380-2023")</f>
        <v/>
      </c>
      <c r="W94">
        <f>HYPERLINK("https://klasma.github.io/Logging_2281/klagomålsmail/A 27380-2023 FSC-klagomål mail.docx", "A 27380-2023")</f>
        <v/>
      </c>
      <c r="X94">
        <f>HYPERLINK("https://klasma.github.io/Logging_2281/tillsyn/A 27380-2023 tillsynsbegäran.docx", "A 27380-2023")</f>
        <v/>
      </c>
      <c r="Y94">
        <f>HYPERLINK("https://klasma.github.io/Logging_2281/tillsynsmail/A 27380-2023 tillsynsbegäran mail.docx", "A 27380-2023")</f>
        <v/>
      </c>
    </row>
    <row r="95" ht="15" customHeight="1">
      <c r="A95" t="inlineStr">
        <is>
          <t>A 28010-2023</t>
        </is>
      </c>
      <c r="B95" s="1" t="n">
        <v>45098</v>
      </c>
      <c r="C95" s="1" t="n">
        <v>45578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Revlummer</t>
        </is>
      </c>
      <c r="S95">
        <f>HYPERLINK("https://klasma.github.io/Logging_2281/artfynd/A 28010-2023 artfynd.xlsx", "A 28010-2023")</f>
        <v/>
      </c>
      <c r="T95">
        <f>HYPERLINK("https://klasma.github.io/Logging_2281/kartor/A 28010-2023 karta.png", "A 28010-2023")</f>
        <v/>
      </c>
      <c r="V95">
        <f>HYPERLINK("https://klasma.github.io/Logging_2281/klagomål/A 28010-2023 FSC-klagomål.docx", "A 28010-2023")</f>
        <v/>
      </c>
      <c r="W95">
        <f>HYPERLINK("https://klasma.github.io/Logging_2281/klagomålsmail/A 28010-2023 FSC-klagomål mail.docx", "A 28010-2023")</f>
        <v/>
      </c>
      <c r="X95">
        <f>HYPERLINK("https://klasma.github.io/Logging_2281/tillsyn/A 28010-2023 tillsynsbegäran.docx", "A 28010-2023")</f>
        <v/>
      </c>
      <c r="Y95">
        <f>HYPERLINK("https://klasma.github.io/Logging_2281/tillsynsmail/A 28010-2023 tillsynsbegäran mail.docx", "A 28010-2023")</f>
        <v/>
      </c>
    </row>
    <row r="96" ht="15" customHeight="1">
      <c r="A96" t="inlineStr">
        <is>
          <t>A 37481-2023</t>
        </is>
      </c>
      <c r="B96" s="1" t="n">
        <v>45157</v>
      </c>
      <c r="C96" s="1" t="n">
        <v>45578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Kandelabersvamp</t>
        </is>
      </c>
      <c r="S96">
        <f>HYPERLINK("https://klasma.github.io/Logging_2281/artfynd/A 37481-2023 artfynd.xlsx", "A 37481-2023")</f>
        <v/>
      </c>
      <c r="T96">
        <f>HYPERLINK("https://klasma.github.io/Logging_2281/kartor/A 37481-2023 karta.png", "A 37481-2023")</f>
        <v/>
      </c>
      <c r="V96">
        <f>HYPERLINK("https://klasma.github.io/Logging_2281/klagomål/A 37481-2023 FSC-klagomål.docx", "A 37481-2023")</f>
        <v/>
      </c>
      <c r="W96">
        <f>HYPERLINK("https://klasma.github.io/Logging_2281/klagomålsmail/A 37481-2023 FSC-klagomål mail.docx", "A 37481-2023")</f>
        <v/>
      </c>
      <c r="X96">
        <f>HYPERLINK("https://klasma.github.io/Logging_2281/tillsyn/A 37481-2023 tillsynsbegäran.docx", "A 37481-2023")</f>
        <v/>
      </c>
      <c r="Y96">
        <f>HYPERLINK("https://klasma.github.io/Logging_2281/tillsynsmail/A 37481-2023 tillsynsbegäran mail.docx", "A 37481-2023")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45578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45578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45578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45578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45578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45578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45578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45578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45578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45578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45578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45578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45578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45578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45578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45578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45578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45578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45578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45578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45578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45578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45578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45578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45578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45578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45578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45578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45578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45578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45578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45578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45578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45578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45578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45578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45578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45578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45578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45578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45578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45578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45578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45578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45578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45578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45578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45578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45578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45578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45578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45578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45578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45578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45578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45578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45578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45578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45578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45578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45578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45578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45578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45578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45578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45578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45578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45578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45578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45578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45578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45578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45578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45578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45578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45578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45578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45578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45578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45578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45578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45578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45578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45578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45578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45578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45578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45578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45578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45578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45578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45578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45578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45578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45578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45578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45578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45578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45578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45578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45578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45578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45578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45578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45578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45578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45578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45578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45578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45578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45578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45578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45578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45578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45578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45578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45578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45578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45578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45578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45578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45578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45578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45578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45578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45578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45578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45578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45578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45578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45578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45578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45578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45578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45578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45578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45578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45578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45578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45578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45578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45578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45578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45578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45578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45578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45578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45578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45578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45578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45578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45578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45578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45578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45578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45578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45578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45578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45578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45578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45578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45578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45578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45578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45578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45578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45578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45578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45578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45578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45578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45578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45578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45578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45578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45578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45578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45578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45578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45578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45578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45578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45578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45578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45578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45578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45578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45578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45578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45578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45578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45578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45578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45578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45578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45578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45578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45578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45578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45578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45578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45578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45578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45578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45578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45578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45578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45578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45578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45578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45578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45578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45578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45578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45578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45578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45578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45578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45578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45578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45578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45578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45578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45578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45578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45578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45578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45578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45578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45578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45578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45578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45578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45578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45578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45578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45578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45578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45578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45578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45578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45578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45578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45578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45578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45578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45578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45578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45578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45578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45578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45578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45578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45578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45578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45578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45578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45578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45578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45578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45578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45578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45578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45578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45578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45578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45578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45578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45578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45578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45578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45578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45578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45578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45578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45578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45578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45578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45578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45578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45578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45578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45578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45578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45578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45578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45578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45578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45578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45578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45578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45578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45578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45578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45578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45578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45578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45578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45578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45578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45578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45578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45578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45578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45578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45578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45578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45578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45578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45578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45578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45578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45578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45578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45578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45578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45578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45578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45578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45578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45578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45578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45578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45578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45578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45578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45578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45578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45578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45578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45578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45578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45578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45578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45578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45578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45578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45578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45578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45578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45578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45578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45578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45578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45578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45578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45578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45578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45578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45578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45578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45578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45578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45578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45578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45578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45578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45578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45578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45578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45578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45578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45578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45578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45578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45578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45578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45578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45578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45578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45578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45578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45578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45578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45578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45578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45578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45578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45578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45578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45578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45578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45578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45578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45578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45578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45578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45578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45578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45578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45578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45578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45578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45578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45578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45578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45578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45578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45578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45578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45578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45578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45578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45578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45578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45578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45578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45578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45578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45578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45578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45578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45578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45578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45578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45578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45578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45578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45578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45578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45578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45578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45578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45578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45578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45578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45578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45578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45578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45578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45578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45578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45578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45578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45578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45578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45578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45578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45578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45578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45578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45578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45578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45578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45578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45578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45578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45578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45578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45578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45578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45578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45578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45578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45578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45578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45578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45578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45578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45578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45578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45578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45578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45578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45578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45578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45578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45578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45578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45578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45578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45578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45578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45578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45578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45578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45578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45578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45578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45578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45578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45578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45578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45578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45578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45578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45578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45578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45578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45578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45578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45578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45578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45578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45578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45578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45578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45578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45578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45578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45578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45578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45578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45578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45578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45578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45578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45578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45578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45578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45578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45578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45578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45578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45578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45578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45578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45578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45578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45578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45578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45578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45578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45578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45578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45578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45578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45578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45578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45578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45578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45578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45578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45578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45578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45578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45578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45578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45578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45578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45578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45578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45578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45578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45578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45578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45578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45578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45578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45578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45578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45578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45578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45578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45578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45578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45578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45578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45578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45578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45578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45578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45578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45578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45578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45578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45578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45578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45578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45578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45578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45578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45578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45578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45578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45578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45578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45578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45578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45578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45578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45578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45578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45578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45578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45578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45578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45578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45578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45578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45578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45578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45578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45578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45578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45578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45578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45578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45578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45578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45578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45578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45578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45578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45578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45578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45578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45578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45578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45578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45578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45578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45578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45578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45578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45578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45578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45578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45578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45578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45578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45578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45578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45578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45578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45578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45578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45578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45578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45578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45578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45578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45578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45578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45578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45578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45578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45578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45578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45578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45578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45578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45578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45578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45578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45578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45578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45578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45578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45578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45578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45578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45578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45578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45578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45578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45578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45578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45578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45578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45578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45578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45578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45578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45578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45578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45578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45578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45578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45578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45578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45578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45578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45578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45578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45578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45578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45578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45578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45578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45578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45578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45578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45578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45578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45578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45578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45578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45578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45578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45578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45578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45578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45578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45578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45578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45578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45578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45578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45578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45578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45578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45578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45578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45578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45578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45578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45578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45578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45578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45578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45578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45578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45578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45578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45578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45578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45578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45578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45578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45578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45578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45578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45578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45578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45578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45578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45578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45578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45578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45578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45578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45578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45578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45578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45578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45578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45578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45578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45578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45578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45578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45578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45578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45578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45578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45578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45578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45578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45578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45578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45578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45578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45578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45578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45578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45578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45578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45578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45578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45578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45578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45578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45578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45578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45578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45578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45578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45578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45578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45578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45578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45578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45578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45578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45578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45578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45578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45578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45578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45578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45578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45578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45578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45578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45578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45578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45578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45578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45578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45578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45578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45578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45578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45578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45578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45578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45578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45578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45578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45578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45578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45578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45578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45578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45578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45578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45578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45578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45578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45578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45578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45578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45578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45578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45578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45578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45578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45578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45578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45578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45578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45578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45578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45578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45578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45578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45578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45578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45578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45578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45578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45578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45578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45578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45578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45578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45578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45578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45578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45578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45578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45578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45578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45578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45578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45578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45578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45578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45578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45578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45578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45578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45578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45578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45578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45578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45578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45578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45578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45578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45578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45578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45578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45578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45578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45578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45578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45578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45578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45578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45578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45578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45578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45578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45578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45578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45578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45578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45578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45578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45578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45578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45578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45578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45578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45578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45578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45578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45578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45578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45578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45578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45578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45578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45578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45578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45578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45578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45578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45578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45578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45578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45578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45578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45578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45578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45578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45578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45578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45578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45578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45578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45578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45578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45578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45578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45578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45578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45578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45578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45578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45578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45578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45578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45578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45578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45578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45578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45578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45578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45578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45578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45578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45578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45578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45578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45578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45578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45578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45578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45578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45578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45578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45578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45578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45578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45578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45578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45578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45578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45578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45578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45578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45578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45578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45578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45578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45578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45578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45578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45578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45578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45578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45578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45578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45578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45578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45578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45578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45578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45578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45578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45578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45578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45578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45578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45578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45578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45578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45578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45578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45578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45578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45578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45578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45578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45578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45578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45578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45578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45578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45578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45578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45578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45578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45578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45578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45578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45578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45578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45578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45578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45578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45578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45578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45578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45578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45578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45578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45578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45578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45578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45578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45578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45578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45578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45578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45578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45578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45578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45578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45578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45578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45578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45578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45578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45578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45578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45578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45578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45578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45578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45578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45578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45578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45578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45578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45578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45578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45578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45578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45578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45578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45578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45578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45578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45578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45578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45578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45578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45578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45578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45578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45578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45578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45578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45578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45578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45578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45578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45578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45578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45578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45578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45578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45578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45578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45578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45578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45578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45578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45578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45578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45578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45578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45578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45578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45578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45578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45578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45578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45578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45578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45578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45578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45578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45578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45578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45578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45578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45578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45578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45578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45578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45578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45578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45578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45578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45578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45578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45578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45578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45578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45578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45578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45578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45578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45578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45578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45578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45578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45578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45578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45578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45578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45578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45578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45578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45578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45578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45578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45578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45578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45578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45578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45578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45578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45578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45578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45578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45578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45578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45578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45578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45578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45578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45578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45578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45578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45578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45578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45578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45578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45578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45578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45578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45578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45578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45578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45578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45578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45578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45578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45578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45578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45578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45578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45578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45578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45578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45578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45578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45578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45578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45578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45578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45578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45578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45578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45578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45578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45578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45578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45578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45578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45578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45578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45578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45578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45578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45578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45578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45578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45578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45578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45578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45578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45578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45578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45578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45578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45578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45578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45578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45578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45578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45578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45578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45578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45578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45578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45578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45578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45578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45578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45578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45578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45578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45578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45578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45578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45578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45578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45578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45578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45578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45578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45578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45578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45578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45578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45578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45578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45578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45578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45578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45578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45578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45578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45578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45578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45578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45578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45578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45578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45578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45578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45578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45578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45578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45578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45578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45578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45578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45578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45578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45578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45578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45578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45578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45578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45578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45578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45578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45578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45578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45578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45578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45578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45578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45578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45578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45578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45578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45578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45578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45578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45578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45578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45578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45578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45578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45578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45578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45578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45578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45578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45578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45578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45578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45578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45578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45578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45578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45578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45578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45578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45578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45578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45578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45578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45578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45578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45578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45578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45578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45578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45578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45578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45578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45578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45578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45578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45578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45578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45578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45578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45578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45578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45578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45578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45578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45578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45578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45578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45578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45578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45578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45578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45578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45578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45578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45578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45578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45578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45578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45578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45578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45578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45578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45578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45578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45578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45578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45578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45578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45578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45578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45578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45578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45578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45578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45578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45578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45578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45578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45578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45578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45578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45578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45578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45578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45578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45578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45578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45578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45578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45578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45578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45578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45578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45578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45578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45578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45578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45578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45578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45578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45578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45578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45578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45578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45578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45578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45578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45578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45578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45578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45578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45578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45578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45578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45578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45578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45578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45578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45578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45578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45578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45578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45578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45578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45578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45578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45578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45578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45578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45578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45578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45578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45578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45578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45578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45578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45578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45578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45578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45578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45578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45578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45578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45578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45578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45578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45578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45578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45578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45578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45578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45578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45578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45578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45578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45578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45578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45578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45578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45578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45578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45578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45578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45578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45578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45578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45578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45578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45578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45578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45578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45578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45578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45578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45578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45578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45578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45578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45578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45578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45578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45578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45578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45578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45578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45578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45578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45578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45578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45578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45578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45578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45578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45578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45578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45578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45578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45578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45578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45578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45578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45578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45578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45578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45578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45578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45578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45578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45578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45578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45578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45578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45578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45578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45578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45578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45578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45578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45578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45578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45578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45578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45578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45578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45578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45578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45578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45578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45578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45578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45578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45578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45578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45578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45578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45578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45578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45578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45578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45578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45578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45578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45578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45578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45578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45578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45578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45578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45578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45578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45578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45578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45578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45578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45578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45578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45578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45578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45578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45578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45578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45578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45578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45578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45578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45578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45578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45578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45578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45578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45578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45578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45578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45578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45578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45578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45578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45578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45578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45578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45578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45578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45578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45578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45578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45578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45578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45578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45578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45578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45578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45578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45578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45578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45578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45578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45578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45578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45578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45578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45578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45578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45578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45578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45578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45578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45578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45578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45578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45578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45578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45578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45578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45578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45578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45578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45578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45578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45578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45578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45578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45578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45578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45578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45578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45578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45578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45578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45578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45578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45578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45578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45578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45578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45578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45578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45578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45578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45578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45578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45578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45578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45578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45578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45578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45578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45578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45578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45578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45578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45578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45578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45578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45578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45578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45578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45578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45578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45578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45578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45578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45578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45578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45578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45578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45578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45578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45578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45578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45578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45578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45578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45578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45578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45578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45578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45578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45578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45578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45578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45578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45578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45578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45578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45578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45578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45578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45578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45578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45578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45578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45578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45578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45578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45578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45578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45578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45578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45578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45578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45578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45578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45578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45578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45578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45578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45578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45578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45578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45578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45578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45578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45578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45578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45578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45578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45578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45578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45578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45578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45578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45578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45578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45578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45578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45578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45578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45578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45578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45578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45578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45578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45578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45578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45578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45578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45578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45578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45578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45578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45578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45578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45578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45578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45578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45578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45578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45578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45578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45578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45578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45578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45578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45578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45578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45578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45578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45578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45578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45578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45578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45578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45578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45578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45578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45578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45578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45578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45578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45578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45578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45578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45578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45578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45578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45578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45578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45578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45578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45578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45578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45578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45578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45578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45578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45578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45578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45578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45578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45578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45578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45578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45578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45578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45578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45578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45578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45578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45578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45578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45578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45578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45578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45578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45578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45578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45578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45578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45578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45578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45578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45578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45578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45578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45578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45578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45578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45578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45578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45578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45578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45578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45578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45578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45578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45578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45578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45578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45578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45578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45578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45578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45578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45578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45578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45578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45578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45578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45578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45578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45578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45578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45578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45578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45578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45578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45578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45578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45578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45578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45578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45578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45578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45578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45578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45578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45578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45578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45578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45578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45578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45578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45578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45578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45578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45578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45578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45578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45578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45578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45578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45578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45578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45578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45578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45578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45578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45578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45578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45578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45578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45578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45578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45578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45578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45578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45578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45578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45578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45578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45578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45578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45578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45578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45578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45578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45578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45578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45578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45578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45578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45578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45578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45578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45578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45578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45578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45578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45578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45578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45578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45578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45578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45578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45578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45578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45578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45578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45578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45578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45578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45578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45578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45578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45578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45578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45578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45578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45578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45578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45578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45578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45578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45578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45578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45578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45578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45578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45578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45578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45578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45578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45578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45578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45578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45578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45578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45578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45578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45578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45578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45578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45578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45578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45578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45578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45578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45578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45578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45578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45578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45578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45578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45578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45578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45578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45578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45578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45578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45578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45578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45578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45578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45578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45578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45578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45578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45578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45578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45578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45578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45578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45578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45578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45578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45578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45578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45578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45578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45578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45578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45578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45578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45578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45578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45578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45578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45578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45578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45578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45578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45578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45578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45578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45578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45578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45578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45578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45578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45578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45578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45578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45578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45578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45578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45578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45578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45578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45578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45578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45578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45578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45578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45578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45578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45578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45578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45578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45578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45578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45578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45578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45578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45578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45578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45578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45578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45578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45578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45578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45578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45578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45578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45578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45578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45578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45578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45578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45578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45578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45578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45578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45578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45578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45578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45578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45578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45578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45578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45578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45578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45578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45578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45578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45578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45578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45578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45578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45578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45578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45578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45578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45578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45578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45578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45578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45578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45578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45578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45578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45578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45578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45578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45578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45578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45578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45578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45578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45578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45578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45578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45578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45578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45578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45578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45578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45578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45578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45578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45578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45578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45578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45578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45578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45578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45578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45578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45578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45578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45578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45578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45578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45578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45578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45578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45578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45578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45578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45578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45578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45578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45578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45578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45578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45578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45578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45578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45578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45578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45578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45578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45578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45578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45578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45578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45578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45578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45578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45578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45578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45578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45578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45578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45578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45578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45578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45578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45578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45578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45578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45578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45578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45578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45578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45578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45578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45578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45578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45578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45578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45578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45578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45578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45578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45578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45578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45578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45578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45578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45578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45578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45578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45578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45578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45578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45578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45578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45578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45578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45578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45578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45578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45578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45578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45578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45578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45578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45578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45578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45578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45578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45578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45578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45578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45578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45578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45578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45578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45578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45578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45578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45578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45578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45578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45578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45578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45578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45578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45578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45578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45578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45578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45578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45578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45578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45578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45578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45578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45578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45578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45578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45578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45578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45578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45578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45578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45578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45578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45578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45578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45578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45578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45578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45578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45578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45578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45578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45578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45578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45578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45578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45578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45578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45578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45578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45578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45578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45578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45578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45578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45578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45578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45578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45578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45578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45578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45578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45578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45578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45578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45578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45578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45578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45578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45578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45578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45578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45578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45578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45578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45578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45578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45578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45578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45578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45578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45578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45578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45578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45578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45578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45578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45578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45578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45578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45578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45578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45578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45578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45578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45578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45578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45578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45578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45578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45578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45578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45578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45578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45578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45578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45578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45578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45578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45578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45578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45578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45578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45578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45578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45578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45578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45578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45578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45578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45578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45578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45578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45578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45578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45578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45578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45578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45578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45578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45578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45578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45578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45578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45578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45578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45578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45578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45578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45578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45578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45578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45578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45578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45578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45578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45578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45578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45578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45578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45578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45578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45578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45578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45578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45578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45578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45578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45578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45578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45578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45578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45578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45578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45578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45578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45578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45578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45578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45578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45578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45578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45578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45578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45578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45578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45578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45578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45578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45578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45578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45578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45578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45578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45578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45578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45578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45578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45578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45578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45578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45578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45578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45578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45578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45578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45578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45578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45578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45578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45578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45578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45578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45578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45578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45578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45578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45578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45578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45578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45578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45578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45578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45578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45578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45578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45578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45578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45578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45578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45578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45578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45578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45578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45578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45578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45578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45578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45578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45578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45578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45578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45578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45578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45578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45578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45578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45578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45578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45578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45578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45578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45578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45578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45578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45578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45578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45578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45578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45578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45578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45578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45578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45578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45578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45578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45578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45578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45578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45578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45578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45578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45578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45578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45578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45578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45578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45578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45578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45578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45578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45578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45578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45578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45578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45578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45578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45578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45578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45578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45578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45578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45578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45578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45578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45578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45578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45578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45578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45578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45578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45578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45578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45578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45578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45578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45578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45578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45578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45578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45578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45578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45578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45578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45578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45578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45578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45578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45578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45578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45578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45578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45578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45578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45578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45578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45578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45578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45578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45578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45578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45578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45578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45578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45578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45578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45578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45578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45578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45578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45578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45578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45578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45578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45578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45578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45578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45578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45578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45578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45578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45578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45578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45578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45578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45578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45578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45578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45578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45578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45578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45578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45578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45578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45578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45578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45578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45578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45578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45578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45578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45578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45578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45578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45578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45578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45578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45578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45578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45578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45578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45578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45578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45578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45578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45578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45578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45578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45578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45578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45578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45578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45578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45578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45578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45578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45578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45578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45578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45578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45578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45578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45578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45578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45578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45578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45578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45578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45578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45578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45578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45578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45578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45578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45578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45578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45578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45578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38942-2024</t>
        </is>
      </c>
      <c r="B2669" s="1" t="n">
        <v>45548</v>
      </c>
      <c r="C2669" s="1" t="n">
        <v>45578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38939-2024</t>
        </is>
      </c>
      <c r="B2670" s="1" t="n">
        <v>45548</v>
      </c>
      <c r="C2670" s="1" t="n">
        <v>45578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39013-2024</t>
        </is>
      </c>
      <c r="B2671" s="1" t="n">
        <v>45548</v>
      </c>
      <c r="C2671" s="1" t="n">
        <v>45578</v>
      </c>
      <c r="D2671" t="inlineStr">
        <is>
          <t>VÄSTERNORRLANDS LÄN</t>
        </is>
      </c>
      <c r="E2671" t="inlineStr">
        <is>
          <t>SUNDSVALL</t>
        </is>
      </c>
      <c r="G2671" t="n">
        <v>12.8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39037-2024</t>
        </is>
      </c>
      <c r="B2672" s="1" t="n">
        <v>45548</v>
      </c>
      <c r="C2672" s="1" t="n">
        <v>45578</v>
      </c>
      <c r="D2672" t="inlineStr">
        <is>
          <t>VÄSTERNORRLANDS LÄN</t>
        </is>
      </c>
      <c r="E2672" t="inlineStr">
        <is>
          <t>SUNDSVALL</t>
        </is>
      </c>
      <c r="F2672" t="inlineStr">
        <is>
          <t>SCA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39004-2024</t>
        </is>
      </c>
      <c r="B2673" s="1" t="n">
        <v>45548</v>
      </c>
      <c r="C2673" s="1" t="n">
        <v>45578</v>
      </c>
      <c r="D2673" t="inlineStr">
        <is>
          <t>VÄSTERNORRLANDS LÄN</t>
        </is>
      </c>
      <c r="E2673" t="inlineStr">
        <is>
          <t>SUNDSVALL</t>
        </is>
      </c>
      <c r="G2673" t="n">
        <v>6.9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45578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39370-2024</t>
        </is>
      </c>
      <c r="B2675" s="1" t="n">
        <v>45551</v>
      </c>
      <c r="C2675" s="1" t="n">
        <v>45578</v>
      </c>
      <c r="D2675" t="inlineStr">
        <is>
          <t>VÄSTERNORRLANDS LÄN</t>
        </is>
      </c>
      <c r="E2675" t="inlineStr">
        <is>
          <t>SUNDSVALL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39347-2024</t>
        </is>
      </c>
      <c r="B2676" s="1" t="n">
        <v>45551</v>
      </c>
      <c r="C2676" s="1" t="n">
        <v>45578</v>
      </c>
      <c r="D2676" t="inlineStr">
        <is>
          <t>VÄSTERNORRLANDS LÄN</t>
        </is>
      </c>
      <c r="E2676" t="inlineStr">
        <is>
          <t>SUNDSVALL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45578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39713-2024</t>
        </is>
      </c>
      <c r="B2678" s="1" t="n">
        <v>45552</v>
      </c>
      <c r="C2678" s="1" t="n">
        <v>45578</v>
      </c>
      <c r="D2678" t="inlineStr">
        <is>
          <t>VÄSTERNORRLANDS LÄN</t>
        </is>
      </c>
      <c r="E2678" t="inlineStr">
        <is>
          <t>SUNDSVALL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39711-2024</t>
        </is>
      </c>
      <c r="B2679" s="1" t="n">
        <v>45552</v>
      </c>
      <c r="C2679" s="1" t="n">
        <v>45578</v>
      </c>
      <c r="D2679" t="inlineStr">
        <is>
          <t>VÄSTERNORRLANDS LÄN</t>
        </is>
      </c>
      <c r="E2679" t="inlineStr">
        <is>
          <t>SUNDSVALL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39710-2024</t>
        </is>
      </c>
      <c r="B2680" s="1" t="n">
        <v>45552</v>
      </c>
      <c r="C2680" s="1" t="n">
        <v>45578</v>
      </c>
      <c r="D2680" t="inlineStr">
        <is>
          <t>VÄSTERNORRLANDS LÄN</t>
        </is>
      </c>
      <c r="E2680" t="inlineStr">
        <is>
          <t>SUNDSVALL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39730-2024</t>
        </is>
      </c>
      <c r="B2681" s="1" t="n">
        <v>45552</v>
      </c>
      <c r="C2681" s="1" t="n">
        <v>45578</v>
      </c>
      <c r="D2681" t="inlineStr">
        <is>
          <t>VÄSTERNORRLANDS LÄN</t>
        </is>
      </c>
      <c r="E2681" t="inlineStr">
        <is>
          <t>SUNDSVALL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39754-2024</t>
        </is>
      </c>
      <c r="B2682" s="1" t="n">
        <v>45552</v>
      </c>
      <c r="C2682" s="1" t="n">
        <v>45578</v>
      </c>
      <c r="D2682" t="inlineStr">
        <is>
          <t>VÄSTERNORRLANDS LÄN</t>
        </is>
      </c>
      <c r="E2682" t="inlineStr">
        <is>
          <t>SUNDSVALL</t>
        </is>
      </c>
      <c r="F2682" t="inlineStr">
        <is>
          <t>SCA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45578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45578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39922-2024</t>
        </is>
      </c>
      <c r="B2685" s="1" t="n">
        <v>45553</v>
      </c>
      <c r="C2685" s="1" t="n">
        <v>45578</v>
      </c>
      <c r="D2685" t="inlineStr">
        <is>
          <t>VÄSTERNORRLANDS LÄN</t>
        </is>
      </c>
      <c r="E2685" t="inlineStr">
        <is>
          <t>SUNDSVALL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40050-2024</t>
        </is>
      </c>
      <c r="B2686" s="1" t="n">
        <v>45553</v>
      </c>
      <c r="C2686" s="1" t="n">
        <v>45578</v>
      </c>
      <c r="D2686" t="inlineStr">
        <is>
          <t>VÄSTERNORRLANDS LÄN</t>
        </is>
      </c>
      <c r="E2686" t="inlineStr">
        <is>
          <t>SUNDSVALL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45578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45578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40319-2024</t>
        </is>
      </c>
      <c r="B2689" s="1" t="n">
        <v>45554</v>
      </c>
      <c r="C2689" s="1" t="n">
        <v>45578</v>
      </c>
      <c r="D2689" t="inlineStr">
        <is>
          <t>VÄSTERNORRLANDS LÄN</t>
        </is>
      </c>
      <c r="E2689" t="inlineStr">
        <is>
          <t>SUNDSVALL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40077-2024</t>
        </is>
      </c>
      <c r="B2690" s="1" t="n">
        <v>45554</v>
      </c>
      <c r="C2690" s="1" t="n">
        <v>45578</v>
      </c>
      <c r="D2690" t="inlineStr">
        <is>
          <t>VÄSTERNORRLANDS LÄN</t>
        </is>
      </c>
      <c r="E2690" t="inlineStr">
        <is>
          <t>SUNDSVALL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40089-2024</t>
        </is>
      </c>
      <c r="B2691" s="1" t="n">
        <v>45554</v>
      </c>
      <c r="C2691" s="1" t="n">
        <v>45578</v>
      </c>
      <c r="D2691" t="inlineStr">
        <is>
          <t>VÄSTERNORRLANDS LÄN</t>
        </is>
      </c>
      <c r="E2691" t="inlineStr">
        <is>
          <t>SUNDSVALL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45578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45578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45578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45578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41027-2024</t>
        </is>
      </c>
      <c r="B2696" s="1" t="n">
        <v>45559</v>
      </c>
      <c r="C2696" s="1" t="n">
        <v>45578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41091-2024</t>
        </is>
      </c>
      <c r="B2697" s="1" t="n">
        <v>45559</v>
      </c>
      <c r="C2697" s="1" t="n">
        <v>45578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41244-2024</t>
        </is>
      </c>
      <c r="B2698" s="1" t="n">
        <v>45559</v>
      </c>
      <c r="C2698" s="1" t="n">
        <v>45578</v>
      </c>
      <c r="D2698" t="inlineStr">
        <is>
          <t>VÄSTERNORRLANDS LÄN</t>
        </is>
      </c>
      <c r="E2698" t="inlineStr">
        <is>
          <t>SUNDSVALL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41354-2024</t>
        </is>
      </c>
      <c r="B2699" s="1" t="n">
        <v>45559</v>
      </c>
      <c r="C2699" s="1" t="n">
        <v>45578</v>
      </c>
      <c r="D2699" t="inlineStr">
        <is>
          <t>VÄSTERNORRLANDS LÄN</t>
        </is>
      </c>
      <c r="E2699" t="inlineStr">
        <is>
          <t>SUNDSVALL</t>
        </is>
      </c>
      <c r="F2699" t="inlineStr">
        <is>
          <t>SCA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41381-2024</t>
        </is>
      </c>
      <c r="B2700" s="1" t="n">
        <v>45559</v>
      </c>
      <c r="C2700" s="1" t="n">
        <v>45578</v>
      </c>
      <c r="D2700" t="inlineStr">
        <is>
          <t>VÄSTERNORRLANDS LÄN</t>
        </is>
      </c>
      <c r="E2700" t="inlineStr">
        <is>
          <t>SUNDSVALL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41287-2024</t>
        </is>
      </c>
      <c r="B2701" s="1" t="n">
        <v>45559</v>
      </c>
      <c r="C2701" s="1" t="n">
        <v>45578</v>
      </c>
      <c r="D2701" t="inlineStr">
        <is>
          <t>VÄSTERNORRLANDS LÄN</t>
        </is>
      </c>
      <c r="E2701" t="inlineStr">
        <is>
          <t>SUNDSVALL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41456-2024</t>
        </is>
      </c>
      <c r="B2702" s="1" t="n">
        <v>45559</v>
      </c>
      <c r="C2702" s="1" t="n">
        <v>45578</v>
      </c>
      <c r="D2702" t="inlineStr">
        <is>
          <t>VÄSTERNORRLANDS LÄN</t>
        </is>
      </c>
      <c r="E2702" t="inlineStr">
        <is>
          <t>SUNDSVALL</t>
        </is>
      </c>
      <c r="G2702" t="n">
        <v>10.6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41196-2024</t>
        </is>
      </c>
      <c r="B2703" s="1" t="n">
        <v>45559</v>
      </c>
      <c r="C2703" s="1" t="n">
        <v>45578</v>
      </c>
      <c r="D2703" t="inlineStr">
        <is>
          <t>VÄSTERNORRLANDS LÄN</t>
        </is>
      </c>
      <c r="E2703" t="inlineStr">
        <is>
          <t>SUNDSVALL</t>
        </is>
      </c>
      <c r="G2703" t="n">
        <v>13.2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41200-2024</t>
        </is>
      </c>
      <c r="B2704" s="1" t="n">
        <v>45559</v>
      </c>
      <c r="C2704" s="1" t="n">
        <v>45578</v>
      </c>
      <c r="D2704" t="inlineStr">
        <is>
          <t>VÄSTERNORRLANDS LÄN</t>
        </is>
      </c>
      <c r="E2704" t="inlineStr">
        <is>
          <t>SUNDSVALL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41380-2024</t>
        </is>
      </c>
      <c r="B2705" s="1" t="n">
        <v>45559</v>
      </c>
      <c r="C2705" s="1" t="n">
        <v>45578</v>
      </c>
      <c r="D2705" t="inlineStr">
        <is>
          <t>VÄSTERNORRLANDS LÄN</t>
        </is>
      </c>
      <c r="E2705" t="inlineStr">
        <is>
          <t>SUNDSVALL</t>
        </is>
      </c>
      <c r="G2705" t="n">
        <v>6.5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41655-2024</t>
        </is>
      </c>
      <c r="B2706" s="1" t="n">
        <v>45560</v>
      </c>
      <c r="C2706" s="1" t="n">
        <v>45578</v>
      </c>
      <c r="D2706" t="inlineStr">
        <is>
          <t>VÄSTERNORRLANDS LÄN</t>
        </is>
      </c>
      <c r="E2706" t="inlineStr">
        <is>
          <t>SUNDSVALL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41652-2024</t>
        </is>
      </c>
      <c r="B2707" s="1" t="n">
        <v>45560</v>
      </c>
      <c r="C2707" s="1" t="n">
        <v>45578</v>
      </c>
      <c r="D2707" t="inlineStr">
        <is>
          <t>VÄSTERNORRLANDS LÄN</t>
        </is>
      </c>
      <c r="E2707" t="inlineStr">
        <is>
          <t>SUNDSVALL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41681-2024</t>
        </is>
      </c>
      <c r="B2708" s="1" t="n">
        <v>45560</v>
      </c>
      <c r="C2708" s="1" t="n">
        <v>45578</v>
      </c>
      <c r="D2708" t="inlineStr">
        <is>
          <t>VÄSTERNORRLANDS LÄN</t>
        </is>
      </c>
      <c r="E2708" t="inlineStr">
        <is>
          <t>SUNDSVALL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45578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45578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45578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45578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42497-2024</t>
        </is>
      </c>
      <c r="B2713" s="1" t="n">
        <v>45565</v>
      </c>
      <c r="C2713" s="1" t="n">
        <v>45578</v>
      </c>
      <c r="D2713" t="inlineStr">
        <is>
          <t>VÄSTERNORRLANDS LÄN</t>
        </is>
      </c>
      <c r="E2713" t="inlineStr">
        <is>
          <t>SUNDSVALL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42525-2024</t>
        </is>
      </c>
      <c r="B2714" s="1" t="n">
        <v>45565</v>
      </c>
      <c r="C2714" s="1" t="n">
        <v>45578</v>
      </c>
      <c r="D2714" t="inlineStr">
        <is>
          <t>VÄSTERNORRLANDS LÄN</t>
        </is>
      </c>
      <c r="E2714" t="inlineStr">
        <is>
          <t>SUNDSVALL</t>
        </is>
      </c>
      <c r="G2714" t="n">
        <v>19.6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45578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45578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43004-2024</t>
        </is>
      </c>
      <c r="B2717" s="1" t="n">
        <v>45567</v>
      </c>
      <c r="C2717" s="1" t="n">
        <v>45578</v>
      </c>
      <c r="D2717" t="inlineStr">
        <is>
          <t>VÄSTERNORRLANDS LÄN</t>
        </is>
      </c>
      <c r="E2717" t="inlineStr">
        <is>
          <t>SUNDSVALL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42977-2024</t>
        </is>
      </c>
      <c r="B2718" s="1" t="n">
        <v>45567</v>
      </c>
      <c r="C2718" s="1" t="n">
        <v>45578</v>
      </c>
      <c r="D2718" t="inlineStr">
        <is>
          <t>VÄSTERNORRLANDS LÄN</t>
        </is>
      </c>
      <c r="E2718" t="inlineStr">
        <is>
          <t>SUNDSVALL</t>
        </is>
      </c>
      <c r="F2718" t="inlineStr">
        <is>
          <t>SCA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43002-2024</t>
        </is>
      </c>
      <c r="B2719" s="1" t="n">
        <v>45567</v>
      </c>
      <c r="C2719" s="1" t="n">
        <v>45578</v>
      </c>
      <c r="D2719" t="inlineStr">
        <is>
          <t>VÄSTERNORRLANDS LÄN</t>
        </is>
      </c>
      <c r="E2719" t="inlineStr">
        <is>
          <t>SUNDSVALL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43040-2024</t>
        </is>
      </c>
      <c r="B2720" s="1" t="n">
        <v>45567</v>
      </c>
      <c r="C2720" s="1" t="n">
        <v>45578</v>
      </c>
      <c r="D2720" t="inlineStr">
        <is>
          <t>VÄSTERNORRLANDS LÄN</t>
        </is>
      </c>
      <c r="E2720" t="inlineStr">
        <is>
          <t>SUNDSVALL</t>
        </is>
      </c>
      <c r="F2720" t="inlineStr">
        <is>
          <t>SCA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43001-2024</t>
        </is>
      </c>
      <c r="B2721" s="1" t="n">
        <v>45567</v>
      </c>
      <c r="C2721" s="1" t="n">
        <v>45578</v>
      </c>
      <c r="D2721" t="inlineStr">
        <is>
          <t>VÄSTERNORRLANDS LÄN</t>
        </is>
      </c>
      <c r="E2721" t="inlineStr">
        <is>
          <t>SUNDSVALL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43128-2024</t>
        </is>
      </c>
      <c r="B2722" s="1" t="n">
        <v>45567</v>
      </c>
      <c r="C2722" s="1" t="n">
        <v>45578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43168-2024</t>
        </is>
      </c>
      <c r="B2723" s="1" t="n">
        <v>45567</v>
      </c>
      <c r="C2723" s="1" t="n">
        <v>45578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45578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43571-2024</t>
        </is>
      </c>
      <c r="B2725" s="1" t="n">
        <v>45569</v>
      </c>
      <c r="C2725" s="1" t="n">
        <v>45578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43818-2024</t>
        </is>
      </c>
      <c r="B2726" s="1" t="n">
        <v>45571</v>
      </c>
      <c r="C2726" s="1" t="n">
        <v>45578</v>
      </c>
      <c r="D2726" t="inlineStr">
        <is>
          <t>VÄSTERNORRLANDS LÄN</t>
        </is>
      </c>
      <c r="E2726" t="inlineStr">
        <is>
          <t>SUNDSVALL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44035-2024</t>
        </is>
      </c>
      <c r="B2727" s="1" t="n">
        <v>45572</v>
      </c>
      <c r="C2727" s="1" t="n">
        <v>45578</v>
      </c>
      <c r="D2727" t="inlineStr">
        <is>
          <t>VÄSTERNORRLANDS LÄN</t>
        </is>
      </c>
      <c r="E2727" t="inlineStr">
        <is>
          <t>SUNDSVALL</t>
        </is>
      </c>
      <c r="G2727" t="n">
        <v>3.7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44080-2024</t>
        </is>
      </c>
      <c r="B2728" s="1" t="n">
        <v>45572</v>
      </c>
      <c r="C2728" s="1" t="n">
        <v>45578</v>
      </c>
      <c r="D2728" t="inlineStr">
        <is>
          <t>VÄSTERNORRLANDS LÄN</t>
        </is>
      </c>
      <c r="E2728" t="inlineStr">
        <is>
          <t>SUNDSVALL</t>
        </is>
      </c>
      <c r="F2728" t="inlineStr">
        <is>
          <t>SCA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44078-2024</t>
        </is>
      </c>
      <c r="B2729" s="1" t="n">
        <v>45572</v>
      </c>
      <c r="C2729" s="1" t="n">
        <v>45578</v>
      </c>
      <c r="D2729" t="inlineStr">
        <is>
          <t>VÄSTERNORRLANDS LÄN</t>
        </is>
      </c>
      <c r="E2729" t="inlineStr">
        <is>
          <t>SUNDSVALL</t>
        </is>
      </c>
      <c r="F2729" t="inlineStr">
        <is>
          <t>SCA</t>
        </is>
      </c>
      <c r="G2729" t="n">
        <v>6.4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44098-2024</t>
        </is>
      </c>
      <c r="B2730" s="1" t="n">
        <v>45572</v>
      </c>
      <c r="C2730" s="1" t="n">
        <v>45578</v>
      </c>
      <c r="D2730" t="inlineStr">
        <is>
          <t>VÄSTERNORRLANDS LÄN</t>
        </is>
      </c>
      <c r="E2730" t="inlineStr">
        <is>
          <t>SUNDSVALL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44187-2024</t>
        </is>
      </c>
      <c r="B2731" s="1" t="n">
        <v>45573</v>
      </c>
      <c r="C2731" s="1" t="n">
        <v>45578</v>
      </c>
      <c r="D2731" t="inlineStr">
        <is>
          <t>VÄSTERNORRLANDS LÄN</t>
        </is>
      </c>
      <c r="E2731" t="inlineStr">
        <is>
          <t>SUNDSVALL</t>
        </is>
      </c>
      <c r="F2731" t="inlineStr">
        <is>
          <t>Kommuner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44730-2024</t>
        </is>
      </c>
      <c r="B2732" s="1" t="n">
        <v>45574</v>
      </c>
      <c r="C2732" s="1" t="n">
        <v>45578</v>
      </c>
      <c r="D2732" t="inlineStr">
        <is>
          <t>VÄSTERNORRLANDS LÄN</t>
        </is>
      </c>
      <c r="E2732" t="inlineStr">
        <is>
          <t>SUNDSVALL</t>
        </is>
      </c>
      <c r="G2732" t="n">
        <v>9.199999999999999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44758-2024</t>
        </is>
      </c>
      <c r="B2733" s="1" t="n">
        <v>45574</v>
      </c>
      <c r="C2733" s="1" t="n">
        <v>45578</v>
      </c>
      <c r="D2733" t="inlineStr">
        <is>
          <t>VÄSTERNORRLANDS LÄN</t>
        </is>
      </c>
      <c r="E2733" t="inlineStr">
        <is>
          <t>SUNDSVALL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44545-2024</t>
        </is>
      </c>
      <c r="B2734" s="1" t="n">
        <v>45574</v>
      </c>
      <c r="C2734" s="1" t="n">
        <v>45578</v>
      </c>
      <c r="D2734" t="inlineStr">
        <is>
          <t>VÄSTERNORRLANDS LÄN</t>
        </is>
      </c>
      <c r="E2734" t="inlineStr">
        <is>
          <t>SUNDSVALL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44578-2024</t>
        </is>
      </c>
      <c r="B2735" s="1" t="n">
        <v>45574</v>
      </c>
      <c r="C2735" s="1" t="n">
        <v>45578</v>
      </c>
      <c r="D2735" t="inlineStr">
        <is>
          <t>VÄSTERNORRLANDS LÄN</t>
        </is>
      </c>
      <c r="E2735" t="inlineStr">
        <is>
          <t>SUNDSVALL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44602-2024</t>
        </is>
      </c>
      <c r="B2736" s="1" t="n">
        <v>45574</v>
      </c>
      <c r="C2736" s="1" t="n">
        <v>45578</v>
      </c>
      <c r="D2736" t="inlineStr">
        <is>
          <t>VÄSTERNORRLANDS LÄN</t>
        </is>
      </c>
      <c r="E2736" t="inlineStr">
        <is>
          <t>SUNDSVALL</t>
        </is>
      </c>
      <c r="F2736" t="inlineStr">
        <is>
          <t>SCA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44610-2024</t>
        </is>
      </c>
      <c r="B2737" s="1" t="n">
        <v>45574</v>
      </c>
      <c r="C2737" s="1" t="n">
        <v>45578</v>
      </c>
      <c r="D2737" t="inlineStr">
        <is>
          <t>VÄSTERNORRLANDS LÄN</t>
        </is>
      </c>
      <c r="E2737" t="inlineStr">
        <is>
          <t>SUNDSVALL</t>
        </is>
      </c>
      <c r="F2737" t="inlineStr">
        <is>
          <t>SCA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44663-2024</t>
        </is>
      </c>
      <c r="B2738" s="1" t="n">
        <v>45574</v>
      </c>
      <c r="C2738" s="1" t="n">
        <v>45578</v>
      </c>
      <c r="D2738" t="inlineStr">
        <is>
          <t>VÄSTERNORRLANDS LÄN</t>
        </is>
      </c>
      <c r="E2738" t="inlineStr">
        <is>
          <t>SUNDSVALL</t>
        </is>
      </c>
      <c r="F2738" t="inlineStr">
        <is>
          <t>SCA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44557-2024</t>
        </is>
      </c>
      <c r="B2739" s="1" t="n">
        <v>45574</v>
      </c>
      <c r="C2739" s="1" t="n">
        <v>45578</v>
      </c>
      <c r="D2739" t="inlineStr">
        <is>
          <t>VÄSTERNORRLANDS LÄN</t>
        </is>
      </c>
      <c r="E2739" t="inlineStr">
        <is>
          <t>SUNDSVALL</t>
        </is>
      </c>
      <c r="F2739" t="inlineStr">
        <is>
          <t>SCA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44569-2024</t>
        </is>
      </c>
      <c r="B2740" s="1" t="n">
        <v>45574</v>
      </c>
      <c r="C2740" s="1" t="n">
        <v>45578</v>
      </c>
      <c r="D2740" t="inlineStr">
        <is>
          <t>VÄSTERNORRLANDS LÄN</t>
        </is>
      </c>
      <c r="E2740" t="inlineStr">
        <is>
          <t>SUNDSVALL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44593-2024</t>
        </is>
      </c>
      <c r="B2741" s="1" t="n">
        <v>45574</v>
      </c>
      <c r="C2741" s="1" t="n">
        <v>45578</v>
      </c>
      <c r="D2741" t="inlineStr">
        <is>
          <t>VÄSTERNORRLANDS LÄN</t>
        </is>
      </c>
      <c r="E2741" t="inlineStr">
        <is>
          <t>SUNDSVALL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44875-2024</t>
        </is>
      </c>
      <c r="B2742" s="1" t="n">
        <v>45575</v>
      </c>
      <c r="C2742" s="1" t="n">
        <v>45578</v>
      </c>
      <c r="D2742" t="inlineStr">
        <is>
          <t>VÄSTERNORRLANDS LÄN</t>
        </is>
      </c>
      <c r="E2742" t="inlineStr">
        <is>
          <t>SUNDSVALL</t>
        </is>
      </c>
      <c r="F2742" t="inlineStr">
        <is>
          <t>SCA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44922-2024</t>
        </is>
      </c>
      <c r="B2743" s="1" t="n">
        <v>45575</v>
      </c>
      <c r="C2743" s="1" t="n">
        <v>45578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SCA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45141-2024</t>
        </is>
      </c>
      <c r="B2744" s="1" t="n">
        <v>45575</v>
      </c>
      <c r="C2744" s="1" t="n">
        <v>45578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Kommuner</t>
        </is>
      </c>
      <c r="G2744" t="n">
        <v>6.2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45172-2024</t>
        </is>
      </c>
      <c r="B2745" s="1" t="n">
        <v>45575</v>
      </c>
      <c r="C2745" s="1" t="n">
        <v>45578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SCA</t>
        </is>
      </c>
      <c r="G2745" t="n">
        <v>4.9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44908-2024</t>
        </is>
      </c>
      <c r="B2746" s="1" t="n">
        <v>45575</v>
      </c>
      <c r="C2746" s="1" t="n">
        <v>45578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SCA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45158-2024</t>
        </is>
      </c>
      <c r="B2747" s="1" t="n">
        <v>45575</v>
      </c>
      <c r="C2747" s="1" t="n">
        <v>45578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Kommuner</t>
        </is>
      </c>
      <c r="G2747" t="n">
        <v>4.7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45293-2024</t>
        </is>
      </c>
      <c r="B2748" s="1" t="n">
        <v>45576</v>
      </c>
      <c r="C2748" s="1" t="n">
        <v>45578</v>
      </c>
      <c r="D2748" t="inlineStr">
        <is>
          <t>VÄSTERNORRLANDS LÄN</t>
        </is>
      </c>
      <c r="E2748" t="inlineStr">
        <is>
          <t>SUNDSVALL</t>
        </is>
      </c>
      <c r="G2748" t="n">
        <v>5.5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45357-2024</t>
        </is>
      </c>
      <c r="B2749" s="1" t="n">
        <v>45576</v>
      </c>
      <c r="C2749" s="1" t="n">
        <v>45578</v>
      </c>
      <c r="D2749" t="inlineStr">
        <is>
          <t>VÄSTERNORRLANDS LÄN</t>
        </is>
      </c>
      <c r="E2749" t="inlineStr">
        <is>
          <t>SUNDSVALL</t>
        </is>
      </c>
      <c r="G2749" t="n">
        <v>18.2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>
      <c r="A2750" t="inlineStr">
        <is>
          <t>A 45434-2024</t>
        </is>
      </c>
      <c r="B2750" s="1" t="n">
        <v>45576</v>
      </c>
      <c r="C2750" s="1" t="n">
        <v>45578</v>
      </c>
      <c r="D2750" t="inlineStr">
        <is>
          <t>VÄSTERNORRLANDS LÄN</t>
        </is>
      </c>
      <c r="E2750" t="inlineStr">
        <is>
          <t>SUNDSVALL</t>
        </is>
      </c>
      <c r="F2750" t="inlineStr">
        <is>
          <t>SCA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2024-10-13T12:10:39Z</dcterms:created>
  <dcterms:modified xmlns:dcterms="http://purl.org/dc/terms/" xmlns:xsi="http://www.w3.org/2001/XMLSchema-instance" xsi:type="dcterms:W3CDTF">2024-10-13T12:10:41Z</dcterms:modified>
</cp:coreProperties>
</file>